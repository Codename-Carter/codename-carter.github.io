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4.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5.xml" ContentType="application/vnd.openxmlformats-officedocument.drawing+xml"/>
  <Override PartName="/xl/queryTables/queryTable33.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pivotTables/pivotTable7.xml" ContentType="application/vnd.openxmlformats-officedocument.spreadsheetml.pivot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tioncart\Documents\Excel Files\"/>
    </mc:Choice>
  </mc:AlternateContent>
  <xr:revisionPtr revIDLastSave="0" documentId="13_ncr:1_{1927E6C8-B40B-4920-AF5D-DA3F27E824B6}" xr6:coauthVersionLast="47" xr6:coauthVersionMax="47" xr10:uidLastSave="{00000000-0000-0000-0000-000000000000}"/>
  <bookViews>
    <workbookView xWindow="-108" yWindow="-108" windowWidth="23256" windowHeight="12456" tabRatio="673" xr2:uid="{D5D19B99-DD94-4937-BE53-0E0678A4D445}"/>
  </bookViews>
  <sheets>
    <sheet name="MainPage" sheetId="7" r:id="rId1"/>
    <sheet name="AB" sheetId="14" r:id="rId2"/>
    <sheet name="TEAM" sheetId="1" r:id="rId3"/>
    <sheet name="WAR" sheetId="10" r:id="rId4"/>
    <sheet name="Record" sheetId="19" r:id="rId5"/>
    <sheet name="Formulas" sheetId="6" r:id="rId6"/>
    <sheet name="LastGame" sheetId="2" state="hidden" r:id="rId7"/>
    <sheet name="Streak" sheetId="5" r:id="rId8"/>
    <sheet name="PIVOT" sheetId="17" r:id="rId9"/>
    <sheet name="Hittas" sheetId="16" r:id="rId10"/>
    <sheet name="Pitchas" sheetId="15" r:id="rId11"/>
    <sheet name="ML_Line_OU" sheetId="4" r:id="rId12"/>
    <sheet name="LOB" sheetId="9" r:id="rId13"/>
    <sheet name="FIP" sheetId="8" r:id="rId14"/>
    <sheet name="Lineups" sheetId="12" r:id="rId15"/>
    <sheet name="Starters" sheetId="20" r:id="rId16"/>
    <sheet name="Sheet4" sheetId="18" state="hidden" r:id="rId17"/>
    <sheet name="RANdom" sheetId="13" state="hidden" r:id="rId18"/>
    <sheet name="Schedule" sheetId="11" r:id="rId19"/>
  </sheets>
  <definedNames>
    <definedName name="_xlnm._FilterDatabase" localSheetId="13" hidden="1">FIP!$A$1:$E$73</definedName>
    <definedName name="_xlnm._FilterDatabase" localSheetId="14" hidden="1">Lineups!$A$4:$A$37</definedName>
    <definedName name="_xlnm._FilterDatabase" localSheetId="0" hidden="1">MainPage!$AC$7:$AE$7</definedName>
    <definedName name="_xlnm._FilterDatabase" localSheetId="10" hidden="1">Pitchas!$A$1:$AA$592</definedName>
    <definedName name="_xlnm._FilterDatabase" localSheetId="15" hidden="1">Starters!$A$1:$H$121</definedName>
    <definedName name="ats_trends" localSheetId="11">ML_Line_OU!$G$1:$K$31</definedName>
    <definedName name="CurStreak.py?EndDate_04_2F13_2F2023" localSheetId="7">Streak!$A$1:$M$30</definedName>
    <definedName name="earned_run_average" localSheetId="12">LOB!$U$1:$AB$31</definedName>
    <definedName name="ExternalData_1" localSheetId="1">AB!$D$1:$U$177</definedName>
    <definedName name="ExternalData_10" localSheetId="1">AB!$A$355:$R$531</definedName>
    <definedName name="ExternalData_11" localSheetId="1">AB!$A$1:$R$177</definedName>
    <definedName name="ExternalData_12" localSheetId="1">AB!$A$178:$R$354</definedName>
    <definedName name="ExternalData_13" localSheetId="1">AB!#REF!</definedName>
    <definedName name="ExternalData_14" localSheetId="1">AB!$A$1:$R$177</definedName>
    <definedName name="ExternalData_15" localSheetId="1">AB!$A$178:$R$354</definedName>
    <definedName name="ExternalData_16" localSheetId="1">AB!$A$355:$R$531</definedName>
    <definedName name="ExternalData_17" localSheetId="1">AB!$A$1:$R$177</definedName>
    <definedName name="ExternalData_18" localSheetId="1">AB!$A$178:$R$354</definedName>
    <definedName name="ExternalData_19" localSheetId="1">AB!$A$355:$R$531</definedName>
    <definedName name="ExternalData_2" localSheetId="1">AB!$A$178:$R$354</definedName>
    <definedName name="ExternalData_20" localSheetId="1">AB!$A$1:$R$177</definedName>
    <definedName name="ExternalData_21" localSheetId="1">AB!$A$178:$R$354</definedName>
    <definedName name="ExternalData_22" localSheetId="1">AB!$A$355:$R$531</definedName>
    <definedName name="ExternalData_23" localSheetId="1">AB!$A$1:$R$177</definedName>
    <definedName name="ExternalData_24" localSheetId="1">AB!$A$178:$R$354</definedName>
    <definedName name="ExternalData_25" localSheetId="1">AB!$A$355:$R$531</definedName>
    <definedName name="ExternalData_26" localSheetId="1">AB!$A$1:$R$177</definedName>
    <definedName name="ExternalData_27" localSheetId="1">AB!$A$178:$R$354</definedName>
    <definedName name="ExternalData_28" localSheetId="1">AB!$A$355:$R$531</definedName>
    <definedName name="ExternalData_29" localSheetId="1">AB!$A$1:$R$177</definedName>
    <definedName name="ExternalData_3" localSheetId="1">AB!$A$178:$R$354</definedName>
    <definedName name="ExternalData_30" localSheetId="1">AB!$A$178:$R$354</definedName>
    <definedName name="ExternalData_31" localSheetId="1">AB!$A$355:$R$531</definedName>
    <definedName name="ExternalData_4" localSheetId="1">AB!$A$178:$R$354</definedName>
    <definedName name="ExternalData_4" localSheetId="6">LastGame!$A$3</definedName>
    <definedName name="ExternalData_5" localSheetId="1">AB!$A$355:$R$531</definedName>
    <definedName name="ExternalData_6" localSheetId="1">AB!$A$178:$R$354</definedName>
    <definedName name="ExternalData_6" localSheetId="6">LastGame!$A$3</definedName>
    <definedName name="ExternalData_7" localSheetId="1">AB!$A$355:$R$531</definedName>
    <definedName name="ExternalData_8" localSheetId="1">AB!$A$1:$R$177</definedName>
    <definedName name="ExternalData_9" localSheetId="1">AB!$A$178:$R$354</definedName>
    <definedName name="fielding_independent_pitching" localSheetId="13">FIP!$A$1:$E$73</definedName>
    <definedName name="left_on_base_per_game" localSheetId="12">LOB!$A$1:$H$31</definedName>
    <definedName name="lineups" localSheetId="14">Lineups!$A$1:$F$1133</definedName>
    <definedName name="mlbhittingstats" localSheetId="9">Hittas!$A$1:$V$513</definedName>
    <definedName name="mlbpitchingstats" localSheetId="10">Pitchas!$A$1:$X$592</definedName>
    <definedName name="ou_trends" localSheetId="11">ML_Line_OU!$M$1:$Q$31</definedName>
    <definedName name="probable_pitchers" localSheetId="15">Starters!$A$1:$H$121</definedName>
    <definedName name="run_differential" localSheetId="12">LOB!$K$1:$R$31</definedName>
    <definedName name="win_trends" localSheetId="11">ML_Line_OU!$A$1:$E$31</definedName>
  </definedNames>
  <calcPr calcId="191029"/>
  <pivotCaches>
    <pivotCache cacheId="27" r:id="rId20"/>
    <pivotCache cacheId="30" r:id="rId21"/>
    <pivotCache cacheId="33" r:id="rId22"/>
    <pivotCache cacheId="40" r:id="rId23"/>
    <pivotCache cacheId="43" r:id="rId24"/>
    <pivotCache cacheId="47" r:id="rId2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 i="1" l="1"/>
  <c r="D12" i="1"/>
  <c r="E12" i="1"/>
  <c r="F12" i="1"/>
  <c r="G12" i="1"/>
  <c r="H12" i="1"/>
  <c r="I12" i="1"/>
  <c r="J12" i="1"/>
  <c r="K12" i="1"/>
  <c r="L12" i="1"/>
  <c r="M12" i="1"/>
  <c r="N12" i="1"/>
  <c r="O12" i="1"/>
  <c r="P12" i="1"/>
  <c r="Q12" i="1"/>
  <c r="R12" i="1"/>
  <c r="C14" i="1"/>
  <c r="D14" i="1"/>
  <c r="E14" i="1"/>
  <c r="F14" i="1"/>
  <c r="G14" i="1"/>
  <c r="H14" i="1"/>
  <c r="I14" i="1"/>
  <c r="J14" i="1"/>
  <c r="K14" i="1"/>
  <c r="L14" i="1"/>
  <c r="M14" i="1"/>
  <c r="N14" i="1"/>
  <c r="O14" i="1"/>
  <c r="P14" i="1"/>
  <c r="Q14" i="1"/>
  <c r="R14" i="1"/>
  <c r="C16" i="1"/>
  <c r="D16" i="1"/>
  <c r="E16" i="1"/>
  <c r="F16" i="1"/>
  <c r="G16" i="1"/>
  <c r="H16" i="1"/>
  <c r="I16" i="1"/>
  <c r="J16" i="1"/>
  <c r="K16" i="1"/>
  <c r="L16" i="1"/>
  <c r="M16" i="1"/>
  <c r="N16" i="1"/>
  <c r="O16" i="1"/>
  <c r="P16" i="1"/>
  <c r="Q16" i="1"/>
  <c r="R16" i="1"/>
  <c r="C18" i="1"/>
  <c r="D18" i="1"/>
  <c r="E18" i="1"/>
  <c r="F18" i="1"/>
  <c r="G18" i="1"/>
  <c r="H18" i="1"/>
  <c r="I18" i="1"/>
  <c r="J18" i="1"/>
  <c r="K18" i="1"/>
  <c r="L18" i="1"/>
  <c r="M18" i="1"/>
  <c r="N18" i="1"/>
  <c r="O18" i="1"/>
  <c r="P18" i="1"/>
  <c r="Q18" i="1"/>
  <c r="R18" i="1"/>
  <c r="C20" i="1"/>
  <c r="D20" i="1"/>
  <c r="E20" i="1"/>
  <c r="F20" i="1"/>
  <c r="G20" i="1"/>
  <c r="H20" i="1"/>
  <c r="I20" i="1"/>
  <c r="J20" i="1"/>
  <c r="K20" i="1"/>
  <c r="L20" i="1"/>
  <c r="M20" i="1"/>
  <c r="N20" i="1"/>
  <c r="O20" i="1"/>
  <c r="P20" i="1"/>
  <c r="Q20" i="1"/>
  <c r="R20" i="1"/>
  <c r="C22" i="1"/>
  <c r="D22" i="1"/>
  <c r="E22" i="1"/>
  <c r="F22" i="1"/>
  <c r="G22" i="1"/>
  <c r="H22" i="1"/>
  <c r="I22" i="1"/>
  <c r="J22" i="1"/>
  <c r="K22" i="1"/>
  <c r="L22" i="1"/>
  <c r="M22" i="1"/>
  <c r="N22" i="1"/>
  <c r="O22" i="1"/>
  <c r="P22" i="1"/>
  <c r="Q22" i="1"/>
  <c r="R22" i="1"/>
  <c r="C24" i="1"/>
  <c r="D24" i="1"/>
  <c r="E24" i="1"/>
  <c r="F24" i="1"/>
  <c r="G24" i="1"/>
  <c r="H24" i="1"/>
  <c r="I24" i="1"/>
  <c r="J24" i="1"/>
  <c r="K24" i="1"/>
  <c r="L24" i="1"/>
  <c r="M24" i="1"/>
  <c r="N24" i="1"/>
  <c r="O24" i="1"/>
  <c r="P24" i="1"/>
  <c r="Q24" i="1"/>
  <c r="R24" i="1"/>
  <c r="C26" i="1"/>
  <c r="D26" i="1"/>
  <c r="E26" i="1"/>
  <c r="F26" i="1"/>
  <c r="G26" i="1"/>
  <c r="H26" i="1"/>
  <c r="I26" i="1"/>
  <c r="J26" i="1"/>
  <c r="K26" i="1"/>
  <c r="L26" i="1"/>
  <c r="M26" i="1"/>
  <c r="N26" i="1"/>
  <c r="O26" i="1"/>
  <c r="P26" i="1"/>
  <c r="Q26" i="1"/>
  <c r="R26" i="1"/>
  <c r="C28" i="1"/>
  <c r="D28" i="1"/>
  <c r="E28" i="1"/>
  <c r="F28" i="1"/>
  <c r="G28" i="1"/>
  <c r="H28" i="1"/>
  <c r="I28" i="1"/>
  <c r="J28" i="1"/>
  <c r="K28" i="1"/>
  <c r="L28" i="1"/>
  <c r="M28" i="1"/>
  <c r="N28" i="1"/>
  <c r="O28" i="1"/>
  <c r="P28" i="1"/>
  <c r="Q28" i="1"/>
  <c r="R28" i="1"/>
  <c r="C30" i="1"/>
  <c r="D30" i="1"/>
  <c r="E30" i="1"/>
  <c r="F30" i="1"/>
  <c r="G30" i="1"/>
  <c r="H30" i="1"/>
  <c r="I30" i="1"/>
  <c r="J30" i="1"/>
  <c r="K30" i="1"/>
  <c r="L30" i="1"/>
  <c r="M30" i="1"/>
  <c r="N30" i="1"/>
  <c r="O30" i="1"/>
  <c r="P30" i="1"/>
  <c r="Q30" i="1"/>
  <c r="R30" i="1"/>
  <c r="C32" i="1"/>
  <c r="D32" i="1"/>
  <c r="E32" i="1"/>
  <c r="F32" i="1"/>
  <c r="G32" i="1"/>
  <c r="H32" i="1"/>
  <c r="I32" i="1"/>
  <c r="J32" i="1"/>
  <c r="K32" i="1"/>
  <c r="L32" i="1"/>
  <c r="M32" i="1"/>
  <c r="N32" i="1"/>
  <c r="O32" i="1"/>
  <c r="P32" i="1"/>
  <c r="Q32" i="1"/>
  <c r="R32" i="1"/>
  <c r="C34" i="1"/>
  <c r="D34" i="1"/>
  <c r="E34" i="1"/>
  <c r="F34" i="1"/>
  <c r="G34" i="1"/>
  <c r="H34" i="1"/>
  <c r="I34" i="1"/>
  <c r="J34" i="1"/>
  <c r="K34" i="1"/>
  <c r="L34" i="1"/>
  <c r="M34" i="1"/>
  <c r="N34" i="1"/>
  <c r="O34" i="1"/>
  <c r="P34" i="1"/>
  <c r="Q34" i="1"/>
  <c r="R34" i="1"/>
  <c r="C36" i="1"/>
  <c r="D36" i="1"/>
  <c r="E36" i="1"/>
  <c r="F36" i="1"/>
  <c r="G36" i="1"/>
  <c r="H36" i="1"/>
  <c r="I36" i="1"/>
  <c r="J36" i="1"/>
  <c r="K36" i="1"/>
  <c r="L36" i="1"/>
  <c r="M36" i="1"/>
  <c r="N36" i="1"/>
  <c r="O36" i="1"/>
  <c r="P36" i="1"/>
  <c r="Q36" i="1"/>
  <c r="R36" i="1"/>
  <c r="C38" i="1"/>
  <c r="D38" i="1"/>
  <c r="E38" i="1"/>
  <c r="F38" i="1"/>
  <c r="G38" i="1"/>
  <c r="H38" i="1"/>
  <c r="I38" i="1"/>
  <c r="J38" i="1"/>
  <c r="K38" i="1"/>
  <c r="L38" i="1"/>
  <c r="M38" i="1"/>
  <c r="N38" i="1"/>
  <c r="O38" i="1"/>
  <c r="P38" i="1"/>
  <c r="Q38" i="1"/>
  <c r="R38" i="1"/>
  <c r="C40" i="1"/>
  <c r="D40" i="1"/>
  <c r="E40" i="1"/>
  <c r="F40" i="1"/>
  <c r="G40" i="1"/>
  <c r="H40" i="1"/>
  <c r="I40" i="1"/>
  <c r="J40" i="1"/>
  <c r="K40" i="1"/>
  <c r="L40" i="1"/>
  <c r="M40" i="1"/>
  <c r="N40" i="1"/>
  <c r="O40" i="1"/>
  <c r="P40" i="1"/>
  <c r="Q40" i="1"/>
  <c r="R40" i="1"/>
  <c r="C42" i="1"/>
  <c r="D42" i="1"/>
  <c r="E42" i="1"/>
  <c r="F42" i="1"/>
  <c r="G42" i="1"/>
  <c r="H42" i="1"/>
  <c r="I42" i="1"/>
  <c r="J42" i="1"/>
  <c r="K42" i="1"/>
  <c r="L42" i="1"/>
  <c r="M42" i="1"/>
  <c r="N42" i="1"/>
  <c r="O42" i="1"/>
  <c r="P42" i="1"/>
  <c r="Q42" i="1"/>
  <c r="R42" i="1"/>
  <c r="C44" i="1"/>
  <c r="D44" i="1"/>
  <c r="E44" i="1"/>
  <c r="F44" i="1"/>
  <c r="G44" i="1"/>
  <c r="H44" i="1"/>
  <c r="I44" i="1"/>
  <c r="J44" i="1"/>
  <c r="K44" i="1"/>
  <c r="L44" i="1"/>
  <c r="M44" i="1"/>
  <c r="N44" i="1"/>
  <c r="O44" i="1"/>
  <c r="P44" i="1"/>
  <c r="Q44" i="1"/>
  <c r="R44" i="1"/>
  <c r="C46" i="1"/>
  <c r="D46" i="1"/>
  <c r="E46" i="1"/>
  <c r="F46" i="1"/>
  <c r="G46" i="1"/>
  <c r="H46" i="1"/>
  <c r="I46" i="1"/>
  <c r="J46" i="1"/>
  <c r="K46" i="1"/>
  <c r="L46" i="1"/>
  <c r="M46" i="1"/>
  <c r="N46" i="1"/>
  <c r="O46" i="1"/>
  <c r="P46" i="1"/>
  <c r="Q46" i="1"/>
  <c r="R46" i="1"/>
  <c r="C48" i="1"/>
  <c r="D48" i="1"/>
  <c r="E48" i="1"/>
  <c r="F48" i="1"/>
  <c r="G48" i="1"/>
  <c r="H48" i="1"/>
  <c r="I48" i="1"/>
  <c r="J48" i="1"/>
  <c r="K48" i="1"/>
  <c r="L48" i="1"/>
  <c r="M48" i="1"/>
  <c r="N48" i="1"/>
  <c r="O48" i="1"/>
  <c r="P48" i="1"/>
  <c r="Q48" i="1"/>
  <c r="R48" i="1"/>
  <c r="C50" i="1"/>
  <c r="D50" i="1"/>
  <c r="E50" i="1"/>
  <c r="F50" i="1"/>
  <c r="G50" i="1"/>
  <c r="H50" i="1"/>
  <c r="I50" i="1"/>
  <c r="J50" i="1"/>
  <c r="K50" i="1"/>
  <c r="L50" i="1"/>
  <c r="M50" i="1"/>
  <c r="N50" i="1"/>
  <c r="O50" i="1"/>
  <c r="P50" i="1"/>
  <c r="Q50" i="1"/>
  <c r="R50" i="1"/>
  <c r="C52" i="1"/>
  <c r="D52" i="1"/>
  <c r="E52" i="1"/>
  <c r="F52" i="1"/>
  <c r="G52" i="1"/>
  <c r="H52" i="1"/>
  <c r="I52" i="1"/>
  <c r="J52" i="1"/>
  <c r="K52" i="1"/>
  <c r="L52" i="1"/>
  <c r="M52" i="1"/>
  <c r="N52" i="1"/>
  <c r="O52" i="1"/>
  <c r="P52" i="1"/>
  <c r="Q52" i="1"/>
  <c r="R52" i="1"/>
  <c r="C54" i="1"/>
  <c r="D54" i="1"/>
  <c r="E54" i="1"/>
  <c r="F54" i="1"/>
  <c r="G54" i="1"/>
  <c r="H54" i="1"/>
  <c r="I54" i="1"/>
  <c r="J54" i="1"/>
  <c r="K54" i="1"/>
  <c r="L54" i="1"/>
  <c r="M54" i="1"/>
  <c r="N54" i="1"/>
  <c r="O54" i="1"/>
  <c r="P54" i="1"/>
  <c r="Q54" i="1"/>
  <c r="R54" i="1"/>
  <c r="C56" i="1"/>
  <c r="D56" i="1"/>
  <c r="E56" i="1"/>
  <c r="F56" i="1"/>
  <c r="G56" i="1"/>
  <c r="H56" i="1"/>
  <c r="I56" i="1"/>
  <c r="J56" i="1"/>
  <c r="K56" i="1"/>
  <c r="L56" i="1"/>
  <c r="M56" i="1"/>
  <c r="N56" i="1"/>
  <c r="O56" i="1"/>
  <c r="P56" i="1"/>
  <c r="Q56" i="1"/>
  <c r="R56" i="1"/>
  <c r="C58" i="1"/>
  <c r="D58" i="1"/>
  <c r="E58" i="1"/>
  <c r="F58" i="1"/>
  <c r="G58" i="1"/>
  <c r="H58" i="1"/>
  <c r="I58" i="1"/>
  <c r="J58" i="1"/>
  <c r="K58" i="1"/>
  <c r="L58" i="1"/>
  <c r="M58" i="1"/>
  <c r="N58" i="1"/>
  <c r="O58" i="1"/>
  <c r="P58" i="1"/>
  <c r="Q58" i="1"/>
  <c r="R58" i="1"/>
  <c r="C60" i="1"/>
  <c r="D60" i="1"/>
  <c r="E60" i="1"/>
  <c r="F60" i="1"/>
  <c r="G60" i="1"/>
  <c r="H60" i="1"/>
  <c r="I60" i="1"/>
  <c r="J60" i="1"/>
  <c r="K60" i="1"/>
  <c r="L60" i="1"/>
  <c r="M60" i="1"/>
  <c r="N60" i="1"/>
  <c r="O60" i="1"/>
  <c r="P60" i="1"/>
  <c r="Q60" i="1"/>
  <c r="R60" i="1"/>
  <c r="C62" i="1"/>
  <c r="D62" i="1"/>
  <c r="E62" i="1"/>
  <c r="F62" i="1"/>
  <c r="G62" i="1"/>
  <c r="H62" i="1"/>
  <c r="I62" i="1"/>
  <c r="J62" i="1"/>
  <c r="K62" i="1"/>
  <c r="L62" i="1"/>
  <c r="M62" i="1"/>
  <c r="N62" i="1"/>
  <c r="O62" i="1"/>
  <c r="P62" i="1"/>
  <c r="Q62" i="1"/>
  <c r="R62" i="1"/>
  <c r="B62" i="1"/>
  <c r="B60" i="1"/>
  <c r="B58" i="1"/>
  <c r="B56" i="1"/>
  <c r="B54" i="1"/>
  <c r="B52" i="1"/>
  <c r="B50" i="1"/>
  <c r="B48" i="1"/>
  <c r="B46" i="1"/>
  <c r="B44" i="1"/>
  <c r="B42" i="1"/>
  <c r="B40" i="1"/>
  <c r="B38" i="1"/>
  <c r="B36" i="1"/>
  <c r="B34" i="1"/>
  <c r="B32" i="1"/>
  <c r="B30" i="1"/>
  <c r="B28" i="1"/>
  <c r="B26" i="1"/>
  <c r="B24" i="1"/>
  <c r="B22" i="1"/>
  <c r="B20" i="1"/>
  <c r="B18" i="1"/>
  <c r="B16" i="1"/>
  <c r="B14" i="1"/>
  <c r="B12" i="1"/>
  <c r="C10" i="1"/>
  <c r="D10" i="1"/>
  <c r="E10" i="1"/>
  <c r="F10" i="1"/>
  <c r="G10" i="1"/>
  <c r="H10" i="1"/>
  <c r="I10" i="1"/>
  <c r="J10" i="1"/>
  <c r="K10" i="1"/>
  <c r="L10" i="1"/>
  <c r="M10" i="1"/>
  <c r="N10" i="1"/>
  <c r="O10" i="1"/>
  <c r="P10" i="1"/>
  <c r="Q10" i="1"/>
  <c r="R10" i="1"/>
  <c r="B10" i="1"/>
  <c r="C8" i="1"/>
  <c r="D8" i="1"/>
  <c r="E8" i="1"/>
  <c r="F8" i="1"/>
  <c r="G8" i="1"/>
  <c r="H8" i="1"/>
  <c r="I8" i="1"/>
  <c r="J8" i="1"/>
  <c r="K8" i="1"/>
  <c r="L8" i="1"/>
  <c r="M8" i="1"/>
  <c r="N8" i="1"/>
  <c r="O8" i="1"/>
  <c r="P8" i="1"/>
  <c r="Q8" i="1"/>
  <c r="R8" i="1"/>
  <c r="B8" i="1"/>
  <c r="C6" i="1"/>
  <c r="D6" i="1"/>
  <c r="E6" i="1"/>
  <c r="F6" i="1"/>
  <c r="G6" i="1"/>
  <c r="H6" i="1"/>
  <c r="I6" i="1"/>
  <c r="J6" i="1"/>
  <c r="K6" i="1"/>
  <c r="L6" i="1"/>
  <c r="M6" i="1"/>
  <c r="N6" i="1"/>
  <c r="O6" i="1"/>
  <c r="P6" i="1"/>
  <c r="Q6" i="1"/>
  <c r="R6" i="1"/>
  <c r="B6" i="1"/>
  <c r="C4" i="1"/>
  <c r="D4" i="1"/>
  <c r="E4" i="1"/>
  <c r="F4" i="1"/>
  <c r="G4" i="1"/>
  <c r="H4" i="1"/>
  <c r="I4" i="1"/>
  <c r="J4" i="1"/>
  <c r="K4" i="1"/>
  <c r="L4" i="1"/>
  <c r="M4" i="1"/>
  <c r="N4" i="1"/>
  <c r="O4" i="1"/>
  <c r="P4" i="1"/>
  <c r="Q4" i="1"/>
  <c r="R4" i="1"/>
  <c r="B4" i="1"/>
  <c r="J119" i="20"/>
  <c r="J115" i="20"/>
  <c r="J111" i="20"/>
  <c r="J107" i="20"/>
  <c r="J103" i="20"/>
  <c r="J99" i="20"/>
  <c r="J95" i="20"/>
  <c r="J91" i="20"/>
  <c r="J87" i="20"/>
  <c r="J83" i="20"/>
  <c r="J79" i="20"/>
  <c r="J75" i="20"/>
  <c r="J71" i="20"/>
  <c r="J67" i="20"/>
  <c r="J63" i="20"/>
  <c r="J59" i="20"/>
  <c r="J55" i="20"/>
  <c r="J51" i="20"/>
  <c r="J47" i="20"/>
  <c r="J43" i="20"/>
  <c r="J39" i="20"/>
  <c r="J35" i="20"/>
  <c r="J31" i="20"/>
  <c r="J27" i="20"/>
  <c r="J23" i="20"/>
  <c r="J19" i="20"/>
  <c r="J15" i="20"/>
  <c r="J11" i="20"/>
  <c r="J7" i="20"/>
  <c r="J3" i="20"/>
  <c r="AB415" i="15"/>
  <c r="AB416" i="15"/>
  <c r="AB417" i="15"/>
  <c r="AB418" i="15"/>
  <c r="AB419" i="15"/>
  <c r="AB420" i="15"/>
  <c r="AB421" i="15"/>
  <c r="AB422" i="15"/>
  <c r="AB423" i="15"/>
  <c r="AB424" i="15"/>
  <c r="AB425" i="15"/>
  <c r="AB426" i="15"/>
  <c r="AA33" i="15"/>
  <c r="AA53" i="15"/>
  <c r="AA39" i="15"/>
  <c r="AA14" i="15"/>
  <c r="AA13" i="15"/>
  <c r="AA37" i="15"/>
  <c r="AA7" i="15"/>
  <c r="AA2" i="15"/>
  <c r="AA15" i="15"/>
  <c r="AA54" i="15"/>
  <c r="AA8" i="15"/>
  <c r="AA6" i="15"/>
  <c r="Z33" i="15"/>
  <c r="Z53" i="15"/>
  <c r="Z39" i="15"/>
  <c r="Z14" i="15"/>
  <c r="Z13" i="15"/>
  <c r="Z37" i="15"/>
  <c r="Z7" i="15"/>
  <c r="Z2" i="15"/>
  <c r="Z15" i="15"/>
  <c r="Z54" i="15"/>
  <c r="Z8" i="15"/>
  <c r="Z6" i="15"/>
  <c r="Y33" i="15"/>
  <c r="Y53" i="15"/>
  <c r="Y39" i="15"/>
  <c r="Y14" i="15"/>
  <c r="Y13" i="15"/>
  <c r="Y37" i="15"/>
  <c r="Y7" i="15"/>
  <c r="Y2" i="15"/>
  <c r="Y15" i="15"/>
  <c r="Y54" i="15"/>
  <c r="Y8" i="15"/>
  <c r="Y6" i="15"/>
  <c r="AD7" i="7" l="1"/>
  <c r="AE7" i="7"/>
  <c r="AC7" i="7"/>
  <c r="K16" i="7"/>
  <c r="I16" i="7"/>
  <c r="J16" i="7" l="1"/>
  <c r="M16" i="7"/>
  <c r="E1" i="7"/>
  <c r="Z2" i="5"/>
  <c r="Z3" i="5"/>
  <c r="Z4" i="5"/>
  <c r="Z5" i="5"/>
  <c r="Z6" i="5"/>
  <c r="Z7" i="5"/>
  <c r="Z8" i="5"/>
  <c r="Z9" i="5"/>
  <c r="Z10" i="5"/>
  <c r="Z11" i="5"/>
  <c r="Z12" i="5"/>
  <c r="Z13" i="5"/>
  <c r="Z14" i="5"/>
  <c r="Z15" i="5"/>
  <c r="Z16" i="5"/>
  <c r="Z17" i="5"/>
  <c r="Z18" i="5"/>
  <c r="Z19" i="5"/>
  <c r="Z20" i="5"/>
  <c r="Z21" i="5"/>
  <c r="Z22" i="5"/>
  <c r="Z23" i="5"/>
  <c r="Z24" i="5"/>
  <c r="Z25" i="5"/>
  <c r="Z26" i="5"/>
  <c r="Z27" i="5"/>
  <c r="Z28" i="5"/>
  <c r="Z29" i="5"/>
  <c r="Z30" i="5"/>
  <c r="Z31" i="5"/>
  <c r="Z32" i="5"/>
  <c r="A1" i="7"/>
  <c r="AP4" i="19"/>
  <c r="AP5" i="19"/>
  <c r="AP6" i="19"/>
  <c r="AP7" i="19"/>
  <c r="AP8" i="19"/>
  <c r="AP9" i="19"/>
  <c r="AP10" i="19"/>
  <c r="AP11" i="19"/>
  <c r="AP12" i="19"/>
  <c r="AP13" i="19"/>
  <c r="AP14" i="19"/>
  <c r="AP15" i="19"/>
  <c r="AP16" i="19"/>
  <c r="AP17" i="19"/>
  <c r="AP18" i="19"/>
  <c r="AP19" i="19"/>
  <c r="AP20" i="19"/>
  <c r="AP21" i="19"/>
  <c r="AP22" i="19"/>
  <c r="AP23" i="19"/>
  <c r="AP24" i="19"/>
  <c r="AP25" i="19"/>
  <c r="AP26" i="19"/>
  <c r="G6" i="7" s="1"/>
  <c r="AP27" i="19"/>
  <c r="AP28" i="19"/>
  <c r="AP29" i="19"/>
  <c r="AP30" i="19"/>
  <c r="AP31" i="19"/>
  <c r="AP32" i="19"/>
  <c r="AP33" i="19"/>
  <c r="AO34" i="19"/>
  <c r="AP3" i="19"/>
  <c r="AK4" i="19"/>
  <c r="AK5" i="19"/>
  <c r="AK6" i="19"/>
  <c r="AK7" i="19"/>
  <c r="AK8" i="19"/>
  <c r="AK9" i="19"/>
  <c r="AK10" i="19"/>
  <c r="AK11" i="19"/>
  <c r="AK12" i="19"/>
  <c r="AK13" i="19"/>
  <c r="AK14" i="19"/>
  <c r="AK15" i="19"/>
  <c r="AK16" i="19"/>
  <c r="AK17" i="19"/>
  <c r="AK18" i="19"/>
  <c r="AK19" i="19"/>
  <c r="AK20" i="19"/>
  <c r="AK21" i="19"/>
  <c r="AK22" i="19"/>
  <c r="AK23" i="19"/>
  <c r="AK24" i="19"/>
  <c r="AK25" i="19"/>
  <c r="AK26" i="19"/>
  <c r="AK27" i="19"/>
  <c r="AK28" i="19"/>
  <c r="AK29" i="19"/>
  <c r="AK30" i="19"/>
  <c r="AK31" i="19"/>
  <c r="AK32" i="19"/>
  <c r="AK33" i="19"/>
  <c r="AK3" i="19"/>
  <c r="AO4" i="19"/>
  <c r="AO5" i="19"/>
  <c r="AO6" i="19"/>
  <c r="AO7" i="19"/>
  <c r="AO8" i="19"/>
  <c r="AO9" i="19"/>
  <c r="AO10" i="19"/>
  <c r="AO11" i="19"/>
  <c r="AO12" i="19"/>
  <c r="AO13" i="19"/>
  <c r="AO14" i="19"/>
  <c r="AO15" i="19"/>
  <c r="AO16" i="19"/>
  <c r="AO17" i="19"/>
  <c r="AO18" i="19"/>
  <c r="AO19" i="19"/>
  <c r="AO20" i="19"/>
  <c r="AO21" i="19"/>
  <c r="AO22" i="19"/>
  <c r="AO23" i="19"/>
  <c r="AO24" i="19"/>
  <c r="AO25" i="19"/>
  <c r="AO26" i="19"/>
  <c r="AO27" i="19"/>
  <c r="AO28" i="19"/>
  <c r="AO29" i="19"/>
  <c r="AO30" i="19"/>
  <c r="AO31" i="19"/>
  <c r="AO32" i="19"/>
  <c r="AO33" i="19"/>
  <c r="AO3" i="19"/>
  <c r="AJ4" i="19"/>
  <c r="AJ5" i="19"/>
  <c r="AJ6" i="19"/>
  <c r="AJ7" i="19"/>
  <c r="AJ8" i="19"/>
  <c r="AJ9" i="19"/>
  <c r="AJ10" i="19"/>
  <c r="AJ11" i="19"/>
  <c r="AJ12" i="19"/>
  <c r="AJ13" i="19"/>
  <c r="AJ14" i="19"/>
  <c r="AJ15" i="19"/>
  <c r="AJ16" i="19"/>
  <c r="AJ17" i="19"/>
  <c r="AJ18" i="19"/>
  <c r="AJ19" i="19"/>
  <c r="AJ20" i="19"/>
  <c r="AJ21" i="19"/>
  <c r="AJ22" i="19"/>
  <c r="AJ23" i="19"/>
  <c r="AJ24" i="19"/>
  <c r="AJ25" i="19"/>
  <c r="AJ26" i="19"/>
  <c r="AJ27" i="19"/>
  <c r="AJ28" i="19"/>
  <c r="AJ29" i="19"/>
  <c r="AJ30" i="19"/>
  <c r="AJ31" i="19"/>
  <c r="AJ32" i="19"/>
  <c r="AJ33" i="19"/>
  <c r="AJ34" i="19"/>
  <c r="AJ3" i="19"/>
  <c r="Z53" i="14"/>
  <c r="AA53" i="14"/>
  <c r="AB53" i="14"/>
  <c r="AC53" i="14"/>
  <c r="AD53" i="14"/>
  <c r="AE53" i="14"/>
  <c r="AF53" i="14"/>
  <c r="AG53" i="14"/>
  <c r="AH53" i="14"/>
  <c r="AI53" i="14"/>
  <c r="AJ53" i="14"/>
  <c r="AK53" i="14"/>
  <c r="AL53" i="14"/>
  <c r="AM53" i="14"/>
  <c r="AN53" i="14"/>
  <c r="AO53" i="14"/>
  <c r="Z54" i="14"/>
  <c r="AA54" i="14"/>
  <c r="AB54" i="14"/>
  <c r="AC54" i="14"/>
  <c r="AD54" i="14"/>
  <c r="AE54" i="14"/>
  <c r="AF54" i="14"/>
  <c r="AG54" i="14"/>
  <c r="AH54" i="14"/>
  <c r="AI54" i="14"/>
  <c r="AJ54" i="14"/>
  <c r="AK54" i="14"/>
  <c r="AL54" i="14"/>
  <c r="AM54" i="14"/>
  <c r="AN54" i="14"/>
  <c r="AO54" i="14"/>
  <c r="Z55" i="14"/>
  <c r="AA55" i="14"/>
  <c r="AB55" i="14"/>
  <c r="AC55" i="14"/>
  <c r="AD55" i="14"/>
  <c r="AE55" i="14"/>
  <c r="AF55" i="14"/>
  <c r="AG55" i="14"/>
  <c r="AH55" i="14"/>
  <c r="AI55" i="14"/>
  <c r="AJ55" i="14"/>
  <c r="AK55" i="14"/>
  <c r="AL55" i="14"/>
  <c r="AM55" i="14"/>
  <c r="AN55" i="14"/>
  <c r="AO55" i="14"/>
  <c r="Z56" i="14"/>
  <c r="AA56" i="14"/>
  <c r="AB56" i="14"/>
  <c r="AC56" i="14"/>
  <c r="AD56" i="14"/>
  <c r="AE56" i="14"/>
  <c r="AF56" i="14"/>
  <c r="AG56" i="14"/>
  <c r="AH56" i="14"/>
  <c r="AI56" i="14"/>
  <c r="AJ56" i="14"/>
  <c r="AK56" i="14"/>
  <c r="AL56" i="14"/>
  <c r="AM56" i="14"/>
  <c r="AN56" i="14"/>
  <c r="AO56" i="14"/>
  <c r="Z57" i="14"/>
  <c r="AA57" i="14"/>
  <c r="AB57" i="14"/>
  <c r="AC57" i="14"/>
  <c r="AD57" i="14"/>
  <c r="AE57" i="14"/>
  <c r="AF57" i="14"/>
  <c r="AG57" i="14"/>
  <c r="AH57" i="14"/>
  <c r="AI57" i="14"/>
  <c r="AJ57" i="14"/>
  <c r="AK57" i="14"/>
  <c r="AL57" i="14"/>
  <c r="AM57" i="14"/>
  <c r="AN57" i="14"/>
  <c r="AO57" i="14"/>
  <c r="Z58" i="14"/>
  <c r="AA58" i="14"/>
  <c r="AB58" i="14"/>
  <c r="AC58" i="14"/>
  <c r="AD58" i="14"/>
  <c r="AE58" i="14"/>
  <c r="AF58" i="14"/>
  <c r="AG58" i="14"/>
  <c r="AH58" i="14"/>
  <c r="AI58" i="14"/>
  <c r="AJ58" i="14"/>
  <c r="AK58" i="14"/>
  <c r="AL58" i="14"/>
  <c r="AM58" i="14"/>
  <c r="AN58" i="14"/>
  <c r="AO58" i="14"/>
  <c r="Z59" i="14"/>
  <c r="AA59" i="14"/>
  <c r="AB59" i="14"/>
  <c r="AC59" i="14"/>
  <c r="AD59" i="14"/>
  <c r="AE59" i="14"/>
  <c r="AF59" i="14"/>
  <c r="AG59" i="14"/>
  <c r="AH59" i="14"/>
  <c r="AI59" i="14"/>
  <c r="AJ59" i="14"/>
  <c r="AK59" i="14"/>
  <c r="AL59" i="14"/>
  <c r="AM59" i="14"/>
  <c r="AN59" i="14"/>
  <c r="AO59" i="14"/>
  <c r="Z60" i="14"/>
  <c r="AA60" i="14"/>
  <c r="AB60" i="14"/>
  <c r="AC60" i="14"/>
  <c r="AD60" i="14"/>
  <c r="AE60" i="14"/>
  <c r="AF60" i="14"/>
  <c r="AG60" i="14"/>
  <c r="AH60" i="14"/>
  <c r="AI60" i="14"/>
  <c r="AJ60" i="14"/>
  <c r="AK60" i="14"/>
  <c r="AL60" i="14"/>
  <c r="AM60" i="14"/>
  <c r="AN60" i="14"/>
  <c r="AO60" i="14"/>
  <c r="Z61" i="14"/>
  <c r="AA61" i="14"/>
  <c r="AB61" i="14"/>
  <c r="AC61" i="14"/>
  <c r="AD61" i="14"/>
  <c r="AE61" i="14"/>
  <c r="AF61" i="14"/>
  <c r="AG61" i="14"/>
  <c r="AH61" i="14"/>
  <c r="AI61" i="14"/>
  <c r="AJ61" i="14"/>
  <c r="AK61" i="14"/>
  <c r="AL61" i="14"/>
  <c r="AM61" i="14"/>
  <c r="AN61" i="14"/>
  <c r="AO61" i="14"/>
  <c r="Z62" i="14"/>
  <c r="AA62" i="14"/>
  <c r="AB62" i="14"/>
  <c r="AC62" i="14"/>
  <c r="AD62" i="14"/>
  <c r="AE62" i="14"/>
  <c r="AF62" i="14"/>
  <c r="AG62" i="14"/>
  <c r="AH62" i="14"/>
  <c r="AI62" i="14"/>
  <c r="AJ62" i="14"/>
  <c r="AK62" i="14"/>
  <c r="AL62" i="14"/>
  <c r="AM62" i="14"/>
  <c r="AN62" i="14"/>
  <c r="AO62" i="14"/>
  <c r="Z63" i="14"/>
  <c r="AA63" i="14"/>
  <c r="AB63" i="14"/>
  <c r="AC63" i="14"/>
  <c r="AD63" i="14"/>
  <c r="AE63" i="14"/>
  <c r="AF63" i="14"/>
  <c r="AG63" i="14"/>
  <c r="AH63" i="14"/>
  <c r="AI63" i="14"/>
  <c r="AJ63" i="14"/>
  <c r="AK63" i="14"/>
  <c r="AL63" i="14"/>
  <c r="AM63" i="14"/>
  <c r="AN63" i="14"/>
  <c r="AO63" i="14"/>
  <c r="Z64" i="14"/>
  <c r="AA64" i="14"/>
  <c r="AB64" i="14"/>
  <c r="AC64" i="14"/>
  <c r="AD64" i="14"/>
  <c r="AE64" i="14"/>
  <c r="AF64" i="14"/>
  <c r="AG64" i="14"/>
  <c r="AH64" i="14"/>
  <c r="AI64" i="14"/>
  <c r="AJ64" i="14"/>
  <c r="AK64" i="14"/>
  <c r="AL64" i="14"/>
  <c r="AM64" i="14"/>
  <c r="AN64" i="14"/>
  <c r="AO64" i="14"/>
  <c r="Z65" i="14"/>
  <c r="AA65" i="14"/>
  <c r="AB65" i="14"/>
  <c r="AC65" i="14"/>
  <c r="AD65" i="14"/>
  <c r="AE65" i="14"/>
  <c r="AF65" i="14"/>
  <c r="AG65" i="14"/>
  <c r="AH65" i="14"/>
  <c r="AI65" i="14"/>
  <c r="AJ65" i="14"/>
  <c r="AK65" i="14"/>
  <c r="AL65" i="14"/>
  <c r="AM65" i="14"/>
  <c r="AN65" i="14"/>
  <c r="AO65" i="14"/>
  <c r="Z66" i="14"/>
  <c r="AA66" i="14"/>
  <c r="AB66" i="14"/>
  <c r="AC66" i="14"/>
  <c r="AD66" i="14"/>
  <c r="AE66" i="14"/>
  <c r="AF66" i="14"/>
  <c r="AG66" i="14"/>
  <c r="AH66" i="14"/>
  <c r="AI66" i="14"/>
  <c r="AJ66" i="14"/>
  <c r="AK66" i="14"/>
  <c r="AL66" i="14"/>
  <c r="AM66" i="14"/>
  <c r="AN66" i="14"/>
  <c r="AO66" i="14"/>
  <c r="Z67" i="14"/>
  <c r="AA67" i="14"/>
  <c r="AB67" i="14"/>
  <c r="AC67" i="14"/>
  <c r="AD67" i="14"/>
  <c r="AE67" i="14"/>
  <c r="AF67" i="14"/>
  <c r="AG67" i="14"/>
  <c r="AH67" i="14"/>
  <c r="AI67" i="14"/>
  <c r="AJ67" i="14"/>
  <c r="AK67" i="14"/>
  <c r="AL67" i="14"/>
  <c r="AM67" i="14"/>
  <c r="AN67" i="14"/>
  <c r="AO67" i="14"/>
  <c r="Z68" i="14"/>
  <c r="AA68" i="14"/>
  <c r="AB68" i="14"/>
  <c r="AC68" i="14"/>
  <c r="AD68" i="14"/>
  <c r="AE68" i="14"/>
  <c r="AF68" i="14"/>
  <c r="AG68" i="14"/>
  <c r="AH68" i="14"/>
  <c r="AI68" i="14"/>
  <c r="AJ68" i="14"/>
  <c r="AK68" i="14"/>
  <c r="AL68" i="14"/>
  <c r="AM68" i="14"/>
  <c r="AN68" i="14"/>
  <c r="AO68" i="14"/>
  <c r="Z69" i="14"/>
  <c r="AA69" i="14"/>
  <c r="AB69" i="14"/>
  <c r="AC69" i="14"/>
  <c r="AD69" i="14"/>
  <c r="AE69" i="14"/>
  <c r="AF69" i="14"/>
  <c r="AG69" i="14"/>
  <c r="AH69" i="14"/>
  <c r="AI69" i="14"/>
  <c r="AJ69" i="14"/>
  <c r="AK69" i="14"/>
  <c r="AL69" i="14"/>
  <c r="AM69" i="14"/>
  <c r="AN69" i="14"/>
  <c r="AO69" i="14"/>
  <c r="Z70" i="14"/>
  <c r="AA70" i="14"/>
  <c r="AB70" i="14"/>
  <c r="AC70" i="14"/>
  <c r="AD70" i="14"/>
  <c r="AE70" i="14"/>
  <c r="AF70" i="14"/>
  <c r="AG70" i="14"/>
  <c r="AH70" i="14"/>
  <c r="AI70" i="14"/>
  <c r="AJ70" i="14"/>
  <c r="AK70" i="14"/>
  <c r="AL70" i="14"/>
  <c r="AM70" i="14"/>
  <c r="AN70" i="14"/>
  <c r="AO70" i="14"/>
  <c r="Z71" i="14"/>
  <c r="AA71" i="14"/>
  <c r="AB71" i="14"/>
  <c r="AC71" i="14"/>
  <c r="AD71" i="14"/>
  <c r="AE71" i="14"/>
  <c r="AF71" i="14"/>
  <c r="AG71" i="14"/>
  <c r="AH71" i="14"/>
  <c r="AI71" i="14"/>
  <c r="AJ71" i="14"/>
  <c r="AK71" i="14"/>
  <c r="AL71" i="14"/>
  <c r="AM71" i="14"/>
  <c r="AN71" i="14"/>
  <c r="AO71" i="14"/>
  <c r="Z72" i="14"/>
  <c r="AA72" i="14"/>
  <c r="AB72" i="14"/>
  <c r="AC72" i="14"/>
  <c r="AD72" i="14"/>
  <c r="AE72" i="14"/>
  <c r="AF72" i="14"/>
  <c r="AG72" i="14"/>
  <c r="AH72" i="14"/>
  <c r="AI72" i="14"/>
  <c r="AJ72" i="14"/>
  <c r="AK72" i="14"/>
  <c r="AL72" i="14"/>
  <c r="AM72" i="14"/>
  <c r="AN72" i="14"/>
  <c r="AO72" i="14"/>
  <c r="Z73" i="14"/>
  <c r="AA73" i="14"/>
  <c r="AB73" i="14"/>
  <c r="AC73" i="14"/>
  <c r="AD73" i="14"/>
  <c r="AE73" i="14"/>
  <c r="AF73" i="14"/>
  <c r="AG73" i="14"/>
  <c r="AH73" i="14"/>
  <c r="AI73" i="14"/>
  <c r="AJ73" i="14"/>
  <c r="AK73" i="14"/>
  <c r="AL73" i="14"/>
  <c r="AM73" i="14"/>
  <c r="AN73" i="14"/>
  <c r="AO73" i="14"/>
  <c r="Z74" i="14"/>
  <c r="AA74" i="14"/>
  <c r="AB74" i="14"/>
  <c r="AC74" i="14"/>
  <c r="AD74" i="14"/>
  <c r="AE74" i="14"/>
  <c r="AF74" i="14"/>
  <c r="AG74" i="14"/>
  <c r="AH74" i="14"/>
  <c r="AI74" i="14"/>
  <c r="AJ74" i="14"/>
  <c r="AK74" i="14"/>
  <c r="AL74" i="14"/>
  <c r="AM74" i="14"/>
  <c r="AN74" i="14"/>
  <c r="AO74" i="14"/>
  <c r="Z75" i="14"/>
  <c r="AA75" i="14"/>
  <c r="AB75" i="14"/>
  <c r="AC75" i="14"/>
  <c r="AD75" i="14"/>
  <c r="AE75" i="14"/>
  <c r="AF75" i="14"/>
  <c r="AG75" i="14"/>
  <c r="AH75" i="14"/>
  <c r="AI75" i="14"/>
  <c r="AJ75" i="14"/>
  <c r="AK75" i="14"/>
  <c r="AL75" i="14"/>
  <c r="AM75" i="14"/>
  <c r="AN75" i="14"/>
  <c r="AO75" i="14"/>
  <c r="Z76" i="14"/>
  <c r="AA76" i="14"/>
  <c r="AB76" i="14"/>
  <c r="AC76" i="14"/>
  <c r="AD76" i="14"/>
  <c r="AE76" i="14"/>
  <c r="AF76" i="14"/>
  <c r="AG76" i="14"/>
  <c r="AH76" i="14"/>
  <c r="AI76" i="14"/>
  <c r="AJ76" i="14"/>
  <c r="AK76" i="14"/>
  <c r="AL76" i="14"/>
  <c r="AM76" i="14"/>
  <c r="AN76" i="14"/>
  <c r="AO76" i="14"/>
  <c r="Z77" i="14"/>
  <c r="AA77" i="14"/>
  <c r="AB77" i="14"/>
  <c r="AC77" i="14"/>
  <c r="AD77" i="14"/>
  <c r="AE77" i="14"/>
  <c r="AF77" i="14"/>
  <c r="AG77" i="14"/>
  <c r="AH77" i="14"/>
  <c r="AI77" i="14"/>
  <c r="AJ77" i="14"/>
  <c r="AK77" i="14"/>
  <c r="AL77" i="14"/>
  <c r="AM77" i="14"/>
  <c r="AN77" i="14"/>
  <c r="AO77" i="14"/>
  <c r="AA42" i="15"/>
  <c r="AA31" i="15"/>
  <c r="AA36" i="15"/>
  <c r="AA17" i="15"/>
  <c r="Z42" i="15"/>
  <c r="Z31" i="15"/>
  <c r="Z36" i="15"/>
  <c r="Z17" i="15"/>
  <c r="Y42" i="15"/>
  <c r="Y31" i="15"/>
  <c r="Y36" i="15"/>
  <c r="Y17" i="15"/>
  <c r="AB301" i="15"/>
  <c r="AB302" i="15"/>
  <c r="AB303" i="15"/>
  <c r="AB304" i="15"/>
  <c r="AB305" i="15"/>
  <c r="AB306" i="15"/>
  <c r="AB307" i="15"/>
  <c r="AB308" i="15"/>
  <c r="AB309" i="15"/>
  <c r="AB310" i="15"/>
  <c r="AB311" i="15"/>
  <c r="AB312" i="15"/>
  <c r="AB313" i="15"/>
  <c r="AB314" i="15"/>
  <c r="AB315" i="15"/>
  <c r="AB316" i="15"/>
  <c r="AB317" i="15"/>
  <c r="AB318" i="15"/>
  <c r="AB319" i="15"/>
  <c r="AB320" i="15"/>
  <c r="AB321" i="15"/>
  <c r="AB322" i="15"/>
  <c r="AB323" i="15"/>
  <c r="AB324" i="15"/>
  <c r="AB325" i="15"/>
  <c r="AB326" i="15"/>
  <c r="AB327" i="15"/>
  <c r="AB328" i="15"/>
  <c r="AB329" i="15"/>
  <c r="AB330" i="15"/>
  <c r="AB331" i="15"/>
  <c r="AB332" i="15"/>
  <c r="AB333" i="15"/>
  <c r="AB334" i="15"/>
  <c r="AB335" i="15"/>
  <c r="AB336" i="15"/>
  <c r="AB337" i="15"/>
  <c r="AB338" i="15"/>
  <c r="AB339" i="15"/>
  <c r="AB340" i="15"/>
  <c r="AB341" i="15"/>
  <c r="AB342" i="15"/>
  <c r="AB343" i="15"/>
  <c r="AB344" i="15"/>
  <c r="AB345" i="15"/>
  <c r="AB346" i="15"/>
  <c r="AB347" i="15"/>
  <c r="AB348" i="15"/>
  <c r="AB349" i="15"/>
  <c r="AB350" i="15"/>
  <c r="AB351" i="15"/>
  <c r="AB352" i="15"/>
  <c r="AB353" i="15"/>
  <c r="AB354" i="15"/>
  <c r="AB355" i="15"/>
  <c r="AB356" i="15"/>
  <c r="AB357" i="15"/>
  <c r="AB358" i="15"/>
  <c r="AB359" i="15"/>
  <c r="AB360" i="15"/>
  <c r="AB361" i="15"/>
  <c r="AB362" i="15"/>
  <c r="AB363" i="15"/>
  <c r="AB364" i="15"/>
  <c r="AB365" i="15"/>
  <c r="AB366" i="15"/>
  <c r="AB367" i="15"/>
  <c r="AB368" i="15"/>
  <c r="AB369" i="15"/>
  <c r="AB370" i="15"/>
  <c r="AB371" i="15"/>
  <c r="AB372" i="15"/>
  <c r="AB373" i="15"/>
  <c r="AB374" i="15"/>
  <c r="AB375" i="15"/>
  <c r="AB376" i="15"/>
  <c r="AB377" i="15"/>
  <c r="AB378" i="15"/>
  <c r="AB379" i="15"/>
  <c r="AB380" i="15"/>
  <c r="AB381" i="15"/>
  <c r="AB382" i="15"/>
  <c r="AB383" i="15"/>
  <c r="AB384" i="15"/>
  <c r="AB385" i="15"/>
  <c r="AB386" i="15"/>
  <c r="AB387" i="15"/>
  <c r="AB388" i="15"/>
  <c r="AB389" i="15"/>
  <c r="AB390" i="15"/>
  <c r="AB391" i="15"/>
  <c r="AB392" i="15"/>
  <c r="AB393" i="15"/>
  <c r="AB394" i="15"/>
  <c r="AB395" i="15"/>
  <c r="AB396" i="15"/>
  <c r="AB397" i="15"/>
  <c r="AB398" i="15"/>
  <c r="AB399" i="15"/>
  <c r="AB400" i="15"/>
  <c r="AB401" i="15"/>
  <c r="AB402" i="15"/>
  <c r="AB403" i="15"/>
  <c r="AB404" i="15"/>
  <c r="AB405" i="15"/>
  <c r="AB406" i="15"/>
  <c r="AB407" i="15"/>
  <c r="AB408" i="15"/>
  <c r="AB409" i="15"/>
  <c r="AB410" i="15"/>
  <c r="AB411" i="15"/>
  <c r="AB412" i="15"/>
  <c r="AB413" i="15"/>
  <c r="AB414" i="15"/>
  <c r="AB3" i="15"/>
  <c r="AB4" i="15"/>
  <c r="AB5" i="15"/>
  <c r="AB6" i="15"/>
  <c r="AB7" i="15"/>
  <c r="AB8" i="15"/>
  <c r="AB9" i="15"/>
  <c r="AB10" i="15"/>
  <c r="AB11" i="15"/>
  <c r="AB12" i="15"/>
  <c r="AB13" i="15"/>
  <c r="AB14" i="15"/>
  <c r="AB15" i="15"/>
  <c r="AB16" i="15"/>
  <c r="AB17" i="15"/>
  <c r="AB18" i="15"/>
  <c r="AB19" i="15"/>
  <c r="AB20" i="15"/>
  <c r="AB21" i="15"/>
  <c r="AB22" i="15"/>
  <c r="AB23" i="15"/>
  <c r="AB24" i="15"/>
  <c r="AB25" i="15"/>
  <c r="AB26" i="15"/>
  <c r="AB27" i="15"/>
  <c r="AB28" i="15"/>
  <c r="AB29" i="15"/>
  <c r="AB30" i="15"/>
  <c r="AB31" i="15"/>
  <c r="AB32" i="15"/>
  <c r="AB33" i="15"/>
  <c r="AB34" i="15"/>
  <c r="AB35" i="15"/>
  <c r="AB36" i="15"/>
  <c r="AB37" i="15"/>
  <c r="AB38" i="15"/>
  <c r="AB39" i="15"/>
  <c r="AB40" i="15"/>
  <c r="AB41" i="15"/>
  <c r="AB42" i="15"/>
  <c r="AB43" i="15"/>
  <c r="AB44" i="15"/>
  <c r="AB45" i="15"/>
  <c r="AB46" i="15"/>
  <c r="AB47" i="15"/>
  <c r="AB48" i="15"/>
  <c r="AB49" i="15"/>
  <c r="AB50" i="15"/>
  <c r="AB51" i="15"/>
  <c r="AB52" i="15"/>
  <c r="AB53" i="15"/>
  <c r="AB54" i="15"/>
  <c r="AB55" i="15"/>
  <c r="AB56" i="15"/>
  <c r="AB57" i="15"/>
  <c r="AB58" i="15"/>
  <c r="AB59" i="15"/>
  <c r="AB60" i="15"/>
  <c r="AB61" i="15"/>
  <c r="AB62" i="15"/>
  <c r="AB63" i="15"/>
  <c r="AB64" i="15"/>
  <c r="AB65" i="15"/>
  <c r="AB66" i="15"/>
  <c r="AB67" i="15"/>
  <c r="AB68" i="15"/>
  <c r="AB69" i="15"/>
  <c r="AB70" i="15"/>
  <c r="AB71" i="15"/>
  <c r="AB72" i="15"/>
  <c r="AB73" i="15"/>
  <c r="AB74" i="15"/>
  <c r="AB75" i="15"/>
  <c r="AB76" i="15"/>
  <c r="AB77" i="15"/>
  <c r="AB78" i="15"/>
  <c r="AB79" i="15"/>
  <c r="AB80" i="15"/>
  <c r="AB81" i="15"/>
  <c r="AB82" i="15"/>
  <c r="AB83" i="15"/>
  <c r="AB84" i="15"/>
  <c r="AB85" i="15"/>
  <c r="AB86" i="15"/>
  <c r="AB87" i="15"/>
  <c r="AB88" i="15"/>
  <c r="AB89" i="15"/>
  <c r="AB90" i="15"/>
  <c r="AB91" i="15"/>
  <c r="AB92" i="15"/>
  <c r="AB93" i="15"/>
  <c r="AB94" i="15"/>
  <c r="AB95" i="15"/>
  <c r="AB96" i="15"/>
  <c r="AB97" i="15"/>
  <c r="AB98" i="15"/>
  <c r="AB99" i="15"/>
  <c r="AB100" i="15"/>
  <c r="AB101" i="15"/>
  <c r="AB102" i="15"/>
  <c r="AB103" i="15"/>
  <c r="AB104" i="15"/>
  <c r="AB105" i="15"/>
  <c r="AB106" i="15"/>
  <c r="AB107" i="15"/>
  <c r="AB108" i="15"/>
  <c r="AB109" i="15"/>
  <c r="AB110" i="15"/>
  <c r="AB111" i="15"/>
  <c r="AB112" i="15"/>
  <c r="AB113" i="15"/>
  <c r="AB114" i="15"/>
  <c r="AB115" i="15"/>
  <c r="AB116" i="15"/>
  <c r="AB117" i="15"/>
  <c r="AB118" i="15"/>
  <c r="AB119" i="15"/>
  <c r="AB120" i="15"/>
  <c r="AB121" i="15"/>
  <c r="AB122" i="15"/>
  <c r="AB123" i="15"/>
  <c r="AB124" i="15"/>
  <c r="AB125" i="15"/>
  <c r="AB126" i="15"/>
  <c r="AB127" i="15"/>
  <c r="AB128" i="15"/>
  <c r="AB129" i="15"/>
  <c r="AB130" i="15"/>
  <c r="AB131" i="15"/>
  <c r="AB132" i="15"/>
  <c r="AB133" i="15"/>
  <c r="AB134" i="15"/>
  <c r="AB135" i="15"/>
  <c r="AB136" i="15"/>
  <c r="AB137" i="15"/>
  <c r="AB138" i="15"/>
  <c r="AB139" i="15"/>
  <c r="AB140" i="15"/>
  <c r="AB141" i="15"/>
  <c r="AB142" i="15"/>
  <c r="AB143" i="15"/>
  <c r="AB144" i="15"/>
  <c r="AB145" i="15"/>
  <c r="AB146" i="15"/>
  <c r="AB147" i="15"/>
  <c r="AB148" i="15"/>
  <c r="AB149" i="15"/>
  <c r="AB150" i="15"/>
  <c r="AB151" i="15"/>
  <c r="AB152" i="15"/>
  <c r="AB153" i="15"/>
  <c r="AB154" i="15"/>
  <c r="AB155" i="15"/>
  <c r="AB156" i="15"/>
  <c r="AB157" i="15"/>
  <c r="AB158" i="15"/>
  <c r="AB159" i="15"/>
  <c r="AB160" i="15"/>
  <c r="AB161" i="15"/>
  <c r="AB162" i="15"/>
  <c r="AB163" i="15"/>
  <c r="AB164" i="15"/>
  <c r="AB165" i="15"/>
  <c r="AB166" i="15"/>
  <c r="AB167" i="15"/>
  <c r="AB168" i="15"/>
  <c r="AB169" i="15"/>
  <c r="AB170" i="15"/>
  <c r="AB171" i="15"/>
  <c r="AB172" i="15"/>
  <c r="AB173" i="15"/>
  <c r="AB174" i="15"/>
  <c r="AB175" i="15"/>
  <c r="AB176" i="15"/>
  <c r="AB177" i="15"/>
  <c r="AB178" i="15"/>
  <c r="AB179" i="15"/>
  <c r="AB180" i="15"/>
  <c r="AB181" i="15"/>
  <c r="AB182" i="15"/>
  <c r="AB183" i="15"/>
  <c r="AB184" i="15"/>
  <c r="AB185" i="15"/>
  <c r="AB186" i="15"/>
  <c r="AB187" i="15"/>
  <c r="AB188" i="15"/>
  <c r="AB189" i="15"/>
  <c r="AB190" i="15"/>
  <c r="AB191" i="15"/>
  <c r="AB192" i="15"/>
  <c r="AB193" i="15"/>
  <c r="AB194" i="15"/>
  <c r="AB195" i="15"/>
  <c r="AB196" i="15"/>
  <c r="AB197" i="15"/>
  <c r="AB198" i="15"/>
  <c r="AB199" i="15"/>
  <c r="AB200" i="15"/>
  <c r="AB201" i="15"/>
  <c r="AB202" i="15"/>
  <c r="AB203" i="15"/>
  <c r="AB204" i="15"/>
  <c r="AB205" i="15"/>
  <c r="AB206" i="15"/>
  <c r="AB207" i="15"/>
  <c r="AB208" i="15"/>
  <c r="AB209" i="15"/>
  <c r="AB210" i="15"/>
  <c r="AB211" i="15"/>
  <c r="AB212" i="15"/>
  <c r="AB213" i="15"/>
  <c r="AB214" i="15"/>
  <c r="AB215" i="15"/>
  <c r="AB216" i="15"/>
  <c r="AB217" i="15"/>
  <c r="AB218" i="15"/>
  <c r="AB219" i="15"/>
  <c r="AB220" i="15"/>
  <c r="AB221" i="15"/>
  <c r="AB222" i="15"/>
  <c r="AB223" i="15"/>
  <c r="AB224" i="15"/>
  <c r="AB225" i="15"/>
  <c r="AB226" i="15"/>
  <c r="AB227" i="15"/>
  <c r="AB228" i="15"/>
  <c r="AB229" i="15"/>
  <c r="AB230" i="15"/>
  <c r="AB231" i="15"/>
  <c r="AB232" i="15"/>
  <c r="AB233" i="15"/>
  <c r="AB234" i="15"/>
  <c r="AB235" i="15"/>
  <c r="AB236" i="15"/>
  <c r="AB237" i="15"/>
  <c r="AB238" i="15"/>
  <c r="AB239" i="15"/>
  <c r="AB240" i="15"/>
  <c r="AB241" i="15"/>
  <c r="AB242" i="15"/>
  <c r="AB243" i="15"/>
  <c r="AB244" i="15"/>
  <c r="AB245" i="15"/>
  <c r="AB246" i="15"/>
  <c r="AB247" i="15"/>
  <c r="AB248" i="15"/>
  <c r="AB249" i="15"/>
  <c r="AB250" i="15"/>
  <c r="AB251" i="15"/>
  <c r="AB252" i="15"/>
  <c r="AB253" i="15"/>
  <c r="AB254" i="15"/>
  <c r="AB255" i="15"/>
  <c r="AB256" i="15"/>
  <c r="AB257" i="15"/>
  <c r="AB258" i="15"/>
  <c r="AB259" i="15"/>
  <c r="AB260" i="15"/>
  <c r="AB261" i="15"/>
  <c r="AB262" i="15"/>
  <c r="AB263" i="15"/>
  <c r="AB264" i="15"/>
  <c r="AB265" i="15"/>
  <c r="AB266" i="15"/>
  <c r="AB267" i="15"/>
  <c r="AB268" i="15"/>
  <c r="AB269" i="15"/>
  <c r="AB270" i="15"/>
  <c r="AB271" i="15"/>
  <c r="AB272" i="15"/>
  <c r="AB273" i="15"/>
  <c r="AB274" i="15"/>
  <c r="AB275" i="15"/>
  <c r="AB276" i="15"/>
  <c r="AB277" i="15"/>
  <c r="AB278" i="15"/>
  <c r="AB279" i="15"/>
  <c r="AB280" i="15"/>
  <c r="AB281" i="15"/>
  <c r="AB282" i="15"/>
  <c r="AB283" i="15"/>
  <c r="AB284" i="15"/>
  <c r="AB285" i="15"/>
  <c r="AB286" i="15"/>
  <c r="AB287" i="15"/>
  <c r="AB288" i="15"/>
  <c r="AB289" i="15"/>
  <c r="AB290" i="15"/>
  <c r="AB291" i="15"/>
  <c r="AB292" i="15"/>
  <c r="AB293" i="15"/>
  <c r="AB294" i="15"/>
  <c r="AB295" i="15"/>
  <c r="AB296" i="15"/>
  <c r="AB297" i="15"/>
  <c r="AB298" i="15"/>
  <c r="AB299" i="15"/>
  <c r="AB2" i="15"/>
  <c r="AB300" i="15"/>
  <c r="Z249" i="15"/>
  <c r="Z205" i="15"/>
  <c r="Z288" i="15"/>
  <c r="Z117" i="15"/>
  <c r="Z297" i="15"/>
  <c r="Z336" i="15"/>
  <c r="Z418" i="15"/>
  <c r="Z145" i="15"/>
  <c r="Z199" i="15"/>
  <c r="Z320" i="15"/>
  <c r="Z186" i="15"/>
  <c r="Z230" i="15"/>
  <c r="Z275" i="15"/>
  <c r="Z98" i="15"/>
  <c r="Z108" i="15"/>
  <c r="Z120" i="15"/>
  <c r="Z68" i="15"/>
  <c r="Z217" i="15"/>
  <c r="Z267" i="15"/>
  <c r="Z118" i="15"/>
  <c r="Z209" i="15"/>
  <c r="Z76" i="15"/>
  <c r="Z18" i="15"/>
  <c r="Z180" i="15"/>
  <c r="Z374" i="15"/>
  <c r="Z422" i="15"/>
  <c r="Z210" i="15"/>
  <c r="Z46" i="15"/>
  <c r="Z292" i="15"/>
  <c r="Z420" i="15"/>
  <c r="Z327" i="15"/>
  <c r="Z162" i="15"/>
  <c r="Z137" i="15"/>
  <c r="Z404" i="15"/>
  <c r="Z304" i="15"/>
  <c r="Z255" i="15"/>
  <c r="Z261" i="15"/>
  <c r="Z401" i="15"/>
  <c r="Z359" i="15"/>
  <c r="Z328" i="15"/>
  <c r="Z149" i="15"/>
  <c r="Z344" i="15"/>
  <c r="Z223" i="15"/>
  <c r="Z202" i="15"/>
  <c r="Z367" i="15"/>
  <c r="Z349" i="15"/>
  <c r="Z198" i="15"/>
  <c r="Z263" i="15"/>
  <c r="Z134" i="15"/>
  <c r="Z345" i="15"/>
  <c r="Z184" i="15"/>
  <c r="Z362" i="15"/>
  <c r="Z409" i="15"/>
  <c r="Z85" i="15"/>
  <c r="Z287" i="15"/>
  <c r="Z338" i="15"/>
  <c r="Z130" i="15"/>
  <c r="Z302" i="15"/>
  <c r="Z227" i="15"/>
  <c r="Z143" i="15"/>
  <c r="Z178" i="15"/>
  <c r="Z308" i="15"/>
  <c r="Z269" i="15"/>
  <c r="Z157" i="15"/>
  <c r="Z253" i="15"/>
  <c r="Z97" i="15"/>
  <c r="Z148" i="15"/>
  <c r="Z354" i="15"/>
  <c r="Z107" i="15"/>
  <c r="Z398" i="15"/>
  <c r="Z99" i="15"/>
  <c r="Z225" i="15"/>
  <c r="Z171" i="15"/>
  <c r="Z352" i="15"/>
  <c r="Z274" i="15"/>
  <c r="Z321" i="15"/>
  <c r="Z375" i="15"/>
  <c r="Z358" i="15"/>
  <c r="Z73" i="15"/>
  <c r="Z341" i="15"/>
  <c r="Z259" i="15"/>
  <c r="Z295" i="15"/>
  <c r="Z425" i="15"/>
  <c r="Z423" i="15"/>
  <c r="Z399" i="15"/>
  <c r="Z71" i="15"/>
  <c r="Z276" i="15"/>
  <c r="Z63" i="15"/>
  <c r="Z100" i="15"/>
  <c r="Z146" i="15"/>
  <c r="Z312" i="15"/>
  <c r="Z104" i="15"/>
  <c r="Z233" i="15"/>
  <c r="Z144" i="15"/>
  <c r="Z160" i="15"/>
  <c r="Z116" i="15"/>
  <c r="Z258" i="15"/>
  <c r="Z355" i="15"/>
  <c r="Z219" i="15"/>
  <c r="Z197" i="15"/>
  <c r="Z75" i="15"/>
  <c r="Z124" i="15"/>
  <c r="Z285" i="15"/>
  <c r="Z254" i="15"/>
  <c r="Z270" i="15"/>
  <c r="Z122" i="15"/>
  <c r="Z176" i="15"/>
  <c r="Z232" i="15"/>
  <c r="Z279" i="15"/>
  <c r="Z393" i="15"/>
  <c r="Z41" i="15"/>
  <c r="Z91" i="15"/>
  <c r="Z111" i="15"/>
  <c r="Z109" i="15"/>
  <c r="Z84" i="15"/>
  <c r="Z385" i="15"/>
  <c r="Z165" i="15"/>
  <c r="Z400" i="15"/>
  <c r="Z77" i="15"/>
  <c r="Z131" i="15"/>
  <c r="Z93" i="15"/>
  <c r="Z318" i="15"/>
  <c r="Z332" i="15"/>
  <c r="Z80" i="15"/>
  <c r="Z110" i="15"/>
  <c r="Z221" i="15"/>
  <c r="Z314" i="15"/>
  <c r="Z226" i="15"/>
  <c r="Z125" i="15"/>
  <c r="Z83" i="15"/>
  <c r="Z43" i="15"/>
  <c r="Z391" i="15"/>
  <c r="Z251" i="15"/>
  <c r="Z240" i="15"/>
  <c r="Z421" i="15"/>
  <c r="Z35" i="15"/>
  <c r="Z290" i="15"/>
  <c r="Z87" i="15"/>
  <c r="Z59" i="15"/>
  <c r="Z155" i="15"/>
  <c r="Z360" i="15"/>
  <c r="Z78" i="15"/>
  <c r="Z167" i="15"/>
  <c r="Z3" i="15"/>
  <c r="Z324" i="15"/>
  <c r="Z234" i="15"/>
  <c r="Z81" i="15"/>
  <c r="Z164" i="15"/>
  <c r="Z48" i="15"/>
  <c r="Z95" i="15"/>
  <c r="Z142" i="15"/>
  <c r="Z22" i="15"/>
  <c r="Z119" i="15"/>
  <c r="Z235" i="15"/>
  <c r="Z384" i="15"/>
  <c r="Z138" i="15"/>
  <c r="Z238" i="15"/>
  <c r="Z25" i="15"/>
  <c r="Z179" i="15"/>
  <c r="Z426" i="15"/>
  <c r="Z394" i="15"/>
  <c r="Z203" i="15"/>
  <c r="Z271" i="15"/>
  <c r="Z388" i="15"/>
  <c r="Z368" i="15"/>
  <c r="Z402" i="15"/>
  <c r="Z342" i="15"/>
  <c r="Z406" i="15"/>
  <c r="Z156" i="15"/>
  <c r="Z386" i="15"/>
  <c r="Z220" i="15"/>
  <c r="Z403" i="15"/>
  <c r="Z334" i="15"/>
  <c r="Z405" i="15"/>
  <c r="Z169" i="15"/>
  <c r="Z79" i="15"/>
  <c r="Z407" i="15"/>
  <c r="Z127" i="15"/>
  <c r="Z173" i="15"/>
  <c r="Z256" i="15"/>
  <c r="Z333" i="15"/>
  <c r="Z170" i="15"/>
  <c r="Z94" i="15"/>
  <c r="Z424" i="15"/>
  <c r="Z218" i="15"/>
  <c r="Z112" i="15"/>
  <c r="Z129" i="15"/>
  <c r="Z69" i="15"/>
  <c r="Z153" i="15"/>
  <c r="Z38" i="15"/>
  <c r="Z159" i="15"/>
  <c r="Z212" i="15"/>
  <c r="Z313" i="15"/>
  <c r="Z298" i="15"/>
  <c r="Z19" i="15"/>
  <c r="Z215" i="15"/>
  <c r="Z166" i="15"/>
  <c r="Z163" i="15"/>
  <c r="Z369" i="15"/>
  <c r="Z280" i="15"/>
  <c r="Z283" i="15"/>
  <c r="Z141" i="15"/>
  <c r="Z323" i="15"/>
  <c r="Z60" i="15"/>
  <c r="Z67" i="15"/>
  <c r="Z247" i="15"/>
  <c r="Z177" i="15"/>
  <c r="Z61" i="15"/>
  <c r="Z211" i="15"/>
  <c r="Z52" i="15"/>
  <c r="Z390" i="15"/>
  <c r="Z90" i="15"/>
  <c r="Z346" i="15"/>
  <c r="Z306" i="15"/>
  <c r="Z373" i="15"/>
  <c r="Z413" i="15"/>
  <c r="Z244" i="15"/>
  <c r="Z310" i="15"/>
  <c r="Z300" i="15"/>
  <c r="Z241" i="15"/>
  <c r="Z135" i="15"/>
  <c r="Z231" i="15"/>
  <c r="Z11" i="15"/>
  <c r="Z307" i="15"/>
  <c r="Z213" i="15"/>
  <c r="Z66" i="15"/>
  <c r="Z264" i="15"/>
  <c r="Z102" i="15"/>
  <c r="Z123" i="15"/>
  <c r="Z278" i="15"/>
  <c r="Z277" i="15"/>
  <c r="Z181" i="15"/>
  <c r="Z282" i="15"/>
  <c r="Z12" i="15"/>
  <c r="Z21" i="15"/>
  <c r="Z150" i="15"/>
  <c r="Z101" i="15"/>
  <c r="Z315" i="15"/>
  <c r="Z252" i="15"/>
  <c r="Z311" i="15"/>
  <c r="Z195" i="15"/>
  <c r="Z96" i="15"/>
  <c r="Z74" i="15"/>
  <c r="Z161" i="15"/>
  <c r="Z222" i="15"/>
  <c r="Z49" i="15"/>
  <c r="Z88" i="15"/>
  <c r="Z329" i="15"/>
  <c r="Z105" i="15"/>
  <c r="Z28" i="15"/>
  <c r="Z172" i="15"/>
  <c r="Z301" i="15"/>
  <c r="Z366" i="15"/>
  <c r="Z224" i="15"/>
  <c r="Z260" i="15"/>
  <c r="Z72" i="15"/>
  <c r="Z128" i="15"/>
  <c r="Z152" i="15"/>
  <c r="Z380" i="15"/>
  <c r="Z4" i="15"/>
  <c r="Z410" i="15"/>
  <c r="Z191" i="15"/>
  <c r="Z183" i="15"/>
  <c r="Z330" i="15"/>
  <c r="Z357" i="15"/>
  <c r="Z265" i="15"/>
  <c r="Z206" i="15"/>
  <c r="Z216" i="15"/>
  <c r="Z126" i="15"/>
  <c r="Z228" i="15"/>
  <c r="Z86" i="15"/>
  <c r="Z147" i="15"/>
  <c r="Z89" i="15"/>
  <c r="Z389" i="15"/>
  <c r="Z337" i="15"/>
  <c r="Z140" i="15"/>
  <c r="Z294" i="15"/>
  <c r="Z378" i="15"/>
  <c r="Z174" i="15"/>
  <c r="Z243" i="15"/>
  <c r="Z50" i="15"/>
  <c r="Z286" i="15"/>
  <c r="Z317" i="15"/>
  <c r="Z257" i="15"/>
  <c r="Z10" i="15"/>
  <c r="Z371" i="15"/>
  <c r="Z201" i="15"/>
  <c r="Z268" i="15"/>
  <c r="Z331" i="15"/>
  <c r="Z262" i="15"/>
  <c r="Z343" i="15"/>
  <c r="Z350" i="15"/>
  <c r="Z299" i="15"/>
  <c r="Z365" i="15"/>
  <c r="Z185" i="15"/>
  <c r="Z132" i="15"/>
  <c r="Z58" i="15"/>
  <c r="Z353" i="15"/>
  <c r="Z47" i="15"/>
  <c r="Z30" i="15"/>
  <c r="Z370" i="15"/>
  <c r="Z273" i="15"/>
  <c r="Z27" i="15"/>
  <c r="Z45" i="15"/>
  <c r="Z193" i="15"/>
  <c r="Z250" i="15"/>
  <c r="Z395" i="15"/>
  <c r="Z316" i="15"/>
  <c r="Z82" i="15"/>
  <c r="Z51" i="15"/>
  <c r="Z56" i="15"/>
  <c r="Z387" i="15"/>
  <c r="Z175" i="15"/>
  <c r="Z363" i="15"/>
  <c r="Z237" i="15"/>
  <c r="Z204" i="15"/>
  <c r="Z382" i="15"/>
  <c r="Z44" i="15"/>
  <c r="Z106" i="15"/>
  <c r="Z245" i="15"/>
  <c r="Z293" i="15"/>
  <c r="Z416" i="15"/>
  <c r="Z351" i="15"/>
  <c r="Z377" i="15"/>
  <c r="Z114" i="15"/>
  <c r="Z55" i="15"/>
  <c r="Z64" i="15"/>
  <c r="Z136" i="15"/>
  <c r="Z208" i="15"/>
  <c r="Z289" i="15"/>
  <c r="Z340" i="15"/>
  <c r="Z26" i="15"/>
  <c r="Z392" i="15"/>
  <c r="Z40" i="15"/>
  <c r="Z62" i="15"/>
  <c r="Z192" i="15"/>
  <c r="Z266" i="15"/>
  <c r="Z133" i="15"/>
  <c r="Z188" i="15"/>
  <c r="Z154" i="15"/>
  <c r="Z151" i="15"/>
  <c r="Z236" i="15"/>
  <c r="Z335" i="15"/>
  <c r="Z417" i="15"/>
  <c r="Z356" i="15"/>
  <c r="Z239" i="15"/>
  <c r="Z189" i="15"/>
  <c r="Z187" i="15"/>
  <c r="Z34" i="15"/>
  <c r="Z396" i="15"/>
  <c r="Z207" i="15"/>
  <c r="Z57" i="15"/>
  <c r="Z411" i="15"/>
  <c r="Z309" i="15"/>
  <c r="Z383" i="15"/>
  <c r="Z182" i="15"/>
  <c r="Z9" i="15"/>
  <c r="Z190" i="15"/>
  <c r="Z347" i="15"/>
  <c r="Z248" i="15"/>
  <c r="Z158" i="15"/>
  <c r="Z16" i="15"/>
  <c r="Z414" i="15"/>
  <c r="Z339" i="15"/>
  <c r="Z303" i="15"/>
  <c r="Z70" i="15"/>
  <c r="Z229" i="15"/>
  <c r="Z364" i="15"/>
  <c r="Z412" i="15"/>
  <c r="Z397" i="15"/>
  <c r="Z194" i="15"/>
  <c r="Z196" i="15"/>
  <c r="Z376" i="15"/>
  <c r="Z272" i="15"/>
  <c r="Z408" i="15"/>
  <c r="Z348" i="15"/>
  <c r="Z113" i="15"/>
  <c r="Z20" i="15"/>
  <c r="Z361" i="15"/>
  <c r="Z5" i="15"/>
  <c r="Z29" i="15"/>
  <c r="Z92" i="15"/>
  <c r="Z139" i="15"/>
  <c r="Z305" i="15"/>
  <c r="Z381" i="15"/>
  <c r="Z291" i="15"/>
  <c r="Z24" i="15"/>
  <c r="Z379" i="15"/>
  <c r="Z23" i="15"/>
  <c r="Z65" i="15"/>
  <c r="Z246" i="15"/>
  <c r="Z281" i="15"/>
  <c r="Z200" i="15"/>
  <c r="Z319" i="15"/>
  <c r="Z115" i="15"/>
  <c r="Z284" i="15"/>
  <c r="Z242" i="15"/>
  <c r="Z326" i="15"/>
  <c r="Z168" i="15"/>
  <c r="Z103" i="15"/>
  <c r="Z32" i="15"/>
  <c r="Z415" i="15"/>
  <c r="Z214" i="15"/>
  <c r="Z296" i="15"/>
  <c r="Z121" i="15"/>
  <c r="Z322" i="15"/>
  <c r="Z372" i="15"/>
  <c r="Z325" i="15"/>
  <c r="Z419" i="15"/>
  <c r="AA249" i="15"/>
  <c r="AA205" i="15"/>
  <c r="AA288" i="15"/>
  <c r="AA117" i="15"/>
  <c r="AA297" i="15"/>
  <c r="AA336" i="15"/>
  <c r="AA418" i="15"/>
  <c r="AA145" i="15"/>
  <c r="AA199" i="15"/>
  <c r="AA320" i="15"/>
  <c r="AA186" i="15"/>
  <c r="AA230" i="15"/>
  <c r="AA275" i="15"/>
  <c r="AA98" i="15"/>
  <c r="AA108" i="15"/>
  <c r="AA120" i="15"/>
  <c r="AA68" i="15"/>
  <c r="AA217" i="15"/>
  <c r="AA267" i="15"/>
  <c r="AA118" i="15"/>
  <c r="AA209" i="15"/>
  <c r="AA76" i="15"/>
  <c r="AA18" i="15"/>
  <c r="AA180" i="15"/>
  <c r="AA374" i="15"/>
  <c r="AA422" i="15"/>
  <c r="AA210" i="15"/>
  <c r="AA46" i="15"/>
  <c r="AA292" i="15"/>
  <c r="AA420" i="15"/>
  <c r="AA327" i="15"/>
  <c r="AA162" i="15"/>
  <c r="AA137" i="15"/>
  <c r="AA404" i="15"/>
  <c r="AA304" i="15"/>
  <c r="AA255" i="15"/>
  <c r="AA261" i="15"/>
  <c r="AA401" i="15"/>
  <c r="AA359" i="15"/>
  <c r="AA328" i="15"/>
  <c r="AA149" i="15"/>
  <c r="AA344" i="15"/>
  <c r="AA223" i="15"/>
  <c r="AA202" i="15"/>
  <c r="AA367" i="15"/>
  <c r="AA349" i="15"/>
  <c r="AA198" i="15"/>
  <c r="AA263" i="15"/>
  <c r="AA134" i="15"/>
  <c r="AA345" i="15"/>
  <c r="AA184" i="15"/>
  <c r="AA362" i="15"/>
  <c r="AA409" i="15"/>
  <c r="AA85" i="15"/>
  <c r="AA287" i="15"/>
  <c r="AA338" i="15"/>
  <c r="AA130" i="15"/>
  <c r="AA302" i="15"/>
  <c r="AA227" i="15"/>
  <c r="AA143" i="15"/>
  <c r="AA178" i="15"/>
  <c r="AA308" i="15"/>
  <c r="AA269" i="15"/>
  <c r="AA157" i="15"/>
  <c r="AA253" i="15"/>
  <c r="AA97" i="15"/>
  <c r="AA148" i="15"/>
  <c r="AA354" i="15"/>
  <c r="AA107" i="15"/>
  <c r="AA398" i="15"/>
  <c r="AA99" i="15"/>
  <c r="AA225" i="15"/>
  <c r="AA171" i="15"/>
  <c r="AA352" i="15"/>
  <c r="AA274" i="15"/>
  <c r="AA321" i="15"/>
  <c r="AA375" i="15"/>
  <c r="AA358" i="15"/>
  <c r="AA73" i="15"/>
  <c r="AA341" i="15"/>
  <c r="AA259" i="15"/>
  <c r="AA295" i="15"/>
  <c r="AA425" i="15"/>
  <c r="AA423" i="15"/>
  <c r="AA399" i="15"/>
  <c r="AA71" i="15"/>
  <c r="AA276" i="15"/>
  <c r="AA63" i="15"/>
  <c r="AA100" i="15"/>
  <c r="AA146" i="15"/>
  <c r="AA312" i="15"/>
  <c r="AA104" i="15"/>
  <c r="AA233" i="15"/>
  <c r="AA144" i="15"/>
  <c r="AA160" i="15"/>
  <c r="AA116" i="15"/>
  <c r="AA258" i="15"/>
  <c r="AA355" i="15"/>
  <c r="AA219" i="15"/>
  <c r="AA197" i="15"/>
  <c r="AA75" i="15"/>
  <c r="AA124" i="15"/>
  <c r="AA285" i="15"/>
  <c r="AA254" i="15"/>
  <c r="AA270" i="15"/>
  <c r="AA122" i="15"/>
  <c r="AA176" i="15"/>
  <c r="AA232" i="15"/>
  <c r="AA279" i="15"/>
  <c r="AA393" i="15"/>
  <c r="AA41" i="15"/>
  <c r="AA91" i="15"/>
  <c r="AA111" i="15"/>
  <c r="AA109" i="15"/>
  <c r="AA84" i="15"/>
  <c r="AA385" i="15"/>
  <c r="AA165" i="15"/>
  <c r="AA400" i="15"/>
  <c r="AA77" i="15"/>
  <c r="AA131" i="15"/>
  <c r="AA93" i="15"/>
  <c r="AA318" i="15"/>
  <c r="AA332" i="15"/>
  <c r="AA80" i="15"/>
  <c r="AA110" i="15"/>
  <c r="AA221" i="15"/>
  <c r="AA314" i="15"/>
  <c r="AA226" i="15"/>
  <c r="AA125" i="15"/>
  <c r="AA83" i="15"/>
  <c r="AA43" i="15"/>
  <c r="AA391" i="15"/>
  <c r="AA251" i="15"/>
  <c r="AA240" i="15"/>
  <c r="AA421" i="15"/>
  <c r="AA35" i="15"/>
  <c r="AA290" i="15"/>
  <c r="AA87" i="15"/>
  <c r="AA59" i="15"/>
  <c r="AA155" i="15"/>
  <c r="AA360" i="15"/>
  <c r="AA78" i="15"/>
  <c r="AA167" i="15"/>
  <c r="AA3" i="15"/>
  <c r="AA324" i="15"/>
  <c r="AA234" i="15"/>
  <c r="AA81" i="15"/>
  <c r="AA164" i="15"/>
  <c r="AA48" i="15"/>
  <c r="AA95" i="15"/>
  <c r="AA142" i="15"/>
  <c r="AA22" i="15"/>
  <c r="AA119" i="15"/>
  <c r="AA235" i="15"/>
  <c r="AA384" i="15"/>
  <c r="AA138" i="15"/>
  <c r="AA238" i="15"/>
  <c r="AA25" i="15"/>
  <c r="AA179" i="15"/>
  <c r="AA426" i="15"/>
  <c r="AA394" i="15"/>
  <c r="AA203" i="15"/>
  <c r="AA271" i="15"/>
  <c r="AA388" i="15"/>
  <c r="AA368" i="15"/>
  <c r="AA402" i="15"/>
  <c r="AA342" i="15"/>
  <c r="AA406" i="15"/>
  <c r="AA156" i="15"/>
  <c r="AA386" i="15"/>
  <c r="AA220" i="15"/>
  <c r="AA403" i="15"/>
  <c r="AA334" i="15"/>
  <c r="AA405" i="15"/>
  <c r="AA169" i="15"/>
  <c r="AA79" i="15"/>
  <c r="AA407" i="15"/>
  <c r="AA127" i="15"/>
  <c r="AA173" i="15"/>
  <c r="AA256" i="15"/>
  <c r="AA333" i="15"/>
  <c r="AA170" i="15"/>
  <c r="AA94" i="15"/>
  <c r="AA424" i="15"/>
  <c r="AA218" i="15"/>
  <c r="AA112" i="15"/>
  <c r="AA129" i="15"/>
  <c r="AA69" i="15"/>
  <c r="AA153" i="15"/>
  <c r="AA38" i="15"/>
  <c r="AA159" i="15"/>
  <c r="AA212" i="15"/>
  <c r="AA313" i="15"/>
  <c r="AA298" i="15"/>
  <c r="AA19" i="15"/>
  <c r="AA215" i="15"/>
  <c r="AA166" i="15"/>
  <c r="AA163" i="15"/>
  <c r="AA369" i="15"/>
  <c r="AA280" i="15"/>
  <c r="AA283" i="15"/>
  <c r="AA141" i="15"/>
  <c r="AA323" i="15"/>
  <c r="AA60" i="15"/>
  <c r="AA67" i="15"/>
  <c r="AA247" i="15"/>
  <c r="AA177" i="15"/>
  <c r="AA61" i="15"/>
  <c r="AA211" i="15"/>
  <c r="AA52" i="15"/>
  <c r="AA390" i="15"/>
  <c r="AA90" i="15"/>
  <c r="AA346" i="15"/>
  <c r="AA306" i="15"/>
  <c r="AA373" i="15"/>
  <c r="AA413" i="15"/>
  <c r="AA244" i="15"/>
  <c r="AA310" i="15"/>
  <c r="AA300" i="15"/>
  <c r="AA241" i="15"/>
  <c r="AA135" i="15"/>
  <c r="AA231" i="15"/>
  <c r="AA11" i="15"/>
  <c r="AA307" i="15"/>
  <c r="AA213" i="15"/>
  <c r="AA66" i="15"/>
  <c r="AA264" i="15"/>
  <c r="AA102" i="15"/>
  <c r="AA123" i="15"/>
  <c r="AA278" i="15"/>
  <c r="AA277" i="15"/>
  <c r="AA181" i="15"/>
  <c r="AA282" i="15"/>
  <c r="AA12" i="15"/>
  <c r="AA21" i="15"/>
  <c r="AA150" i="15"/>
  <c r="AA101" i="15"/>
  <c r="AA315" i="15"/>
  <c r="AA252" i="15"/>
  <c r="AA311" i="15"/>
  <c r="AA195" i="15"/>
  <c r="AA96" i="15"/>
  <c r="AA74" i="15"/>
  <c r="AA161" i="15"/>
  <c r="AA222" i="15"/>
  <c r="AA49" i="15"/>
  <c r="AA88" i="15"/>
  <c r="AA329" i="15"/>
  <c r="AA105" i="15"/>
  <c r="AA28" i="15"/>
  <c r="AA172" i="15"/>
  <c r="AA301" i="15"/>
  <c r="AA366" i="15"/>
  <c r="AA224" i="15"/>
  <c r="AA260" i="15"/>
  <c r="AA72" i="15"/>
  <c r="AA128" i="15"/>
  <c r="AA152" i="15"/>
  <c r="AA380" i="15"/>
  <c r="AA4" i="15"/>
  <c r="AA410" i="15"/>
  <c r="AA191" i="15"/>
  <c r="AA183" i="15"/>
  <c r="AA330" i="15"/>
  <c r="AA357" i="15"/>
  <c r="AA265" i="15"/>
  <c r="AA206" i="15"/>
  <c r="AA216" i="15"/>
  <c r="AA126" i="15"/>
  <c r="AA228" i="15"/>
  <c r="AA86" i="15"/>
  <c r="AA147" i="15"/>
  <c r="AA89" i="15"/>
  <c r="AA389" i="15"/>
  <c r="AA337" i="15"/>
  <c r="AA140" i="15"/>
  <c r="AA294" i="15"/>
  <c r="AA378" i="15"/>
  <c r="AA174" i="15"/>
  <c r="AA243" i="15"/>
  <c r="AA50" i="15"/>
  <c r="AA286" i="15"/>
  <c r="AA317" i="15"/>
  <c r="AA257" i="15"/>
  <c r="AA10" i="15"/>
  <c r="AA371" i="15"/>
  <c r="AA201" i="15"/>
  <c r="AA268" i="15"/>
  <c r="AA331" i="15"/>
  <c r="AA262" i="15"/>
  <c r="AA343" i="15"/>
  <c r="AA350" i="15"/>
  <c r="AA299" i="15"/>
  <c r="AA365" i="15"/>
  <c r="AA185" i="15"/>
  <c r="AA132" i="15"/>
  <c r="AA58" i="15"/>
  <c r="AA353" i="15"/>
  <c r="AA47" i="15"/>
  <c r="AA30" i="15"/>
  <c r="AA370" i="15"/>
  <c r="AA273" i="15"/>
  <c r="AA27" i="15"/>
  <c r="AA45" i="15"/>
  <c r="AA193" i="15"/>
  <c r="AA250" i="15"/>
  <c r="AA395" i="15"/>
  <c r="AA316" i="15"/>
  <c r="AA82" i="15"/>
  <c r="AA51" i="15"/>
  <c r="AA56" i="15"/>
  <c r="AA387" i="15"/>
  <c r="AA175" i="15"/>
  <c r="AA363" i="15"/>
  <c r="AA237" i="15"/>
  <c r="AA204" i="15"/>
  <c r="AA382" i="15"/>
  <c r="AA44" i="15"/>
  <c r="AA106" i="15"/>
  <c r="AA245" i="15"/>
  <c r="AA293" i="15"/>
  <c r="AA416" i="15"/>
  <c r="AA351" i="15"/>
  <c r="AA377" i="15"/>
  <c r="AA114" i="15"/>
  <c r="AA55" i="15"/>
  <c r="AA64" i="15"/>
  <c r="AA136" i="15"/>
  <c r="AA208" i="15"/>
  <c r="AA289" i="15"/>
  <c r="AA340" i="15"/>
  <c r="AA26" i="15"/>
  <c r="AA392" i="15"/>
  <c r="AA40" i="15"/>
  <c r="AA62" i="15"/>
  <c r="AA192" i="15"/>
  <c r="AA266" i="15"/>
  <c r="AA133" i="15"/>
  <c r="AA188" i="15"/>
  <c r="AA154" i="15"/>
  <c r="AA151" i="15"/>
  <c r="AA236" i="15"/>
  <c r="AA335" i="15"/>
  <c r="AA417" i="15"/>
  <c r="AA356" i="15"/>
  <c r="AA239" i="15"/>
  <c r="AA189" i="15"/>
  <c r="AA187" i="15"/>
  <c r="AA34" i="15"/>
  <c r="AA396" i="15"/>
  <c r="AA207" i="15"/>
  <c r="AA57" i="15"/>
  <c r="AA411" i="15"/>
  <c r="AA309" i="15"/>
  <c r="AA383" i="15"/>
  <c r="AA182" i="15"/>
  <c r="AA9" i="15"/>
  <c r="AA190" i="15"/>
  <c r="AA347" i="15"/>
  <c r="AA248" i="15"/>
  <c r="AA158" i="15"/>
  <c r="AA16" i="15"/>
  <c r="AA414" i="15"/>
  <c r="AA339" i="15"/>
  <c r="AA303" i="15"/>
  <c r="AA70" i="15"/>
  <c r="AA229" i="15"/>
  <c r="AA364" i="15"/>
  <c r="AA412" i="15"/>
  <c r="AA397" i="15"/>
  <c r="AA194" i="15"/>
  <c r="AA196" i="15"/>
  <c r="AA376" i="15"/>
  <c r="AA272" i="15"/>
  <c r="AA408" i="15"/>
  <c r="AA348" i="15"/>
  <c r="AA113" i="15"/>
  <c r="AA20" i="15"/>
  <c r="AA361" i="15"/>
  <c r="AA5" i="15"/>
  <c r="AA29" i="15"/>
  <c r="AA92" i="15"/>
  <c r="AA139" i="15"/>
  <c r="AA305" i="15"/>
  <c r="AA381" i="15"/>
  <c r="AA291" i="15"/>
  <c r="AA24" i="15"/>
  <c r="AA379" i="15"/>
  <c r="AA23" i="15"/>
  <c r="AA65" i="15"/>
  <c r="AA246" i="15"/>
  <c r="AA281" i="15"/>
  <c r="AA200" i="15"/>
  <c r="AA319" i="15"/>
  <c r="AA115" i="15"/>
  <c r="AA284" i="15"/>
  <c r="AA242" i="15"/>
  <c r="AA326" i="15"/>
  <c r="AA168" i="15"/>
  <c r="AA103" i="15"/>
  <c r="AA32" i="15"/>
  <c r="AA415" i="15"/>
  <c r="AA214" i="15"/>
  <c r="AA296" i="15"/>
  <c r="AA121" i="15"/>
  <c r="AA322" i="15"/>
  <c r="AA372" i="15"/>
  <c r="AA325" i="15"/>
  <c r="AA419" i="15"/>
  <c r="Y249" i="15"/>
  <c r="Y205" i="15"/>
  <c r="Y288" i="15"/>
  <c r="Y117" i="15"/>
  <c r="Y297" i="15"/>
  <c r="Y336" i="15"/>
  <c r="Y418" i="15"/>
  <c r="Y145" i="15"/>
  <c r="Y199" i="15"/>
  <c r="Y320" i="15"/>
  <c r="Y186" i="15"/>
  <c r="Y230" i="15"/>
  <c r="Y275" i="15"/>
  <c r="Y98" i="15"/>
  <c r="Y108" i="15"/>
  <c r="Y120" i="15"/>
  <c r="Y68" i="15"/>
  <c r="Y217" i="15"/>
  <c r="Y267" i="15"/>
  <c r="Y118" i="15"/>
  <c r="Y209" i="15"/>
  <c r="Y76" i="15"/>
  <c r="Y18" i="15"/>
  <c r="Y180" i="15"/>
  <c r="Y374" i="15"/>
  <c r="Y422" i="15"/>
  <c r="Y210" i="15"/>
  <c r="Y46" i="15"/>
  <c r="Y292" i="15"/>
  <c r="Y420" i="15"/>
  <c r="Y327" i="15"/>
  <c r="Y162" i="15"/>
  <c r="Y137" i="15"/>
  <c r="Y404" i="15"/>
  <c r="Y304" i="15"/>
  <c r="Y255" i="15"/>
  <c r="Y261" i="15"/>
  <c r="Y401" i="15"/>
  <c r="Y359" i="15"/>
  <c r="Y328" i="15"/>
  <c r="Y149" i="15"/>
  <c r="Y344" i="15"/>
  <c r="Y223" i="15"/>
  <c r="Y202" i="15"/>
  <c r="Y367" i="15"/>
  <c r="Y349" i="15"/>
  <c r="Y198" i="15"/>
  <c r="Y263" i="15"/>
  <c r="Y134" i="15"/>
  <c r="Y345" i="15"/>
  <c r="Y184" i="15"/>
  <c r="Y362" i="15"/>
  <c r="Y409" i="15"/>
  <c r="Y85" i="15"/>
  <c r="Y287" i="15"/>
  <c r="Y338" i="15"/>
  <c r="Y130" i="15"/>
  <c r="Y302" i="15"/>
  <c r="Y227" i="15"/>
  <c r="Y143" i="15"/>
  <c r="Y178" i="15"/>
  <c r="Y308" i="15"/>
  <c r="Y269" i="15"/>
  <c r="Y157" i="15"/>
  <c r="Y253" i="15"/>
  <c r="Y97" i="15"/>
  <c r="Y148" i="15"/>
  <c r="Y354" i="15"/>
  <c r="Y107" i="15"/>
  <c r="Y398" i="15"/>
  <c r="Y99" i="15"/>
  <c r="Y225" i="15"/>
  <c r="Y171" i="15"/>
  <c r="Y352" i="15"/>
  <c r="Y274" i="15"/>
  <c r="Y321" i="15"/>
  <c r="Y375" i="15"/>
  <c r="Y358" i="15"/>
  <c r="Y73" i="15"/>
  <c r="Y341" i="15"/>
  <c r="Y259" i="15"/>
  <c r="Y295" i="15"/>
  <c r="Y425" i="15"/>
  <c r="Y423" i="15"/>
  <c r="Y399" i="15"/>
  <c r="Y71" i="15"/>
  <c r="Y276" i="15"/>
  <c r="Y63" i="15"/>
  <c r="Y100" i="15"/>
  <c r="Y146" i="15"/>
  <c r="Y312" i="15"/>
  <c r="Y104" i="15"/>
  <c r="Y233" i="15"/>
  <c r="Y144" i="15"/>
  <c r="Y160" i="15"/>
  <c r="Y116" i="15"/>
  <c r="Y258" i="15"/>
  <c r="Y355" i="15"/>
  <c r="Y219" i="15"/>
  <c r="Y197" i="15"/>
  <c r="Y75" i="15"/>
  <c r="Y124" i="15"/>
  <c r="Y285" i="15"/>
  <c r="Y254" i="15"/>
  <c r="Y270" i="15"/>
  <c r="Y122" i="15"/>
  <c r="Y176" i="15"/>
  <c r="Y232" i="15"/>
  <c r="Y279" i="15"/>
  <c r="Y393" i="15"/>
  <c r="Y41" i="15"/>
  <c r="Y91" i="15"/>
  <c r="Y111" i="15"/>
  <c r="Y109" i="15"/>
  <c r="Y84" i="15"/>
  <c r="Y385" i="15"/>
  <c r="Y165" i="15"/>
  <c r="Y400" i="15"/>
  <c r="Y77" i="15"/>
  <c r="Y131" i="15"/>
  <c r="Y93" i="15"/>
  <c r="Y318" i="15"/>
  <c r="Y332" i="15"/>
  <c r="Y80" i="15"/>
  <c r="Y110" i="15"/>
  <c r="Y221" i="15"/>
  <c r="Y314" i="15"/>
  <c r="Y226" i="15"/>
  <c r="Y125" i="15"/>
  <c r="Y83" i="15"/>
  <c r="Y43" i="15"/>
  <c r="Y391" i="15"/>
  <c r="Y251" i="15"/>
  <c r="Y240" i="15"/>
  <c r="Y421" i="15"/>
  <c r="Y35" i="15"/>
  <c r="Y290" i="15"/>
  <c r="Y87" i="15"/>
  <c r="Y59" i="15"/>
  <c r="Y155" i="15"/>
  <c r="Y360" i="15"/>
  <c r="Y78" i="15"/>
  <c r="Y167" i="15"/>
  <c r="Y3" i="15"/>
  <c r="Y324" i="15"/>
  <c r="Y234" i="15"/>
  <c r="Y81" i="15"/>
  <c r="Y164" i="15"/>
  <c r="Y48" i="15"/>
  <c r="Y95" i="15"/>
  <c r="Y142" i="15"/>
  <c r="Y22" i="15"/>
  <c r="Y119" i="15"/>
  <c r="Y235" i="15"/>
  <c r="Y384" i="15"/>
  <c r="Y138" i="15"/>
  <c r="Y238" i="15"/>
  <c r="Y25" i="15"/>
  <c r="Y179" i="15"/>
  <c r="Y426" i="15"/>
  <c r="Y394" i="15"/>
  <c r="Y203" i="15"/>
  <c r="Y271" i="15"/>
  <c r="Y388" i="15"/>
  <c r="Y368" i="15"/>
  <c r="Y402" i="15"/>
  <c r="Y342" i="15"/>
  <c r="Y406" i="15"/>
  <c r="Y156" i="15"/>
  <c r="Y386" i="15"/>
  <c r="Y220" i="15"/>
  <c r="Y403" i="15"/>
  <c r="Y334" i="15"/>
  <c r="Y405" i="15"/>
  <c r="Y169" i="15"/>
  <c r="Y79" i="15"/>
  <c r="Y407" i="15"/>
  <c r="Y127" i="15"/>
  <c r="Y173" i="15"/>
  <c r="Y256" i="15"/>
  <c r="Y333" i="15"/>
  <c r="Y170" i="15"/>
  <c r="Y94" i="15"/>
  <c r="Y424" i="15"/>
  <c r="Y218" i="15"/>
  <c r="Y112" i="15"/>
  <c r="Y129" i="15"/>
  <c r="Y69" i="15"/>
  <c r="Y153" i="15"/>
  <c r="Y38" i="15"/>
  <c r="Y159" i="15"/>
  <c r="Y212" i="15"/>
  <c r="Y313" i="15"/>
  <c r="Y298" i="15"/>
  <c r="Y19" i="15"/>
  <c r="Y215" i="15"/>
  <c r="Y166" i="15"/>
  <c r="Y163" i="15"/>
  <c r="Y369" i="15"/>
  <c r="Y280" i="15"/>
  <c r="Y283" i="15"/>
  <c r="Y141" i="15"/>
  <c r="Y323" i="15"/>
  <c r="Y60" i="15"/>
  <c r="Y67" i="15"/>
  <c r="Y247" i="15"/>
  <c r="Y177" i="15"/>
  <c r="Y61" i="15"/>
  <c r="Y211" i="15"/>
  <c r="Y52" i="15"/>
  <c r="Y390" i="15"/>
  <c r="Y90" i="15"/>
  <c r="Y346" i="15"/>
  <c r="Y306" i="15"/>
  <c r="Y373" i="15"/>
  <c r="Y413" i="15"/>
  <c r="Y244" i="15"/>
  <c r="Y310" i="15"/>
  <c r="Y300" i="15"/>
  <c r="Y241" i="15"/>
  <c r="Y135" i="15"/>
  <c r="Y231" i="15"/>
  <c r="Y11" i="15"/>
  <c r="Y307" i="15"/>
  <c r="Y213" i="15"/>
  <c r="Y66" i="15"/>
  <c r="Y264" i="15"/>
  <c r="Y102" i="15"/>
  <c r="Y123" i="15"/>
  <c r="Y278" i="15"/>
  <c r="Y277" i="15"/>
  <c r="Y181" i="15"/>
  <c r="Y282" i="15"/>
  <c r="Y12" i="15"/>
  <c r="Y21" i="15"/>
  <c r="Y150" i="15"/>
  <c r="Y101" i="15"/>
  <c r="Y315" i="15"/>
  <c r="Y252" i="15"/>
  <c r="Y311" i="15"/>
  <c r="Y195" i="15"/>
  <c r="Y96" i="15"/>
  <c r="Y74" i="15"/>
  <c r="Y161" i="15"/>
  <c r="Y222" i="15"/>
  <c r="Y49" i="15"/>
  <c r="Y88" i="15"/>
  <c r="Y329" i="15"/>
  <c r="Y105" i="15"/>
  <c r="Y28" i="15"/>
  <c r="Y172" i="15"/>
  <c r="Y301" i="15"/>
  <c r="Y366" i="15"/>
  <c r="Y224" i="15"/>
  <c r="Y260" i="15"/>
  <c r="Y72" i="15"/>
  <c r="Y128" i="15"/>
  <c r="Y152" i="15"/>
  <c r="Y380" i="15"/>
  <c r="Y4" i="15"/>
  <c r="Y410" i="15"/>
  <c r="Y191" i="15"/>
  <c r="Y183" i="15"/>
  <c r="Y330" i="15"/>
  <c r="Y357" i="15"/>
  <c r="Y265" i="15"/>
  <c r="Y206" i="15"/>
  <c r="Y216" i="15"/>
  <c r="Y126" i="15"/>
  <c r="Y228" i="15"/>
  <c r="Y86" i="15"/>
  <c r="Y147" i="15"/>
  <c r="Y89" i="15"/>
  <c r="Y389" i="15"/>
  <c r="Y337" i="15"/>
  <c r="Y140" i="15"/>
  <c r="Y294" i="15"/>
  <c r="Y378" i="15"/>
  <c r="Y174" i="15"/>
  <c r="Y243" i="15"/>
  <c r="Y50" i="15"/>
  <c r="Y286" i="15"/>
  <c r="Y317" i="15"/>
  <c r="Y257" i="15"/>
  <c r="Y10" i="15"/>
  <c r="Y371" i="15"/>
  <c r="Y201" i="15"/>
  <c r="Y268" i="15"/>
  <c r="Y331" i="15"/>
  <c r="Y262" i="15"/>
  <c r="Y343" i="15"/>
  <c r="Y350" i="15"/>
  <c r="Y299" i="15"/>
  <c r="Y365" i="15"/>
  <c r="Y185" i="15"/>
  <c r="Y132" i="15"/>
  <c r="Y58" i="15"/>
  <c r="Y353" i="15"/>
  <c r="Y47" i="15"/>
  <c r="Y30" i="15"/>
  <c r="Y370" i="15"/>
  <c r="Y273" i="15"/>
  <c r="Y27" i="15"/>
  <c r="Y45" i="15"/>
  <c r="Y193" i="15"/>
  <c r="Y250" i="15"/>
  <c r="Y395" i="15"/>
  <c r="Y316" i="15"/>
  <c r="Y82" i="15"/>
  <c r="Y51" i="15"/>
  <c r="Y56" i="15"/>
  <c r="Y387" i="15"/>
  <c r="Y175" i="15"/>
  <c r="Y363" i="15"/>
  <c r="Y237" i="15"/>
  <c r="Y204" i="15"/>
  <c r="Y382" i="15"/>
  <c r="Y44" i="15"/>
  <c r="Y106" i="15"/>
  <c r="Y245" i="15"/>
  <c r="Y293" i="15"/>
  <c r="Y416" i="15"/>
  <c r="Y351" i="15"/>
  <c r="Y377" i="15"/>
  <c r="Y114" i="15"/>
  <c r="Y55" i="15"/>
  <c r="Y64" i="15"/>
  <c r="Y136" i="15"/>
  <c r="Y208" i="15"/>
  <c r="Y289" i="15"/>
  <c r="Y340" i="15"/>
  <c r="Y26" i="15"/>
  <c r="Y392" i="15"/>
  <c r="Y40" i="15"/>
  <c r="Y62" i="15"/>
  <c r="Y192" i="15"/>
  <c r="Y266" i="15"/>
  <c r="Y133" i="15"/>
  <c r="Y188" i="15"/>
  <c r="Y154" i="15"/>
  <c r="Y151" i="15"/>
  <c r="Y236" i="15"/>
  <c r="Y335" i="15"/>
  <c r="Y417" i="15"/>
  <c r="Y356" i="15"/>
  <c r="Y239" i="15"/>
  <c r="Y189" i="15"/>
  <c r="Y187" i="15"/>
  <c r="Y34" i="15"/>
  <c r="Y396" i="15"/>
  <c r="Y207" i="15"/>
  <c r="Y57" i="15"/>
  <c r="Y411" i="15"/>
  <c r="Y309" i="15"/>
  <c r="Y383" i="15"/>
  <c r="Y182" i="15"/>
  <c r="Y9" i="15"/>
  <c r="Y190" i="15"/>
  <c r="Y347" i="15"/>
  <c r="Y248" i="15"/>
  <c r="Y158" i="15"/>
  <c r="Y16" i="15"/>
  <c r="Y414" i="15"/>
  <c r="Y339" i="15"/>
  <c r="Y303" i="15"/>
  <c r="Y70" i="15"/>
  <c r="Y229" i="15"/>
  <c r="Y364" i="15"/>
  <c r="Y412" i="15"/>
  <c r="Y397" i="15"/>
  <c r="Y194" i="15"/>
  <c r="Y196" i="15"/>
  <c r="Y376" i="15"/>
  <c r="Y272" i="15"/>
  <c r="Y408" i="15"/>
  <c r="Y348" i="15"/>
  <c r="Y113" i="15"/>
  <c r="Y20" i="15"/>
  <c r="Y361" i="15"/>
  <c r="Y5" i="15"/>
  <c r="Y29" i="15"/>
  <c r="Y92" i="15"/>
  <c r="Y139" i="15"/>
  <c r="Y305" i="15"/>
  <c r="Y381" i="15"/>
  <c r="Y291" i="15"/>
  <c r="Y24" i="15"/>
  <c r="Y379" i="15"/>
  <c r="Y23" i="15"/>
  <c r="Y65" i="15"/>
  <c r="Y246" i="15"/>
  <c r="Y281" i="15"/>
  <c r="Y200" i="15"/>
  <c r="Y319" i="15"/>
  <c r="Y115" i="15"/>
  <c r="Y284" i="15"/>
  <c r="Y242" i="15"/>
  <c r="Y326" i="15"/>
  <c r="Y168" i="15"/>
  <c r="Y103" i="15"/>
  <c r="Y32" i="15"/>
  <c r="Y415" i="15"/>
  <c r="Y214" i="15"/>
  <c r="Y296" i="15"/>
  <c r="Y121" i="15"/>
  <c r="Y322" i="15"/>
  <c r="Y372" i="15"/>
  <c r="Y325" i="15"/>
  <c r="Y419" i="15"/>
  <c r="H1" i="2"/>
  <c r="O107" i="12"/>
  <c r="Y77" i="14"/>
  <c r="Y76" i="14"/>
  <c r="Y75" i="14"/>
  <c r="Y74" i="14"/>
  <c r="Y73" i="14"/>
  <c r="Y72" i="14"/>
  <c r="Y71" i="14"/>
  <c r="Y70" i="14"/>
  <c r="Y69" i="14"/>
  <c r="Y68" i="14"/>
  <c r="Y67" i="14"/>
  <c r="Y66" i="14"/>
  <c r="Y65" i="14"/>
  <c r="Y64" i="14"/>
  <c r="Y63" i="14"/>
  <c r="Y62" i="14"/>
  <c r="Y61" i="14"/>
  <c r="Y60" i="14"/>
  <c r="Y59" i="14"/>
  <c r="Y58" i="14"/>
  <c r="Y57" i="14"/>
  <c r="Y56" i="14"/>
  <c r="Y55" i="14"/>
  <c r="Y54" i="14"/>
  <c r="Y53" i="14"/>
  <c r="X77" i="14"/>
  <c r="X76" i="14"/>
  <c r="X75" i="14"/>
  <c r="X74" i="14"/>
  <c r="X73" i="14"/>
  <c r="X72" i="14"/>
  <c r="X71" i="14"/>
  <c r="X70" i="14"/>
  <c r="X69" i="14"/>
  <c r="X68" i="14"/>
  <c r="X67" i="14"/>
  <c r="X66" i="14"/>
  <c r="X65" i="14"/>
  <c r="X64" i="14"/>
  <c r="X63" i="14"/>
  <c r="X62" i="14"/>
  <c r="X61" i="14"/>
  <c r="X60" i="14"/>
  <c r="X59" i="14"/>
  <c r="X58" i="14"/>
  <c r="X57" i="14"/>
  <c r="X56" i="14"/>
  <c r="X55" i="14"/>
  <c r="X54" i="14"/>
  <c r="X53" i="14"/>
  <c r="X80" i="14"/>
  <c r="X79" i="14"/>
  <c r="X78" i="14"/>
  <c r="X102" i="14"/>
  <c r="X101" i="14"/>
  <c r="X100" i="14"/>
  <c r="X99" i="14"/>
  <c r="X98" i="14"/>
  <c r="X97" i="14"/>
  <c r="X96" i="14"/>
  <c r="X95" i="14"/>
  <c r="X94" i="14"/>
  <c r="X93" i="14"/>
  <c r="X92" i="14"/>
  <c r="X91" i="14"/>
  <c r="X90" i="14"/>
  <c r="X89" i="14"/>
  <c r="X88" i="14"/>
  <c r="X87" i="14"/>
  <c r="X86" i="14"/>
  <c r="X85" i="14"/>
  <c r="X84" i="14"/>
  <c r="X83" i="14"/>
  <c r="X82" i="14"/>
  <c r="X81" i="14"/>
  <c r="W105" i="14"/>
  <c r="W106" i="14"/>
  <c r="W107" i="14"/>
  <c r="W108" i="14"/>
  <c r="W59" i="14"/>
  <c r="W60" i="14"/>
  <c r="W111" i="14"/>
  <c r="W112" i="14"/>
  <c r="W113" i="14"/>
  <c r="W114" i="14"/>
  <c r="W115" i="14"/>
  <c r="W116" i="14"/>
  <c r="W117" i="14"/>
  <c r="W118" i="14"/>
  <c r="W119" i="14"/>
  <c r="W120" i="14"/>
  <c r="W121" i="14"/>
  <c r="W122" i="14"/>
  <c r="W61" i="14"/>
  <c r="W62" i="14"/>
  <c r="W125" i="14"/>
  <c r="W126" i="14"/>
  <c r="W127" i="14"/>
  <c r="W128" i="14"/>
  <c r="W129" i="14"/>
  <c r="W130" i="14"/>
  <c r="W131" i="14"/>
  <c r="W132" i="14"/>
  <c r="W133" i="14"/>
  <c r="W134" i="14"/>
  <c r="W135" i="14"/>
  <c r="W136" i="14"/>
  <c r="W63" i="14"/>
  <c r="W64" i="14"/>
  <c r="W139" i="14"/>
  <c r="W140" i="14"/>
  <c r="W141" i="14"/>
  <c r="W142" i="14"/>
  <c r="W143" i="14"/>
  <c r="W144" i="14"/>
  <c r="W145" i="14"/>
  <c r="W146" i="14"/>
  <c r="W147" i="14"/>
  <c r="W148" i="14"/>
  <c r="W149" i="14"/>
  <c r="W150" i="14"/>
  <c r="W65" i="14"/>
  <c r="W66" i="14"/>
  <c r="W153" i="14"/>
  <c r="W154" i="14"/>
  <c r="W155" i="14"/>
  <c r="W156" i="14"/>
  <c r="W157" i="14"/>
  <c r="W158" i="14"/>
  <c r="W159" i="14"/>
  <c r="W160" i="14"/>
  <c r="W161" i="14"/>
  <c r="W162" i="14"/>
  <c r="W163" i="14"/>
  <c r="W164" i="14"/>
  <c r="W67" i="14"/>
  <c r="W68" i="14"/>
  <c r="W167" i="14"/>
  <c r="W168" i="14"/>
  <c r="W169" i="14"/>
  <c r="W170" i="14"/>
  <c r="W171" i="14"/>
  <c r="W172" i="14"/>
  <c r="W173" i="14"/>
  <c r="W174" i="14"/>
  <c r="W175" i="14"/>
  <c r="W176" i="14"/>
  <c r="W177" i="14"/>
  <c r="W178" i="14"/>
  <c r="W69" i="14"/>
  <c r="W70" i="14"/>
  <c r="W181" i="14"/>
  <c r="W182" i="14"/>
  <c r="W183" i="14"/>
  <c r="W184" i="14"/>
  <c r="W185" i="14"/>
  <c r="W186" i="14"/>
  <c r="W187" i="14"/>
  <c r="W188" i="14"/>
  <c r="W189" i="14"/>
  <c r="W190" i="14"/>
  <c r="W191" i="14"/>
  <c r="W192" i="14"/>
  <c r="W71" i="14"/>
  <c r="W72" i="14"/>
  <c r="W195" i="14"/>
  <c r="W196" i="14"/>
  <c r="W197" i="14"/>
  <c r="W198" i="14"/>
  <c r="W199" i="14"/>
  <c r="W200" i="14"/>
  <c r="W201" i="14"/>
  <c r="W202" i="14"/>
  <c r="W203" i="14"/>
  <c r="W204" i="14"/>
  <c r="W205" i="14"/>
  <c r="W206" i="14"/>
  <c r="W73" i="14"/>
  <c r="W74" i="14"/>
  <c r="W209" i="14"/>
  <c r="W210" i="14"/>
  <c r="W211" i="14"/>
  <c r="W212" i="14"/>
  <c r="W213" i="14"/>
  <c r="W214" i="14"/>
  <c r="W215" i="14"/>
  <c r="W216" i="14"/>
  <c r="W217" i="14"/>
  <c r="W218" i="14"/>
  <c r="W219" i="14"/>
  <c r="W220" i="14"/>
  <c r="W75" i="14"/>
  <c r="W76" i="14"/>
  <c r="W223" i="14"/>
  <c r="W224" i="14"/>
  <c r="W225" i="14"/>
  <c r="W226" i="14"/>
  <c r="W227" i="14"/>
  <c r="W228" i="14"/>
  <c r="W229" i="14"/>
  <c r="W230" i="14"/>
  <c r="W231" i="14"/>
  <c r="W232" i="14"/>
  <c r="W233" i="14"/>
  <c r="W234" i="14"/>
  <c r="W77" i="14"/>
  <c r="W236" i="14"/>
  <c r="W237" i="14"/>
  <c r="W238" i="14"/>
  <c r="W239" i="14"/>
  <c r="W240" i="14"/>
  <c r="W241" i="14"/>
  <c r="W242" i="14"/>
  <c r="W243" i="14"/>
  <c r="W244" i="14"/>
  <c r="W245" i="14"/>
  <c r="W246" i="14"/>
  <c r="W247" i="14"/>
  <c r="W248" i="14"/>
  <c r="W249" i="14"/>
  <c r="W250" i="14"/>
  <c r="W251" i="14"/>
  <c r="W252" i="14"/>
  <c r="W253" i="14"/>
  <c r="W254" i="14"/>
  <c r="W255" i="14"/>
  <c r="W256" i="14"/>
  <c r="W257" i="14"/>
  <c r="W258" i="14"/>
  <c r="W259" i="14"/>
  <c r="W260" i="14"/>
  <c r="W261" i="14"/>
  <c r="W262" i="14"/>
  <c r="W263" i="14"/>
  <c r="W264" i="14"/>
  <c r="W265" i="14"/>
  <c r="W266" i="14"/>
  <c r="W267" i="14"/>
  <c r="W268" i="14"/>
  <c r="W269" i="14"/>
  <c r="W270" i="14"/>
  <c r="W271" i="14"/>
  <c r="W272" i="14"/>
  <c r="W273" i="14"/>
  <c r="W274" i="14"/>
  <c r="W275" i="14"/>
  <c r="W276" i="14"/>
  <c r="W277" i="14"/>
  <c r="W278" i="14"/>
  <c r="W279" i="14"/>
  <c r="W280" i="14"/>
  <c r="W281" i="14"/>
  <c r="W282" i="14"/>
  <c r="W283" i="14"/>
  <c r="W284" i="14"/>
  <c r="W285" i="14"/>
  <c r="W286" i="14"/>
  <c r="W287" i="14"/>
  <c r="W288" i="14"/>
  <c r="W289" i="14"/>
  <c r="W290" i="14"/>
  <c r="W291" i="14"/>
  <c r="W292" i="14"/>
  <c r="W293" i="14"/>
  <c r="W294" i="14"/>
  <c r="W295" i="14"/>
  <c r="W296" i="14"/>
  <c r="W297" i="14"/>
  <c r="W298" i="14"/>
  <c r="W299" i="14"/>
  <c r="W300" i="14"/>
  <c r="W301" i="14"/>
  <c r="W302" i="14"/>
  <c r="W303" i="14"/>
  <c r="W304" i="14"/>
  <c r="W305" i="14"/>
  <c r="W306" i="14"/>
  <c r="W307" i="14"/>
  <c r="W53" i="14"/>
  <c r="W54" i="14"/>
  <c r="W78" i="14"/>
  <c r="W79" i="14"/>
  <c r="W80" i="14"/>
  <c r="W55" i="14"/>
  <c r="W56" i="14"/>
  <c r="W83" i="14"/>
  <c r="W84" i="14"/>
  <c r="W85" i="14"/>
  <c r="W86" i="14"/>
  <c r="W87" i="14"/>
  <c r="W88" i="14"/>
  <c r="W89" i="14"/>
  <c r="W90" i="14"/>
  <c r="W91" i="14"/>
  <c r="W92" i="14"/>
  <c r="W93" i="14"/>
  <c r="W94" i="14"/>
  <c r="W57" i="14"/>
  <c r="W58" i="14"/>
  <c r="W97" i="14"/>
  <c r="W98" i="14"/>
  <c r="W99" i="14"/>
  <c r="W100" i="14"/>
  <c r="W101" i="14"/>
  <c r="W102" i="14"/>
  <c r="W103" i="14"/>
  <c r="W104" i="14"/>
  <c r="Z3" i="14"/>
  <c r="AA3" i="14"/>
  <c r="AB3" i="14"/>
  <c r="AC3" i="14"/>
  <c r="AD3" i="14"/>
  <c r="AE3" i="14"/>
  <c r="AF3" i="14"/>
  <c r="AG3" i="14"/>
  <c r="AH3" i="14"/>
  <c r="AI3" i="14"/>
  <c r="AJ3" i="14"/>
  <c r="AK3" i="14"/>
  <c r="AL3" i="14"/>
  <c r="AM3" i="14"/>
  <c r="AN3" i="14"/>
  <c r="AO3" i="14"/>
  <c r="Z4" i="14"/>
  <c r="AA4" i="14"/>
  <c r="AB4" i="14"/>
  <c r="AC4" i="14"/>
  <c r="AD4" i="14"/>
  <c r="AE4" i="14"/>
  <c r="AF4" i="14"/>
  <c r="AG4" i="14"/>
  <c r="AH4" i="14"/>
  <c r="AI4" i="14"/>
  <c r="AJ4" i="14"/>
  <c r="AK4" i="14"/>
  <c r="AL4" i="14"/>
  <c r="AM4" i="14"/>
  <c r="AN4" i="14"/>
  <c r="AO4" i="14"/>
  <c r="Z5" i="14"/>
  <c r="AA5" i="14"/>
  <c r="AB5" i="14"/>
  <c r="AC5" i="14"/>
  <c r="AD5" i="14"/>
  <c r="AE5" i="14"/>
  <c r="AF5" i="14"/>
  <c r="AG5" i="14"/>
  <c r="AH5" i="14"/>
  <c r="AI5" i="14"/>
  <c r="AJ5" i="14"/>
  <c r="AK5" i="14"/>
  <c r="AL5" i="14"/>
  <c r="AM5" i="14"/>
  <c r="AN5" i="14"/>
  <c r="AO5" i="14"/>
  <c r="Z6" i="14"/>
  <c r="AA6" i="14"/>
  <c r="AB6" i="14"/>
  <c r="AC6" i="14"/>
  <c r="AD6" i="14"/>
  <c r="AE6" i="14"/>
  <c r="AF6" i="14"/>
  <c r="AG6" i="14"/>
  <c r="AH6" i="14"/>
  <c r="AI6" i="14"/>
  <c r="AJ6" i="14"/>
  <c r="AK6" i="14"/>
  <c r="AL6" i="14"/>
  <c r="AM6" i="14"/>
  <c r="AN6" i="14"/>
  <c r="AO6" i="14"/>
  <c r="Z7" i="14"/>
  <c r="AA7" i="14"/>
  <c r="AB7" i="14"/>
  <c r="AC7" i="14"/>
  <c r="AD7" i="14"/>
  <c r="AE7" i="14"/>
  <c r="AF7" i="14"/>
  <c r="AG7" i="14"/>
  <c r="AH7" i="14"/>
  <c r="AI7" i="14"/>
  <c r="AJ7" i="14"/>
  <c r="AK7" i="14"/>
  <c r="AL7" i="14"/>
  <c r="AM7" i="14"/>
  <c r="AN7" i="14"/>
  <c r="AO7" i="14"/>
  <c r="Z8" i="14"/>
  <c r="AA8" i="14"/>
  <c r="AB8" i="14"/>
  <c r="AC8" i="14"/>
  <c r="AD8" i="14"/>
  <c r="AE8" i="14"/>
  <c r="AF8" i="14"/>
  <c r="AG8" i="14"/>
  <c r="AH8" i="14"/>
  <c r="AI8" i="14"/>
  <c r="AJ8" i="14"/>
  <c r="AK8" i="14"/>
  <c r="AL8" i="14"/>
  <c r="AM8" i="14"/>
  <c r="AN8" i="14"/>
  <c r="AO8" i="14"/>
  <c r="Z9" i="14"/>
  <c r="AA9" i="14"/>
  <c r="AB9" i="14"/>
  <c r="AC9" i="14"/>
  <c r="AD9" i="14"/>
  <c r="AE9" i="14"/>
  <c r="AF9" i="14"/>
  <c r="AG9" i="14"/>
  <c r="AH9" i="14"/>
  <c r="AI9" i="14"/>
  <c r="AJ9" i="14"/>
  <c r="AK9" i="14"/>
  <c r="AL9" i="14"/>
  <c r="AM9" i="14"/>
  <c r="AN9" i="14"/>
  <c r="AO9" i="14"/>
  <c r="Z10" i="14"/>
  <c r="AA10" i="14"/>
  <c r="AB10" i="14"/>
  <c r="AC10" i="14"/>
  <c r="AD10" i="14"/>
  <c r="AE10" i="14"/>
  <c r="AF10" i="14"/>
  <c r="AG10" i="14"/>
  <c r="AH10" i="14"/>
  <c r="AI10" i="14"/>
  <c r="AJ10" i="14"/>
  <c r="AK10" i="14"/>
  <c r="AL10" i="14"/>
  <c r="AM10" i="14"/>
  <c r="AN10" i="14"/>
  <c r="AO10" i="14"/>
  <c r="Z11" i="14"/>
  <c r="AA11" i="14"/>
  <c r="AB11" i="14"/>
  <c r="AC11" i="14"/>
  <c r="AD11" i="14"/>
  <c r="AE11" i="14"/>
  <c r="AF11" i="14"/>
  <c r="AG11" i="14"/>
  <c r="AH11" i="14"/>
  <c r="AI11" i="14"/>
  <c r="AJ11" i="14"/>
  <c r="AK11" i="14"/>
  <c r="AL11" i="14"/>
  <c r="AM11" i="14"/>
  <c r="AN11" i="14"/>
  <c r="AO11" i="14"/>
  <c r="Z12" i="14"/>
  <c r="AA12" i="14"/>
  <c r="AB12" i="14"/>
  <c r="AC12" i="14"/>
  <c r="AD12" i="14"/>
  <c r="AE12" i="14"/>
  <c r="AF12" i="14"/>
  <c r="AG12" i="14"/>
  <c r="AH12" i="14"/>
  <c r="AI12" i="14"/>
  <c r="AJ12" i="14"/>
  <c r="AK12" i="14"/>
  <c r="AL12" i="14"/>
  <c r="AM12" i="14"/>
  <c r="AN12" i="14"/>
  <c r="AO12" i="14"/>
  <c r="Z13" i="14"/>
  <c r="AA13" i="14"/>
  <c r="AB13" i="14"/>
  <c r="AC13" i="14"/>
  <c r="AD13" i="14"/>
  <c r="AE13" i="14"/>
  <c r="AF13" i="14"/>
  <c r="AG13" i="14"/>
  <c r="AH13" i="14"/>
  <c r="AI13" i="14"/>
  <c r="AJ13" i="14"/>
  <c r="AK13" i="14"/>
  <c r="AL13" i="14"/>
  <c r="AM13" i="14"/>
  <c r="AN13" i="14"/>
  <c r="AO13" i="14"/>
  <c r="Z14" i="14"/>
  <c r="AA14" i="14"/>
  <c r="AB14" i="14"/>
  <c r="AC14" i="14"/>
  <c r="AD14" i="14"/>
  <c r="AE14" i="14"/>
  <c r="AF14" i="14"/>
  <c r="AG14" i="14"/>
  <c r="AH14" i="14"/>
  <c r="AI14" i="14"/>
  <c r="AJ14" i="14"/>
  <c r="AK14" i="14"/>
  <c r="AL14" i="14"/>
  <c r="AM14" i="14"/>
  <c r="AN14" i="14"/>
  <c r="AO14" i="14"/>
  <c r="Z15" i="14"/>
  <c r="AA15" i="14"/>
  <c r="AB15" i="14"/>
  <c r="AC15" i="14"/>
  <c r="AD15" i="14"/>
  <c r="AE15" i="14"/>
  <c r="AF15" i="14"/>
  <c r="AG15" i="14"/>
  <c r="AH15" i="14"/>
  <c r="AI15" i="14"/>
  <c r="AJ15" i="14"/>
  <c r="AK15" i="14"/>
  <c r="AL15" i="14"/>
  <c r="AM15" i="14"/>
  <c r="AN15" i="14"/>
  <c r="AO15" i="14"/>
  <c r="Z16" i="14"/>
  <c r="AA16" i="14"/>
  <c r="AB16" i="14"/>
  <c r="AC16" i="14"/>
  <c r="AD16" i="14"/>
  <c r="AE16" i="14"/>
  <c r="AF16" i="14"/>
  <c r="AG16" i="14"/>
  <c r="AH16" i="14"/>
  <c r="AI16" i="14"/>
  <c r="AJ16" i="14"/>
  <c r="AK16" i="14"/>
  <c r="AL16" i="14"/>
  <c r="AM16" i="14"/>
  <c r="AN16" i="14"/>
  <c r="AO16" i="14"/>
  <c r="Z17" i="14"/>
  <c r="AA17" i="14"/>
  <c r="AB17" i="14"/>
  <c r="AC17" i="14"/>
  <c r="AD17" i="14"/>
  <c r="AE17" i="14"/>
  <c r="AF17" i="14"/>
  <c r="AG17" i="14"/>
  <c r="AH17" i="14"/>
  <c r="AI17" i="14"/>
  <c r="AJ17" i="14"/>
  <c r="AK17" i="14"/>
  <c r="AL17" i="14"/>
  <c r="AM17" i="14"/>
  <c r="AN17" i="14"/>
  <c r="AO17" i="14"/>
  <c r="Z18" i="14"/>
  <c r="AA18" i="14"/>
  <c r="AB18" i="14"/>
  <c r="AC18" i="14"/>
  <c r="AD18" i="14"/>
  <c r="AE18" i="14"/>
  <c r="AF18" i="14"/>
  <c r="AG18" i="14"/>
  <c r="AH18" i="14"/>
  <c r="AI18" i="14"/>
  <c r="AJ18" i="14"/>
  <c r="AK18" i="14"/>
  <c r="AL18" i="14"/>
  <c r="AM18" i="14"/>
  <c r="AN18" i="14"/>
  <c r="AO18" i="14"/>
  <c r="Z19" i="14"/>
  <c r="AA19" i="14"/>
  <c r="AB19" i="14"/>
  <c r="AC19" i="14"/>
  <c r="AD19" i="14"/>
  <c r="AE19" i="14"/>
  <c r="AF19" i="14"/>
  <c r="AG19" i="14"/>
  <c r="AH19" i="14"/>
  <c r="AI19" i="14"/>
  <c r="AJ19" i="14"/>
  <c r="AK19" i="14"/>
  <c r="AL19" i="14"/>
  <c r="AM19" i="14"/>
  <c r="AN19" i="14"/>
  <c r="AO19" i="14"/>
  <c r="Z20" i="14"/>
  <c r="AA20" i="14"/>
  <c r="AB20" i="14"/>
  <c r="AC20" i="14"/>
  <c r="AD20" i="14"/>
  <c r="AE20" i="14"/>
  <c r="AF20" i="14"/>
  <c r="AG20" i="14"/>
  <c r="AH20" i="14"/>
  <c r="AI20" i="14"/>
  <c r="AJ20" i="14"/>
  <c r="AK20" i="14"/>
  <c r="AL20" i="14"/>
  <c r="AM20" i="14"/>
  <c r="AN20" i="14"/>
  <c r="AO20" i="14"/>
  <c r="Z21" i="14"/>
  <c r="AA21" i="14"/>
  <c r="AB21" i="14"/>
  <c r="AC21" i="14"/>
  <c r="AD21" i="14"/>
  <c r="AE21" i="14"/>
  <c r="AF21" i="14"/>
  <c r="AG21" i="14"/>
  <c r="AH21" i="14"/>
  <c r="AI21" i="14"/>
  <c r="AJ21" i="14"/>
  <c r="AK21" i="14"/>
  <c r="AL21" i="14"/>
  <c r="AM21" i="14"/>
  <c r="AN21" i="14"/>
  <c r="AO21" i="14"/>
  <c r="Z22" i="14"/>
  <c r="AA22" i="14"/>
  <c r="AB22" i="14"/>
  <c r="AC22" i="14"/>
  <c r="AD22" i="14"/>
  <c r="AE22" i="14"/>
  <c r="AF22" i="14"/>
  <c r="AG22" i="14"/>
  <c r="AH22" i="14"/>
  <c r="AI22" i="14"/>
  <c r="AJ22" i="14"/>
  <c r="AK22" i="14"/>
  <c r="AL22" i="14"/>
  <c r="AM22" i="14"/>
  <c r="AN22" i="14"/>
  <c r="AO22" i="14"/>
  <c r="Z23" i="14"/>
  <c r="AA23" i="14"/>
  <c r="AB23" i="14"/>
  <c r="AC23" i="14"/>
  <c r="AD23" i="14"/>
  <c r="AE23" i="14"/>
  <c r="AF23" i="14"/>
  <c r="AG23" i="14"/>
  <c r="AH23" i="14"/>
  <c r="AI23" i="14"/>
  <c r="AJ23" i="14"/>
  <c r="AK23" i="14"/>
  <c r="AL23" i="14"/>
  <c r="AM23" i="14"/>
  <c r="AN23" i="14"/>
  <c r="AO23" i="14"/>
  <c r="Z24" i="14"/>
  <c r="AA24" i="14"/>
  <c r="AB24" i="14"/>
  <c r="AC24" i="14"/>
  <c r="AD24" i="14"/>
  <c r="AE24" i="14"/>
  <c r="AF24" i="14"/>
  <c r="AG24" i="14"/>
  <c r="AH24" i="14"/>
  <c r="AI24" i="14"/>
  <c r="AJ24" i="14"/>
  <c r="AK24" i="14"/>
  <c r="AL24" i="14"/>
  <c r="AM24" i="14"/>
  <c r="AN24" i="14"/>
  <c r="AO24" i="14"/>
  <c r="Z25" i="14"/>
  <c r="AA25" i="14"/>
  <c r="AB25" i="14"/>
  <c r="AC25" i="14"/>
  <c r="AD25" i="14"/>
  <c r="AE25" i="14"/>
  <c r="AF25" i="14"/>
  <c r="AG25" i="14"/>
  <c r="AH25" i="14"/>
  <c r="AI25" i="14"/>
  <c r="AJ25" i="14"/>
  <c r="AK25" i="14"/>
  <c r="AL25" i="14"/>
  <c r="AM25" i="14"/>
  <c r="AN25" i="14"/>
  <c r="AO25" i="14"/>
  <c r="Z26" i="14"/>
  <c r="AA26" i="14"/>
  <c r="AB26" i="14"/>
  <c r="AC26" i="14"/>
  <c r="AD26" i="14"/>
  <c r="AE26" i="14"/>
  <c r="AF26" i="14"/>
  <c r="AG26" i="14"/>
  <c r="AH26" i="14"/>
  <c r="AI26" i="14"/>
  <c r="AJ26" i="14"/>
  <c r="AK26" i="14"/>
  <c r="AL26" i="14"/>
  <c r="AM26" i="14"/>
  <c r="AN26" i="14"/>
  <c r="AO26" i="14"/>
  <c r="Z27" i="14"/>
  <c r="AA27" i="14"/>
  <c r="AB27" i="14"/>
  <c r="AC27" i="14"/>
  <c r="AD27" i="14"/>
  <c r="AE27" i="14"/>
  <c r="AF27" i="14"/>
  <c r="AG27" i="14"/>
  <c r="AH27" i="14"/>
  <c r="AI27" i="14"/>
  <c r="AJ27" i="14"/>
  <c r="AK27" i="14"/>
  <c r="AL27" i="14"/>
  <c r="AM27" i="14"/>
  <c r="AN27" i="14"/>
  <c r="AO27" i="14"/>
  <c r="Z28" i="14"/>
  <c r="AA28" i="14"/>
  <c r="AB28" i="14"/>
  <c r="AC28" i="14"/>
  <c r="AD28" i="14"/>
  <c r="AE28" i="14"/>
  <c r="AF28" i="14"/>
  <c r="AG28" i="14"/>
  <c r="AH28" i="14"/>
  <c r="AI28" i="14"/>
  <c r="AJ28" i="14"/>
  <c r="AK28" i="14"/>
  <c r="AL28" i="14"/>
  <c r="AM28" i="14"/>
  <c r="AN28" i="14"/>
  <c r="AO28" i="14"/>
  <c r="Z29" i="14"/>
  <c r="AA29" i="14"/>
  <c r="AB29" i="14"/>
  <c r="AC29" i="14"/>
  <c r="AD29" i="14"/>
  <c r="AE29" i="14"/>
  <c r="AF29" i="14"/>
  <c r="AG29" i="14"/>
  <c r="AH29" i="14"/>
  <c r="AI29" i="14"/>
  <c r="AJ29" i="14"/>
  <c r="AK29" i="14"/>
  <c r="AL29" i="14"/>
  <c r="AM29" i="14"/>
  <c r="AN29" i="14"/>
  <c r="AO29" i="14"/>
  <c r="Z30" i="14"/>
  <c r="AA30" i="14"/>
  <c r="AB30" i="14"/>
  <c r="AC30" i="14"/>
  <c r="AD30" i="14"/>
  <c r="AE30" i="14"/>
  <c r="AF30" i="14"/>
  <c r="AG30" i="14"/>
  <c r="AH30" i="14"/>
  <c r="AI30" i="14"/>
  <c r="AJ30" i="14"/>
  <c r="AK30" i="14"/>
  <c r="AL30" i="14"/>
  <c r="AM30" i="14"/>
  <c r="AN30" i="14"/>
  <c r="AO30" i="14"/>
  <c r="Z31" i="14"/>
  <c r="AA31" i="14"/>
  <c r="AB31" i="14"/>
  <c r="AC31" i="14"/>
  <c r="AD31" i="14"/>
  <c r="AE31" i="14"/>
  <c r="AF31" i="14"/>
  <c r="AG31" i="14"/>
  <c r="AH31" i="14"/>
  <c r="AI31" i="14"/>
  <c r="AJ31" i="14"/>
  <c r="AK31" i="14"/>
  <c r="AL31" i="14"/>
  <c r="AM31" i="14"/>
  <c r="AN31" i="14"/>
  <c r="AO31" i="14"/>
  <c r="Z32" i="14"/>
  <c r="AA32" i="14"/>
  <c r="AB32" i="14"/>
  <c r="AC32" i="14"/>
  <c r="AD32" i="14"/>
  <c r="AE32" i="14"/>
  <c r="AF32" i="14"/>
  <c r="AG32" i="14"/>
  <c r="AH32" i="14"/>
  <c r="AI32" i="14"/>
  <c r="AJ32" i="14"/>
  <c r="AK32" i="14"/>
  <c r="AL32" i="14"/>
  <c r="AM32" i="14"/>
  <c r="AN32" i="14"/>
  <c r="AO32" i="14"/>
  <c r="Z33" i="14"/>
  <c r="AA33" i="14"/>
  <c r="AB33" i="14"/>
  <c r="AC33" i="14"/>
  <c r="AD33" i="14"/>
  <c r="AE33" i="14"/>
  <c r="AF33" i="14"/>
  <c r="AG33" i="14"/>
  <c r="AH33" i="14"/>
  <c r="AI33" i="14"/>
  <c r="AJ33" i="14"/>
  <c r="AK33" i="14"/>
  <c r="AL33" i="14"/>
  <c r="AM33" i="14"/>
  <c r="AN33" i="14"/>
  <c r="AO33" i="14"/>
  <c r="Z34" i="14"/>
  <c r="AA34" i="14"/>
  <c r="AB34" i="14"/>
  <c r="AC34" i="14"/>
  <c r="AD34" i="14"/>
  <c r="AE34" i="14"/>
  <c r="AF34" i="14"/>
  <c r="AG34" i="14"/>
  <c r="AH34" i="14"/>
  <c r="AI34" i="14"/>
  <c r="AJ34" i="14"/>
  <c r="AK34" i="14"/>
  <c r="AL34" i="14"/>
  <c r="AM34" i="14"/>
  <c r="AN34" i="14"/>
  <c r="AO34" i="14"/>
  <c r="Z35" i="14"/>
  <c r="AA35" i="14"/>
  <c r="AB35" i="14"/>
  <c r="AC35" i="14"/>
  <c r="AD35" i="14"/>
  <c r="AE35" i="14"/>
  <c r="AF35" i="14"/>
  <c r="AG35" i="14"/>
  <c r="AH35" i="14"/>
  <c r="AI35" i="14"/>
  <c r="AJ35" i="14"/>
  <c r="AK35" i="14"/>
  <c r="AL35" i="14"/>
  <c r="AM35" i="14"/>
  <c r="AN35" i="14"/>
  <c r="AO35" i="14"/>
  <c r="Z36" i="14"/>
  <c r="AA36" i="14"/>
  <c r="AB36" i="14"/>
  <c r="AC36" i="14"/>
  <c r="AD36" i="14"/>
  <c r="AE36" i="14"/>
  <c r="AF36" i="14"/>
  <c r="AG36" i="14"/>
  <c r="AH36" i="14"/>
  <c r="AI36" i="14"/>
  <c r="AJ36" i="14"/>
  <c r="AK36" i="14"/>
  <c r="AL36" i="14"/>
  <c r="AM36" i="14"/>
  <c r="AN36" i="14"/>
  <c r="AO36" i="14"/>
  <c r="Z37" i="14"/>
  <c r="AA37" i="14"/>
  <c r="AB37" i="14"/>
  <c r="AC37" i="14"/>
  <c r="AD37" i="14"/>
  <c r="AE37" i="14"/>
  <c r="AF37" i="14"/>
  <c r="AG37" i="14"/>
  <c r="AH37" i="14"/>
  <c r="AI37" i="14"/>
  <c r="AJ37" i="14"/>
  <c r="AK37" i="14"/>
  <c r="AL37" i="14"/>
  <c r="AM37" i="14"/>
  <c r="AN37" i="14"/>
  <c r="AO37" i="14"/>
  <c r="Z38" i="14"/>
  <c r="AA38" i="14"/>
  <c r="AB38" i="14"/>
  <c r="AC38" i="14"/>
  <c r="AD38" i="14"/>
  <c r="AE38" i="14"/>
  <c r="AF38" i="14"/>
  <c r="AG38" i="14"/>
  <c r="AH38" i="14"/>
  <c r="AI38" i="14"/>
  <c r="AJ38" i="14"/>
  <c r="AK38" i="14"/>
  <c r="AL38" i="14"/>
  <c r="AM38" i="14"/>
  <c r="AN38" i="14"/>
  <c r="AO38" i="14"/>
  <c r="Z39" i="14"/>
  <c r="AA39" i="14"/>
  <c r="AB39" i="14"/>
  <c r="AC39" i="14"/>
  <c r="AD39" i="14"/>
  <c r="AE39" i="14"/>
  <c r="AF39" i="14"/>
  <c r="AG39" i="14"/>
  <c r="AH39" i="14"/>
  <c r="AI39" i="14"/>
  <c r="AJ39" i="14"/>
  <c r="AK39" i="14"/>
  <c r="AL39" i="14"/>
  <c r="AM39" i="14"/>
  <c r="AN39" i="14"/>
  <c r="AO39" i="14"/>
  <c r="Z40" i="14"/>
  <c r="AA40" i="14"/>
  <c r="AB40" i="14"/>
  <c r="AC40" i="14"/>
  <c r="AD40" i="14"/>
  <c r="AE40" i="14"/>
  <c r="AF40" i="14"/>
  <c r="AG40" i="14"/>
  <c r="AH40" i="14"/>
  <c r="AI40" i="14"/>
  <c r="AJ40" i="14"/>
  <c r="AK40" i="14"/>
  <c r="AL40" i="14"/>
  <c r="AM40" i="14"/>
  <c r="AN40" i="14"/>
  <c r="AO40" i="14"/>
  <c r="Z41" i="14"/>
  <c r="AA41" i="14"/>
  <c r="AB41" i="14"/>
  <c r="AC41" i="14"/>
  <c r="AD41" i="14"/>
  <c r="AE41" i="14"/>
  <c r="AF41" i="14"/>
  <c r="AG41" i="14"/>
  <c r="AH41" i="14"/>
  <c r="AI41" i="14"/>
  <c r="AJ41" i="14"/>
  <c r="AK41" i="14"/>
  <c r="AL41" i="14"/>
  <c r="AM41" i="14"/>
  <c r="AN41" i="14"/>
  <c r="AO41" i="14"/>
  <c r="Z42" i="14"/>
  <c r="AA42" i="14"/>
  <c r="AB42" i="14"/>
  <c r="AC42" i="14"/>
  <c r="AD42" i="14"/>
  <c r="AE42" i="14"/>
  <c r="AF42" i="14"/>
  <c r="AG42" i="14"/>
  <c r="AH42" i="14"/>
  <c r="AI42" i="14"/>
  <c r="AJ42" i="14"/>
  <c r="AK42" i="14"/>
  <c r="AL42" i="14"/>
  <c r="AM42" i="14"/>
  <c r="AN42" i="14"/>
  <c r="AO42" i="14"/>
  <c r="Z43" i="14"/>
  <c r="AA43" i="14"/>
  <c r="AB43" i="14"/>
  <c r="AC43" i="14"/>
  <c r="AD43" i="14"/>
  <c r="AE43" i="14"/>
  <c r="AF43" i="14"/>
  <c r="AG43" i="14"/>
  <c r="AH43" i="14"/>
  <c r="AI43" i="14"/>
  <c r="AJ43" i="14"/>
  <c r="AK43" i="14"/>
  <c r="AL43" i="14"/>
  <c r="AM43" i="14"/>
  <c r="AN43" i="14"/>
  <c r="AO43" i="14"/>
  <c r="Z44" i="14"/>
  <c r="AA44" i="14"/>
  <c r="AB44" i="14"/>
  <c r="AC44" i="14"/>
  <c r="AD44" i="14"/>
  <c r="AE44" i="14"/>
  <c r="AF44" i="14"/>
  <c r="AG44" i="14"/>
  <c r="AH44" i="14"/>
  <c r="AI44" i="14"/>
  <c r="AJ44" i="14"/>
  <c r="AK44" i="14"/>
  <c r="AL44" i="14"/>
  <c r="AM44" i="14"/>
  <c r="AN44" i="14"/>
  <c r="AO44" i="14"/>
  <c r="Z45" i="14"/>
  <c r="AA45" i="14"/>
  <c r="AB45" i="14"/>
  <c r="AC45" i="14"/>
  <c r="AD45" i="14"/>
  <c r="AE45" i="14"/>
  <c r="AF45" i="14"/>
  <c r="AG45" i="14"/>
  <c r="AH45" i="14"/>
  <c r="AI45" i="14"/>
  <c r="AJ45" i="14"/>
  <c r="AK45" i="14"/>
  <c r="AL45" i="14"/>
  <c r="AM45" i="14"/>
  <c r="AN45" i="14"/>
  <c r="AO45" i="14"/>
  <c r="Z46" i="14"/>
  <c r="AA46" i="14"/>
  <c r="AB46" i="14"/>
  <c r="AC46" i="14"/>
  <c r="AD46" i="14"/>
  <c r="AE46" i="14"/>
  <c r="AF46" i="14"/>
  <c r="AG46" i="14"/>
  <c r="AH46" i="14"/>
  <c r="AI46" i="14"/>
  <c r="AJ46" i="14"/>
  <c r="AK46" i="14"/>
  <c r="AL46" i="14"/>
  <c r="AM46" i="14"/>
  <c r="AN46" i="14"/>
  <c r="AO46" i="14"/>
  <c r="Z47" i="14"/>
  <c r="AA47" i="14"/>
  <c r="AB47" i="14"/>
  <c r="AC47" i="14"/>
  <c r="AD47" i="14"/>
  <c r="AE47" i="14"/>
  <c r="AF47" i="14"/>
  <c r="AG47" i="14"/>
  <c r="AH47" i="14"/>
  <c r="AI47" i="14"/>
  <c r="AJ47" i="14"/>
  <c r="AK47" i="14"/>
  <c r="AL47" i="14"/>
  <c r="AM47" i="14"/>
  <c r="AN47" i="14"/>
  <c r="AO47" i="14"/>
  <c r="Z48" i="14"/>
  <c r="AA48" i="14"/>
  <c r="AB48" i="14"/>
  <c r="AC48" i="14"/>
  <c r="AD48" i="14"/>
  <c r="AE48" i="14"/>
  <c r="AF48" i="14"/>
  <c r="AG48" i="14"/>
  <c r="AH48" i="14"/>
  <c r="AI48" i="14"/>
  <c r="AJ48" i="14"/>
  <c r="AK48" i="14"/>
  <c r="AL48" i="14"/>
  <c r="AM48" i="14"/>
  <c r="AN48" i="14"/>
  <c r="AO48" i="14"/>
  <c r="Z49" i="14"/>
  <c r="AA49" i="14"/>
  <c r="AB49" i="14"/>
  <c r="AC49" i="14"/>
  <c r="AD49" i="14"/>
  <c r="AE49" i="14"/>
  <c r="AF49" i="14"/>
  <c r="AG49" i="14"/>
  <c r="AH49" i="14"/>
  <c r="AI49" i="14"/>
  <c r="AJ49" i="14"/>
  <c r="AK49" i="14"/>
  <c r="AL49" i="14"/>
  <c r="AM49" i="14"/>
  <c r="AN49" i="14"/>
  <c r="AO49" i="14"/>
  <c r="Z50" i="14"/>
  <c r="AA50" i="14"/>
  <c r="AB50" i="14"/>
  <c r="AC50" i="14"/>
  <c r="AD50" i="14"/>
  <c r="AE50" i="14"/>
  <c r="AF50" i="14"/>
  <c r="AG50" i="14"/>
  <c r="AH50" i="14"/>
  <c r="AI50" i="14"/>
  <c r="AJ50" i="14"/>
  <c r="AK50" i="14"/>
  <c r="AL50" i="14"/>
  <c r="AM50" i="14"/>
  <c r="AN50" i="14"/>
  <c r="AO50" i="14"/>
  <c r="Z51" i="14"/>
  <c r="AA51" i="14"/>
  <c r="AB51" i="14"/>
  <c r="AC51" i="14"/>
  <c r="AD51" i="14"/>
  <c r="AE51" i="14"/>
  <c r="AF51" i="14"/>
  <c r="AG51" i="14"/>
  <c r="AH51" i="14"/>
  <c r="AI51" i="14"/>
  <c r="AJ51" i="14"/>
  <c r="AK51" i="14"/>
  <c r="AL51" i="14"/>
  <c r="AM51" i="14"/>
  <c r="AN51" i="14"/>
  <c r="AO51" i="14"/>
  <c r="Z52" i="14"/>
  <c r="AA52" i="14"/>
  <c r="AB52" i="14"/>
  <c r="AC52" i="14"/>
  <c r="AD52" i="14"/>
  <c r="AE52" i="14"/>
  <c r="AF52" i="14"/>
  <c r="AG52" i="14"/>
  <c r="AH52" i="14"/>
  <c r="AI52" i="14"/>
  <c r="AJ52" i="14"/>
  <c r="AK52" i="14"/>
  <c r="AL52" i="14"/>
  <c r="AM52" i="14"/>
  <c r="AN52" i="14"/>
  <c r="AO52" i="14"/>
  <c r="Y52" i="14"/>
  <c r="Y51" i="14"/>
  <c r="Y50" i="14"/>
  <c r="Y49" i="14"/>
  <c r="Y48" i="14"/>
  <c r="Y47" i="14"/>
  <c r="Y46" i="14"/>
  <c r="Y45" i="14"/>
  <c r="Y44" i="14"/>
  <c r="Y43" i="14"/>
  <c r="Y42" i="14"/>
  <c r="Y41" i="14"/>
  <c r="Y40" i="14"/>
  <c r="Y39" i="14"/>
  <c r="Y38" i="14"/>
  <c r="Y37" i="14"/>
  <c r="Y36" i="14"/>
  <c r="Y35" i="14"/>
  <c r="Y34" i="14"/>
  <c r="Y33" i="14"/>
  <c r="Y32" i="14"/>
  <c r="Y31" i="14"/>
  <c r="Y30" i="14"/>
  <c r="Y29" i="14"/>
  <c r="Y28" i="14"/>
  <c r="Y27" i="14"/>
  <c r="Y26" i="14"/>
  <c r="Y25" i="14"/>
  <c r="Y24" i="14"/>
  <c r="Y23" i="14"/>
  <c r="Y22" i="14"/>
  <c r="Y21" i="14"/>
  <c r="Y20" i="14"/>
  <c r="Y19" i="14"/>
  <c r="Y18" i="14"/>
  <c r="Y17" i="14"/>
  <c r="Y16" i="14"/>
  <c r="Y15" i="14"/>
  <c r="Y14" i="14"/>
  <c r="Y13" i="14"/>
  <c r="Y12" i="14"/>
  <c r="Y11" i="14"/>
  <c r="Y10" i="14"/>
  <c r="Y9" i="14"/>
  <c r="Y8" i="14"/>
  <c r="Y7" i="14"/>
  <c r="Y6" i="14"/>
  <c r="Y5" i="14"/>
  <c r="Y4" i="14"/>
  <c r="Y3" i="14"/>
  <c r="X52" i="14"/>
  <c r="X51" i="14"/>
  <c r="X50" i="14"/>
  <c r="X49" i="14"/>
  <c r="X48" i="14"/>
  <c r="X47" i="14"/>
  <c r="X46" i="14"/>
  <c r="X45" i="14"/>
  <c r="X44" i="14"/>
  <c r="X43" i="14"/>
  <c r="X42" i="14"/>
  <c r="X41" i="14"/>
  <c r="X40" i="14"/>
  <c r="X39" i="14"/>
  <c r="X38" i="14"/>
  <c r="X37" i="14"/>
  <c r="X36" i="14"/>
  <c r="X35" i="14"/>
  <c r="X34" i="14"/>
  <c r="X33" i="14"/>
  <c r="X32" i="14"/>
  <c r="X31" i="14"/>
  <c r="X30" i="14"/>
  <c r="X29" i="14"/>
  <c r="X28" i="14"/>
  <c r="X27" i="14"/>
  <c r="X26" i="14"/>
  <c r="X25" i="14"/>
  <c r="X24" i="14"/>
  <c r="X23" i="14"/>
  <c r="X22" i="14"/>
  <c r="X21" i="14"/>
  <c r="X20" i="14"/>
  <c r="X19" i="14"/>
  <c r="X18" i="14"/>
  <c r="X17" i="14"/>
  <c r="X16" i="14"/>
  <c r="X15" i="14"/>
  <c r="X14" i="14"/>
  <c r="X13" i="14"/>
  <c r="X12" i="14"/>
  <c r="X11" i="14"/>
  <c r="X10" i="14"/>
  <c r="X9" i="14"/>
  <c r="X8" i="14"/>
  <c r="X7" i="14"/>
  <c r="X6" i="14"/>
  <c r="X5" i="14"/>
  <c r="X4" i="14"/>
  <c r="X3" i="14"/>
  <c r="W52" i="14"/>
  <c r="W51" i="14"/>
  <c r="W50" i="14"/>
  <c r="W49" i="14"/>
  <c r="W48" i="14"/>
  <c r="W47" i="14"/>
  <c r="W46" i="14"/>
  <c r="W45" i="14"/>
  <c r="W44" i="14"/>
  <c r="W43" i="14"/>
  <c r="W42" i="14"/>
  <c r="W41" i="14"/>
  <c r="W40" i="14"/>
  <c r="W39" i="14"/>
  <c r="W38" i="14"/>
  <c r="W37" i="14"/>
  <c r="W36" i="14"/>
  <c r="W35" i="14"/>
  <c r="W34" i="14"/>
  <c r="W33" i="14"/>
  <c r="W32" i="14"/>
  <c r="W31" i="14"/>
  <c r="W30" i="14"/>
  <c r="W29" i="14"/>
  <c r="W28" i="14"/>
  <c r="W27" i="14"/>
  <c r="W26" i="14"/>
  <c r="W25" i="14"/>
  <c r="W24" i="14"/>
  <c r="W23" i="14"/>
  <c r="W22" i="14"/>
  <c r="W21" i="14"/>
  <c r="W20" i="14"/>
  <c r="W19" i="14"/>
  <c r="W18" i="14"/>
  <c r="W17" i="14"/>
  <c r="W16" i="14"/>
  <c r="W15" i="14"/>
  <c r="W14" i="14"/>
  <c r="W13" i="14"/>
  <c r="W12" i="14"/>
  <c r="W11" i="14"/>
  <c r="W10" i="14"/>
  <c r="W9" i="14"/>
  <c r="W8" i="14"/>
  <c r="W7" i="14"/>
  <c r="W6" i="14"/>
  <c r="W5" i="14"/>
  <c r="W4" i="14"/>
  <c r="W3" i="14"/>
  <c r="G5" i="7" l="1"/>
  <c r="I6" i="7"/>
  <c r="I5" i="7"/>
  <c r="K864" i="12"/>
  <c r="C1" i="13"/>
  <c r="A2" i="13"/>
  <c r="C2" i="13" s="1"/>
  <c r="A3" i="13"/>
  <c r="C3" i="13" s="1"/>
  <c r="A4" i="13"/>
  <c r="C4" i="13" s="1"/>
  <c r="A5" i="13"/>
  <c r="C5" i="13" s="1"/>
  <c r="A6" i="13"/>
  <c r="C6" i="13" s="1"/>
  <c r="A7" i="13"/>
  <c r="C7" i="13" s="1"/>
  <c r="A8" i="13"/>
  <c r="C8" i="13" s="1"/>
  <c r="A9" i="13"/>
  <c r="C9" i="13" s="1"/>
  <c r="A10" i="13"/>
  <c r="C10" i="13" s="1"/>
  <c r="A11" i="13"/>
  <c r="C11" i="13" s="1"/>
  <c r="A12" i="13"/>
  <c r="C12" i="13" s="1"/>
  <c r="A13" i="13"/>
  <c r="C13" i="13" s="1"/>
  <c r="A14" i="13"/>
  <c r="C14" i="13" s="1"/>
  <c r="A15" i="13"/>
  <c r="C15" i="13" s="1"/>
  <c r="A16" i="13"/>
  <c r="C16" i="13" s="1"/>
  <c r="A17" i="13"/>
  <c r="C17" i="13" s="1"/>
  <c r="A18" i="13"/>
  <c r="C18" i="13" s="1"/>
  <c r="A19" i="13"/>
  <c r="C19" i="13" s="1"/>
  <c r="A20" i="13"/>
  <c r="C20" i="13" s="1"/>
  <c r="A21" i="13"/>
  <c r="C21" i="13" s="1"/>
  <c r="A22" i="13"/>
  <c r="C22" i="13" s="1"/>
  <c r="A23" i="13"/>
  <c r="C23" i="13" s="1"/>
  <c r="A24" i="13"/>
  <c r="C24" i="13" s="1"/>
  <c r="A25" i="13"/>
  <c r="C25" i="13" s="1"/>
  <c r="A26" i="13"/>
  <c r="C26" i="13" s="1"/>
  <c r="A27" i="13"/>
  <c r="C27" i="13" s="1"/>
  <c r="A28" i="13"/>
  <c r="C28" i="13" s="1"/>
  <c r="A29" i="13"/>
  <c r="C29" i="13" s="1"/>
  <c r="A30" i="13"/>
  <c r="C30" i="13" s="1"/>
  <c r="A31" i="13"/>
  <c r="C31" i="13" s="1"/>
  <c r="O1" i="7"/>
  <c r="W7" i="1"/>
  <c r="X7" i="1"/>
  <c r="AC7" i="1"/>
  <c r="AE7" i="1"/>
  <c r="AC8" i="1"/>
  <c r="AE8" i="1"/>
  <c r="AK8" i="1"/>
  <c r="W9" i="1"/>
  <c r="AD9" i="1"/>
  <c r="AE9" i="1"/>
  <c r="AH9" i="1"/>
  <c r="AK9" i="1"/>
  <c r="X10" i="1"/>
  <c r="AD10" i="1"/>
  <c r="AF10" i="1"/>
  <c r="AI10" i="1"/>
  <c r="AK10" i="1"/>
  <c r="Z11" i="1"/>
  <c r="AA11" i="1"/>
  <c r="AH11" i="1"/>
  <c r="AI11" i="1"/>
  <c r="AA12" i="1"/>
  <c r="AK12" i="1"/>
  <c r="Z13" i="1"/>
  <c r="AA13" i="1"/>
  <c r="AC13" i="1"/>
  <c r="AH13" i="1"/>
  <c r="AI13" i="1"/>
  <c r="AC14" i="1"/>
  <c r="AE15" i="1"/>
  <c r="AK15" i="1"/>
  <c r="AC16" i="1"/>
  <c r="AD16" i="1"/>
  <c r="AK16" i="1"/>
  <c r="Z17" i="1"/>
  <c r="AA17" i="1"/>
  <c r="AC17" i="1"/>
  <c r="AH17" i="1"/>
  <c r="AI17" i="1"/>
  <c r="AK17" i="1"/>
  <c r="AC18" i="1"/>
  <c r="AK18" i="1"/>
  <c r="AB19" i="1"/>
  <c r="AJ19" i="1"/>
  <c r="AK19" i="1"/>
  <c r="U16" i="1"/>
  <c r="U15" i="1"/>
  <c r="U13" i="1"/>
  <c r="U12" i="1"/>
  <c r="U10" i="1"/>
  <c r="U9" i="1"/>
  <c r="U7" i="1"/>
  <c r="Z6" i="1"/>
  <c r="AA6" i="1"/>
  <c r="AC6" i="1"/>
  <c r="AH6" i="1"/>
  <c r="AI6" i="1"/>
  <c r="AK6" i="1"/>
  <c r="U6" i="1"/>
  <c r="AA5" i="1"/>
  <c r="AB5" i="1"/>
  <c r="AC5" i="1"/>
  <c r="AI5" i="1"/>
  <c r="AK5" i="1"/>
  <c r="U5" i="1"/>
  <c r="V4" i="1"/>
  <c r="W4" i="1"/>
  <c r="AA4" i="1"/>
  <c r="AI4" i="1"/>
  <c r="V3" i="1"/>
  <c r="Z3" i="1"/>
  <c r="AA3" i="1"/>
  <c r="AC3" i="1"/>
  <c r="AI3" i="1"/>
  <c r="AK3" i="1"/>
  <c r="Y3" i="1"/>
  <c r="X4" i="1"/>
  <c r="Y4" i="1"/>
  <c r="AF4" i="1"/>
  <c r="AG4" i="1"/>
  <c r="X5" i="1"/>
  <c r="AE5" i="1"/>
  <c r="AF5" i="1"/>
  <c r="W6" i="1"/>
  <c r="AE6" i="1"/>
  <c r="V7" i="1"/>
  <c r="AD7" i="1"/>
  <c r="U8" i="1"/>
  <c r="AB8" i="1"/>
  <c r="AA9" i="1"/>
  <c r="AB9" i="1"/>
  <c r="AI9" i="1"/>
  <c r="AJ9" i="1"/>
  <c r="AA10" i="1"/>
  <c r="AH10" i="1"/>
  <c r="Y11" i="1"/>
  <c r="X12" i="1"/>
  <c r="Y12" i="1"/>
  <c r="AF12" i="1"/>
  <c r="AG12" i="1"/>
  <c r="W13" i="1"/>
  <c r="X13" i="1"/>
  <c r="AE13" i="1"/>
  <c r="AF13" i="1"/>
  <c r="W14" i="1"/>
  <c r="AD14" i="1"/>
  <c r="AE14" i="1"/>
  <c r="V15" i="1"/>
  <c r="AB17" i="1"/>
  <c r="AJ17" i="1"/>
  <c r="AA18" i="1"/>
  <c r="AH18" i="1"/>
  <c r="AI18" i="1"/>
  <c r="Z19" i="1"/>
  <c r="AH19" i="1"/>
  <c r="AA19" i="1"/>
  <c r="AJ18" i="1"/>
  <c r="AB18" i="1"/>
  <c r="U17" i="1"/>
  <c r="V16" i="1"/>
  <c r="W15" i="1"/>
  <c r="AF14" i="1"/>
  <c r="X14" i="1"/>
  <c r="AG13" i="1"/>
  <c r="Y13" i="1"/>
  <c r="AH12" i="1"/>
  <c r="Z12" i="1"/>
  <c r="AJ10" i="1"/>
  <c r="AB10" i="1"/>
  <c r="AC9" i="1"/>
  <c r="AD8" i="1"/>
  <c r="X8" i="1"/>
  <c r="V8" i="1"/>
  <c r="AF6" i="1"/>
  <c r="X6" i="1"/>
  <c r="AG5" i="1"/>
  <c r="Y5" i="1"/>
  <c r="AH4" i="1"/>
  <c r="Z4" i="1"/>
  <c r="AJ3" i="1"/>
  <c r="U3" i="1"/>
  <c r="AB3" i="1"/>
  <c r="AH3" i="1"/>
  <c r="Z5" i="1"/>
  <c r="AH5" i="1"/>
  <c r="Y6" i="1"/>
  <c r="W8" i="1"/>
  <c r="V9" i="1"/>
  <c r="AC10" i="1"/>
  <c r="AB11" i="1"/>
  <c r="AI12" i="1"/>
  <c r="Y14" i="1"/>
  <c r="AG14" i="1"/>
  <c r="AD15" i="1"/>
  <c r="AF15" i="1"/>
  <c r="AE16" i="1"/>
  <c r="V17" i="1"/>
  <c r="AD17" i="1"/>
  <c r="U18" i="1"/>
  <c r="AI19" i="1"/>
  <c r="AG6" i="1"/>
  <c r="AF7" i="1"/>
  <c r="AJ11" i="1"/>
  <c r="X15" i="1"/>
  <c r="W16" i="1"/>
  <c r="AF19" i="1"/>
  <c r="X19" i="1"/>
  <c r="AG18" i="1"/>
  <c r="Z18" i="1"/>
  <c r="Y18" i="1"/>
  <c r="AD13" i="1"/>
  <c r="V13" i="1"/>
  <c r="W12" i="1"/>
  <c r="AG11" i="1"/>
  <c r="AF11" i="1"/>
  <c r="X11" i="1"/>
  <c r="AG10" i="1"/>
  <c r="Z10" i="1"/>
  <c r="Y10" i="1"/>
  <c r="AF8" i="1"/>
  <c r="AJ7" i="1"/>
  <c r="AB7" i="1"/>
  <c r="AD6" i="1"/>
  <c r="V6" i="1"/>
  <c r="AD5" i="1"/>
  <c r="V5" i="1"/>
  <c r="AE4" i="1"/>
  <c r="AG3" i="1"/>
  <c r="AF3" i="1"/>
  <c r="X3" i="1"/>
  <c r="T3" i="1"/>
  <c r="W3" i="1"/>
  <c r="AD3" i="1"/>
  <c r="AE3" i="1"/>
  <c r="T4" i="1"/>
  <c r="U4" i="1"/>
  <c r="AB4" i="1"/>
  <c r="AC4" i="1"/>
  <c r="AD4" i="1"/>
  <c r="AJ4" i="1"/>
  <c r="AK4" i="1"/>
  <c r="T5" i="1"/>
  <c r="W5" i="1"/>
  <c r="AJ5" i="1"/>
  <c r="T6" i="1"/>
  <c r="AB6" i="1"/>
  <c r="AJ6" i="1"/>
  <c r="T7" i="1"/>
  <c r="Y7" i="1"/>
  <c r="Z7" i="1"/>
  <c r="AA7" i="1"/>
  <c r="AG7" i="1"/>
  <c r="AH7" i="1"/>
  <c r="AI7" i="1"/>
  <c r="AK7" i="1"/>
  <c r="T8" i="1"/>
  <c r="Y8" i="1"/>
  <c r="Z8" i="1"/>
  <c r="AA8" i="1"/>
  <c r="AG8" i="1"/>
  <c r="AH8" i="1"/>
  <c r="AI8" i="1"/>
  <c r="AJ8" i="1"/>
  <c r="T9" i="1"/>
  <c r="X9" i="1"/>
  <c r="Y9" i="1"/>
  <c r="Z9" i="1"/>
  <c r="AF9" i="1"/>
  <c r="AG9" i="1"/>
  <c r="T10" i="1"/>
  <c r="V10" i="1"/>
  <c r="W10" i="1"/>
  <c r="AE10" i="1"/>
  <c r="T11" i="1"/>
  <c r="U11" i="1"/>
  <c r="V11" i="1"/>
  <c r="W11" i="1"/>
  <c r="AC11" i="1"/>
  <c r="AD11" i="1"/>
  <c r="AE11" i="1"/>
  <c r="AK11" i="1"/>
  <c r="T12" i="1"/>
  <c r="V12" i="1"/>
  <c r="AB12" i="1"/>
  <c r="AC12" i="1"/>
  <c r="AD12" i="1"/>
  <c r="AE12" i="1"/>
  <c r="AJ12" i="1"/>
  <c r="T13" i="1"/>
  <c r="AB13" i="1"/>
  <c r="AJ13" i="1"/>
  <c r="AK13" i="1"/>
  <c r="T14" i="1"/>
  <c r="U14" i="1"/>
  <c r="V14" i="1"/>
  <c r="Z14" i="1"/>
  <c r="AA14" i="1"/>
  <c r="AB14" i="1"/>
  <c r="AH14" i="1"/>
  <c r="AI14" i="1"/>
  <c r="AJ14" i="1"/>
  <c r="AK14" i="1"/>
  <c r="T15" i="1"/>
  <c r="Y15" i="1"/>
  <c r="Z15" i="1"/>
  <c r="AA15" i="1"/>
  <c r="AB15" i="1"/>
  <c r="AC15" i="1"/>
  <c r="AG15" i="1"/>
  <c r="AH15" i="1"/>
  <c r="AI15" i="1"/>
  <c r="AJ15" i="1"/>
  <c r="T16" i="1"/>
  <c r="X16" i="1"/>
  <c r="Y16" i="1"/>
  <c r="Z16" i="1"/>
  <c r="AA16" i="1"/>
  <c r="AB16" i="1"/>
  <c r="AF16" i="1"/>
  <c r="AG16" i="1"/>
  <c r="AH16" i="1"/>
  <c r="AI16" i="1"/>
  <c r="AJ16" i="1"/>
  <c r="T17" i="1"/>
  <c r="W17" i="1"/>
  <c r="X17" i="1"/>
  <c r="Y17" i="1"/>
  <c r="AE17" i="1"/>
  <c r="AF17" i="1"/>
  <c r="AG17" i="1"/>
  <c r="T18" i="1"/>
  <c r="V18" i="1"/>
  <c r="W18" i="1"/>
  <c r="X18" i="1"/>
  <c r="AD18" i="1"/>
  <c r="AE18" i="1"/>
  <c r="AF18" i="1"/>
  <c r="T19" i="1"/>
  <c r="U19" i="1"/>
  <c r="V19" i="1"/>
  <c r="W19" i="1"/>
  <c r="Y19" i="1"/>
  <c r="AC19" i="1"/>
  <c r="AD19" i="1"/>
  <c r="AE19" i="1"/>
  <c r="AG19" i="1"/>
  <c r="B4" i="6"/>
  <c r="C4" i="6"/>
  <c r="D4" i="6"/>
  <c r="E4" i="6"/>
  <c r="F4" i="6"/>
  <c r="G4" i="6"/>
  <c r="H4" i="6"/>
  <c r="I4" i="6"/>
  <c r="J4" i="6"/>
  <c r="K4" i="6"/>
  <c r="L4" i="6"/>
  <c r="M4" i="6"/>
  <c r="N4" i="6"/>
  <c r="O4" i="6"/>
  <c r="P4" i="6"/>
  <c r="Q4" i="6"/>
  <c r="R4" i="6"/>
  <c r="B6" i="6"/>
  <c r="C6" i="6"/>
  <c r="D6" i="6"/>
  <c r="E6" i="6"/>
  <c r="F6" i="6"/>
  <c r="G6" i="6"/>
  <c r="H6" i="6"/>
  <c r="I6" i="6"/>
  <c r="J6" i="6"/>
  <c r="K6" i="6"/>
  <c r="L6" i="6"/>
  <c r="M6" i="6"/>
  <c r="N6" i="6"/>
  <c r="O6" i="6"/>
  <c r="P6" i="6"/>
  <c r="Q6" i="6"/>
  <c r="R6" i="6"/>
  <c r="B8" i="6"/>
  <c r="C8" i="6"/>
  <c r="D8" i="6"/>
  <c r="E8" i="6"/>
  <c r="F8" i="6"/>
  <c r="G8" i="6"/>
  <c r="H8" i="6"/>
  <c r="I8" i="6"/>
  <c r="J8" i="6"/>
  <c r="K8" i="6"/>
  <c r="L8" i="6"/>
  <c r="M8" i="6"/>
  <c r="N8" i="6"/>
  <c r="O8" i="6"/>
  <c r="P8" i="6"/>
  <c r="Q8" i="6"/>
  <c r="R8" i="6"/>
  <c r="B10" i="6"/>
  <c r="C10" i="6"/>
  <c r="D10" i="6"/>
  <c r="E10" i="6"/>
  <c r="F10" i="6"/>
  <c r="G10" i="6"/>
  <c r="H10" i="6"/>
  <c r="I10" i="6"/>
  <c r="J10" i="6"/>
  <c r="K10" i="6"/>
  <c r="L10" i="6"/>
  <c r="M10" i="6"/>
  <c r="N10" i="6"/>
  <c r="O10" i="6"/>
  <c r="P10" i="6"/>
  <c r="Q10" i="6"/>
  <c r="R10" i="6"/>
  <c r="B12" i="6"/>
  <c r="C12" i="6"/>
  <c r="D12" i="6"/>
  <c r="E12" i="6"/>
  <c r="F12" i="6"/>
  <c r="G12" i="6"/>
  <c r="H12" i="6"/>
  <c r="I12" i="6"/>
  <c r="J12" i="6"/>
  <c r="K12" i="6"/>
  <c r="L12" i="6"/>
  <c r="M12" i="6"/>
  <c r="N12" i="6"/>
  <c r="O12" i="6"/>
  <c r="P12" i="6"/>
  <c r="Q12" i="6"/>
  <c r="R12" i="6"/>
  <c r="B14" i="6"/>
  <c r="C14" i="6"/>
  <c r="D14" i="6"/>
  <c r="E14" i="6"/>
  <c r="F14" i="6"/>
  <c r="G14" i="6"/>
  <c r="H14" i="6"/>
  <c r="I14" i="6"/>
  <c r="J14" i="6"/>
  <c r="K14" i="6"/>
  <c r="L14" i="6"/>
  <c r="M14" i="6"/>
  <c r="N14" i="6"/>
  <c r="O14" i="6"/>
  <c r="P14" i="6"/>
  <c r="Q14" i="6"/>
  <c r="R14" i="6"/>
  <c r="B16" i="6"/>
  <c r="C16" i="6"/>
  <c r="D16" i="6"/>
  <c r="E16" i="6"/>
  <c r="F16" i="6"/>
  <c r="G16" i="6"/>
  <c r="H16" i="6"/>
  <c r="I16" i="6"/>
  <c r="J16" i="6"/>
  <c r="K16" i="6"/>
  <c r="L16" i="6"/>
  <c r="M16" i="6"/>
  <c r="N16" i="6"/>
  <c r="O16" i="6"/>
  <c r="P16" i="6"/>
  <c r="Q16" i="6"/>
  <c r="R16" i="6"/>
  <c r="B18" i="6"/>
  <c r="C18" i="6"/>
  <c r="D18" i="6"/>
  <c r="E18" i="6"/>
  <c r="F18" i="6"/>
  <c r="G18" i="6"/>
  <c r="H18" i="6"/>
  <c r="I18" i="6"/>
  <c r="J18" i="6"/>
  <c r="K18" i="6"/>
  <c r="L18" i="6"/>
  <c r="M18" i="6"/>
  <c r="N18" i="6"/>
  <c r="O18" i="6"/>
  <c r="P18" i="6"/>
  <c r="Q18" i="6"/>
  <c r="R18" i="6"/>
  <c r="B20" i="6"/>
  <c r="C20" i="6"/>
  <c r="D20" i="6"/>
  <c r="E20" i="6"/>
  <c r="F20" i="6"/>
  <c r="G20" i="6"/>
  <c r="H20" i="6"/>
  <c r="I20" i="6"/>
  <c r="J20" i="6"/>
  <c r="K20" i="6"/>
  <c r="L20" i="6"/>
  <c r="M20" i="6"/>
  <c r="N20" i="6"/>
  <c r="O20" i="6"/>
  <c r="P20" i="6"/>
  <c r="Q20" i="6"/>
  <c r="R20" i="6"/>
  <c r="B22" i="6"/>
  <c r="C22" i="6"/>
  <c r="D22" i="6"/>
  <c r="E22" i="6"/>
  <c r="F22" i="6"/>
  <c r="G22" i="6"/>
  <c r="H22" i="6"/>
  <c r="I22" i="6"/>
  <c r="J22" i="6"/>
  <c r="K22" i="6"/>
  <c r="L22" i="6"/>
  <c r="M22" i="6"/>
  <c r="N22" i="6"/>
  <c r="O22" i="6"/>
  <c r="P22" i="6"/>
  <c r="Q22" i="6"/>
  <c r="R22" i="6"/>
  <c r="B24" i="6"/>
  <c r="C24" i="6"/>
  <c r="D24" i="6"/>
  <c r="E24" i="6"/>
  <c r="F24" i="6"/>
  <c r="G24" i="6"/>
  <c r="H24" i="6"/>
  <c r="I24" i="6"/>
  <c r="J24" i="6"/>
  <c r="K24" i="6"/>
  <c r="L24" i="6"/>
  <c r="M24" i="6"/>
  <c r="N24" i="6"/>
  <c r="O24" i="6"/>
  <c r="P24" i="6"/>
  <c r="Q24" i="6"/>
  <c r="R24" i="6"/>
  <c r="B26" i="6"/>
  <c r="C26" i="6"/>
  <c r="D26" i="6"/>
  <c r="E26" i="6"/>
  <c r="F26" i="6"/>
  <c r="G26" i="6"/>
  <c r="H26" i="6"/>
  <c r="I26" i="6"/>
  <c r="J26" i="6"/>
  <c r="K26" i="6"/>
  <c r="L26" i="6"/>
  <c r="M26" i="6"/>
  <c r="N26" i="6"/>
  <c r="O26" i="6"/>
  <c r="P26" i="6"/>
  <c r="Q26" i="6"/>
  <c r="R26" i="6"/>
  <c r="B28" i="6"/>
  <c r="C28" i="6"/>
  <c r="D28" i="6"/>
  <c r="E28" i="6"/>
  <c r="F28" i="6"/>
  <c r="G28" i="6"/>
  <c r="H28" i="6"/>
  <c r="I28" i="6"/>
  <c r="J28" i="6"/>
  <c r="K28" i="6"/>
  <c r="L28" i="6"/>
  <c r="M28" i="6"/>
  <c r="N28" i="6"/>
  <c r="O28" i="6"/>
  <c r="P28" i="6"/>
  <c r="Q28" i="6"/>
  <c r="R28" i="6"/>
  <c r="B30" i="6"/>
  <c r="C30" i="6"/>
  <c r="D30" i="6"/>
  <c r="E30" i="6"/>
  <c r="F30" i="6"/>
  <c r="G30" i="6"/>
  <c r="H30" i="6"/>
  <c r="I30" i="6"/>
  <c r="J30" i="6"/>
  <c r="K30" i="6"/>
  <c r="L30" i="6"/>
  <c r="M30" i="6"/>
  <c r="N30" i="6"/>
  <c r="O30" i="6"/>
  <c r="P30" i="6"/>
  <c r="Q30" i="6"/>
  <c r="R30" i="6"/>
  <c r="B32" i="6"/>
  <c r="C32" i="6"/>
  <c r="D32" i="6"/>
  <c r="E32" i="6"/>
  <c r="F32" i="6"/>
  <c r="G32" i="6"/>
  <c r="H32" i="6"/>
  <c r="I32" i="6"/>
  <c r="J32" i="6"/>
  <c r="K32" i="6"/>
  <c r="L32" i="6"/>
  <c r="M32" i="6"/>
  <c r="N32" i="6"/>
  <c r="O32" i="6"/>
  <c r="P32" i="6"/>
  <c r="Q32" i="6"/>
  <c r="R32" i="6"/>
  <c r="B34" i="6"/>
  <c r="C34" i="6"/>
  <c r="D34" i="6"/>
  <c r="E34" i="6"/>
  <c r="F34" i="6"/>
  <c r="G34" i="6"/>
  <c r="H34" i="6"/>
  <c r="I34" i="6"/>
  <c r="J34" i="6"/>
  <c r="K34" i="6"/>
  <c r="L34" i="6"/>
  <c r="M34" i="6"/>
  <c r="N34" i="6"/>
  <c r="O34" i="6"/>
  <c r="P34" i="6"/>
  <c r="Q34" i="6"/>
  <c r="R34" i="6"/>
  <c r="B36" i="6"/>
  <c r="C36" i="6"/>
  <c r="D36" i="6"/>
  <c r="E36" i="6"/>
  <c r="F36" i="6"/>
  <c r="G36" i="6"/>
  <c r="H36" i="6"/>
  <c r="I36" i="6"/>
  <c r="J36" i="6"/>
  <c r="K36" i="6"/>
  <c r="L36" i="6"/>
  <c r="M36" i="6"/>
  <c r="N36" i="6"/>
  <c r="O36" i="6"/>
  <c r="P36" i="6"/>
  <c r="Q36" i="6"/>
  <c r="R36" i="6"/>
  <c r="B38" i="6"/>
  <c r="C38" i="6"/>
  <c r="D38" i="6"/>
  <c r="E38" i="6"/>
  <c r="F38" i="6"/>
  <c r="G38" i="6"/>
  <c r="H38" i="6"/>
  <c r="I38" i="6"/>
  <c r="J38" i="6"/>
  <c r="K38" i="6"/>
  <c r="L38" i="6"/>
  <c r="M38" i="6"/>
  <c r="N38" i="6"/>
  <c r="O38" i="6"/>
  <c r="P38" i="6"/>
  <c r="Q38" i="6"/>
  <c r="R38" i="6"/>
  <c r="B40" i="6"/>
  <c r="C40" i="6"/>
  <c r="D40" i="6"/>
  <c r="E40" i="6"/>
  <c r="F40" i="6"/>
  <c r="G40" i="6"/>
  <c r="H40" i="6"/>
  <c r="I40" i="6"/>
  <c r="J40" i="6"/>
  <c r="K40" i="6"/>
  <c r="L40" i="6"/>
  <c r="M40" i="6"/>
  <c r="N40" i="6"/>
  <c r="O40" i="6"/>
  <c r="P40" i="6"/>
  <c r="Q40" i="6"/>
  <c r="R40" i="6"/>
  <c r="B42" i="6"/>
  <c r="C42" i="6"/>
  <c r="D42" i="6"/>
  <c r="E42" i="6"/>
  <c r="F42" i="6"/>
  <c r="G42" i="6"/>
  <c r="H42" i="6"/>
  <c r="I42" i="6"/>
  <c r="J42" i="6"/>
  <c r="K42" i="6"/>
  <c r="L42" i="6"/>
  <c r="M42" i="6"/>
  <c r="N42" i="6"/>
  <c r="O42" i="6"/>
  <c r="P42" i="6"/>
  <c r="Q42" i="6"/>
  <c r="R42" i="6"/>
  <c r="B44" i="6"/>
  <c r="C44" i="6"/>
  <c r="D44" i="6"/>
  <c r="E44" i="6"/>
  <c r="F44" i="6"/>
  <c r="G44" i="6"/>
  <c r="H44" i="6"/>
  <c r="I44" i="6"/>
  <c r="J44" i="6"/>
  <c r="K44" i="6"/>
  <c r="L44" i="6"/>
  <c r="M44" i="6"/>
  <c r="N44" i="6"/>
  <c r="O44" i="6"/>
  <c r="P44" i="6"/>
  <c r="Q44" i="6"/>
  <c r="R44" i="6"/>
  <c r="B46" i="6"/>
  <c r="C46" i="6"/>
  <c r="D46" i="6"/>
  <c r="E46" i="6"/>
  <c r="F46" i="6"/>
  <c r="G46" i="6"/>
  <c r="H46" i="6"/>
  <c r="I46" i="6"/>
  <c r="J46" i="6"/>
  <c r="K46" i="6"/>
  <c r="L46" i="6"/>
  <c r="M46" i="6"/>
  <c r="N46" i="6"/>
  <c r="O46" i="6"/>
  <c r="P46" i="6"/>
  <c r="Q46" i="6"/>
  <c r="R46" i="6"/>
  <c r="B48" i="6"/>
  <c r="C48" i="6"/>
  <c r="D48" i="6"/>
  <c r="E48" i="6"/>
  <c r="F48" i="6"/>
  <c r="G48" i="6"/>
  <c r="H48" i="6"/>
  <c r="I48" i="6"/>
  <c r="J48" i="6"/>
  <c r="K48" i="6"/>
  <c r="L48" i="6"/>
  <c r="M48" i="6"/>
  <c r="N48" i="6"/>
  <c r="O48" i="6"/>
  <c r="P48" i="6"/>
  <c r="Q48" i="6"/>
  <c r="R48" i="6"/>
  <c r="B50" i="6"/>
  <c r="C50" i="6"/>
  <c r="D50" i="6"/>
  <c r="E50" i="6"/>
  <c r="F50" i="6"/>
  <c r="G50" i="6"/>
  <c r="H50" i="6"/>
  <c r="I50" i="6"/>
  <c r="J50" i="6"/>
  <c r="K50" i="6"/>
  <c r="L50" i="6"/>
  <c r="M50" i="6"/>
  <c r="N50" i="6"/>
  <c r="O50" i="6"/>
  <c r="P50" i="6"/>
  <c r="Q50" i="6"/>
  <c r="R50" i="6"/>
  <c r="B52" i="6"/>
  <c r="C52" i="6"/>
  <c r="D52" i="6"/>
  <c r="E52" i="6"/>
  <c r="F52" i="6"/>
  <c r="G52" i="6"/>
  <c r="H52" i="6"/>
  <c r="I52" i="6"/>
  <c r="J52" i="6"/>
  <c r="K52" i="6"/>
  <c r="L52" i="6"/>
  <c r="M52" i="6"/>
  <c r="N52" i="6"/>
  <c r="O52" i="6"/>
  <c r="P52" i="6"/>
  <c r="Q52" i="6"/>
  <c r="R52" i="6"/>
  <c r="B54" i="6"/>
  <c r="C54" i="6"/>
  <c r="D54" i="6"/>
  <c r="E54" i="6"/>
  <c r="F54" i="6"/>
  <c r="G54" i="6"/>
  <c r="H54" i="6"/>
  <c r="I54" i="6"/>
  <c r="J54" i="6"/>
  <c r="K54" i="6"/>
  <c r="L54" i="6"/>
  <c r="M54" i="6"/>
  <c r="N54" i="6"/>
  <c r="O54" i="6"/>
  <c r="P54" i="6"/>
  <c r="Q54" i="6"/>
  <c r="R54" i="6"/>
  <c r="B56" i="6"/>
  <c r="C56" i="6"/>
  <c r="D56" i="6"/>
  <c r="E56" i="6"/>
  <c r="F56" i="6"/>
  <c r="G56" i="6"/>
  <c r="H56" i="6"/>
  <c r="I56" i="6"/>
  <c r="J56" i="6"/>
  <c r="K56" i="6"/>
  <c r="L56" i="6"/>
  <c r="M56" i="6"/>
  <c r="N56" i="6"/>
  <c r="O56" i="6"/>
  <c r="P56" i="6"/>
  <c r="Q56" i="6"/>
  <c r="R56" i="6"/>
  <c r="B58" i="6"/>
  <c r="C58" i="6"/>
  <c r="D58" i="6"/>
  <c r="E58" i="6"/>
  <c r="F58" i="6"/>
  <c r="G58" i="6"/>
  <c r="H58" i="6"/>
  <c r="I58" i="6"/>
  <c r="J58" i="6"/>
  <c r="K58" i="6"/>
  <c r="L58" i="6"/>
  <c r="M58" i="6"/>
  <c r="N58" i="6"/>
  <c r="O58" i="6"/>
  <c r="P58" i="6"/>
  <c r="Q58" i="6"/>
  <c r="R58" i="6"/>
  <c r="B60" i="6"/>
  <c r="C60" i="6"/>
  <c r="D60" i="6"/>
  <c r="E60" i="6"/>
  <c r="F60" i="6"/>
  <c r="G60" i="6"/>
  <c r="H60" i="6"/>
  <c r="I60" i="6"/>
  <c r="J60" i="6"/>
  <c r="K60" i="6"/>
  <c r="L60" i="6"/>
  <c r="M60" i="6"/>
  <c r="N60" i="6"/>
  <c r="O60" i="6"/>
  <c r="P60" i="6"/>
  <c r="Q60" i="6"/>
  <c r="R60" i="6"/>
  <c r="B62" i="6"/>
  <c r="C62" i="6"/>
  <c r="D62" i="6"/>
  <c r="E62" i="6"/>
  <c r="F62" i="6"/>
  <c r="G62" i="6"/>
  <c r="H62" i="6"/>
  <c r="I62" i="6"/>
  <c r="J62" i="6"/>
  <c r="K62" i="6"/>
  <c r="L62" i="6"/>
  <c r="M62" i="6"/>
  <c r="N62" i="6"/>
  <c r="O62" i="6"/>
  <c r="P62" i="6"/>
  <c r="Q62" i="6"/>
  <c r="R62" i="6"/>
  <c r="M24" i="7"/>
  <c r="M2" i="7"/>
  <c r="O21" i="7" s="1"/>
  <c r="P5" i="7"/>
  <c r="N4" i="20" l="1"/>
  <c r="G3" i="7"/>
  <c r="M25" i="7"/>
  <c r="O2" i="7"/>
  <c r="O8" i="7"/>
  <c r="O25" i="7"/>
  <c r="I11" i="7"/>
  <c r="I12" i="7"/>
  <c r="A8" i="7"/>
  <c r="I17" i="7"/>
  <c r="O33" i="8"/>
  <c r="N33" i="8"/>
  <c r="M33" i="8"/>
  <c r="O32" i="8"/>
  <c r="N32" i="8"/>
  <c r="M32" i="8"/>
  <c r="O31" i="8"/>
  <c r="N31" i="8"/>
  <c r="M31" i="8"/>
  <c r="O30" i="8"/>
  <c r="N30" i="8"/>
  <c r="M30" i="8"/>
  <c r="O29" i="8"/>
  <c r="N29" i="8"/>
  <c r="M29" i="8"/>
  <c r="O28" i="8"/>
  <c r="N28" i="8"/>
  <c r="M28" i="8"/>
  <c r="O27" i="8"/>
  <c r="N27" i="8"/>
  <c r="M27" i="8"/>
  <c r="O26" i="8"/>
  <c r="N26" i="8"/>
  <c r="M26" i="8"/>
  <c r="O25" i="8"/>
  <c r="N25" i="8"/>
  <c r="M25" i="8"/>
  <c r="O24" i="8"/>
  <c r="N24" i="8"/>
  <c r="M24" i="8"/>
  <c r="O23" i="8"/>
  <c r="N23" i="8"/>
  <c r="M23" i="8"/>
  <c r="O22" i="8"/>
  <c r="N22" i="8"/>
  <c r="M22" i="8"/>
  <c r="O21" i="8"/>
  <c r="N21" i="8"/>
  <c r="M21" i="8"/>
  <c r="O20" i="8"/>
  <c r="N20" i="8"/>
  <c r="M20" i="8"/>
  <c r="O19" i="8"/>
  <c r="N19" i="8"/>
  <c r="M19" i="8"/>
  <c r="O18" i="8"/>
  <c r="N18" i="8"/>
  <c r="M18" i="8"/>
  <c r="O17" i="8"/>
  <c r="N17" i="8"/>
  <c r="M17" i="8"/>
  <c r="O16" i="8"/>
  <c r="N16" i="8"/>
  <c r="M16" i="8"/>
  <c r="O15" i="8"/>
  <c r="N15" i="8"/>
  <c r="M15" i="8"/>
  <c r="O14" i="8"/>
  <c r="N14" i="8"/>
  <c r="M14" i="8"/>
  <c r="O13" i="8"/>
  <c r="N13" i="8"/>
  <c r="M13" i="8"/>
  <c r="O12" i="8"/>
  <c r="N12" i="8"/>
  <c r="M12" i="8"/>
  <c r="O11" i="8"/>
  <c r="N11" i="8"/>
  <c r="M11" i="8"/>
  <c r="O10" i="8"/>
  <c r="N10" i="8"/>
  <c r="M10" i="8"/>
  <c r="O9" i="8"/>
  <c r="N9" i="8"/>
  <c r="M9" i="8"/>
  <c r="O8" i="8"/>
  <c r="N8" i="8"/>
  <c r="M8" i="8"/>
  <c r="O7" i="8"/>
  <c r="N7" i="8"/>
  <c r="M7" i="8"/>
  <c r="O6" i="8"/>
  <c r="N6" i="8"/>
  <c r="M6" i="8"/>
  <c r="O5" i="8"/>
  <c r="N5" i="8"/>
  <c r="M5" i="8"/>
  <c r="O4" i="8"/>
  <c r="N4" i="8"/>
  <c r="M4" i="8"/>
  <c r="O3" i="8"/>
  <c r="N3" i="8"/>
  <c r="M3" i="8"/>
  <c r="P4" i="10"/>
  <c r="AC9" i="7" s="1"/>
  <c r="Q4" i="10"/>
  <c r="AD9" i="7" s="1"/>
  <c r="R4" i="10"/>
  <c r="AE9" i="7" s="1"/>
  <c r="P5" i="10"/>
  <c r="AC10" i="7" s="1"/>
  <c r="Q5" i="10"/>
  <c r="AD10" i="7" s="1"/>
  <c r="R5" i="10"/>
  <c r="AE10" i="7" s="1"/>
  <c r="P6" i="10"/>
  <c r="AC11" i="7" s="1"/>
  <c r="Q6" i="10"/>
  <c r="AD11" i="7" s="1"/>
  <c r="R6" i="10"/>
  <c r="AE11" i="7" s="1"/>
  <c r="P7" i="10"/>
  <c r="AC12" i="7" s="1"/>
  <c r="Q7" i="10"/>
  <c r="AD12" i="7" s="1"/>
  <c r="R7" i="10"/>
  <c r="AE12" i="7" s="1"/>
  <c r="P8" i="10"/>
  <c r="AC13" i="7" s="1"/>
  <c r="Q8" i="10"/>
  <c r="AD13" i="7" s="1"/>
  <c r="R8" i="10"/>
  <c r="AE13" i="7" s="1"/>
  <c r="P9" i="10"/>
  <c r="AC14" i="7" s="1"/>
  <c r="Q9" i="10"/>
  <c r="AD14" i="7" s="1"/>
  <c r="R9" i="10"/>
  <c r="AE14" i="7" s="1"/>
  <c r="P10" i="10"/>
  <c r="AC15" i="7" s="1"/>
  <c r="Q10" i="10"/>
  <c r="AD15" i="7" s="1"/>
  <c r="R10" i="10"/>
  <c r="AE15" i="7" s="1"/>
  <c r="P11" i="10"/>
  <c r="AC16" i="7" s="1"/>
  <c r="Q11" i="10"/>
  <c r="AD16" i="7" s="1"/>
  <c r="R11" i="10"/>
  <c r="AE16" i="7" s="1"/>
  <c r="P12" i="10"/>
  <c r="AC17" i="7" s="1"/>
  <c r="Q12" i="10"/>
  <c r="AD17" i="7" s="1"/>
  <c r="R12" i="10"/>
  <c r="AE17" i="7" s="1"/>
  <c r="P13" i="10"/>
  <c r="AC18" i="7" s="1"/>
  <c r="Q13" i="10"/>
  <c r="AD18" i="7" s="1"/>
  <c r="R13" i="10"/>
  <c r="AE18" i="7" s="1"/>
  <c r="P14" i="10"/>
  <c r="AC19" i="7" s="1"/>
  <c r="Q14" i="10"/>
  <c r="AD19" i="7" s="1"/>
  <c r="R14" i="10"/>
  <c r="AE19" i="7" s="1"/>
  <c r="P15" i="10"/>
  <c r="AC20" i="7" s="1"/>
  <c r="Q15" i="10"/>
  <c r="AD20" i="7" s="1"/>
  <c r="R15" i="10"/>
  <c r="AE20" i="7" s="1"/>
  <c r="P16" i="10"/>
  <c r="AC21" i="7" s="1"/>
  <c r="Q16" i="10"/>
  <c r="AD21" i="7" s="1"/>
  <c r="R16" i="10"/>
  <c r="AE21" i="7" s="1"/>
  <c r="P17" i="10"/>
  <c r="AC22" i="7" s="1"/>
  <c r="Q17" i="10"/>
  <c r="AD22" i="7" s="1"/>
  <c r="R17" i="10"/>
  <c r="AE22" i="7" s="1"/>
  <c r="P18" i="10"/>
  <c r="AC23" i="7" s="1"/>
  <c r="Q18" i="10"/>
  <c r="AD23" i="7" s="1"/>
  <c r="R18" i="10"/>
  <c r="AE23" i="7" s="1"/>
  <c r="P19" i="10"/>
  <c r="AC24" i="7" s="1"/>
  <c r="Q19" i="10"/>
  <c r="AD24" i="7" s="1"/>
  <c r="R19" i="10"/>
  <c r="AE24" i="7" s="1"/>
  <c r="P20" i="10"/>
  <c r="AC25" i="7" s="1"/>
  <c r="Q20" i="10"/>
  <c r="AD25" i="7" s="1"/>
  <c r="R20" i="10"/>
  <c r="AE25" i="7" s="1"/>
  <c r="P21" i="10"/>
  <c r="AC26" i="7" s="1"/>
  <c r="Q21" i="10"/>
  <c r="AD26" i="7" s="1"/>
  <c r="R21" i="10"/>
  <c r="AE26" i="7" s="1"/>
  <c r="P22" i="10"/>
  <c r="AC27" i="7" s="1"/>
  <c r="Q22" i="10"/>
  <c r="AD27" i="7" s="1"/>
  <c r="R22" i="10"/>
  <c r="AE27" i="7" s="1"/>
  <c r="P23" i="10"/>
  <c r="AC28" i="7" s="1"/>
  <c r="Q23" i="10"/>
  <c r="AD28" i="7" s="1"/>
  <c r="R23" i="10"/>
  <c r="AE28" i="7" s="1"/>
  <c r="P24" i="10"/>
  <c r="AC29" i="7" s="1"/>
  <c r="Q24" i="10"/>
  <c r="AD29" i="7" s="1"/>
  <c r="R24" i="10"/>
  <c r="AE29" i="7" s="1"/>
  <c r="P25" i="10"/>
  <c r="AC30" i="7" s="1"/>
  <c r="Q25" i="10"/>
  <c r="AD30" i="7" s="1"/>
  <c r="R25" i="10"/>
  <c r="AE30" i="7" s="1"/>
  <c r="P26" i="10"/>
  <c r="AC31" i="7" s="1"/>
  <c r="Q26" i="10"/>
  <c r="AD31" i="7" s="1"/>
  <c r="R26" i="10"/>
  <c r="AE31" i="7" s="1"/>
  <c r="P27" i="10"/>
  <c r="AC32" i="7" s="1"/>
  <c r="Q27" i="10"/>
  <c r="AD32" i="7" s="1"/>
  <c r="R27" i="10"/>
  <c r="AE32" i="7" s="1"/>
  <c r="P28" i="10"/>
  <c r="AC33" i="7" s="1"/>
  <c r="Q28" i="10"/>
  <c r="AD33" i="7" s="1"/>
  <c r="R28" i="10"/>
  <c r="AE33" i="7" s="1"/>
  <c r="P29" i="10"/>
  <c r="AC34" i="7" s="1"/>
  <c r="Q29" i="10"/>
  <c r="AD34" i="7" s="1"/>
  <c r="R29" i="10"/>
  <c r="AE34" i="7" s="1"/>
  <c r="P30" i="10"/>
  <c r="AC35" i="7" s="1"/>
  <c r="Q30" i="10"/>
  <c r="AD35" i="7" s="1"/>
  <c r="R30" i="10"/>
  <c r="AE35" i="7" s="1"/>
  <c r="P31" i="10"/>
  <c r="AC36" i="7" s="1"/>
  <c r="Q31" i="10"/>
  <c r="AD36" i="7" s="1"/>
  <c r="R31" i="10"/>
  <c r="AE36" i="7" s="1"/>
  <c r="P32" i="10"/>
  <c r="AC37" i="7" s="1"/>
  <c r="Q32" i="10"/>
  <c r="AD37" i="7" s="1"/>
  <c r="R32" i="10"/>
  <c r="AE37" i="7" s="1"/>
  <c r="P33" i="10"/>
  <c r="Q33" i="10"/>
  <c r="R33" i="10"/>
  <c r="Q3" i="10"/>
  <c r="AD8" i="7" s="1"/>
  <c r="R3" i="10"/>
  <c r="AE8" i="7" s="1"/>
  <c r="P3" i="10"/>
  <c r="AC8" i="7" s="1"/>
  <c r="AH32" i="7" l="1"/>
  <c r="AH24" i="7"/>
  <c r="AH16" i="7"/>
  <c r="AH36" i="7"/>
  <c r="AH28" i="7"/>
  <c r="AH20" i="7"/>
  <c r="AH12" i="7"/>
  <c r="AH8" i="7"/>
  <c r="AH33" i="7"/>
  <c r="AH30" i="7"/>
  <c r="AH22" i="7"/>
  <c r="AH14" i="7"/>
  <c r="AH37" i="7"/>
  <c r="AH21" i="7"/>
  <c r="AH29" i="7"/>
  <c r="AH13" i="7"/>
  <c r="AH25" i="7"/>
  <c r="AH17" i="7"/>
  <c r="AH9" i="7"/>
  <c r="O22" i="7"/>
  <c r="K3" i="7"/>
  <c r="M3" i="7" s="1"/>
  <c r="AH35" i="7"/>
  <c r="AH27" i="7"/>
  <c r="AH19" i="7"/>
  <c r="AH11" i="7"/>
  <c r="AH10" i="7"/>
  <c r="AH26" i="7"/>
  <c r="AH31" i="7"/>
  <c r="AH23" i="7"/>
  <c r="AH15" i="7"/>
  <c r="AH34" i="7"/>
  <c r="AH18" i="7"/>
  <c r="I18" i="7"/>
  <c r="I20" i="7"/>
  <c r="I19" i="7"/>
  <c r="I9" i="7"/>
  <c r="I8" i="7"/>
  <c r="I7" i="7"/>
  <c r="G4" i="7"/>
  <c r="I4" i="7"/>
  <c r="A2" i="7" l="1"/>
  <c r="M6" i="7"/>
  <c r="J6" i="7" s="1"/>
  <c r="K6" i="7"/>
  <c r="M5" i="7"/>
  <c r="K5" i="7"/>
  <c r="K9" i="7"/>
  <c r="M4" i="7"/>
  <c r="J4" i="7" s="1"/>
  <c r="K19" i="7"/>
  <c r="M19" i="7" s="1"/>
  <c r="K12" i="7"/>
  <c r="Q5" i="7"/>
  <c r="K18" i="7"/>
  <c r="K4" i="7"/>
  <c r="K7" i="7"/>
  <c r="J7" i="7" s="1"/>
  <c r="K20" i="7"/>
  <c r="J20" i="7" s="1"/>
  <c r="K17" i="7"/>
  <c r="M17" i="7" s="1"/>
  <c r="K8" i="7"/>
  <c r="K11" i="7"/>
  <c r="J11" i="7" s="1"/>
  <c r="J9" i="7" l="1"/>
  <c r="J8" i="7"/>
  <c r="J17" i="7"/>
  <c r="J19" i="7"/>
  <c r="M11" i="7"/>
  <c r="M20" i="7"/>
  <c r="M18" i="7"/>
  <c r="J18" i="7"/>
  <c r="J12" i="7"/>
  <c r="M12" i="7"/>
  <c r="J5" i="7"/>
  <c r="U36" i="1" l="1"/>
  <c r="V36" i="1"/>
  <c r="AB36" i="1"/>
  <c r="AD36" i="1"/>
  <c r="AH36" i="1"/>
  <c r="AI36" i="1"/>
  <c r="AJ36" i="1"/>
  <c r="AK36" i="1"/>
  <c r="U37" i="1"/>
  <c r="V37" i="1"/>
  <c r="Z37" i="1"/>
  <c r="AA37" i="1"/>
  <c r="AC37" i="1"/>
  <c r="AD37" i="1"/>
  <c r="AH37" i="1"/>
  <c r="AI37" i="1"/>
  <c r="AJ37" i="1"/>
  <c r="AK37" i="1"/>
  <c r="U38" i="1"/>
  <c r="V38" i="1"/>
  <c r="Y38" i="1"/>
  <c r="AD38" i="1"/>
  <c r="AG38" i="1"/>
  <c r="AH38" i="1"/>
  <c r="AI38" i="1"/>
  <c r="AJ38" i="1"/>
  <c r="AK38" i="1"/>
  <c r="U39" i="1"/>
  <c r="V39" i="1"/>
  <c r="W39" i="1"/>
  <c r="X39" i="1"/>
  <c r="Y39" i="1"/>
  <c r="Z39" i="1"/>
  <c r="AA39" i="1"/>
  <c r="AB39" i="1"/>
  <c r="AC39" i="1"/>
  <c r="AD39" i="1"/>
  <c r="AE39" i="1"/>
  <c r="AF39" i="1"/>
  <c r="AG39" i="1"/>
  <c r="AH39" i="1"/>
  <c r="AI39" i="1"/>
  <c r="AJ39" i="1"/>
  <c r="AK39" i="1"/>
  <c r="U40" i="1"/>
  <c r="AD40" i="1"/>
  <c r="AH40" i="1"/>
  <c r="AI40" i="1"/>
  <c r="AJ40" i="1"/>
  <c r="AK40" i="1"/>
  <c r="U41" i="1"/>
  <c r="V41" i="1"/>
  <c r="AD41" i="1"/>
  <c r="AH41" i="1"/>
  <c r="AI41" i="1"/>
  <c r="AJ41" i="1"/>
  <c r="AK41" i="1"/>
  <c r="U42" i="1"/>
  <c r="V42" i="1"/>
  <c r="AH42" i="1"/>
  <c r="AI42" i="1"/>
  <c r="AJ42" i="1"/>
  <c r="AK42" i="1"/>
  <c r="U43" i="1"/>
  <c r="V43" i="1"/>
  <c r="W43" i="1"/>
  <c r="AB43" i="1"/>
  <c r="AC43" i="1"/>
  <c r="AD43" i="1"/>
  <c r="AE43" i="1"/>
  <c r="AH43" i="1"/>
  <c r="AI43" i="1"/>
  <c r="AJ43" i="1"/>
  <c r="AK43" i="1"/>
  <c r="U44" i="1"/>
  <c r="V44" i="1"/>
  <c r="AB44" i="1"/>
  <c r="AD44" i="1"/>
  <c r="AH44" i="1"/>
  <c r="AI44" i="1"/>
  <c r="AJ44" i="1"/>
  <c r="AK44" i="1"/>
  <c r="U45" i="1"/>
  <c r="V45" i="1"/>
  <c r="Z45" i="1"/>
  <c r="AA45" i="1"/>
  <c r="AC45" i="1"/>
  <c r="AD45" i="1"/>
  <c r="AH45" i="1"/>
  <c r="AI45" i="1"/>
  <c r="AJ45" i="1"/>
  <c r="AK45" i="1"/>
  <c r="U46" i="1"/>
  <c r="V46" i="1"/>
  <c r="Y46" i="1"/>
  <c r="AD46" i="1"/>
  <c r="AG46" i="1"/>
  <c r="AH46" i="1"/>
  <c r="AI46" i="1"/>
  <c r="AJ46" i="1"/>
  <c r="AK46" i="1"/>
  <c r="U47" i="1"/>
  <c r="V47" i="1"/>
  <c r="X47" i="1"/>
  <c r="Y47" i="1"/>
  <c r="Z47" i="1"/>
  <c r="AA47" i="1"/>
  <c r="AB47" i="1"/>
  <c r="AC47" i="1"/>
  <c r="AD47" i="1"/>
  <c r="AE47" i="1"/>
  <c r="AF47" i="1"/>
  <c r="AG47" i="1"/>
  <c r="AH47" i="1"/>
  <c r="AI47" i="1"/>
  <c r="AJ47" i="1"/>
  <c r="AK47" i="1"/>
  <c r="U48" i="1"/>
  <c r="AD48" i="1"/>
  <c r="AH48" i="1"/>
  <c r="AI48" i="1"/>
  <c r="AJ48" i="1"/>
  <c r="AK48" i="1"/>
  <c r="U49" i="1"/>
  <c r="V49" i="1"/>
  <c r="AD49" i="1"/>
  <c r="AH49" i="1"/>
  <c r="AI49" i="1"/>
  <c r="AJ49" i="1"/>
  <c r="AK49" i="1"/>
  <c r="U50" i="1"/>
  <c r="V50" i="1"/>
  <c r="AD50" i="1"/>
  <c r="AH50" i="1"/>
  <c r="AI50" i="1"/>
  <c r="AJ50" i="1"/>
  <c r="AK50" i="1"/>
  <c r="U51" i="1"/>
  <c r="V51" i="1"/>
  <c r="W51" i="1"/>
  <c r="AB51" i="1"/>
  <c r="AC51" i="1"/>
  <c r="AD51" i="1"/>
  <c r="AE51" i="1"/>
  <c r="AH51" i="1"/>
  <c r="AI51" i="1"/>
  <c r="AJ51" i="1"/>
  <c r="AK51" i="1"/>
  <c r="U52" i="1"/>
  <c r="V52" i="1"/>
  <c r="AD52" i="1"/>
  <c r="AH52" i="1"/>
  <c r="AI52" i="1"/>
  <c r="AJ52" i="1"/>
  <c r="AK52" i="1"/>
  <c r="U20" i="1"/>
  <c r="U53" i="1" s="1"/>
  <c r="V20" i="1"/>
  <c r="V53" i="1" s="1"/>
  <c r="W20" i="1"/>
  <c r="X20" i="1"/>
  <c r="Y20" i="1"/>
  <c r="Z20" i="1"/>
  <c r="AA20" i="1"/>
  <c r="AB20" i="1"/>
  <c r="AC20" i="1"/>
  <c r="AD20" i="1"/>
  <c r="AE20" i="1"/>
  <c r="AF20" i="1"/>
  <c r="AG20" i="1"/>
  <c r="AH20" i="1"/>
  <c r="AH53" i="1" s="1"/>
  <c r="AI20" i="1"/>
  <c r="AI53" i="1" s="1"/>
  <c r="AJ20" i="1"/>
  <c r="AJ53" i="1" s="1"/>
  <c r="AK20" i="1"/>
  <c r="AK53" i="1" s="1"/>
  <c r="U21" i="1"/>
  <c r="U54" i="1" s="1"/>
  <c r="V21" i="1"/>
  <c r="V54" i="1" s="1"/>
  <c r="W21" i="1"/>
  <c r="X21" i="1"/>
  <c r="Y21" i="1"/>
  <c r="Z21" i="1"/>
  <c r="AA21" i="1"/>
  <c r="AB21" i="1"/>
  <c r="AC21" i="1"/>
  <c r="AD21" i="1"/>
  <c r="AE21" i="1"/>
  <c r="AF21" i="1"/>
  <c r="AG21" i="1"/>
  <c r="AH21" i="1"/>
  <c r="AH54" i="1" s="1"/>
  <c r="AI21" i="1"/>
  <c r="AI54" i="1" s="1"/>
  <c r="AJ21" i="1"/>
  <c r="AJ54" i="1" s="1"/>
  <c r="AK21" i="1"/>
  <c r="AK54" i="1" s="1"/>
  <c r="U22" i="1"/>
  <c r="U55" i="1" s="1"/>
  <c r="V22" i="1"/>
  <c r="V55" i="1" s="1"/>
  <c r="W22" i="1"/>
  <c r="X22" i="1"/>
  <c r="Y22" i="1"/>
  <c r="Z22" i="1"/>
  <c r="AA22" i="1"/>
  <c r="AB22" i="1"/>
  <c r="AC22" i="1"/>
  <c r="AD22" i="1"/>
  <c r="AD55" i="1" s="1"/>
  <c r="AE22" i="1"/>
  <c r="AF22" i="1"/>
  <c r="AG22" i="1"/>
  <c r="AH22" i="1"/>
  <c r="AH55" i="1" s="1"/>
  <c r="AI22" i="1"/>
  <c r="AI55" i="1" s="1"/>
  <c r="AJ22" i="1"/>
  <c r="AJ55" i="1" s="1"/>
  <c r="AK22" i="1"/>
  <c r="AK55" i="1" s="1"/>
  <c r="U23" i="1"/>
  <c r="U56" i="1" s="1"/>
  <c r="V23" i="1"/>
  <c r="V56" i="1" s="1"/>
  <c r="W23" i="1"/>
  <c r="X23" i="1"/>
  <c r="Y23" i="1"/>
  <c r="Z23" i="1"/>
  <c r="AA23" i="1"/>
  <c r="AB23" i="1"/>
  <c r="AC23" i="1"/>
  <c r="AD23" i="1"/>
  <c r="AE23" i="1"/>
  <c r="AF23" i="1"/>
  <c r="AG23" i="1"/>
  <c r="AH23" i="1"/>
  <c r="AH56" i="1" s="1"/>
  <c r="AI23" i="1"/>
  <c r="AI56" i="1" s="1"/>
  <c r="AJ23" i="1"/>
  <c r="AJ56" i="1" s="1"/>
  <c r="AK23" i="1"/>
  <c r="AK56" i="1" s="1"/>
  <c r="U24" i="1"/>
  <c r="U57" i="1" s="1"/>
  <c r="V24" i="1"/>
  <c r="V57" i="1" s="1"/>
  <c r="W24" i="1"/>
  <c r="X24" i="1"/>
  <c r="Y24" i="1"/>
  <c r="Z24" i="1"/>
  <c r="AA24" i="1"/>
  <c r="AB24" i="1"/>
  <c r="AC24" i="1"/>
  <c r="AD24" i="1"/>
  <c r="AE24" i="1"/>
  <c r="AF24" i="1"/>
  <c r="AG24" i="1"/>
  <c r="AH24" i="1"/>
  <c r="AH57" i="1" s="1"/>
  <c r="AI24" i="1"/>
  <c r="AI57" i="1" s="1"/>
  <c r="AJ24" i="1"/>
  <c r="AJ57" i="1" s="1"/>
  <c r="AK24" i="1"/>
  <c r="AK57" i="1" s="1"/>
  <c r="U25" i="1"/>
  <c r="U58" i="1" s="1"/>
  <c r="V25" i="1"/>
  <c r="V58" i="1" s="1"/>
  <c r="W25" i="1"/>
  <c r="X25" i="1"/>
  <c r="Y25" i="1"/>
  <c r="Z25" i="1"/>
  <c r="AA25" i="1"/>
  <c r="AB25" i="1"/>
  <c r="AC25" i="1"/>
  <c r="AD25" i="1"/>
  <c r="AE25" i="1"/>
  <c r="AF25" i="1"/>
  <c r="AG25" i="1"/>
  <c r="AH25" i="1"/>
  <c r="AH58" i="1" s="1"/>
  <c r="AI25" i="1"/>
  <c r="AI58" i="1" s="1"/>
  <c r="AJ25" i="1"/>
  <c r="AJ58" i="1" s="1"/>
  <c r="AK25" i="1"/>
  <c r="AK58" i="1" s="1"/>
  <c r="U26" i="1"/>
  <c r="U59" i="1" s="1"/>
  <c r="V26" i="1"/>
  <c r="V59" i="1" s="1"/>
  <c r="W26" i="1"/>
  <c r="X26" i="1"/>
  <c r="Y26" i="1"/>
  <c r="Z26" i="1"/>
  <c r="AA26" i="1"/>
  <c r="AB26" i="1"/>
  <c r="AC26" i="1"/>
  <c r="AD26" i="1"/>
  <c r="AD59" i="1" s="1"/>
  <c r="AE26" i="1"/>
  <c r="AF26" i="1"/>
  <c r="AG26" i="1"/>
  <c r="AH26" i="1"/>
  <c r="AH59" i="1" s="1"/>
  <c r="AI26" i="1"/>
  <c r="AI59" i="1" s="1"/>
  <c r="AJ26" i="1"/>
  <c r="AJ59" i="1" s="1"/>
  <c r="AK26" i="1"/>
  <c r="AK59" i="1" s="1"/>
  <c r="U27" i="1"/>
  <c r="U60" i="1" s="1"/>
  <c r="V27" i="1"/>
  <c r="V60" i="1" s="1"/>
  <c r="W27" i="1"/>
  <c r="X27" i="1"/>
  <c r="Y27" i="1"/>
  <c r="Z27" i="1"/>
  <c r="AA27" i="1"/>
  <c r="AB27" i="1"/>
  <c r="AC27" i="1"/>
  <c r="AD27" i="1"/>
  <c r="AE27" i="1"/>
  <c r="AF27" i="1"/>
  <c r="AG27" i="1"/>
  <c r="AH27" i="1"/>
  <c r="AH60" i="1" s="1"/>
  <c r="AI27" i="1"/>
  <c r="AI60" i="1" s="1"/>
  <c r="AJ27" i="1"/>
  <c r="AJ60" i="1" s="1"/>
  <c r="AK27" i="1"/>
  <c r="AK60" i="1" s="1"/>
  <c r="U28" i="1"/>
  <c r="U61" i="1" s="1"/>
  <c r="V28" i="1"/>
  <c r="V61" i="1" s="1"/>
  <c r="W28" i="1"/>
  <c r="X28" i="1"/>
  <c r="Y28" i="1"/>
  <c r="Z28" i="1"/>
  <c r="AA28" i="1"/>
  <c r="AB28" i="1"/>
  <c r="AC28" i="1"/>
  <c r="AD28" i="1"/>
  <c r="AE28" i="1"/>
  <c r="AF28" i="1"/>
  <c r="AG28" i="1"/>
  <c r="AH28" i="1"/>
  <c r="AH61" i="1" s="1"/>
  <c r="AI28" i="1"/>
  <c r="AI61" i="1" s="1"/>
  <c r="AJ28" i="1"/>
  <c r="AJ61" i="1" s="1"/>
  <c r="AK28" i="1"/>
  <c r="AK61" i="1" s="1"/>
  <c r="U29" i="1"/>
  <c r="U62" i="1" s="1"/>
  <c r="V29" i="1"/>
  <c r="V62" i="1" s="1"/>
  <c r="W29" i="1"/>
  <c r="X29" i="1"/>
  <c r="Y29" i="1"/>
  <c r="Z29" i="1"/>
  <c r="AA29" i="1"/>
  <c r="AB29" i="1"/>
  <c r="AC29" i="1"/>
  <c r="AD29" i="1"/>
  <c r="AE29" i="1"/>
  <c r="AF29" i="1"/>
  <c r="AG29" i="1"/>
  <c r="AH29" i="1"/>
  <c r="AH62" i="1" s="1"/>
  <c r="AI29" i="1"/>
  <c r="AI62" i="1" s="1"/>
  <c r="AJ29" i="1"/>
  <c r="AJ62" i="1" s="1"/>
  <c r="AK29" i="1"/>
  <c r="AK62" i="1" s="1"/>
  <c r="U30" i="1"/>
  <c r="U63" i="1" s="1"/>
  <c r="V30" i="1"/>
  <c r="V63" i="1" s="1"/>
  <c r="W30" i="1"/>
  <c r="X30" i="1"/>
  <c r="Y30" i="1"/>
  <c r="Z30" i="1"/>
  <c r="AA30" i="1"/>
  <c r="AB30" i="1"/>
  <c r="AC30" i="1"/>
  <c r="AD30" i="1"/>
  <c r="AE30" i="1"/>
  <c r="AF30" i="1"/>
  <c r="AG30" i="1"/>
  <c r="AH30" i="1"/>
  <c r="AH63" i="1" s="1"/>
  <c r="AI30" i="1"/>
  <c r="AI63" i="1" s="1"/>
  <c r="AJ30" i="1"/>
  <c r="AJ63" i="1" s="1"/>
  <c r="AK30" i="1"/>
  <c r="AK63" i="1" s="1"/>
  <c r="U31" i="1"/>
  <c r="U64" i="1" s="1"/>
  <c r="V31" i="1"/>
  <c r="W31" i="1"/>
  <c r="X31" i="1"/>
  <c r="Y31" i="1"/>
  <c r="Z31" i="1"/>
  <c r="AA31" i="1"/>
  <c r="AB31" i="1"/>
  <c r="AC31" i="1"/>
  <c r="AD31" i="1"/>
  <c r="AE31" i="1"/>
  <c r="AF31" i="1"/>
  <c r="AG31" i="1"/>
  <c r="AH31" i="1"/>
  <c r="AH64" i="1" s="1"/>
  <c r="AI31" i="1"/>
  <c r="AI64" i="1" s="1"/>
  <c r="AJ31" i="1"/>
  <c r="AJ64" i="1" s="1"/>
  <c r="AK31" i="1"/>
  <c r="AK64" i="1" s="1"/>
  <c r="U32" i="1"/>
  <c r="U65" i="1" s="1"/>
  <c r="V32" i="1"/>
  <c r="V65" i="1" s="1"/>
  <c r="W32" i="1"/>
  <c r="X32" i="1"/>
  <c r="Y32" i="1"/>
  <c r="Z32" i="1"/>
  <c r="AA32" i="1"/>
  <c r="AB32" i="1"/>
  <c r="AC32" i="1"/>
  <c r="AD32" i="1"/>
  <c r="AD65" i="1" s="1"/>
  <c r="AE32" i="1"/>
  <c r="AF32" i="1"/>
  <c r="AG32" i="1"/>
  <c r="AH32" i="1"/>
  <c r="AH65" i="1" s="1"/>
  <c r="AI32" i="1"/>
  <c r="AI65" i="1" s="1"/>
  <c r="AJ32" i="1"/>
  <c r="AJ65" i="1" s="1"/>
  <c r="AK32" i="1"/>
  <c r="AK65" i="1" s="1"/>
  <c r="T32" i="1"/>
  <c r="T65" i="1" s="1"/>
  <c r="T31" i="1"/>
  <c r="T64" i="1" s="1"/>
  <c r="T30" i="1"/>
  <c r="T63" i="1" s="1"/>
  <c r="T29" i="1"/>
  <c r="T62" i="1" s="1"/>
  <c r="T28" i="1"/>
  <c r="T61" i="1" s="1"/>
  <c r="T27" i="1"/>
  <c r="T60" i="1" s="1"/>
  <c r="T26" i="1"/>
  <c r="T59" i="1" s="1"/>
  <c r="T25" i="1"/>
  <c r="T58" i="1" s="1"/>
  <c r="T24" i="1"/>
  <c r="T57" i="1" s="1"/>
  <c r="T23" i="1"/>
  <c r="T56" i="1" s="1"/>
  <c r="T22" i="1"/>
  <c r="T55" i="1" s="1"/>
  <c r="T21" i="1"/>
  <c r="T54" i="1" s="1"/>
  <c r="T20" i="1"/>
  <c r="T53" i="1" s="1"/>
  <c r="T52" i="1"/>
  <c r="T51" i="1"/>
  <c r="T50" i="1"/>
  <c r="T49" i="1"/>
  <c r="T48" i="1"/>
  <c r="T47" i="1"/>
  <c r="T46" i="1"/>
  <c r="T45" i="1"/>
  <c r="T44" i="1"/>
  <c r="T43" i="1"/>
  <c r="T42" i="1"/>
  <c r="T41" i="1"/>
  <c r="T40" i="1"/>
  <c r="T39" i="1"/>
  <c r="T38" i="1"/>
  <c r="T37" i="1"/>
  <c r="T36" i="1"/>
  <c r="AK35" i="1"/>
  <c r="AH35" i="1"/>
  <c r="AI35" i="1"/>
  <c r="AJ35" i="1"/>
  <c r="U35" i="1"/>
  <c r="V35" i="1"/>
  <c r="W35" i="1"/>
  <c r="X35" i="1"/>
  <c r="Y35" i="1"/>
  <c r="Z35" i="1"/>
  <c r="AA35" i="1"/>
  <c r="AB35" i="1"/>
  <c r="AC35" i="1"/>
  <c r="AD35" i="1"/>
  <c r="AE35" i="1"/>
  <c r="AF35" i="1"/>
  <c r="AG35" i="1"/>
  <c r="T35" i="1"/>
  <c r="AD60" i="1" l="1"/>
  <c r="AE55" i="1"/>
  <c r="AD63" i="1"/>
  <c r="AD57" i="1"/>
  <c r="AD53" i="1"/>
  <c r="W55" i="1"/>
  <c r="AD58" i="1"/>
  <c r="AD54" i="1"/>
  <c r="AE63" i="1"/>
  <c r="W63" i="1"/>
  <c r="AA63" i="1"/>
  <c r="AA55" i="1"/>
  <c r="AD61" i="1"/>
  <c r="AE59" i="1"/>
  <c r="W59" i="1"/>
  <c r="AC59" i="1"/>
  <c r="AB59" i="1"/>
  <c r="AB55" i="1"/>
  <c r="AD64" i="1"/>
  <c r="AF63" i="1"/>
  <c r="X63" i="1"/>
  <c r="Z61" i="1"/>
  <c r="AF55" i="1"/>
  <c r="AD62" i="1"/>
  <c r="X55" i="1"/>
  <c r="Z63" i="1"/>
  <c r="Z55" i="1"/>
  <c r="AG63" i="1"/>
  <c r="Y63" i="1"/>
  <c r="AA61" i="1"/>
  <c r="AB60" i="1"/>
  <c r="AG55" i="1"/>
  <c r="Y55" i="1"/>
  <c r="AD56" i="1"/>
  <c r="AC61" i="1"/>
  <c r="AC53" i="1"/>
  <c r="AG62" i="1"/>
  <c r="Y62" i="1"/>
  <c r="AG54" i="1"/>
  <c r="Y54" i="1"/>
  <c r="AB63" i="1"/>
  <c r="AA53" i="1"/>
  <c r="Z53" i="1"/>
  <c r="AD42" i="1"/>
  <c r="AB53" i="1"/>
  <c r="AB45" i="1"/>
  <c r="AB37" i="1"/>
  <c r="AF62" i="1"/>
  <c r="X62" i="1"/>
  <c r="AF54" i="1"/>
  <c r="X54" i="1"/>
  <c r="AF46" i="1"/>
  <c r="AF38" i="1"/>
  <c r="X38" i="1"/>
  <c r="AE62" i="1"/>
  <c r="W62" i="1"/>
  <c r="AE54" i="1"/>
  <c r="W54" i="1"/>
  <c r="AE46" i="1"/>
  <c r="W46" i="1"/>
  <c r="AE38" i="1"/>
  <c r="W38" i="1"/>
  <c r="AC62" i="1"/>
  <c r="AC54" i="1"/>
  <c r="AC46" i="1"/>
  <c r="AC38" i="1"/>
  <c r="AB62" i="1"/>
  <c r="AF58" i="1"/>
  <c r="X58" i="1"/>
  <c r="AB54" i="1"/>
  <c r="AF50" i="1"/>
  <c r="X50" i="1"/>
  <c r="AB46" i="1"/>
  <c r="AB38" i="1"/>
  <c r="AA62" i="1"/>
  <c r="AB61" i="1"/>
  <c r="AA54" i="1"/>
  <c r="AA46" i="1"/>
  <c r="AA38" i="1"/>
  <c r="Z62" i="1"/>
  <c r="Z54" i="1"/>
  <c r="Z46" i="1"/>
  <c r="Z38" i="1"/>
  <c r="AC64" i="1"/>
  <c r="AA58" i="1"/>
  <c r="AC56" i="1"/>
  <c r="AA50" i="1"/>
  <c r="AC48" i="1"/>
  <c r="AC40" i="1"/>
  <c r="AB48" i="1"/>
  <c r="AB40" i="1"/>
  <c r="AA64" i="1"/>
  <c r="AF59" i="1"/>
  <c r="X59" i="1"/>
  <c r="AA56" i="1"/>
  <c r="AF51" i="1"/>
  <c r="X51" i="1"/>
  <c r="AA48" i="1"/>
  <c r="AF43" i="1"/>
  <c r="X43" i="1"/>
  <c r="AA40" i="1"/>
  <c r="AE36" i="1"/>
  <c r="W36" i="1"/>
  <c r="Z64" i="1"/>
  <c r="Z56" i="1"/>
  <c r="Z48" i="1"/>
  <c r="Z40" i="1"/>
  <c r="AC60" i="1"/>
  <c r="AC52" i="1"/>
  <c r="AC44" i="1"/>
  <c r="AC36" i="1"/>
  <c r="AF64" i="1"/>
  <c r="X64" i="1"/>
  <c r="AF56" i="1"/>
  <c r="X56" i="1"/>
  <c r="AF48" i="1"/>
  <c r="X48" i="1"/>
  <c r="AF40" i="1"/>
  <c r="X40" i="1"/>
  <c r="AE64" i="1"/>
  <c r="W64" i="1"/>
  <c r="AA60" i="1"/>
  <c r="AC58" i="1"/>
  <c r="AE56" i="1"/>
  <c r="W56" i="1"/>
  <c r="AA52" i="1"/>
  <c r="AC50" i="1"/>
  <c r="AE48" i="1"/>
  <c r="W48" i="1"/>
  <c r="AA44" i="1"/>
  <c r="AC42" i="1"/>
  <c r="AE40" i="1"/>
  <c r="W40" i="1"/>
  <c r="AA36" i="1"/>
  <c r="AC65" i="1"/>
  <c r="Y64" i="1"/>
  <c r="AG61" i="1"/>
  <c r="Y61" i="1"/>
  <c r="Z60" i="1"/>
  <c r="AA59" i="1"/>
  <c r="AB58" i="1"/>
  <c r="AC57" i="1"/>
  <c r="AG53" i="1"/>
  <c r="Y53" i="1"/>
  <c r="Z52" i="1"/>
  <c r="AA51" i="1"/>
  <c r="AB50" i="1"/>
  <c r="AC49" i="1"/>
  <c r="AG48" i="1"/>
  <c r="W47" i="1"/>
  <c r="X46" i="1"/>
  <c r="AG45" i="1"/>
  <c r="Y45" i="1"/>
  <c r="Z44" i="1"/>
  <c r="AA43" i="1"/>
  <c r="AB42" i="1"/>
  <c r="AC41" i="1"/>
  <c r="Y40" i="1"/>
  <c r="AG37" i="1"/>
  <c r="Y37" i="1"/>
  <c r="Z36" i="1"/>
  <c r="AB65" i="1"/>
  <c r="AF61" i="1"/>
  <c r="X61" i="1"/>
  <c r="AG60" i="1"/>
  <c r="Y60" i="1"/>
  <c r="Z59" i="1"/>
  <c r="AB57" i="1"/>
  <c r="AF53" i="1"/>
  <c r="X53" i="1"/>
  <c r="AG52" i="1"/>
  <c r="Y52" i="1"/>
  <c r="Z51" i="1"/>
  <c r="AB49" i="1"/>
  <c r="AF45" i="1"/>
  <c r="X45" i="1"/>
  <c r="AG44" i="1"/>
  <c r="Y44" i="1"/>
  <c r="Z43" i="1"/>
  <c r="AB41" i="1"/>
  <c r="AF37" i="1"/>
  <c r="X37" i="1"/>
  <c r="AG36" i="1"/>
  <c r="Y36" i="1"/>
  <c r="AA65" i="1"/>
  <c r="AB64" i="1"/>
  <c r="AC63" i="1"/>
  <c r="AE61" i="1"/>
  <c r="W61" i="1"/>
  <c r="AF60" i="1"/>
  <c r="X60" i="1"/>
  <c r="AG59" i="1"/>
  <c r="Y59" i="1"/>
  <c r="Z58" i="1"/>
  <c r="AA57" i="1"/>
  <c r="AB56" i="1"/>
  <c r="AC55" i="1"/>
  <c r="AE53" i="1"/>
  <c r="W53" i="1"/>
  <c r="AF52" i="1"/>
  <c r="X52" i="1"/>
  <c r="AG51" i="1"/>
  <c r="Y51" i="1"/>
  <c r="Z50" i="1"/>
  <c r="AA49" i="1"/>
  <c r="AE45" i="1"/>
  <c r="W45" i="1"/>
  <c r="AF44" i="1"/>
  <c r="X44" i="1"/>
  <c r="AG43" i="1"/>
  <c r="Y43" i="1"/>
  <c r="Z42" i="1"/>
  <c r="AA41" i="1"/>
  <c r="AE37" i="1"/>
  <c r="W37" i="1"/>
  <c r="AF36" i="1"/>
  <c r="X36" i="1"/>
  <c r="Z65" i="1"/>
  <c r="AE60" i="1"/>
  <c r="W60" i="1"/>
  <c r="AG58" i="1"/>
  <c r="Y58" i="1"/>
  <c r="Z57" i="1"/>
  <c r="AE52" i="1"/>
  <c r="W52" i="1"/>
  <c r="AG50" i="1"/>
  <c r="Y50" i="1"/>
  <c r="Z49" i="1"/>
  <c r="AE44" i="1"/>
  <c r="W44" i="1"/>
  <c r="AG42" i="1"/>
  <c r="Y42" i="1"/>
  <c r="Z41" i="1"/>
  <c r="Y65" i="1"/>
  <c r="AG57" i="1"/>
  <c r="Y57" i="1"/>
  <c r="AG49" i="1"/>
  <c r="Y49" i="1"/>
  <c r="AF42" i="1"/>
  <c r="X42" i="1"/>
  <c r="AG41" i="1"/>
  <c r="Y41" i="1"/>
  <c r="AG65" i="1"/>
  <c r="AF65" i="1"/>
  <c r="X65" i="1"/>
  <c r="AE58" i="1"/>
  <c r="W58" i="1"/>
  <c r="AF57" i="1"/>
  <c r="X57" i="1"/>
  <c r="AE50" i="1"/>
  <c r="W50" i="1"/>
  <c r="AF49" i="1"/>
  <c r="X49" i="1"/>
  <c r="AE42" i="1"/>
  <c r="W42" i="1"/>
  <c r="AF41" i="1"/>
  <c r="X41" i="1"/>
  <c r="AE65" i="1"/>
  <c r="W65" i="1"/>
  <c r="AE57" i="1"/>
  <c r="W57" i="1"/>
  <c r="AB52" i="1"/>
  <c r="AE49" i="1"/>
  <c r="W49" i="1"/>
  <c r="AE41" i="1"/>
  <c r="W41" i="1"/>
  <c r="AA42" i="1"/>
  <c r="H1" i="7"/>
  <c r="L1" i="7"/>
  <c r="AG56" i="1"/>
  <c r="Y48" i="1"/>
  <c r="AG64" i="1"/>
  <c r="Y56" i="1"/>
  <c r="AG40" i="1"/>
  <c r="V64" i="1"/>
  <c r="V48" i="1"/>
  <c r="V40" i="1"/>
  <c r="K10" i="7" l="1"/>
  <c r="I15" i="7"/>
  <c r="I13" i="7"/>
  <c r="I10" i="7"/>
  <c r="A32" i="7" s="1"/>
  <c r="K13" i="7"/>
  <c r="I14" i="7"/>
  <c r="K14" i="7"/>
  <c r="K15" i="7"/>
  <c r="A30" i="7"/>
  <c r="I21" i="7" l="1"/>
  <c r="M13" i="7"/>
  <c r="M10" i="7"/>
  <c r="J10" i="7"/>
  <c r="J13" i="7"/>
  <c r="M14" i="7"/>
  <c r="K21" i="7"/>
  <c r="J14" i="7"/>
  <c r="M15" i="7"/>
  <c r="J15" i="7"/>
  <c r="B33" i="7"/>
  <c r="B30" i="7"/>
  <c r="J21" i="7" l="1"/>
  <c r="A34"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15D7BC2-66FA-4167-85AD-52F6DC472F81}" name="Connection" type="4" refreshedVersion="7" background="1" saveData="1">
    <webPr sourceData="1" parsePre="1" consecutive="1" textDates="1" xl2000="1" url="https://www.teamrankings.com/mlb/trends/win_trends" htmlTables="1"/>
  </connection>
  <connection id="2" xr16:uid="{15CF10FE-040C-4610-BD69-E26CE2A2DE80}" name="Connection1" type="4" refreshedVersion="7" background="1" saveData="1">
    <webPr sourceData="1" parsePre="1" consecutive="1" textDates="1" xl2000="1" url="https://www.teamrankings.com/mlb/trends/ats_trends" htmlTables="1"/>
  </connection>
  <connection id="3" xr16:uid="{C85B7B55-B33A-4532-BC45-09E45EBDC602}" name="Connection10" type="4" refreshedVersion="7" background="1" saveData="1">
    <webPr sourceData="1" parsePre="1" consecutive="1" xl2000="1" url="https://www.mlb.com/stats/at-bats?page=2" htmlTables="1"/>
  </connection>
  <connection id="4" xr16:uid="{C3D79A92-E62E-47F9-8811-E007DF2621B2}" name="Connection11" type="4" refreshedVersion="7" background="1" saveData="1">
    <webPr sourceData="1" parsePre="1" consecutive="1" xl2000="1" url="https://www.mlb.com/stats/at-bats?page=2" htmlTables="1"/>
  </connection>
  <connection id="5" xr16:uid="{A76456F1-EA40-4646-B033-3E2B694E27D0}" name="Connection12" type="4" refreshedVersion="7" background="1" saveData="1">
    <webPr sourceData="1" parsePre="1" consecutive="1" xl2000="1" url="https://www.mlb.com/stats/at-bats?page=3" htmlTables="1"/>
  </connection>
  <connection id="6" xr16:uid="{366383F3-8A59-4AD5-8498-AA2A0765AD8F}" name="Connection13" type="4" refreshedVersion="7" background="1" saveData="1">
    <webPr sourceData="1" parsePre="1" consecutive="1" xl2000="1" url="https://www.mlb.com/stats/at-bats?page=2" htmlTables="1"/>
  </connection>
  <connection id="7" xr16:uid="{4808A8A4-6027-4B41-A725-BFD512B3A35A}" name="Connection14" type="4" refreshedVersion="7" background="1" saveData="1">
    <webPr sourceData="1" parsePre="1" consecutive="1" xl2000="1" url="https://www.mlb.com/stats/at-bats?page=3" htmlTables="1"/>
  </connection>
  <connection id="8" xr16:uid="{158CE6B1-56FE-4BA9-B371-31CF8EB44BB1}" name="Connection15" type="4" refreshedVersion="7" background="1" saveData="1">
    <webPr sourceData="1" parsePre="1" consecutive="1" xl2000="1" url="https://www.mlb.com/stats/at-bats" htmlTables="1"/>
  </connection>
  <connection id="9" xr16:uid="{BBB00F96-A73A-4CCE-B61D-243E77F85FCC}" name="Connection16" type="4" refreshedVersion="7" background="1" saveData="1">
    <webPr sourceData="1" parsePre="1" consecutive="1" xl2000="1" url="https://www.mlb.com/stats/at-bats?page=2" htmlTables="1"/>
  </connection>
  <connection id="10" xr16:uid="{1743FBAA-D356-4EE8-965E-A4408B6A79F1}" name="Connection17" type="4" refreshedVersion="7" background="1" saveData="1">
    <webPr sourceData="1" parsePre="1" consecutive="1" xl2000="1" url="https://www.mlb.com/stats/at-bats?page=3" htmlTables="1"/>
  </connection>
  <connection id="11" xr16:uid="{2A1056E8-4D1F-4DC9-8F8C-CC9F5C51F604}" name="Connection18" type="4" refreshedVersion="7" background="1" saveData="1">
    <webPr sourceData="1" parsePre="1" consecutive="1" xl2000="1" url="https://www.mlb.com/stats/at-bats" htmlTables="1"/>
  </connection>
  <connection id="12" xr16:uid="{3DEB2D91-C7FB-432A-9ED1-590DC9E89A38}" name="Connection19" type="4" refreshedVersion="7" background="1" saveData="1">
    <webPr sourceData="1" parsePre="1" consecutive="1" xl2000="1" url="https://www.mlb.com/stats/at-bats?page=2" htmlTables="1"/>
  </connection>
  <connection id="13" xr16:uid="{C40D9426-E654-42E4-957B-62D59AA081C8}" name="Connection2" type="4" refreshedVersion="7" background="1" saveData="1">
    <webPr sourceData="1" parsePre="1" consecutive="1" textDates="1" xl2000="1" url="https://www.teamrankings.com/mlb/trends/ou_trends" htmlTables="1"/>
  </connection>
  <connection id="14" xr16:uid="{F0FF4460-19A1-478D-BDBB-47645159D2B7}" name="Connection20" type="4" refreshedVersion="7" background="1" saveData="1">
    <webPr sourceData="1" parsePre="1" consecutive="1" xl2000="1" url="https://www.mlb.com/stats/at-bats" htmlTables="1"/>
  </connection>
  <connection id="15" xr16:uid="{77EE9101-BE8F-4EB9-AAC2-40A3D9D4768B}" name="Connection21" type="4" refreshedVersion="7" background="1" saveData="1">
    <webPr sourceData="1" parsePre="1" consecutive="1" xl2000="1" url="https://www.mlb.com/stats/at-bats" htmlTables="1"/>
  </connection>
  <connection id="16" xr16:uid="{B46FAE47-E036-4A51-8D35-1A94283C1FF1}" name="Connection22" type="4" refreshedVersion="7" background="1" saveData="1">
    <webPr sourceData="1" parsePre="1" consecutive="1" xl2000="1" url="https://www.mlb.com/stats/at-bats?page=2" htmlTables="1"/>
  </connection>
  <connection id="17" xr16:uid="{08E5E808-499F-412F-95BE-23A736AF52E4}" name="Connection23" type="4" refreshedVersion="7" background="1" saveData="1">
    <webPr sourceData="1" parsePre="1" consecutive="1" xl2000="1" url="https://www.mlb.com/stats/at-bats?page=3" htmlTables="1"/>
  </connection>
  <connection id="18" xr16:uid="{B2982A79-25D8-4DE9-A54A-0A2694C29C7E}" name="Connection24" type="4" refreshedVersion="7" background="1" saveData="1">
    <webPr sourceData="1" parsePre="1" consecutive="1" xl2000="1" url="https://razzball.com/mlbpitchingstats" htmlTables="1">
      <tables count="1">
        <s v="neorazzstatstable"/>
      </tables>
    </webPr>
  </connection>
  <connection id="19" xr16:uid="{DF21DC13-85A6-49BE-B9CC-7FF7ACE90EA1}" name="Connection25" type="4" refreshedVersion="7" background="1" saveData="1">
    <webPr sourceData="1" parsePre="1" consecutive="1" xl2000="1" url="https://www.mlb.com/stats/at-bats?page=2" htmlTables="1"/>
  </connection>
  <connection id="20" xr16:uid="{4D6DB73A-8AD0-48D3-B9C7-DE319745FF33}" name="Connection26" type="4" refreshedVersion="7" background="1" saveData="1">
    <webPr sourceData="1" parsePre="1" consecutive="1" xl2000="1" url="https://www.mlb.com/stats/at-bats?page=3" htmlTables="1"/>
  </connection>
  <connection id="21" xr16:uid="{50F102FF-8EF0-4F29-9080-F508F2E82CCF}" name="Connection27" type="4" refreshedVersion="7" background="1" saveData="1">
    <webPr sourceData="1" parsePre="1" consecutive="1" xl2000="1" url="https://www.mlb.com/stats/at-bats" htmlTables="1"/>
  </connection>
  <connection id="22" xr16:uid="{09D128B9-9097-4505-86D1-CF6C8969DCC2}" name="Connection28" type="4" refreshedVersion="7" background="1" saveData="1">
    <webPr sourceData="1" parsePre="1" consecutive="1" textDates="1" xl2000="1" url="https://www.statmuse.com/mlb/ask/Cardinals-game-log-this-season" htmlTables="1"/>
  </connection>
  <connection id="23" xr16:uid="{2AD0AE29-AC59-41A1-8593-775452BC2472}" name="Connection29" type="4" refreshedVersion="7" background="1" saveData="1">
    <webPr sourceData="1" parsePre="1" consecutive="1" xl2000="1" url="https://www.mlb.com/stats/at-bats?page=2" htmlTables="1"/>
  </connection>
  <connection id="24" xr16:uid="{7C65B6F7-05C9-4E4A-874E-C2B08B83D80E}" name="Connection3" type="4" refreshedVersion="7" background="1" saveData="1">
    <webPr sourceData="1" parsePre="1" consecutive="1" xl2000="1" url="https://www.teamrankings.com/mlb/player-stat/fielding-independent-pitching" htmlTables="1"/>
  </connection>
  <connection id="25" xr16:uid="{2FB35F3A-A8E4-415E-BBCE-CBCB1276F851}" name="Connection30" type="4" refreshedVersion="7" background="1" saveData="1">
    <webPr sourceData="1" parsePre="1" consecutive="1" textDates="1" xl2000="1" url="https://www.statmuse.com/mlb/ask/Diamondbacks-game-log-this-season" htmlTables="1"/>
  </connection>
  <connection id="26" xr16:uid="{B78FEE1C-182C-4FD5-AE98-2E109783049A}" name="Connection31" type="4" refreshedVersion="7" background="1" saveData="1">
    <webPr sourceData="1" parsePre="1" consecutive="1" xl2000="1" url="https://razzball.com/mlbhittingstats" htmlTables="1">
      <tables count="1">
        <s v="neorazzstatstable"/>
      </tables>
    </webPr>
  </connection>
  <connection id="27" xr16:uid="{242E322E-9901-4547-BE01-92F781623901}" name="Connection32" type="4" refreshedVersion="7" background="1" saveData="1">
    <webPr sourceData="1" parsePre="1" consecutive="1" xl2000="1" url="https://www.mlb.com/stats/at-bats" htmlTables="1"/>
  </connection>
  <connection id="28" xr16:uid="{ACE694D1-A332-434E-B4D4-15518667CBBD}" name="Connection33" type="4" refreshedVersion="7" background="1" saveData="1">
    <webPr sourceData="1" parsePre="1" consecutive="1" xl2000="1" url="https://www.mlb.com/stats/at-bats?page=2" htmlTables="1"/>
  </connection>
  <connection id="29" xr16:uid="{71E1300B-9278-486C-BAA7-44BBE706AA29}" name="Connection34" type="4" refreshedVersion="7" background="1" saveData="1">
    <webPr sourceData="1" parsePre="1" consecutive="1" xl2000="1" url="https://www.mlb.com/stats/at-bats?page=3" htmlTables="1"/>
  </connection>
  <connection id="30" xr16:uid="{5604852F-01CD-4693-82F3-DF5D91D67ACC}" name="Connection35" type="4" refreshedVersion="7" background="1" saveData="1">
    <webPr sourceData="1" parsePre="1" consecutive="1" xl2000="1" url="https://www.mlb.com/stats/at-bats?page=3" htmlTables="1"/>
  </connection>
  <connection id="31" xr16:uid="{1078920B-A38F-45F2-B920-D9768A8607E1}" name="Connection36" type="4" refreshedVersion="7" background="1" saveData="1">
    <webPr sourceData="1" parsePre="1" consecutive="1" xl2000="1" url="https://www.mlb.com/stats/at-bats" htmlTables="1"/>
  </connection>
  <connection id="32" xr16:uid="{62871C65-BA7A-416E-9C5E-DFA0A9A400F3}" name="Connection37" type="4" refreshedVersion="7" background="1" saveData="1">
    <webPr sourceData="1" parsePre="1" consecutive="1" xl2000="1" url="https://www.baseballmusings.com/cgi-bin/CurStreak.py" htmlTables="1">
      <tables count="1">
        <x v="2"/>
      </tables>
    </webPr>
  </connection>
  <connection id="33" xr16:uid="{E9AE1755-2EAC-4A03-AA67-EF737B7DA7E5}" name="Connection38" type="4" refreshedVersion="7" background="1" saveData="1">
    <webPr sourceData="1" parsePre="1" consecutive="1" xl2000="1" url="https://www.mlb.com/stats/at-bats?page=2" htmlTables="1"/>
  </connection>
  <connection id="34" xr16:uid="{3B879C2E-F4FE-4DDB-BF80-CD0C1333DC44}" name="Connection39" type="4" refreshedVersion="7" background="1" saveData="1">
    <webPr sourceData="1" parsePre="1" consecutive="1" xl2000="1" url="https://www.mlb.com/stats/at-bats?page=3" htmlTables="1"/>
  </connection>
  <connection id="35" xr16:uid="{9D8C1C1C-296D-4397-9D16-599C496B854A}" name="Connection4" type="4" refreshedVersion="7" background="1" saveData="1">
    <webPr sourceData="1" parsePre="1" consecutive="1" xl2000="1" url="https://www.teamrankings.com/mlb/stat/left-on-base-per-game" htmlTables="1"/>
  </connection>
  <connection id="36" xr16:uid="{66C32A22-A968-47AF-965C-2D6941F35781}" name="Connection40" type="4" refreshedVersion="7" background="1" saveData="1">
    <webPr sourceData="1" parsePre="1" consecutive="1" xl2000="1" url="https://www.mlb.com/stats/at-bats" htmlTables="1"/>
  </connection>
  <connection id="37" xr16:uid="{28F7837D-AA26-4F3C-B902-357AA4C84B94}" name="Connection41" type="4" refreshedVersion="7" background="1" saveData="1">
    <webPr sourceData="1" parsePre="1" consecutive="1" xl2000="1" url="https://www.fantasypros.com/mlb/probable-pitchers.php" htmlTables="1"/>
  </connection>
  <connection id="38" xr16:uid="{BD8704AA-FFFD-4768-94CF-BF911215B425}" name="Connection42" type="4" refreshedVersion="7" background="1" saveData="1">
    <webPr sourceData="1" parsePre="1" consecutive="1" xl2000="1" url="https://www.mlb.com/stats/at-bats?page=2" htmlTables="1"/>
  </connection>
  <connection id="39" xr16:uid="{89266968-0842-43A1-84C9-9C5482661BF6}" name="Connection43" type="4" refreshedVersion="7" background="1" saveData="1">
    <webPr sourceData="1" parsePre="1" consecutive="1" xl2000="1" url="https://www.mlb.com/stats/at-bats?page=3" htmlTables="1"/>
  </connection>
  <connection id="40" xr16:uid="{9A0617E7-03FA-4594-9509-941EE246F1B8}" name="Connection5" type="4" refreshedVersion="7" background="1" saveData="1">
    <webPr sourceData="1" parsePre="1" consecutive="1" xl2000="1" url="https://www.teamrankings.com/mlb/stat/run-differential" htmlTables="1"/>
  </connection>
  <connection id="41" xr16:uid="{F5A9D73E-9071-4819-9018-80E2EB420693}" name="Connection6" type="4" refreshedVersion="7" background="1" saveData="1">
    <webPr sourceData="1" parsePre="1" consecutive="1" xl2000="1" url="https://www.teamrankings.com/mlb/stat/earned-run-average" htmlTables="1"/>
  </connection>
  <connection id="42" xr16:uid="{B9C172F9-43DB-4C36-9F8E-DAFDDC274731}" name="Connection7" type="4" refreshedVersion="7" background="1" saveData="1">
    <webPr sourceData="1" parsePre="1" consecutive="1" xl2000="1" url="https://www.lineups.com/mlb/lineups"/>
  </connection>
  <connection id="43" xr16:uid="{6FE2EA91-6DD4-4887-8C86-A99ED4012AB6}" name="Connection8" type="4" refreshedVersion="7" background="1" saveData="1">
    <webPr sourceData="1" parsePre="1" consecutive="1" xl2000="1" url="https://www.mlb.com/stats/at-bats?page=2" htmlTables="1"/>
  </connection>
  <connection id="44" xr16:uid="{ACAB6281-EA92-4211-8ABC-1F9A56AFE53E}" name="Connection9" type="4" refreshedVersion="7" background="1" saveData="1">
    <webPr sourceData="1" parsePre="1" consecutive="1" xl2000="1" url="https://www.mlb.com/stats/at-bats?page=2" htmlTables="1"/>
  </connection>
</connections>
</file>

<file path=xl/sharedStrings.xml><?xml version="1.0" encoding="utf-8"?>
<sst xmlns="http://schemas.openxmlformats.org/spreadsheetml/2006/main" count="18225" uniqueCount="3636">
  <si>
    <t>Tampa Bay Rays</t>
  </si>
  <si>
    <t>AL</t>
  </si>
  <si>
    <t>Los Angeles Dodgers</t>
  </si>
  <si>
    <t>NL</t>
  </si>
  <si>
    <t>Milwaukee Brewers</t>
  </si>
  <si>
    <t>San Francisco Giants</t>
  </si>
  <si>
    <t>Baltimore Orioles</t>
  </si>
  <si>
    <t>Atlanta Braves</t>
  </si>
  <si>
    <t>St. Louis Cardinals</t>
  </si>
  <si>
    <t>Chicago White Sox</t>
  </si>
  <si>
    <t>Cincinnati Reds</t>
  </si>
  <si>
    <t>New York Yankees</t>
  </si>
  <si>
    <t>Boston Red Sox</t>
  </si>
  <si>
    <t>Pittsburgh Pirates</t>
  </si>
  <si>
    <t>Philadelphia Phillies</t>
  </si>
  <si>
    <t>Toronto Blue Jays</t>
  </si>
  <si>
    <t>San Diego Padres</t>
  </si>
  <si>
    <t>Chicago Cubs</t>
  </si>
  <si>
    <t>Texas Rangers</t>
  </si>
  <si>
    <t>Washington Nationals</t>
  </si>
  <si>
    <t>Cleveland Guardians</t>
  </si>
  <si>
    <t>Colorado Rockies</t>
  </si>
  <si>
    <t>Los Angeles Angels</t>
  </si>
  <si>
    <t>Seattle Mariners</t>
  </si>
  <si>
    <t>New York Mets</t>
  </si>
  <si>
    <t>Houston Astros</t>
  </si>
  <si>
    <t>Oakland Athletics</t>
  </si>
  <si>
    <t>Minnesota Twins</t>
  </si>
  <si>
    <t>Miami Marlins</t>
  </si>
  <si>
    <t>Arizona Diamondbacks</t>
  </si>
  <si>
    <t>Kansas City Royals</t>
  </si>
  <si>
    <t>Detroit Tigers</t>
  </si>
  <si>
    <t>Team</t>
  </si>
  <si>
    <t>Win-Loss Record</t>
  </si>
  <si>
    <t>Win %</t>
  </si>
  <si>
    <t>MOV</t>
  </si>
  <si>
    <t>Run Line +/-</t>
  </si>
  <si>
    <t>Tampa Bay</t>
  </si>
  <si>
    <t>Milwaukee</t>
  </si>
  <si>
    <t>Atlanta</t>
  </si>
  <si>
    <t>Minnesota</t>
  </si>
  <si>
    <t>Pittsburgh</t>
  </si>
  <si>
    <t>LA Dodgers</t>
  </si>
  <si>
    <t>LA Angels</t>
  </si>
  <si>
    <t>Cleveland</t>
  </si>
  <si>
    <t>Texas</t>
  </si>
  <si>
    <t>Baltimore</t>
  </si>
  <si>
    <t>Toronto</t>
  </si>
  <si>
    <t>NY Yankees</t>
  </si>
  <si>
    <t>San Diego</t>
  </si>
  <si>
    <t>Chi Cubs</t>
  </si>
  <si>
    <t>NY Mets</t>
  </si>
  <si>
    <t>Cincinnati</t>
  </si>
  <si>
    <t>SF Giants</t>
  </si>
  <si>
    <t>Boston</t>
  </si>
  <si>
    <t>Arizona</t>
  </si>
  <si>
    <t>Colorado</t>
  </si>
  <si>
    <t>Seattle</t>
  </si>
  <si>
    <t>Miami</t>
  </si>
  <si>
    <t>Houston</t>
  </si>
  <si>
    <t>Chi Sox</t>
  </si>
  <si>
    <t>St. Louis</t>
  </si>
  <si>
    <t>Oakland</t>
  </si>
  <si>
    <t>Philadelphia</t>
  </si>
  <si>
    <t>Detroit</t>
  </si>
  <si>
    <t>Kansas City</t>
  </si>
  <si>
    <t>Washington</t>
  </si>
  <si>
    <t>Run Line Record</t>
  </si>
  <si>
    <t>Cover %</t>
  </si>
  <si>
    <t>Over Record</t>
  </si>
  <si>
    <t>Over %</t>
  </si>
  <si>
    <t>Under %</t>
  </si>
  <si>
    <t>Total +/-</t>
  </si>
  <si>
    <t>RANK</t>
  </si>
  <si>
    <t>League</t>
  </si>
  <si>
    <t>GP</t>
  </si>
  <si>
    <t>AB</t>
  </si>
  <si>
    <t>R</t>
  </si>
  <si>
    <t>H</t>
  </si>
  <si>
    <t>2B</t>
  </si>
  <si>
    <t>3B</t>
  </si>
  <si>
    <t>HR</t>
  </si>
  <si>
    <t>RBI</t>
  </si>
  <si>
    <t>BB</t>
  </si>
  <si>
    <t>SO</t>
  </si>
  <si>
    <t>SB</t>
  </si>
  <si>
    <t>CS</t>
  </si>
  <si>
    <t>AVG</t>
  </si>
  <si>
    <t>OBP</t>
  </si>
  <si>
    <t>SLG</t>
  </si>
  <si>
    <t>OPS</t>
  </si>
  <si>
    <t>Conditional Formatting 1</t>
  </si>
  <si>
    <t>Conditional Formatting 2</t>
  </si>
  <si>
    <t>-</t>
  </si>
  <si>
    <t>Conference</t>
  </si>
  <si>
    <t>+</t>
  </si>
  <si>
    <t>Games</t>
  </si>
  <si>
    <t>Notes</t>
  </si>
  <si>
    <t>A</t>
  </si>
  <si>
    <t>Away Team</t>
  </si>
  <si>
    <t>Differential</t>
  </si>
  <si>
    <t>Home Team</t>
  </si>
  <si>
    <t>Away</t>
  </si>
  <si>
    <t>Home</t>
  </si>
  <si>
    <t>ML</t>
  </si>
  <si>
    <t>Totals</t>
  </si>
  <si>
    <t>O/U</t>
  </si>
  <si>
    <t>Spread</t>
  </si>
  <si>
    <t>Over</t>
  </si>
  <si>
    <t>Under</t>
  </si>
  <si>
    <t>W</t>
  </si>
  <si>
    <t>L</t>
  </si>
  <si>
    <t>`2entucky</t>
  </si>
  <si>
    <t>Team Record</t>
  </si>
  <si>
    <t>On Road</t>
  </si>
  <si>
    <t>At Home</t>
  </si>
  <si>
    <t>Rank</t>
  </si>
  <si>
    <t>5+</t>
  </si>
  <si>
    <t>9+</t>
  </si>
  <si>
    <t>--SEASON--</t>
  </si>
  <si>
    <t>Win By</t>
  </si>
  <si>
    <t>ML Rank</t>
  </si>
  <si>
    <t>RL Rank</t>
  </si>
  <si>
    <r>
      <rPr>
        <b/>
        <sz val="11"/>
        <color theme="1"/>
        <rFont val="Calibri"/>
        <family val="2"/>
        <scheme val="minor"/>
      </rPr>
      <t>Over</t>
    </r>
    <r>
      <rPr>
        <sz val="11"/>
        <color theme="1"/>
        <rFont val="Calibri"/>
        <family val="2"/>
        <scheme val="minor"/>
      </rPr>
      <t>(U) Rank</t>
    </r>
  </si>
  <si>
    <t>Runs</t>
  </si>
  <si>
    <t>Hits</t>
  </si>
  <si>
    <t>At Bats</t>
  </si>
  <si>
    <t>Doubles</t>
  </si>
  <si>
    <t>Triples</t>
  </si>
  <si>
    <t>HomeRuns</t>
  </si>
  <si>
    <t>Walks</t>
  </si>
  <si>
    <t>Strikeouts</t>
  </si>
  <si>
    <t>Stolen</t>
  </si>
  <si>
    <t>Caught</t>
  </si>
  <si>
    <t>BatAVG</t>
  </si>
  <si>
    <t>INDEX</t>
  </si>
  <si>
    <t>AtBats</t>
  </si>
  <si>
    <t>Player</t>
  </si>
  <si>
    <t>Pos</t>
  </si>
  <si>
    <t>Value</t>
  </si>
  <si>
    <t>Justin Steele</t>
  </si>
  <si>
    <t>P</t>
  </si>
  <si>
    <t>Gerrit Cole</t>
  </si>
  <si>
    <t>Jacob deGrom</t>
  </si>
  <si>
    <t>Julio Urias</t>
  </si>
  <si>
    <t>Cristian Javier</t>
  </si>
  <si>
    <t>Framber Valdez</t>
  </si>
  <si>
    <t>Kevin Gausman</t>
  </si>
  <si>
    <t>Luis Castillo</t>
  </si>
  <si>
    <t>Shane Bieber</t>
  </si>
  <si>
    <t>Nathan Eovaldi</t>
  </si>
  <si>
    <t>Jesus Luzardo</t>
  </si>
  <si>
    <t>Sonny Gray</t>
  </si>
  <si>
    <t>Zack Greinke</t>
  </si>
  <si>
    <t>Freddy Peralta</t>
  </si>
  <si>
    <t>Aaron Civale</t>
  </si>
  <si>
    <t>Shohei Ohtani</t>
  </si>
  <si>
    <t>Shane McClanahan</t>
  </si>
  <si>
    <t>Zach Eflin</t>
  </si>
  <si>
    <t>Dustin May</t>
  </si>
  <si>
    <t>Marcus Stroman</t>
  </si>
  <si>
    <t>Miles Mikolas</t>
  </si>
  <si>
    <t>Wade Miley</t>
  </si>
  <si>
    <t>Spencer Strider</t>
  </si>
  <si>
    <t>Dylan Cease</t>
  </si>
  <si>
    <t>Hunter Gaddis</t>
  </si>
  <si>
    <t>Logan Gilbert</t>
  </si>
  <si>
    <t>Kyle Muller</t>
  </si>
  <si>
    <t>Pablo Lopez</t>
  </si>
  <si>
    <t>Kyle Freeland</t>
  </si>
  <si>
    <t>Mason Thompson</t>
  </si>
  <si>
    <t>Logan Webb</t>
  </si>
  <si>
    <t>Brandon Woodruff</t>
  </si>
  <si>
    <t>Sandy Alcantara</t>
  </si>
  <si>
    <t>Mitch Keller</t>
  </si>
  <si>
    <t>Zack Wheeler</t>
  </si>
  <si>
    <t>Tyler Anderson</t>
  </si>
  <si>
    <t>Aaron Nola</t>
  </si>
  <si>
    <t>Tylor Megill</t>
  </si>
  <si>
    <t>Alex Cobb</t>
  </si>
  <si>
    <t>Graham Ashcraft</t>
  </si>
  <si>
    <t>Dane Dunning</t>
  </si>
  <si>
    <t>Brad Keller</t>
  </si>
  <si>
    <t>Hunter Greene</t>
  </si>
  <si>
    <t>Blake Snell</t>
  </si>
  <si>
    <t>Merrill Kelly</t>
  </si>
  <si>
    <t>Jordan Lyles</t>
  </si>
  <si>
    <t>Jose Urquidy</t>
  </si>
  <si>
    <t>Kyle Gibson</t>
  </si>
  <si>
    <t>Lucas Giolito</t>
  </si>
  <si>
    <t>Zac Gallen</t>
  </si>
  <si>
    <t>Jared Shuster</t>
  </si>
  <si>
    <t>Chris Flexen</t>
  </si>
  <si>
    <t>German Marquez</t>
  </si>
  <si>
    <t>Nick Martinez</t>
  </si>
  <si>
    <t>Josiah Gray</t>
  </si>
  <si>
    <t>Patrick Corbin</t>
  </si>
  <si>
    <t>David Peterson</t>
  </si>
  <si>
    <t>Adam Oller</t>
  </si>
  <si>
    <t>Alek Manoah</t>
  </si>
  <si>
    <t>Spencer Turnbull</t>
  </si>
  <si>
    <t>Clarke Schmidt</t>
  </si>
  <si>
    <t>Corbin Burnes</t>
  </si>
  <si>
    <t>Eduardo Rodriguez</t>
  </si>
  <si>
    <t>Max Scherzer</t>
  </si>
  <si>
    <t>Dean Kremer</t>
  </si>
  <si>
    <t>Corey Kluber</t>
  </si>
  <si>
    <t>Lance Lynn</t>
  </si>
  <si>
    <t>Chris Sale</t>
  </si>
  <si>
    <t>Rich Hill</t>
  </si>
  <si>
    <t>Ken Waldichuk</t>
  </si>
  <si>
    <t>Last 3</t>
  </si>
  <si>
    <t>Last 1</t>
  </si>
  <si>
    <t>#</t>
  </si>
  <si>
    <t>Name</t>
  </si>
  <si>
    <t>PA</t>
  </si>
  <si>
    <t>IP</t>
  </si>
  <si>
    <t>Bat WAR</t>
  </si>
  <si>
    <t>Pit WAR</t>
  </si>
  <si>
    <t>Total WAR</t>
  </si>
  <si>
    <t>Adam Duvall</t>
  </si>
  <si>
    <t>BOS</t>
  </si>
  <si>
    <t>NYY</t>
  </si>
  <si>
    <t>Kyle Tucker</t>
  </si>
  <si>
    <t>HOU</t>
  </si>
  <si>
    <t>Will Smith</t>
  </si>
  <si>
    <t>LAD</t>
  </si>
  <si>
    <t>Wander Franco</t>
  </si>
  <si>
    <t>TBR</t>
  </si>
  <si>
    <t>James Outman</t>
  </si>
  <si>
    <t>Bryan Reynolds</t>
  </si>
  <si>
    <t>PIT</t>
  </si>
  <si>
    <t>Julio Urías</t>
  </si>
  <si>
    <t>Matt Chapman</t>
  </si>
  <si>
    <t>TOR</t>
  </si>
  <si>
    <t>LAA</t>
  </si>
  <si>
    <t>Vladimir Guerrero Jr.</t>
  </si>
  <si>
    <t>Gleyber Torres</t>
  </si>
  <si>
    <t>Brian Anderson</t>
  </si>
  <si>
    <t>MIL</t>
  </si>
  <si>
    <t>Xander Bogaerts</t>
  </si>
  <si>
    <t>SDP</t>
  </si>
  <si>
    <t>Yoán Moncada</t>
  </si>
  <si>
    <t>CHW</t>
  </si>
  <si>
    <t>SEA</t>
  </si>
  <si>
    <t>Jesús Luzardo</t>
  </si>
  <si>
    <t>MIA</t>
  </si>
  <si>
    <t>Dansby Swanson</t>
  </si>
  <si>
    <t>CHC</t>
  </si>
  <si>
    <t>Matt Olson</t>
  </si>
  <si>
    <t>ATL</t>
  </si>
  <si>
    <t>CLE</t>
  </si>
  <si>
    <t>Joey Wiemer</t>
  </si>
  <si>
    <t>Luis Robert Jr.</t>
  </si>
  <si>
    <t>Nolan Gorman</t>
  </si>
  <si>
    <t>STL</t>
  </si>
  <si>
    <t>Mike Trout</t>
  </si>
  <si>
    <t>Randy Arozarena</t>
  </si>
  <si>
    <t>Jeffrey Springs</t>
  </si>
  <si>
    <t>Paul Goldschmidt</t>
  </si>
  <si>
    <t>Miguel Vargas</t>
  </si>
  <si>
    <t>Ian Happ</t>
  </si>
  <si>
    <t>Myles Straw</t>
  </si>
  <si>
    <t>José Ramírez</t>
  </si>
  <si>
    <t>TEX</t>
  </si>
  <si>
    <t>Garrett Mitchell</t>
  </si>
  <si>
    <t>COL</t>
  </si>
  <si>
    <t>Thairo Estrada</t>
  </si>
  <si>
    <t>SFG</t>
  </si>
  <si>
    <t>Jonathan India</t>
  </si>
  <si>
    <t>CIN</t>
  </si>
  <si>
    <t>Ty France</t>
  </si>
  <si>
    <t>Patrick Wisdom</t>
  </si>
  <si>
    <t>Trevor Larnach</t>
  </si>
  <si>
    <t>MIN</t>
  </si>
  <si>
    <t>Ronald Acuña Jr.</t>
  </si>
  <si>
    <t>Aaron Judge</t>
  </si>
  <si>
    <t>Jorge Mateo</t>
  </si>
  <si>
    <t>BAL</t>
  </si>
  <si>
    <t>Yordan Alvarez</t>
  </si>
  <si>
    <t>David Villar</t>
  </si>
  <si>
    <t>Daulton Varsho</t>
  </si>
  <si>
    <t>Mookie Betts</t>
  </si>
  <si>
    <t>Orlando Arcia</t>
  </si>
  <si>
    <t>Josh Lowe</t>
  </si>
  <si>
    <t>Geraldo Perdomo</t>
  </si>
  <si>
    <t>ARI</t>
  </si>
  <si>
    <t>KCR</t>
  </si>
  <si>
    <t>Matt Duffy</t>
  </si>
  <si>
    <t>Eugenio Suárez</t>
  </si>
  <si>
    <t>TJ Friedl</t>
  </si>
  <si>
    <t>Brice Turang</t>
  </si>
  <si>
    <t>Noah Syndergaard</t>
  </si>
  <si>
    <t>LaMonte Wade Jr.</t>
  </si>
  <si>
    <t>David Bednar</t>
  </si>
  <si>
    <t>Taylor Ward</t>
  </si>
  <si>
    <t>Yandy Díaz</t>
  </si>
  <si>
    <t>Drew Rasmussen</t>
  </si>
  <si>
    <t>Jason Vosler</t>
  </si>
  <si>
    <t>Freddie Freeman</t>
  </si>
  <si>
    <t>Jorge Soler</t>
  </si>
  <si>
    <t>Pablo López</t>
  </si>
  <si>
    <t>Mitch Garver</t>
  </si>
  <si>
    <t>Jose Siri</t>
  </si>
  <si>
    <t>Chas McCormick</t>
  </si>
  <si>
    <t>Nick Lodolo</t>
  </si>
  <si>
    <t>Luke Raley</t>
  </si>
  <si>
    <t>Adolis García</t>
  </si>
  <si>
    <t>Mike Zunino</t>
  </si>
  <si>
    <t>Julio Rodríguez</t>
  </si>
  <si>
    <t>Trea Turner</t>
  </si>
  <si>
    <t>PHI</t>
  </si>
  <si>
    <t>Alex Verdugo</t>
  </si>
  <si>
    <t>Nestor Cortes</t>
  </si>
  <si>
    <t>Bryson Stott</t>
  </si>
  <si>
    <t>Austin Riley</t>
  </si>
  <si>
    <t>Luis Arraez</t>
  </si>
  <si>
    <t>Alec Bohm</t>
  </si>
  <si>
    <t>Dylan Dodd</t>
  </si>
  <si>
    <t>Tyler Mahle</t>
  </si>
  <si>
    <t>Andrew McCutchen</t>
  </si>
  <si>
    <t>Anthony Rizzo</t>
  </si>
  <si>
    <t>Trayce Thompson</t>
  </si>
  <si>
    <t>Anthony DeSclafani</t>
  </si>
  <si>
    <t>Ryan Jeffers</t>
  </si>
  <si>
    <t>OAK</t>
  </si>
  <si>
    <t>Trent Grisham</t>
  </si>
  <si>
    <t>Adam Frazier</t>
  </si>
  <si>
    <t>Nick Fortes</t>
  </si>
  <si>
    <t>José Berríos</t>
  </si>
  <si>
    <t>Josh Jung</t>
  </si>
  <si>
    <t>Rafael Devers</t>
  </si>
  <si>
    <t>Ryan Mountcastle</t>
  </si>
  <si>
    <t>DJ LeMahieu</t>
  </si>
  <si>
    <t>Masataka Yoshida</t>
  </si>
  <si>
    <t>Jhony Brito</t>
  </si>
  <si>
    <t>Derek Law</t>
  </si>
  <si>
    <t>Eli Morgan</t>
  </si>
  <si>
    <t>Kodai Senga</t>
  </si>
  <si>
    <t>NYM</t>
  </si>
  <si>
    <t>Pierce Johnson</t>
  </si>
  <si>
    <t>Dylan Carlson</t>
  </si>
  <si>
    <t>Ryan Weathers</t>
  </si>
  <si>
    <t>Wilmer Flores</t>
  </si>
  <si>
    <t>Willson Contreras</t>
  </si>
  <si>
    <t>Matt Vierling</t>
  </si>
  <si>
    <t>DET</t>
  </si>
  <si>
    <t>Bo Bichette</t>
  </si>
  <si>
    <t>Martín Pérez</t>
  </si>
  <si>
    <t>Michael Conforto</t>
  </si>
  <si>
    <t>Clayton Kershaw</t>
  </si>
  <si>
    <t>Jordan Montgomery</t>
  </si>
  <si>
    <t>Byron Buxton</t>
  </si>
  <si>
    <t>Reid Detmers</t>
  </si>
  <si>
    <t>Mike Yastrzemski</t>
  </si>
  <si>
    <t>Grayson Rodriguez</t>
  </si>
  <si>
    <t>Jake Cronenworth</t>
  </si>
  <si>
    <t>Trevor Stephan</t>
  </si>
  <si>
    <t>Jakob Junis</t>
  </si>
  <si>
    <t>Spencer Steer</t>
  </si>
  <si>
    <t>Justin Turner</t>
  </si>
  <si>
    <t>Cedric Mullins</t>
  </si>
  <si>
    <t>J.D. Davis</t>
  </si>
  <si>
    <t>Alec Burleson</t>
  </si>
  <si>
    <t>Austin Hays</t>
  </si>
  <si>
    <t>Yasmani Grandal</t>
  </si>
  <si>
    <t>Brandon Nimmo</t>
  </si>
  <si>
    <t>Seth Lugo</t>
  </si>
  <si>
    <t>Jason Heyward</t>
  </si>
  <si>
    <t>Esteury Ruiz</t>
  </si>
  <si>
    <t>Matt Strahm</t>
  </si>
  <si>
    <t>Ryan Noda</t>
  </si>
  <si>
    <t>Francisco Lindor</t>
  </si>
  <si>
    <t>Joey Gallo</t>
  </si>
  <si>
    <t>Jordan Romano</t>
  </si>
  <si>
    <t>Drew VerHagen</t>
  </si>
  <si>
    <t>Roansy Contreras</t>
  </si>
  <si>
    <t>Kevin Kiermaier</t>
  </si>
  <si>
    <t>Riley Greene</t>
  </si>
  <si>
    <t>Seby Zavala</t>
  </si>
  <si>
    <t>Josh Naylor</t>
  </si>
  <si>
    <t>Kris Bubic</t>
  </si>
  <si>
    <t>Kenta Maeda</t>
  </si>
  <si>
    <t>Gabe Speier</t>
  </si>
  <si>
    <t>Ronel Blanco</t>
  </si>
  <si>
    <t>Pete Alonso</t>
  </si>
  <si>
    <t>JT Chargois</t>
  </si>
  <si>
    <t>Gio Urshela</t>
  </si>
  <si>
    <t>Logan O'Hoppe</t>
  </si>
  <si>
    <t>Travis d'Arnaud</t>
  </si>
  <si>
    <t>Josh H. Smith</t>
  </si>
  <si>
    <t>Victor Robles</t>
  </si>
  <si>
    <t>WSN</t>
  </si>
  <si>
    <t>Mike Clevinger</t>
  </si>
  <si>
    <t>Phil Bickford</t>
  </si>
  <si>
    <t>Andrés Giménez</t>
  </si>
  <si>
    <t>Brendan Donovan</t>
  </si>
  <si>
    <t>Ron Marinaccio</t>
  </si>
  <si>
    <t>Michael Grove</t>
  </si>
  <si>
    <t>Ryan Helsley</t>
  </si>
  <si>
    <t>Nathaniel Lowe</t>
  </si>
  <si>
    <t>Willy Adames</t>
  </si>
  <si>
    <t>Oneil Cruz</t>
  </si>
  <si>
    <t>Tommy Pham</t>
  </si>
  <si>
    <t>MacKenzie Gore</t>
  </si>
  <si>
    <t>Ha-Seong Kim</t>
  </si>
  <si>
    <t>Teoscar Hernández</t>
  </si>
  <si>
    <t>Charlie Blackmon</t>
  </si>
  <si>
    <t>Brock Burke</t>
  </si>
  <si>
    <t>Hunter Brown</t>
  </si>
  <si>
    <t>Jake Rogers</t>
  </si>
  <si>
    <t>Bryce Elder</t>
  </si>
  <si>
    <t>Keibert Ruiz</t>
  </si>
  <si>
    <t>AJ Pollock</t>
  </si>
  <si>
    <t>Keegan Akin</t>
  </si>
  <si>
    <t>Duane Underwood Jr.</t>
  </si>
  <si>
    <t>Nick Ahmed</t>
  </si>
  <si>
    <t>Cavan Biggio</t>
  </si>
  <si>
    <t>Rob Zastryzny</t>
  </si>
  <si>
    <t>Miguel Castro</t>
  </si>
  <si>
    <t>Max Fried</t>
  </si>
  <si>
    <t>Steven Wilson</t>
  </si>
  <si>
    <t>Trevor Gott</t>
  </si>
  <si>
    <t>Clay Holmes</t>
  </si>
  <si>
    <t>José Azocar</t>
  </si>
  <si>
    <t>David Robertson</t>
  </si>
  <si>
    <t>Tim Mayza</t>
  </si>
  <si>
    <t>Christian Yelich</t>
  </si>
  <si>
    <t>Matt Carpenter</t>
  </si>
  <si>
    <t>Jose Trevino</t>
  </si>
  <si>
    <t>John Brebbia</t>
  </si>
  <si>
    <t>Nicky Lopez</t>
  </si>
  <si>
    <t>J.P. Crawford</t>
  </si>
  <si>
    <t>Zack Thompson</t>
  </si>
  <si>
    <t>Josh Winckowski</t>
  </si>
  <si>
    <t>Tim Locastro</t>
  </si>
  <si>
    <t>Dany Jiménez</t>
  </si>
  <si>
    <t>Marcus Semien</t>
  </si>
  <si>
    <t>Drew Smith</t>
  </si>
  <si>
    <t>Tyler Wells</t>
  </si>
  <si>
    <t>Starling Marte</t>
  </si>
  <si>
    <t>C.J. Cron</t>
  </si>
  <si>
    <t>Kaleb Ort</t>
  </si>
  <si>
    <t>Travis Jankowski</t>
  </si>
  <si>
    <t>Eric Hosmer</t>
  </si>
  <si>
    <t>Dauri Moreta</t>
  </si>
  <si>
    <t>Cionel Pérez</t>
  </si>
  <si>
    <t>Jason Delay</t>
  </si>
  <si>
    <t>Jonathan Hernández</t>
  </si>
  <si>
    <t>Jake Fraley</t>
  </si>
  <si>
    <t>Jameson Taillon</t>
  </si>
  <si>
    <t>Joc Pederson</t>
  </si>
  <si>
    <t>Buck Farmer</t>
  </si>
  <si>
    <t>Brandon Crawford</t>
  </si>
  <si>
    <t>Justin Lawrence</t>
  </si>
  <si>
    <t>Jose Cuas</t>
  </si>
  <si>
    <t>Domingo Acevedo</t>
  </si>
  <si>
    <t>Edward Olivares</t>
  </si>
  <si>
    <t>Bryce Johnson</t>
  </si>
  <si>
    <t>Conner Capel</t>
  </si>
  <si>
    <t>Will Brennan</t>
  </si>
  <si>
    <t>Jesse Chavez</t>
  </si>
  <si>
    <t>José Alvarado</t>
  </si>
  <si>
    <t>Andrew Chafin</t>
  </si>
  <si>
    <t>Evan Longoria</t>
  </si>
  <si>
    <t>Alexis Díaz</t>
  </si>
  <si>
    <t>Josh Fleming</t>
  </si>
  <si>
    <t>Christian Vázquez</t>
  </si>
  <si>
    <t>Elias Díaz</t>
  </si>
  <si>
    <t>Ian Gibaut</t>
  </si>
  <si>
    <t>Tim Anderson</t>
  </si>
  <si>
    <t>Josh Rojas</t>
  </si>
  <si>
    <t>Franchy Cordero</t>
  </si>
  <si>
    <t>Elehuris Montero</t>
  </si>
  <si>
    <t>Hunter Harvey</t>
  </si>
  <si>
    <t>Garrett Hill</t>
  </si>
  <si>
    <t>Josh Hader</t>
  </si>
  <si>
    <t>Gabriel Arias</t>
  </si>
  <si>
    <t>Luis Cessa</t>
  </si>
  <si>
    <t>José Abreu</t>
  </si>
  <si>
    <t>Matt Brash</t>
  </si>
  <si>
    <t>Keegan Thompson</t>
  </si>
  <si>
    <t>Adbert Alzolay</t>
  </si>
  <si>
    <t>Stuart Fairchild</t>
  </si>
  <si>
    <t>Blake Sabol</t>
  </si>
  <si>
    <t>Owen Miller</t>
  </si>
  <si>
    <t>Stone Garrett</t>
  </si>
  <si>
    <t>Peter Strzelecki</t>
  </si>
  <si>
    <t>Andrew Bellatti</t>
  </si>
  <si>
    <t>Jorge López</t>
  </si>
  <si>
    <t>Tony Kemp</t>
  </si>
  <si>
    <t>Zach Jackson</t>
  </si>
  <si>
    <t>Nico Hoerner</t>
  </si>
  <si>
    <t>Colin Holderman</t>
  </si>
  <si>
    <t>Packy Naughton</t>
  </si>
  <si>
    <t>Anthony Volpe</t>
  </si>
  <si>
    <t>Bailey Falter</t>
  </si>
  <si>
    <t>Raimel Tapia</t>
  </si>
  <si>
    <t>Jake McCarthy</t>
  </si>
  <si>
    <t>Matt Moore</t>
  </si>
  <si>
    <t>José Quijada</t>
  </si>
  <si>
    <t>Taylor Motter</t>
  </si>
  <si>
    <t>Devin Williams</t>
  </si>
  <si>
    <t>Charlie Morton</t>
  </si>
  <si>
    <t>Brad Miller</t>
  </si>
  <si>
    <t>Ryan McMahon</t>
  </si>
  <si>
    <t>Jackie Bradley Jr.</t>
  </si>
  <si>
    <t>Dylan Floro</t>
  </si>
  <si>
    <t>Michael Fulmer</t>
  </si>
  <si>
    <t>Erik Swanson</t>
  </si>
  <si>
    <t>Enyel De Los Santos</t>
  </si>
  <si>
    <t>Christian Walker</t>
  </si>
  <si>
    <t>A.J. Minter</t>
  </si>
  <si>
    <t>Kevin Kelly</t>
  </si>
  <si>
    <t>Andrew Vaughn</t>
  </si>
  <si>
    <t>Tyler Heineman</t>
  </si>
  <si>
    <t>Wandy Peralta</t>
  </si>
  <si>
    <t>Brady Singer</t>
  </si>
  <si>
    <t>J.T. Realmuto</t>
  </si>
  <si>
    <t>Jimmy Herget</t>
  </si>
  <si>
    <t>Lars Nootbaar</t>
  </si>
  <si>
    <t>Penn Murfee</t>
  </si>
  <si>
    <t>Alex Wood</t>
  </si>
  <si>
    <t>Juan Soto</t>
  </si>
  <si>
    <t>Chris Stratton</t>
  </si>
  <si>
    <t>Dennis Santana</t>
  </si>
  <si>
    <t>Adley Rutschman</t>
  </si>
  <si>
    <t>Corey Julks</t>
  </si>
  <si>
    <t>Alex Young</t>
  </si>
  <si>
    <t>Yuli Gurriel</t>
  </si>
  <si>
    <t>Taylor Walls</t>
  </si>
  <si>
    <t>Victor Caratini</t>
  </si>
  <si>
    <t>Kerry Carpenter</t>
  </si>
  <si>
    <t>Emilio Pagán</t>
  </si>
  <si>
    <t>JP Sears</t>
  </si>
  <si>
    <t>Chasen Shreve</t>
  </si>
  <si>
    <t>Albert Abreu</t>
  </si>
  <si>
    <t>Richard Bleier</t>
  </si>
  <si>
    <t>Giancarlo Stanton</t>
  </si>
  <si>
    <t>Jorge Alcala</t>
  </si>
  <si>
    <t>Andrew Wantz</t>
  </si>
  <si>
    <t>Shelby Miller</t>
  </si>
  <si>
    <t>Gregory Santos</t>
  </si>
  <si>
    <t>Carlos Pérez</t>
  </si>
  <si>
    <t>Yency Almonte</t>
  </si>
  <si>
    <t>Michael King</t>
  </si>
  <si>
    <t>Jake Diekman</t>
  </si>
  <si>
    <t>Erasmo Ramírez</t>
  </si>
  <si>
    <t>Huascar Brazoban</t>
  </si>
  <si>
    <t>Kevin Pillar</t>
  </si>
  <si>
    <t>Hoby Milner</t>
  </si>
  <si>
    <t>Jesús Aguilar</t>
  </si>
  <si>
    <t>Ian Kennedy</t>
  </si>
  <si>
    <t>Eddie Rosario</t>
  </si>
  <si>
    <t>Alex Call</t>
  </si>
  <si>
    <t>Eric Lauer</t>
  </si>
  <si>
    <t>Tyler O'Neill</t>
  </si>
  <si>
    <t>Taylor Hearn</t>
  </si>
  <si>
    <t>Bryan Baker</t>
  </si>
  <si>
    <t>Jimmy Cordero</t>
  </si>
  <si>
    <t>Aroldis Chapman</t>
  </si>
  <si>
    <t>Michael Rucker</t>
  </si>
  <si>
    <t>Jake Burger</t>
  </si>
  <si>
    <t>Andrés Muñoz</t>
  </si>
  <si>
    <t>Ryan Yarbrough</t>
  </si>
  <si>
    <t>Anthony Banda</t>
  </si>
  <si>
    <t>Andre Jackson</t>
  </si>
  <si>
    <t>Aaron Loup</t>
  </si>
  <si>
    <t>Matthew Boyd</t>
  </si>
  <si>
    <t>Brandon Marsh</t>
  </si>
  <si>
    <t>Connor Joe</t>
  </si>
  <si>
    <t>Kyle Bradish</t>
  </si>
  <si>
    <t>Ryan McKenna</t>
  </si>
  <si>
    <t>Tucker Davidson</t>
  </si>
  <si>
    <t>Ryan Pressly</t>
  </si>
  <si>
    <t>Aaron Bummer</t>
  </si>
  <si>
    <t>Tyler Stephenson</t>
  </si>
  <si>
    <t>Paul Sewald</t>
  </si>
  <si>
    <t>José Leclerc</t>
  </si>
  <si>
    <t>Brent Suter</t>
  </si>
  <si>
    <t>Omar Narváez</t>
  </si>
  <si>
    <t>Connor Overton</t>
  </si>
  <si>
    <t>Joe Ryan</t>
  </si>
  <si>
    <t>Javier Assad</t>
  </si>
  <si>
    <t>Chad Kuhl</t>
  </si>
  <si>
    <t>Jimmy Lambert</t>
  </si>
  <si>
    <t>Salvador Perez</t>
  </si>
  <si>
    <t>Shintaro Fujinami</t>
  </si>
  <si>
    <t>Ian Hamilton</t>
  </si>
  <si>
    <t>Joe Kelly</t>
  </si>
  <si>
    <t>Kyle Higashioka</t>
  </si>
  <si>
    <t>Anthony Bass</t>
  </si>
  <si>
    <t>Andre Pallante</t>
  </si>
  <si>
    <t>Brusdar Graterol</t>
  </si>
  <si>
    <t>Carlos Correa</t>
  </si>
  <si>
    <t>Sean Murphy</t>
  </si>
  <si>
    <t>Evan Phillips</t>
  </si>
  <si>
    <t>Nick Anderson</t>
  </si>
  <si>
    <t>Joe Jiménez</t>
  </si>
  <si>
    <t>Cam Gallagher</t>
  </si>
  <si>
    <t>Giovanny Gallegos</t>
  </si>
  <si>
    <t>Jose Hernandez</t>
  </si>
  <si>
    <t>Garrett Cooper</t>
  </si>
  <si>
    <t>David Hensley</t>
  </si>
  <si>
    <t>Sam Hilliard</t>
  </si>
  <si>
    <t>Rafael Montero</t>
  </si>
  <si>
    <t>Cody Bellinger</t>
  </si>
  <si>
    <t>Trevor May</t>
  </si>
  <si>
    <t>Kenley Jansen</t>
  </si>
  <si>
    <t>Chris Martin</t>
  </si>
  <si>
    <t>Tyler Rogers</t>
  </si>
  <si>
    <t>Brian Serven</t>
  </si>
  <si>
    <t>Jesse Winker</t>
  </si>
  <si>
    <t>Tim Hill</t>
  </si>
  <si>
    <t>Caleb Thielbar</t>
  </si>
  <si>
    <t>Matt Beaty</t>
  </si>
  <si>
    <t>Kevin Newman</t>
  </si>
  <si>
    <t>Garrett Cleavinger</t>
  </si>
  <si>
    <t>Brett Phillips</t>
  </si>
  <si>
    <t>Nolan Arenado</t>
  </si>
  <si>
    <t>Gus Varland</t>
  </si>
  <si>
    <t>Daniel Vogelbach</t>
  </si>
  <si>
    <t>James Kaprielian</t>
  </si>
  <si>
    <t>Carl Edwards Jr.</t>
  </si>
  <si>
    <t>Matt Bush</t>
  </si>
  <si>
    <t>Ji Hwan Bae</t>
  </si>
  <si>
    <t>Cole Sands</t>
  </si>
  <si>
    <t>Yimi Garcia</t>
  </si>
  <si>
    <t>Trey Wingenter</t>
  </si>
  <si>
    <t>Luis García</t>
  </si>
  <si>
    <t>Reese McGuire</t>
  </si>
  <si>
    <t>Scott Alexander</t>
  </si>
  <si>
    <t>Cal Raleigh</t>
  </si>
  <si>
    <t>John Schreiber</t>
  </si>
  <si>
    <t>Jeurys Familia</t>
  </si>
  <si>
    <t>Hobie Harris</t>
  </si>
  <si>
    <t>Ryan Thompson</t>
  </si>
  <si>
    <t>Griffin Jax</t>
  </si>
  <si>
    <t>Carlos Estévez</t>
  </si>
  <si>
    <t>Kendall Graveman</t>
  </si>
  <si>
    <t>Rougned Odor</t>
  </si>
  <si>
    <t>Jeimer Candelario</t>
  </si>
  <si>
    <t>Germán Márquez</t>
  </si>
  <si>
    <t>Joey Wentz</t>
  </si>
  <si>
    <t>Michael A. Taylor</t>
  </si>
  <si>
    <t>Michael Chavis</t>
  </si>
  <si>
    <t>Adam Cimber</t>
  </si>
  <si>
    <t>Jeremy Peña</t>
  </si>
  <si>
    <t>Mark Leiter Jr.</t>
  </si>
  <si>
    <t>Pete Fairbanks</t>
  </si>
  <si>
    <t>Ty Blach</t>
  </si>
  <si>
    <t>Lane Thomas</t>
  </si>
  <si>
    <t>Dinelson Lamet</t>
  </si>
  <si>
    <t>Colin Poche</t>
  </si>
  <si>
    <t>Michael Harris II</t>
  </si>
  <si>
    <t>Collin McHugh</t>
  </si>
  <si>
    <t>Tommy Edman</t>
  </si>
  <si>
    <t>Adrián Martínez</t>
  </si>
  <si>
    <t>Sean Hjelle</t>
  </si>
  <si>
    <t>Jack Suwinski</t>
  </si>
  <si>
    <t>Robbie Grossman</t>
  </si>
  <si>
    <t>Matt Barnes</t>
  </si>
  <si>
    <t>Domingo Germán</t>
  </si>
  <si>
    <t>Mike Baumann</t>
  </si>
  <si>
    <t>Tanner Scott</t>
  </si>
  <si>
    <t>J.D. Martinez</t>
  </si>
  <si>
    <t>Denyi Reyes</t>
  </si>
  <si>
    <t>Scott Barlow</t>
  </si>
  <si>
    <t>Brad Boxberger</t>
  </si>
  <si>
    <t>Romy Gonzalez</t>
  </si>
  <si>
    <t>Stephen Nogosek</t>
  </si>
  <si>
    <t>Ramón Urías</t>
  </si>
  <si>
    <t>Brad Hand</t>
  </si>
  <si>
    <t>Danny Coulombe</t>
  </si>
  <si>
    <t>William Contreras</t>
  </si>
  <si>
    <t>Caleb Ferguson</t>
  </si>
  <si>
    <t>Joey Bart</t>
  </si>
  <si>
    <t>Phil Maton</t>
  </si>
  <si>
    <t>Jake Lamb</t>
  </si>
  <si>
    <t>Joel Kuhnel</t>
  </si>
  <si>
    <t>Estevan Florial</t>
  </si>
  <si>
    <t>Anthony Bemboom</t>
  </si>
  <si>
    <t>Jake Cave</t>
  </si>
  <si>
    <t>Brett Wisely</t>
  </si>
  <si>
    <t>Zach Davies</t>
  </si>
  <si>
    <t>Jhoan Duran</t>
  </si>
  <si>
    <t>Corbin Carroll</t>
  </si>
  <si>
    <t>Ozzie Albies</t>
  </si>
  <si>
    <t>Wil Crowe</t>
  </si>
  <si>
    <t>Zach McKinstry</t>
  </si>
  <si>
    <t>Reiver Sanmartin</t>
  </si>
  <si>
    <t>John Curtiss</t>
  </si>
  <si>
    <t>Logan Gillaspie</t>
  </si>
  <si>
    <t>Javy Guerra</t>
  </si>
  <si>
    <t>Luis Torrens</t>
  </si>
  <si>
    <t>Alan Trejo</t>
  </si>
  <si>
    <t>Kyle Isbel</t>
  </si>
  <si>
    <t>Michael Tonkin</t>
  </si>
  <si>
    <t>Yu Darvish</t>
  </si>
  <si>
    <t>Connor Seabold</t>
  </si>
  <si>
    <t>Isaac Paredes</t>
  </si>
  <si>
    <t>Edmundo Sosa</t>
  </si>
  <si>
    <t>Steven Kwan</t>
  </si>
  <si>
    <t>Bubba Thompson</t>
  </si>
  <si>
    <t>Oscar Colás</t>
  </si>
  <si>
    <t>Kyle Farmer</t>
  </si>
  <si>
    <t>Austin Gomber</t>
  </si>
  <si>
    <t>Colten Brewer</t>
  </si>
  <si>
    <t>Matt Manning</t>
  </si>
  <si>
    <t>Bryse Wilson</t>
  </si>
  <si>
    <t>Xzavion Curry</t>
  </si>
  <si>
    <t>George Kirby</t>
  </si>
  <si>
    <t>Julian Merryweather</t>
  </si>
  <si>
    <t>Taijuan Walker</t>
  </si>
  <si>
    <t>Cal Quantrill</t>
  </si>
  <si>
    <t>Meibrys Viloria</t>
  </si>
  <si>
    <t>Connor Brogdon</t>
  </si>
  <si>
    <t>Luis Guillorme</t>
  </si>
  <si>
    <t>Roberto Pérez</t>
  </si>
  <si>
    <t>Dominic Smith</t>
  </si>
  <si>
    <t>Fernando Cruz</t>
  </si>
  <si>
    <t>Nathan Lukes</t>
  </si>
  <si>
    <t>Rob Refsnyder</t>
  </si>
  <si>
    <t>Thaddeus Ward</t>
  </si>
  <si>
    <t>Yusei Kikuchi</t>
  </si>
  <si>
    <t>Sam Moll</t>
  </si>
  <si>
    <t>Michael Wacha</t>
  </si>
  <si>
    <t>Kyle Nelson</t>
  </si>
  <si>
    <t>Andrew Vasquez</t>
  </si>
  <si>
    <t>Kevin Ginkel</t>
  </si>
  <si>
    <t>Jose Herrera</t>
  </si>
  <si>
    <t>Jon Berti</t>
  </si>
  <si>
    <t>MJ Melendez</t>
  </si>
  <si>
    <t>Ryan Feltner</t>
  </si>
  <si>
    <t>Jeff Lindgren</t>
  </si>
  <si>
    <t>Tucker Barnhart</t>
  </si>
  <si>
    <t>Jason Adam</t>
  </si>
  <si>
    <t>César Salazar</t>
  </si>
  <si>
    <t>Alejandro Kirk</t>
  </si>
  <si>
    <t>Zack Kelly</t>
  </si>
  <si>
    <t>Dylan Lee</t>
  </si>
  <si>
    <t>Luis Garcia</t>
  </si>
  <si>
    <t>Cole Ragans</t>
  </si>
  <si>
    <t>Mike Brosseau</t>
  </si>
  <si>
    <t>Robbie Ray</t>
  </si>
  <si>
    <t>Juan Yepez</t>
  </si>
  <si>
    <t>Gavin Sheets</t>
  </si>
  <si>
    <t>Ryne Nelson</t>
  </si>
  <si>
    <t>Camilo Doval</t>
  </si>
  <si>
    <t>Eloy Jiménez</t>
  </si>
  <si>
    <t>Manuel Margot</t>
  </si>
  <si>
    <t>Bobby Witt Jr.</t>
  </si>
  <si>
    <t>Nick Sandlin</t>
  </si>
  <si>
    <t>Oswaldo Cabrera</t>
  </si>
  <si>
    <t>Garrett Stubbs</t>
  </si>
  <si>
    <t>Ryan Tepera</t>
  </si>
  <si>
    <t>Martín Maldonado</t>
  </si>
  <si>
    <t>Brandon Lowe</t>
  </si>
  <si>
    <t>Tim Herrin</t>
  </si>
  <si>
    <t>Cole Irvin</t>
  </si>
  <si>
    <t>Ryan Brasier</t>
  </si>
  <si>
    <t>Hanser Alberto</t>
  </si>
  <si>
    <t>Terrin Vavra</t>
  </si>
  <si>
    <t>Francisco Mejía</t>
  </si>
  <si>
    <t>Edward Cabrera</t>
  </si>
  <si>
    <t>Patrick Sandoval</t>
  </si>
  <si>
    <t>Steven Matz</t>
  </si>
  <si>
    <t>Tyler Alexander</t>
  </si>
  <si>
    <t>Bryan Abreu</t>
  </si>
  <si>
    <t>Mark Canha</t>
  </si>
  <si>
    <t>Riley Adams</t>
  </si>
  <si>
    <t>Garrett Hampson</t>
  </si>
  <si>
    <t>Alex Lange</t>
  </si>
  <si>
    <t>Wil Myers</t>
  </si>
  <si>
    <t>Drew Smyly</t>
  </si>
  <si>
    <t>Mike Moustakas</t>
  </si>
  <si>
    <t>Nick Castellanos</t>
  </si>
  <si>
    <t>Jonah Heim</t>
  </si>
  <si>
    <t>Austin Nola</t>
  </si>
  <si>
    <t>Joel Payamps</t>
  </si>
  <si>
    <t>Dylan Coleman</t>
  </si>
  <si>
    <t>Seth Martinez</t>
  </si>
  <si>
    <t>Jack Flaherty</t>
  </si>
  <si>
    <t>Elvis Andrus</t>
  </si>
  <si>
    <t>Harold Ramírez</t>
  </si>
  <si>
    <t>Josh Donaldson</t>
  </si>
  <si>
    <t>Jesús Sánchez</t>
  </si>
  <si>
    <t>Jordan Walker</t>
  </si>
  <si>
    <t>Zach Pop</t>
  </si>
  <si>
    <t>Mauricio Dubón</t>
  </si>
  <si>
    <t>Carlos Vargas</t>
  </si>
  <si>
    <t>Carlos Hernández</t>
  </si>
  <si>
    <t>Corey Dickerson</t>
  </si>
  <si>
    <t>Jon Gray</t>
  </si>
  <si>
    <t>Nick Madrigal</t>
  </si>
  <si>
    <t>Andrew Nardi</t>
  </si>
  <si>
    <t>Jordan Hicks</t>
  </si>
  <si>
    <t>Santiago Espinal</t>
  </si>
  <si>
    <t>Félix Bautista</t>
  </si>
  <si>
    <t>Braxton Garrett</t>
  </si>
  <si>
    <t>Jason Foley</t>
  </si>
  <si>
    <t>Franmil Reyes</t>
  </si>
  <si>
    <t>Jaime Barría</t>
  </si>
  <si>
    <t>Alex Bregman</t>
  </si>
  <si>
    <t>Darick Hall</t>
  </si>
  <si>
    <t>Curt Casali</t>
  </si>
  <si>
    <t>Jovani Moran</t>
  </si>
  <si>
    <t>Vinnie Pasquantino</t>
  </si>
  <si>
    <t>Jose Miranda</t>
  </si>
  <si>
    <t>Carlos Carrasco</t>
  </si>
  <si>
    <t>Ramón Laureano</t>
  </si>
  <si>
    <t>Andrew Knizner</t>
  </si>
  <si>
    <t>Luke Voit</t>
  </si>
  <si>
    <t>Marco Gonzales</t>
  </si>
  <si>
    <t>Max Kepler</t>
  </si>
  <si>
    <t>Adam Ottavino</t>
  </si>
  <si>
    <t>Trevor Rogers</t>
  </si>
  <si>
    <t>A.J. Puk</t>
  </si>
  <si>
    <t>Calvin Faucher</t>
  </si>
  <si>
    <t>Jake Bird</t>
  </si>
  <si>
    <t>Donovan Solano</t>
  </si>
  <si>
    <t>Trevor Williams</t>
  </si>
  <si>
    <t>Trevor Richards</t>
  </si>
  <si>
    <t>Mason Englert</t>
  </si>
  <si>
    <t>Nick Pratto</t>
  </si>
  <si>
    <t>Kris Bryant</t>
  </si>
  <si>
    <t>Sean Manaea</t>
  </si>
  <si>
    <t>Kyle Stowers</t>
  </si>
  <si>
    <t>José Suarez</t>
  </si>
  <si>
    <t>Chase De Jong</t>
  </si>
  <si>
    <t>Kolten Wong</t>
  </si>
  <si>
    <t>Alex Vesia</t>
  </si>
  <si>
    <t>Ildemaro Vargas</t>
  </si>
  <si>
    <t>Tanner Houck</t>
  </si>
  <si>
    <t>Amir Garrett</t>
  </si>
  <si>
    <t>Luis Rengifo</t>
  </si>
  <si>
    <t>Gunnar Henderson</t>
  </si>
  <si>
    <t>Tommy La Stella</t>
  </si>
  <si>
    <t>Vince Velasquez</t>
  </si>
  <si>
    <t>Enrique Hernández</t>
  </si>
  <si>
    <t>Whit Merrifield</t>
  </si>
  <si>
    <t>Craig Kimbrel</t>
  </si>
  <si>
    <t>Seranthony Domínguez</t>
  </si>
  <si>
    <t>George Springer</t>
  </si>
  <si>
    <t>Austin Barnes</t>
  </si>
  <si>
    <t>Joey Wendle</t>
  </si>
  <si>
    <t>Zach Plesac</t>
  </si>
  <si>
    <t>Avisaíl García</t>
  </si>
  <si>
    <t>Sam Haggerty</t>
  </si>
  <si>
    <t>Ezequiel Duran</t>
  </si>
  <si>
    <t>Jalen Beeks</t>
  </si>
  <si>
    <t>Jonathan Schoop</t>
  </si>
  <si>
    <t>Edwin Ríos</t>
  </si>
  <si>
    <t>Aledmys Díaz</t>
  </si>
  <si>
    <t>Andrew Benintendi</t>
  </si>
  <si>
    <t>Gregory Soto</t>
  </si>
  <si>
    <t>Luke Maile</t>
  </si>
  <si>
    <t>Jake Meyers</t>
  </si>
  <si>
    <t>Corey Seager</t>
  </si>
  <si>
    <t>Hayden Wesneski</t>
  </si>
  <si>
    <t>Ryan Kreidler</t>
  </si>
  <si>
    <t>Jonathan Loáisiga</t>
  </si>
  <si>
    <t>José Urquidy</t>
  </si>
  <si>
    <t>Ryne Stanek</t>
  </si>
  <si>
    <t>Miguel Rojas</t>
  </si>
  <si>
    <t>Aaron Hicks</t>
  </si>
  <si>
    <t>Tommy Hunter</t>
  </si>
  <si>
    <t>Gabriel Moreno</t>
  </si>
  <si>
    <t>Taylor Clarke</t>
  </si>
  <si>
    <t>Kyle Lewis</t>
  </si>
  <si>
    <t>Carlos Santana</t>
  </si>
  <si>
    <t>Nelson Cruz</t>
  </si>
  <si>
    <t>Matt Thaiss</t>
  </si>
  <si>
    <t>Christian Arroyo</t>
  </si>
  <si>
    <t>Yainer Diaz</t>
  </si>
  <si>
    <t>Hunter Renfroe</t>
  </si>
  <si>
    <t>Kyle Schwarber</t>
  </si>
  <si>
    <t>Yu Chang</t>
  </si>
  <si>
    <t>Manny Machado</t>
  </si>
  <si>
    <t>Luis Campusano</t>
  </si>
  <si>
    <t>Austin Meadows</t>
  </si>
  <si>
    <t>Austin Hedges</t>
  </si>
  <si>
    <t>Matt Festa</t>
  </si>
  <si>
    <t>Shea Langeliers</t>
  </si>
  <si>
    <t>Kirby Yates</t>
  </si>
  <si>
    <t>Brandon Drury</t>
  </si>
  <si>
    <t>Nick Pivetta</t>
  </si>
  <si>
    <t>Cooper Hummel</t>
  </si>
  <si>
    <t>Luis Urías</t>
  </si>
  <si>
    <t>Nabil Crismatt</t>
  </si>
  <si>
    <t>Christian Bethancourt</t>
  </si>
  <si>
    <t>Rowdy Tellez</t>
  </si>
  <si>
    <t>Taylor Rogers</t>
  </si>
  <si>
    <t>Ezequiel Tovar</t>
  </si>
  <si>
    <t>Madison Bumgarner</t>
  </si>
  <si>
    <t>Cristian Pache</t>
  </si>
  <si>
    <t>Jarred Kelenic</t>
  </si>
  <si>
    <t>David Peralta</t>
  </si>
  <si>
    <t>Emmanuel Clase</t>
  </si>
  <si>
    <t>Canaan Smith-Njigba</t>
  </si>
  <si>
    <t>Javier Báez</t>
  </si>
  <si>
    <t>Lucas Luetge</t>
  </si>
  <si>
    <t>Diego Castillo</t>
  </si>
  <si>
    <t>Jazz Chisholm Jr.</t>
  </si>
  <si>
    <t>Nick Allen</t>
  </si>
  <si>
    <t>Jace Peterson</t>
  </si>
  <si>
    <t>Jacob Stallings</t>
  </si>
  <si>
    <t>Spencer Torkelson</t>
  </si>
  <si>
    <t>Seth Brown</t>
  </si>
  <si>
    <t>James Karinchak</t>
  </si>
  <si>
    <t>Jeff McNeil</t>
  </si>
  <si>
    <t>Jose Barrero</t>
  </si>
  <si>
    <t>Michael Massey</t>
  </si>
  <si>
    <t>Miguel Cabrera</t>
  </si>
  <si>
    <t>Bryan De La Cruz</t>
  </si>
  <si>
    <t>Anthony Rendon</t>
  </si>
  <si>
    <t>Connor Wong</t>
  </si>
  <si>
    <t>Nick Maton</t>
  </si>
  <si>
    <t>José Ureña</t>
  </si>
  <si>
    <t>Cole Sulser</t>
  </si>
  <si>
    <t>Harold Castro</t>
  </si>
  <si>
    <t>Eric Haase</t>
  </si>
  <si>
    <t>Triston Casas</t>
  </si>
  <si>
    <t>David Fletcher</t>
  </si>
  <si>
    <t>Reynaldo López</t>
  </si>
  <si>
    <t>Tomás Nido</t>
  </si>
  <si>
    <t>Andrew Heaney</t>
  </si>
  <si>
    <t>Danny Jansen</t>
  </si>
  <si>
    <t>Miles Mastrobuoni</t>
  </si>
  <si>
    <t>David Dahl</t>
  </si>
  <si>
    <t>Brooks Raley</t>
  </si>
  <si>
    <t>Brent Rooker</t>
  </si>
  <si>
    <t>Marcell Ozuna</t>
  </si>
  <si>
    <t>Jean Segura</t>
  </si>
  <si>
    <t>Tom Murphy</t>
  </si>
  <si>
    <t>Eduardo Escobar</t>
  </si>
  <si>
    <t>Austin Voth</t>
  </si>
  <si>
    <t>Isiah Kiner-Falefa</t>
  </si>
  <si>
    <t>Kutter Crawford</t>
  </si>
  <si>
    <t>Johnny Cueto</t>
  </si>
  <si>
    <t>Nick Gordon</t>
  </si>
  <si>
    <t>Alek Thomas</t>
  </si>
  <si>
    <t>Chris Taylor</t>
  </si>
  <si>
    <t>Oscar Gonzalez</t>
  </si>
  <si>
    <t>Trey Mancini</t>
  </si>
  <si>
    <t>Will Benson</t>
  </si>
  <si>
    <t>Drey Jameson</t>
  </si>
  <si>
    <t>CJ Abrams</t>
  </si>
  <si>
    <t>Ke'Bryan Hayes</t>
  </si>
  <si>
    <t>Domingo Tapia</t>
  </si>
  <si>
    <t>Johan Oviedo</t>
  </si>
  <si>
    <t>Yan Gomes</t>
  </si>
  <si>
    <t>Ross Stripling</t>
  </si>
  <si>
    <t>Jake Woodford</t>
  </si>
  <si>
    <t>Yunior Marte</t>
  </si>
  <si>
    <t>Josh Harrison</t>
  </si>
  <si>
    <t>Nate Eaton</t>
  </si>
  <si>
    <t>Rodolfo Castro</t>
  </si>
  <si>
    <t>Brandon Belt</t>
  </si>
  <si>
    <t>Willi Castro</t>
  </si>
  <si>
    <t>Anthony Santander</t>
  </si>
  <si>
    <t>Josh Bell</t>
  </si>
  <si>
    <t>Max Muncy</t>
  </si>
  <si>
    <t>Jurickson Profar</t>
  </si>
  <si>
    <t>José Cisnero</t>
  </si>
  <si>
    <t>Hunter Dozier</t>
  </si>
  <si>
    <t>Chris Bassitt</t>
  </si>
  <si>
    <t>Joey Meneses</t>
  </si>
  <si>
    <t>Ketel Marte</t>
  </si>
  <si>
    <t>Yonathan Daza</t>
  </si>
  <si>
    <t>Michael Kopech</t>
  </si>
  <si>
    <t>José Ruiz</t>
  </si>
  <si>
    <t>Lourdes Gurriel Jr.</t>
  </si>
  <si>
    <t>Kyle Finnegan</t>
  </si>
  <si>
    <t>Amed Rosario</t>
  </si>
  <si>
    <t>Scott McGough</t>
  </si>
  <si>
    <t>https://www.fangraphs.com/leaders/war</t>
  </si>
  <si>
    <t>Row Labels</t>
  </si>
  <si>
    <t>Grand Total</t>
  </si>
  <si>
    <t>Sum of Bat WAR</t>
  </si>
  <si>
    <t>Sum of Pit WAR</t>
  </si>
  <si>
    <t>TEAM</t>
  </si>
  <si>
    <t>Batting</t>
  </si>
  <si>
    <t>Pitching</t>
  </si>
  <si>
    <t>WAR AVERAGES</t>
  </si>
  <si>
    <t>LOB</t>
  </si>
  <si>
    <t>AVG Value</t>
  </si>
  <si>
    <t>AVG Rank</t>
  </si>
  <si>
    <t>LOWER IS BETTER</t>
  </si>
  <si>
    <t>FIP</t>
  </si>
  <si>
    <t>WAR (H)</t>
  </si>
  <si>
    <t>WAR (P)</t>
  </si>
  <si>
    <t>T</t>
  </si>
  <si>
    <t>O</t>
  </si>
  <si>
    <t>S</t>
  </si>
  <si>
    <t>RUN DIFFERENTIAL</t>
  </si>
  <si>
    <t>Run Diff.</t>
  </si>
  <si>
    <t>EARNED RUN AVERAGE</t>
  </si>
  <si>
    <t>ERA</t>
  </si>
  <si>
    <t>Team ERA</t>
  </si>
  <si>
    <t>Team LOB</t>
  </si>
  <si>
    <t>Team FIP</t>
  </si>
  <si>
    <t>AVG WAR (H)</t>
  </si>
  <si>
    <t>AVG WAR (P)</t>
  </si>
  <si>
    <t>Run Dif.</t>
  </si>
  <si>
    <t>Week Starting Monday</t>
  </si>
  <si>
    <t>Th-3/30</t>
  </si>
  <si>
    <t>@LAD</t>
  </si>
  <si>
    <t>@CHC</t>
  </si>
  <si>
    <t>@MIA</t>
  </si>
  <si>
    <t>@TEX</t>
  </si>
  <si>
    <t>@CIN</t>
  </si>
  <si>
    <t>@NYY</t>
  </si>
  <si>
    <t>@BOS</t>
  </si>
  <si>
    <t>@HOU</t>
  </si>
  <si>
    <t>@SEA</t>
  </si>
  <si>
    <t>@OAK</t>
  </si>
  <si>
    <t>@STL</t>
  </si>
  <si>
    <t>Fr-3/31</t>
  </si>
  <si>
    <t>Sa-4/01</t>
  </si>
  <si>
    <t>Su-4/02</t>
  </si>
  <si>
    <t>Mo-4/03</t>
  </si>
  <si>
    <t>@MIL</t>
  </si>
  <si>
    <t>@CHW</t>
  </si>
  <si>
    <t>Tu-4/04</t>
  </si>
  <si>
    <t>We-4/05</t>
  </si>
  <si>
    <t>Th-4/06</t>
  </si>
  <si>
    <t>@PHI</t>
  </si>
  <si>
    <t>@ARI</t>
  </si>
  <si>
    <t>@NYM</t>
  </si>
  <si>
    <t>@ATL</t>
  </si>
  <si>
    <t>@COL</t>
  </si>
  <si>
    <t>@DET</t>
  </si>
  <si>
    <t>@MIN</t>
  </si>
  <si>
    <t>@BAL</t>
  </si>
  <si>
    <t>Fr-4/07</t>
  </si>
  <si>
    <t>@PIT</t>
  </si>
  <si>
    <t>@CLE</t>
  </si>
  <si>
    <t>@LAA</t>
  </si>
  <si>
    <t>Sa-4/08</t>
  </si>
  <si>
    <t>Su-4/09</t>
  </si>
  <si>
    <t>Mo-4/10</t>
  </si>
  <si>
    <t>Tu-4/11</t>
  </si>
  <si>
    <t>@TOR</t>
  </si>
  <si>
    <t>We-4/12</t>
  </si>
  <si>
    <t>Th-4/13</t>
  </si>
  <si>
    <t>Fr-4/14</t>
  </si>
  <si>
    <t>Sa-4/15</t>
  </si>
  <si>
    <t>Su-4/16</t>
  </si>
  <si>
    <t>Mo-4/17</t>
  </si>
  <si>
    <t>Tu-4/18</t>
  </si>
  <si>
    <t>We-4/19</t>
  </si>
  <si>
    <t>Th-4/20</t>
  </si>
  <si>
    <t>Fr-4/21</t>
  </si>
  <si>
    <t>Sa-4/22</t>
  </si>
  <si>
    <t>Su-4/23</t>
  </si>
  <si>
    <t>Mo-4/24</t>
  </si>
  <si>
    <t>Tu-4/25</t>
  </si>
  <si>
    <t>We-4/26</t>
  </si>
  <si>
    <t>Th-4/27</t>
  </si>
  <si>
    <t>Fr-4/28</t>
  </si>
  <si>
    <t>Sa-4/29</t>
  </si>
  <si>
    <t>Su-4/30</t>
  </si>
  <si>
    <t>Mo-5/01</t>
  </si>
  <si>
    <t>Tu-5/02</t>
  </si>
  <si>
    <t>We-5/03</t>
  </si>
  <si>
    <t>Th-5/04</t>
  </si>
  <si>
    <t>Fr-5/05</t>
  </si>
  <si>
    <t>Sa-5/06</t>
  </si>
  <si>
    <t>Su-5/07</t>
  </si>
  <si>
    <t>Mo-5/08</t>
  </si>
  <si>
    <t>Tu-5/09</t>
  </si>
  <si>
    <t>We-5/10</t>
  </si>
  <si>
    <t>Th-5/11</t>
  </si>
  <si>
    <t>Fr-5/12</t>
  </si>
  <si>
    <t>Sa-5/13</t>
  </si>
  <si>
    <t>Su-5/14</t>
  </si>
  <si>
    <t>Mo-5/15</t>
  </si>
  <si>
    <t>Tu-5/16</t>
  </si>
  <si>
    <t>We-5/17</t>
  </si>
  <si>
    <t>Th-5/18</t>
  </si>
  <si>
    <t>Fr-5/19</t>
  </si>
  <si>
    <t>Sa-5/20</t>
  </si>
  <si>
    <t>Su-5/21</t>
  </si>
  <si>
    <t>Mo-5/22</t>
  </si>
  <si>
    <t>Tu-5/23</t>
  </si>
  <si>
    <t>We-5/24</t>
  </si>
  <si>
    <t>Th-5/25</t>
  </si>
  <si>
    <t>Fr-5/26</t>
  </si>
  <si>
    <t>Sa-5/27</t>
  </si>
  <si>
    <t>Su-5/28</t>
  </si>
  <si>
    <t>Mo-5/29</t>
  </si>
  <si>
    <t>Tu-5/30</t>
  </si>
  <si>
    <t>We-5/31</t>
  </si>
  <si>
    <t>Th-6/01</t>
  </si>
  <si>
    <t>Fr-6/02</t>
  </si>
  <si>
    <t>Sa-6/03</t>
  </si>
  <si>
    <t>Su-6/04</t>
  </si>
  <si>
    <t>Mo-6/05</t>
  </si>
  <si>
    <t>Tu-6/06</t>
  </si>
  <si>
    <t>We-6/07</t>
  </si>
  <si>
    <t>Th-6/08</t>
  </si>
  <si>
    <t>Fr-6/09</t>
  </si>
  <si>
    <t>Sa-6/10</t>
  </si>
  <si>
    <t>Su-6/11</t>
  </si>
  <si>
    <t>Mo-6/12</t>
  </si>
  <si>
    <t>Tu-6/13</t>
  </si>
  <si>
    <t>We-6/14</t>
  </si>
  <si>
    <t>Th-6/15</t>
  </si>
  <si>
    <t>Fr-6/16</t>
  </si>
  <si>
    <t>Sa-6/17</t>
  </si>
  <si>
    <t>Su-6/18</t>
  </si>
  <si>
    <t>Mo-6/19</t>
  </si>
  <si>
    <t>Tu-6/20</t>
  </si>
  <si>
    <t>We-6/21</t>
  </si>
  <si>
    <t>Th-6/22</t>
  </si>
  <si>
    <t>Fr-6/23</t>
  </si>
  <si>
    <t>Sa-6/24</t>
  </si>
  <si>
    <t>*@STL</t>
  </si>
  <si>
    <t>*CHC</t>
  </si>
  <si>
    <t>Su-6/25</t>
  </si>
  <si>
    <t>Mo-6/26</t>
  </si>
  <si>
    <t>Tu-6/27</t>
  </si>
  <si>
    <t>We-6/28</t>
  </si>
  <si>
    <t>Th-6/29</t>
  </si>
  <si>
    <t>Fr-6/30</t>
  </si>
  <si>
    <t>Sa-7/01</t>
  </si>
  <si>
    <t>Su-7/02</t>
  </si>
  <si>
    <t>Mo-7/03</t>
  </si>
  <si>
    <t>Tu-7/04</t>
  </si>
  <si>
    <t>We-7/05</t>
  </si>
  <si>
    <t>Th-7/06</t>
  </si>
  <si>
    <t>Fr-7/07</t>
  </si>
  <si>
    <t>Sa-7/08</t>
  </si>
  <si>
    <t>Su-7/09</t>
  </si>
  <si>
    <t>Mo-7/10</t>
  </si>
  <si>
    <t>Tu-7/11</t>
  </si>
  <si>
    <t>We-7/12</t>
  </si>
  <si>
    <t>Th-7/13</t>
  </si>
  <si>
    <t>Fr-7/14</t>
  </si>
  <si>
    <t>Sa-7/15</t>
  </si>
  <si>
    <t>@PHIx2</t>
  </si>
  <si>
    <t>Su-7/16</t>
  </si>
  <si>
    <t>Mo-7/17</t>
  </si>
  <si>
    <t>Tu-7/18</t>
  </si>
  <si>
    <t>We-7/19</t>
  </si>
  <si>
    <t>Th-7/20</t>
  </si>
  <si>
    <t>Fr-7/21</t>
  </si>
  <si>
    <t>Sa-7/22</t>
  </si>
  <si>
    <t>Su-7/23</t>
  </si>
  <si>
    <t>Mo-7/24</t>
  </si>
  <si>
    <t>Tu-7/25</t>
  </si>
  <si>
    <t>We-7/26</t>
  </si>
  <si>
    <t>Th-7/27</t>
  </si>
  <si>
    <t>Fr-7/28</t>
  </si>
  <si>
    <t>Sa-7/29</t>
  </si>
  <si>
    <t>Su-7/30</t>
  </si>
  <si>
    <t>Mo-7/31</t>
  </si>
  <si>
    <t>Tu-8/01</t>
  </si>
  <si>
    <t>We-8/02</t>
  </si>
  <si>
    <t>Th-8/03</t>
  </si>
  <si>
    <t>Fr-8/04</t>
  </si>
  <si>
    <t>Sa-8/05</t>
  </si>
  <si>
    <t>Su-8/06</t>
  </si>
  <si>
    <t>Mo-8/07</t>
  </si>
  <si>
    <t>Tu-8/08</t>
  </si>
  <si>
    <t>We-8/09</t>
  </si>
  <si>
    <t>Th-8/10</t>
  </si>
  <si>
    <t>Fr-8/11</t>
  </si>
  <si>
    <t>Sa-8/12</t>
  </si>
  <si>
    <t>Su-8/13</t>
  </si>
  <si>
    <t>Mo-8/14</t>
  </si>
  <si>
    <t>Tu-8/15</t>
  </si>
  <si>
    <t>We-8/16</t>
  </si>
  <si>
    <t>Th-8/17</t>
  </si>
  <si>
    <t>Fr-8/18</t>
  </si>
  <si>
    <t>Sa-8/19</t>
  </si>
  <si>
    <t>Su-8/20</t>
  </si>
  <si>
    <t>*PHI</t>
  </si>
  <si>
    <t>Mo-8/21</t>
  </si>
  <si>
    <t>Tu-8/22</t>
  </si>
  <si>
    <t>We-8/23</t>
  </si>
  <si>
    <t>Th-8/24</t>
  </si>
  <si>
    <t>Fr-8/25</t>
  </si>
  <si>
    <t>Sa-8/26</t>
  </si>
  <si>
    <t>Su-8/27</t>
  </si>
  <si>
    <t>Mo-8/28</t>
  </si>
  <si>
    <t>Tu-8/29</t>
  </si>
  <si>
    <t>We-8/30</t>
  </si>
  <si>
    <t>Th-8/31</t>
  </si>
  <si>
    <t>Fr-9/01</t>
  </si>
  <si>
    <t>Sa-9/02</t>
  </si>
  <si>
    <t>Su-9/03</t>
  </si>
  <si>
    <t>Mo-9/04</t>
  </si>
  <si>
    <t>Tu-9/05</t>
  </si>
  <si>
    <t>We-9/06</t>
  </si>
  <si>
    <t>Th-9/07</t>
  </si>
  <si>
    <t>Fr-9/08</t>
  </si>
  <si>
    <t>Sa-9/09</t>
  </si>
  <si>
    <t>Su-9/10</t>
  </si>
  <si>
    <t>Mo-9/11</t>
  </si>
  <si>
    <t>Tu-9/12</t>
  </si>
  <si>
    <t>We-9/13</t>
  </si>
  <si>
    <t>Th-9/14</t>
  </si>
  <si>
    <t>Fr-9/15</t>
  </si>
  <si>
    <t>Sa-9/16</t>
  </si>
  <si>
    <t>Su-9/17</t>
  </si>
  <si>
    <t>Mo-9/18</t>
  </si>
  <si>
    <t>Tu-9/19</t>
  </si>
  <si>
    <t>We-9/20</t>
  </si>
  <si>
    <t>Th-9/21</t>
  </si>
  <si>
    <t>Fr-9/22</t>
  </si>
  <si>
    <t>Sa-9/23</t>
  </si>
  <si>
    <t>Su-9/24</t>
  </si>
  <si>
    <t>Mo-9/25</t>
  </si>
  <si>
    <t>Tu-9/26</t>
  </si>
  <si>
    <t>LADx2</t>
  </si>
  <si>
    <t>@COLx2</t>
  </si>
  <si>
    <t>We-9/27</t>
  </si>
  <si>
    <t>Th-9/28</t>
  </si>
  <si>
    <t>Fr-9/29</t>
  </si>
  <si>
    <t>Sa-9/30</t>
  </si>
  <si>
    <t>Su-10/01</t>
  </si>
  <si>
    <t xml:space="preserve">* = game not in home team's city. 6/24-6/25 CHC @ STL in London; 8/20 PHI @ WSH in Williamsport, PA. </t>
  </si>
  <si>
    <t>Updated:</t>
  </si>
  <si>
    <t/>
  </si>
  <si>
    <t>Conditional Formatting 3</t>
  </si>
  <si>
    <t>@SFG</t>
  </si>
  <si>
    <t>@TBR</t>
  </si>
  <si>
    <t>@KCR</t>
  </si>
  <si>
    <t>@SDP</t>
  </si>
  <si>
    <t>SDPx2</t>
  </si>
  <si>
    <t>@WSN</t>
  </si>
  <si>
    <t>*@WSN</t>
  </si>
  <si>
    <t>vs</t>
  </si>
  <si>
    <t>=TRIM(VLOOKUP(H3,Formulas!$Y:$AA,3,0))</t>
  </si>
  <si>
    <t>=VLOOKUP(O1,Schedule!A:AG,1,0)</t>
  </si>
  <si>
    <t>=INDEX(Schedule!B6:AG244,MATCH((TRIM(VLOOKUP(H3,Formulas!$Y:$AA,3,0))),Schedule!B5:AG5,0),MATCH(MainPage!O1,Schedule!A6:A244,0))</t>
  </si>
  <si>
    <t>=IF(LEN(OFFSET(A26,1,1))&lt;4,"",OFFSET(A26,1,1))</t>
  </si>
  <si>
    <t>Jose Berrios</t>
  </si>
  <si>
    <t>Martin Perez</t>
  </si>
  <si>
    <t>Danny Young</t>
  </si>
  <si>
    <t>Luis Frías</t>
  </si>
  <si>
    <t>Jesse Scholtens</t>
  </si>
  <si>
    <t>Akil Baddoo</t>
  </si>
  <si>
    <t>Kody Clemens</t>
  </si>
  <si>
    <t>Vidal Bruján</t>
  </si>
  <si>
    <t>Jordan Luplow</t>
  </si>
  <si>
    <t>Daniel Castano</t>
  </si>
  <si>
    <t>lineups</t>
  </si>
  <si>
    <t xml:space="preserve">Toggle navigation </t>
  </si>
  <si>
    <t>NFL</t>
  </si>
  <si>
    <t>NFL Rosters NFL Depth Charts NFL Matchups NFL Players NFL Teams NFL Standings NFL Schedule NFL Injuries NFL Odds NFL Player Props Fantasy Points Scored</t>
  </si>
  <si>
    <t>NFL Snap Counts NFL Targets NFL Player Stats NFL Team Stats NFL Redzone Stats Super Bowl Odds NFL Time of Possession NFL Draft NFL Team Rankings Fantasy Points Allowed NFL Projections</t>
  </si>
  <si>
    <t>NBA</t>
  </si>
  <si>
    <t>NBA Starting Lineups NBA Players NBA Rosters NBA Matchups NBA Depth Charts NBA Injuries NBA Teams NBA Schedule NBA First Basket</t>
  </si>
  <si>
    <t>NBA Team Rankings NBA Team Stats NBA Player Stats NBA Fantasy Projections NBA Projected Minutes NBA Odds NBA Player Props NBA Standings NBA Power Rankings</t>
  </si>
  <si>
    <t>MLB</t>
  </si>
  <si>
    <t>MLB Starting Lineups MLB Rosters MLB Schedule MLB Depth Charts MLB Matchups MLB Teams MLB Standings No Run First Inning</t>
  </si>
  <si>
    <t>MLB Players MLB Player Stats MLB Fantasy Projections MLB Team Stats MLB Odds MLB Player Props MLB Team Rankings MLB Injuries</t>
  </si>
  <si>
    <t>NHL</t>
  </si>
  <si>
    <t>NHL Line Combinations NHL Starting Goalies NHL Odds NHL Schedule</t>
  </si>
  <si>
    <t>NHL Fantasy Projections NHL Standings NHL Team Rankings</t>
  </si>
  <si>
    <t>CFB</t>
  </si>
  <si>
    <t>CFB Odds CFB Teams CFB Transfer Portal Tracker</t>
  </si>
  <si>
    <t>CFB Rosters CFB Players CFB Bowl Games</t>
  </si>
  <si>
    <t>Articles</t>
  </si>
  <si>
    <t>NFL Articles NBA Articles MLB Articles NHL Articles</t>
  </si>
  <si>
    <t>College Football College Basketball Soccer Articles Esports Articles</t>
  </si>
  <si>
    <t>Betting</t>
  </si>
  <si>
    <t>US Sports Betting Betting News Arizona Sports Betting Tennessee Sports Betting Connecticut Online Casinos Ontario Online Casinos Maryland Sports Betting Michigan Sports Betting Illinois Sports Betting Virginia Sports Betting Massachusetts Sports Betting Pennsylvania Sports Betting Louisiana Sports Betting New York Sports Betting Kansas Sports Betting Indiana Sports Betting Missouri Sports Betting New Jersey Sports Betting Ohio Sports Betting Iowa Sports Betting</t>
  </si>
  <si>
    <t>US Online Casinos Betting Odds Michigan Online Casinos Massachusetts Sports Betting Connecticut Sports Betting Ontario Sports Betting Caesars Sportsbook Promo Code PointsBet Promo Code Bet365 Bonus Code Fubo Sportsbook Promo Code WynnBet Promo Code Fox Bet Promo Code DraftKings Casino Promo Code FanDuel Casino promo Code VA Lottery Promo Code MI Lottery Promo Code Betfred Promo Code BetRivers Bonus Code</t>
  </si>
  <si>
    <t xml:space="preserve">Ohio Sports Ohio Sports Betting </t>
  </si>
  <si>
    <t xml:space="preserve">Caesars Caesars Sportsbook </t>
  </si>
  <si>
    <t>Caesars Arizona Caesars Maryland Caesars Ontario Caesars Kansas Caesars Michigan Caesars Illinois</t>
  </si>
  <si>
    <t>Caesars Louisiana Caesars Ohio Caesars Tennessee Caesars Virginia Caesars Massachusetts</t>
  </si>
  <si>
    <t xml:space="preserve">FanDuel FanDuel Sportsbook </t>
  </si>
  <si>
    <t>FanDuel Sportsbook Review FanDuel Ontario FanDuel Tennessee FanDuel Michigan FanDuel Arizona FanDuel Virginia FanDuel Iowa Fanduel Louisiana FanDuel Illinois</t>
  </si>
  <si>
    <t>FanDuel Pennsylvania FanDuel Maryland FanDuel Connecticut FanDuel New Jersey FanDuel New York FanDuel Ohio FanDuel Massachusetts FanDuel Indiana FanDuel Kansas</t>
  </si>
  <si>
    <t xml:space="preserve">DraftKings DraftKings Sportsbook </t>
  </si>
  <si>
    <t>DraftKings Sportsbook Review DraftKings Pennsylvania DraftKings Michigan DraftKings Arizona DraftKings Ontario DraftKings Ohio DraftKings Massachusetts DraftKings Louisiana DraftKings Illinois</t>
  </si>
  <si>
    <t>DraftKings Tennessee DraftKings Virginia DraftKings Maryland DraftKings New York DraftKings New Jersey DraftKings Iowa DraftKings North Carolina DraftKings Connecticut DraftKings Kansas</t>
  </si>
  <si>
    <t xml:space="preserve">BetMGM BetMGM Sportsbook </t>
  </si>
  <si>
    <t>BetMGM Michigan BetMGM Tennessee BetMGM Arizona BetMGM Ontario BetMGM Louisiana BetMGM Pennsylvania BetMGM Iowa BetMGM Illinois</t>
  </si>
  <si>
    <t>BetMGM Maryland BetMGM Virginia BetMGM Massachusetts BetMGM Indiana BetMGM Ohio BetMGM New York BetMGM New Jersey BetMGM Kansas</t>
  </si>
  <si>
    <t xml:space="preserve">Fantasy Projections Projections Depth Charts Depth Starting Lineups Lineups Team Rankings Team Rankings Odds Odds Park Factors Park Factors Player Stats Player Stats Schedule Schedule Matchups Matchups Rosters Rosters </t>
  </si>
  <si>
    <t>spinner</t>
  </si>
  <si>
    <t>1. Lineups &gt;</t>
  </si>
  <si>
    <t>2. MLB &gt;</t>
  </si>
  <si>
    <t>3. Teams &gt;</t>
  </si>
  <si>
    <t xml:space="preserve">Follow @lineups </t>
  </si>
  <si>
    <t>To win World Series</t>
  </si>
  <si>
    <t>Pirates +25000 DRAFTKINGS</t>
  </si>
  <si>
    <t>Royals +25000 MGM</t>
  </si>
  <si>
    <t>Metabet Logo</t>
  </si>
  <si>
    <t>Today's Lineups All Teams</t>
  </si>
  <si>
    <t>Stats Fantasy</t>
  </si>
  <si>
    <t>All Games arrow-down</t>
  </si>
  <si>
    <t>Select None</t>
  </si>
  <si>
    <t>green-checkConfirmed</t>
  </si>
  <si>
    <t>@</t>
  </si>
  <si>
    <t>Final</t>
  </si>
  <si>
    <t>Astros Hitters</t>
  </si>
  <si>
    <t>Avg</t>
  </si>
  <si>
    <t>Salary</t>
  </si>
  <si>
    <t>Proj</t>
  </si>
  <si>
    <t xml:space="preserve">2. A. Bregman A. Bregman , 3B (R) </t>
  </si>
  <si>
    <t xml:space="preserve">4. J. Abreu J. Abreu , 1B (R) </t>
  </si>
  <si>
    <t>Astros Pitchers</t>
  </si>
  <si>
    <t>K/9</t>
  </si>
  <si>
    <t>BB/9</t>
  </si>
  <si>
    <t>Astros Lineup Data Lineup Data</t>
  </si>
  <si>
    <t>Twins Hitters</t>
  </si>
  <si>
    <t xml:space="preserve">9. M. Taylor M. Taylor , CF (R) </t>
  </si>
  <si>
    <t>Twins Pitchers</t>
  </si>
  <si>
    <t>Twins Lineup Data Lineup Data</t>
  </si>
  <si>
    <t>Moneyline</t>
  </si>
  <si>
    <t>Over/Under</t>
  </si>
  <si>
    <t>Implied Runs</t>
  </si>
  <si>
    <t>Matchup Breakdown Matchup Breakdown</t>
  </si>
  <si>
    <t>Rangers Hitters</t>
  </si>
  <si>
    <t xml:space="preserve">1. M. Semien M. Semien , 2B (R) </t>
  </si>
  <si>
    <t xml:space="preserve">3. N. Lowe N. Lowe , 1B (L) </t>
  </si>
  <si>
    <t xml:space="preserve">$2,100 $2,100 </t>
  </si>
  <si>
    <t>Rangers Pitchers</t>
  </si>
  <si>
    <t>Rangers Lineup Data Lineup Data</t>
  </si>
  <si>
    <t>Cubs Hitters</t>
  </si>
  <si>
    <t xml:space="preserve">3. I. Happ I. Happ , LF (S) </t>
  </si>
  <si>
    <t xml:space="preserve">$2,100 $2,000 </t>
  </si>
  <si>
    <t>Cubs Pitchers</t>
  </si>
  <si>
    <t>Cubs Lineup Data Lineup Data</t>
  </si>
  <si>
    <t>Reds Hitters</t>
  </si>
  <si>
    <t xml:space="preserve">1. J. India J. India , 2B (R) </t>
  </si>
  <si>
    <t xml:space="preserve">$2,000 $2,100 </t>
  </si>
  <si>
    <t>Reds Pitchers</t>
  </si>
  <si>
    <t>Reds Lineup Data Lineup Data</t>
  </si>
  <si>
    <t>Phillies Hitters</t>
  </si>
  <si>
    <t xml:space="preserve">$2,300 $2,200 </t>
  </si>
  <si>
    <t>Phillies Pitchers</t>
  </si>
  <si>
    <t>Phillies Lineup Data Lineup Data</t>
  </si>
  <si>
    <t>Royals Hitters</t>
  </si>
  <si>
    <t xml:space="preserve">4. S. Perez S. Perez , C (R) </t>
  </si>
  <si>
    <t xml:space="preserve">$4,800 $3,000 </t>
  </si>
  <si>
    <t>Royals Pitchers</t>
  </si>
  <si>
    <t>Royals Lineup Data Lineup Data</t>
  </si>
  <si>
    <t>Giants Hitters</t>
  </si>
  <si>
    <t xml:space="preserve">$2,000 $2,000 </t>
  </si>
  <si>
    <t>Giants Pitchers</t>
  </si>
  <si>
    <t>Giants Lineup Data Lineup Data</t>
  </si>
  <si>
    <t>Marlins Hitters</t>
  </si>
  <si>
    <t>Marlins Pitchers</t>
  </si>
  <si>
    <t>Marlins Lineup Data Lineup Data</t>
  </si>
  <si>
    <t>Mets Hitters</t>
  </si>
  <si>
    <t xml:space="preserve">1. B. Nimmo B. Nimmo , CF (L) </t>
  </si>
  <si>
    <t>Mets Pitchers</t>
  </si>
  <si>
    <t>Mets Lineup Data Lineup Data</t>
  </si>
  <si>
    <t>Athletics Hitters</t>
  </si>
  <si>
    <t xml:space="preserve">$2,300 $2,100 </t>
  </si>
  <si>
    <t>Athletics Pitchers</t>
  </si>
  <si>
    <t>Athletics Lineup Data Lineup Data</t>
  </si>
  <si>
    <t>Rays Hitters</t>
  </si>
  <si>
    <t>Rays Pitchers</t>
  </si>
  <si>
    <t>Rays Lineup Data Lineup Data</t>
  </si>
  <si>
    <t>TB 4.5 Runs</t>
  </si>
  <si>
    <t>Red Sox Hitters</t>
  </si>
  <si>
    <t>Red Sox Pitchers</t>
  </si>
  <si>
    <t>Red Sox Lineup Data Lineup Data</t>
  </si>
  <si>
    <t>Mariners Hitters</t>
  </si>
  <si>
    <t xml:space="preserve">1. J. Rodríguez J. Rodríguez , CF (R) </t>
  </si>
  <si>
    <t xml:space="preserve">2. T. France T. France , 1B (R) </t>
  </si>
  <si>
    <t xml:space="preserve">3. E. Suárez E. Suárez , 3B (R) </t>
  </si>
  <si>
    <t xml:space="preserve">9. J. Crawford J. Crawford , SS (L) </t>
  </si>
  <si>
    <t>Mariners Pitchers</t>
  </si>
  <si>
    <t>Mariners Lineup Data Lineup Data</t>
  </si>
  <si>
    <t>Guardians Hitters</t>
  </si>
  <si>
    <t xml:space="preserve">1. S. Kwan S. Kwan , LF (L) </t>
  </si>
  <si>
    <t xml:space="preserve">2. A. Rosario A. Rosario , SS (R) </t>
  </si>
  <si>
    <t xml:space="preserve">3. J. Ramírez J. Ramírez , 3B (S) </t>
  </si>
  <si>
    <t>Guardians Pitchers</t>
  </si>
  <si>
    <t>Guardians Lineup Data Lineup Data</t>
  </si>
  <si>
    <t>White Sox Hitters</t>
  </si>
  <si>
    <t xml:space="preserve">2. L. Robert Jr. L. Robert Jr. , CF (R) </t>
  </si>
  <si>
    <t>White Sox Pitchers</t>
  </si>
  <si>
    <t>White Sox Lineup Data Lineup Data</t>
  </si>
  <si>
    <t>Pirates Hitters</t>
  </si>
  <si>
    <t xml:space="preserve">$2,200 $2,000 </t>
  </si>
  <si>
    <t>Pirates Pitchers</t>
  </si>
  <si>
    <t>Pirates Lineup Data Lineup Data</t>
  </si>
  <si>
    <t>Yankees Hitters</t>
  </si>
  <si>
    <t xml:space="preserve">3. A. Rizzo A. Rizzo , 1B (L) </t>
  </si>
  <si>
    <t xml:space="preserve">$2,400 $2,200 </t>
  </si>
  <si>
    <t>Yankees Pitchers</t>
  </si>
  <si>
    <t>Yankees Lineup Data Lineup Data</t>
  </si>
  <si>
    <t>Orioles Hitters</t>
  </si>
  <si>
    <t>Orioles Pitchers</t>
  </si>
  <si>
    <t>Orioles Lineup Data Lineup Data</t>
  </si>
  <si>
    <t>Cardinals Hitters</t>
  </si>
  <si>
    <t>Cardinals Pitchers</t>
  </si>
  <si>
    <t>Cardinals Lineup Data Lineup Data</t>
  </si>
  <si>
    <t>Brewers Hitters</t>
  </si>
  <si>
    <t>Brewers Pitchers</t>
  </si>
  <si>
    <t>Brewers Lineup Data Lineup Data</t>
  </si>
  <si>
    <t>Padres Hitters</t>
  </si>
  <si>
    <t xml:space="preserve">2. M. Machado M. Machado , 3B (R) </t>
  </si>
  <si>
    <t xml:space="preserve">3. J. Soto J. Soto , LF (L) </t>
  </si>
  <si>
    <t>Padres Pitchers</t>
  </si>
  <si>
    <t>Padres Lineup Data Lineup Data</t>
  </si>
  <si>
    <t>Braves Hitters</t>
  </si>
  <si>
    <t xml:space="preserve">1. R. Acuña Jr. R. Acuña Jr. , RF (R) </t>
  </si>
  <si>
    <t xml:space="preserve">2. M. Olson M. Olson , 1B (L) </t>
  </si>
  <si>
    <t xml:space="preserve">3. A. Riley A. Riley , 3B (R) </t>
  </si>
  <si>
    <t>Braves Pitchers</t>
  </si>
  <si>
    <t>Braves Lineup Data Lineup Data</t>
  </si>
  <si>
    <t>ATL 4.5 Runs</t>
  </si>
  <si>
    <t>Nationals Hitters</t>
  </si>
  <si>
    <t xml:space="preserve">1. A. Call A. Call , LF (R) </t>
  </si>
  <si>
    <t>Nationals Pitchers</t>
  </si>
  <si>
    <t>Nationals Lineup Data Lineup Data</t>
  </si>
  <si>
    <t>Rockies Hitters</t>
  </si>
  <si>
    <t>Rockies Pitchers</t>
  </si>
  <si>
    <t>Rockies Lineup Data Lineup Data</t>
  </si>
  <si>
    <t>Dodgers Hitters</t>
  </si>
  <si>
    <t xml:space="preserve">2. F. Freeman F. Freeman , 1B (L) </t>
  </si>
  <si>
    <t>Dodgers Pitchers</t>
  </si>
  <si>
    <t>Dodgers Lineup Data Lineup Data</t>
  </si>
  <si>
    <t>Diamondbacks Hitters</t>
  </si>
  <si>
    <t xml:space="preserve">4. C. Walker C. Walker , 1B (R) </t>
  </si>
  <si>
    <t>Diamondbacks Pitchers</t>
  </si>
  <si>
    <t>Diamondbacks Lineup Data Lineup Data</t>
  </si>
  <si>
    <t xml:space="preserve">$2,500 $2,200 </t>
  </si>
  <si>
    <t>Angels Hitters</t>
  </si>
  <si>
    <t xml:space="preserve">1. T. Ward T. Ward , LF (R) </t>
  </si>
  <si>
    <t>Angels Pitchers</t>
  </si>
  <si>
    <t>Angels Lineup Data Lineup Data</t>
  </si>
  <si>
    <t>Contents</t>
  </si>
  <si>
    <t>A Winning Strategy – Keep Active MLB Lineups</t>
  </si>
  <si>
    <t>footer-brand</t>
  </si>
  <si>
    <t>Company</t>
  </si>
  <si>
    <t>About</t>
  </si>
  <si>
    <t>Contact</t>
  </si>
  <si>
    <t>Sports Scholarship</t>
  </si>
  <si>
    <t>Sports Writing Jobs</t>
  </si>
  <si>
    <t>FAQ</t>
  </si>
  <si>
    <t>Friends</t>
  </si>
  <si>
    <t>Terms</t>
  </si>
  <si>
    <t>Terms of Use</t>
  </si>
  <si>
    <t>Privacy Policy</t>
  </si>
  <si>
    <t>License</t>
  </si>
  <si>
    <t>Billing Terms</t>
  </si>
  <si>
    <t>NFL Bet Predictor</t>
  </si>
  <si>
    <t>NFL Accuracy</t>
  </si>
  <si>
    <t>NFL Simulator</t>
  </si>
  <si>
    <t>NFL News</t>
  </si>
  <si>
    <t>NBA News</t>
  </si>
  <si>
    <t>MLB Accuracy</t>
  </si>
  <si>
    <t>MLB News</t>
  </si>
  <si>
    <t>Team Line Combinations</t>
  </si>
  <si>
    <t>Starting Goalies</t>
  </si>
  <si>
    <t>CFB Players</t>
  </si>
  <si>
    <t>CFB Teams</t>
  </si>
  <si>
    <t>CFB Rosters</t>
  </si>
  <si>
    <t>Vegas Odds</t>
  </si>
  <si>
    <t>NFL Odds</t>
  </si>
  <si>
    <t>NBA Odds</t>
  </si>
  <si>
    <t>MLB Odds</t>
  </si>
  <si>
    <t>CFB Odds</t>
  </si>
  <si>
    <t>NHL Odds</t>
  </si>
  <si>
    <t>Lineup Optimizer</t>
  </si>
  <si>
    <t>NFL Lineup Optimizer</t>
  </si>
  <si>
    <t>NBA Lineup Optimizer</t>
  </si>
  <si>
    <t>MLB Lineup Optimizer</t>
  </si>
  <si>
    <t>NHL Lineup Optimizer</t>
  </si>
  <si>
    <t>Search for:</t>
  </si>
  <si>
    <t>Copyright © 2023 Lineups</t>
  </si>
  <si>
    <t>Please enable JavaScript to run this application.</t>
  </si>
  <si>
    <t>Odds</t>
  </si>
  <si>
    <t>New</t>
  </si>
  <si>
    <t>York</t>
  </si>
  <si>
    <t>Kansas</t>
  </si>
  <si>
    <t>Chicago</t>
  </si>
  <si>
    <t>Cubs</t>
  </si>
  <si>
    <t>Rangers</t>
  </si>
  <si>
    <t>Los</t>
  </si>
  <si>
    <t>Angeles</t>
  </si>
  <si>
    <t>Dodgers</t>
  </si>
  <si>
    <t>Diamondbacks</t>
  </si>
  <si>
    <t>World</t>
  </si>
  <si>
    <t>Series</t>
  </si>
  <si>
    <t>Astros</t>
  </si>
  <si>
    <t>DRAFTKINGS</t>
  </si>
  <si>
    <t>Braves</t>
  </si>
  <si>
    <t>WILLIAM_HILL</t>
  </si>
  <si>
    <t>Yankees</t>
  </si>
  <si>
    <t>FANDUEL</t>
  </si>
  <si>
    <t>Padres</t>
  </si>
  <si>
    <t>Blue</t>
  </si>
  <si>
    <t>Jays</t>
  </si>
  <si>
    <t>MGM</t>
  </si>
  <si>
    <t>Mets</t>
  </si>
  <si>
    <t>Rays</t>
  </si>
  <si>
    <t>Cardinals</t>
  </si>
  <si>
    <t>Phillies</t>
  </si>
  <si>
    <t>Mariners</t>
  </si>
  <si>
    <t>Brewers</t>
  </si>
  <si>
    <t>Guardians</t>
  </si>
  <si>
    <t>Twins</t>
  </si>
  <si>
    <t>Angels</t>
  </si>
  <si>
    <t>Giants</t>
  </si>
  <si>
    <t>Red</t>
  </si>
  <si>
    <t>Sox</t>
  </si>
  <si>
    <t>White</t>
  </si>
  <si>
    <t>Orioles</t>
  </si>
  <si>
    <t>Marlins</t>
  </si>
  <si>
    <t>Tigers</t>
  </si>
  <si>
    <t>Reds</t>
  </si>
  <si>
    <t>Pirates</t>
  </si>
  <si>
    <t>Royals</t>
  </si>
  <si>
    <t>Nationals</t>
  </si>
  <si>
    <t>Rockies</t>
  </si>
  <si>
    <t>Athletics</t>
  </si>
  <si>
    <t>KC</t>
  </si>
  <si>
    <t>SF</t>
  </si>
  <si>
    <t>TB</t>
  </si>
  <si>
    <t>SD</t>
  </si>
  <si>
    <t>WSH</t>
  </si>
  <si>
    <t>LF</t>
  </si>
  <si>
    <t>DH</t>
  </si>
  <si>
    <t>1B</t>
  </si>
  <si>
    <t>RF</t>
  </si>
  <si>
    <t>SS</t>
  </si>
  <si>
    <t>CF</t>
  </si>
  <si>
    <t>C</t>
  </si>
  <si>
    <t>City</t>
  </si>
  <si>
    <t>San</t>
  </si>
  <si>
    <t>Francisco</t>
  </si>
  <si>
    <t>Tampa</t>
  </si>
  <si>
    <t>Bay</t>
  </si>
  <si>
    <t>St.</t>
  </si>
  <si>
    <t>Louis</t>
  </si>
  <si>
    <t>Diego</t>
  </si>
  <si>
    <t>World Series Win Odds</t>
  </si>
  <si>
    <t>Win</t>
  </si>
  <si>
    <t>Blue Jays</t>
  </si>
  <si>
    <t>White Sox</t>
  </si>
  <si>
    <t>Red Sox</t>
  </si>
  <si>
    <t>PLAYER</t>
  </si>
  <si>
    <t>G</t>
  </si>
  <si>
    <t>MarcusM SemienSemien</t>
  </si>
  <si>
    <t>‌</t>
  </si>
  <si>
    <t>TreaT TurnerTurner</t>
  </si>
  <si>
    <t>CWS</t>
  </si>
  <si>
    <t>NathanielN LoweLowe</t>
  </si>
  <si>
    <t>AlexA VerdugoVerdugo</t>
  </si>
  <si>
    <t>KetelK MarteMarte</t>
  </si>
  <si>
    <t>AZ</t>
  </si>
  <si>
    <t>JoeyJ MenesesMeneses</t>
  </si>
  <si>
    <t>RyanR MountcastleMountcastle</t>
  </si>
  <si>
    <t>BryanB ReynoldsReynolds</t>
  </si>
  <si>
    <t>Position</t>
  </si>
  <si>
    <t>AdleyA RutschmanRutschman</t>
  </si>
  <si>
    <t>RandyR ArozarenaArozarena</t>
  </si>
  <si>
    <t>AdolisA GarcíaGarcia</t>
  </si>
  <si>
    <t>AustinA RileyRiley</t>
  </si>
  <si>
    <t>BrysonB StottStott</t>
  </si>
  <si>
    <t>BoB BichetteBichette</t>
  </si>
  <si>
    <t>JeremyJ PeñaPena</t>
  </si>
  <si>
    <t>RonaldR AcuñaAcuna</t>
  </si>
  <si>
    <t>JoseJ AbreuAbreu</t>
  </si>
  <si>
    <t>MattM ChapmanChapman</t>
  </si>
  <si>
    <t>RafaelR DeversDevers</t>
  </si>
  <si>
    <t>SalvadorS PerezPerez</t>
  </si>
  <si>
    <t>TOP 50 at bats</t>
  </si>
  <si>
    <t>Mets +1300 FANDUEL</t>
  </si>
  <si>
    <t>Reds +50000 FANDUEL</t>
  </si>
  <si>
    <t xml:space="preserve">7. W. Brennan W. Brennan , RF (L) </t>
  </si>
  <si>
    <t xml:space="preserve">3. R. Mountcastle R. Mountcastle , 1B (R) </t>
  </si>
  <si>
    <t xml:space="preserve">1. B. Stott B. Stott , 2B (L) </t>
  </si>
  <si>
    <t xml:space="preserve">2. T. Turner T. Turner , SS (R) </t>
  </si>
  <si>
    <t xml:space="preserve">4. P. Alonso P. Alonso , 1B (R) </t>
  </si>
  <si>
    <t xml:space="preserve">4. S. Murphy S. Murphy , C (R) </t>
  </si>
  <si>
    <t xml:space="preserve">$2,000 $2,200 </t>
  </si>
  <si>
    <t xml:space="preserve">4. J. Garcia J. Garcia , RF (R) </t>
  </si>
  <si>
    <t xml:space="preserve">$4,200 $2,900 </t>
  </si>
  <si>
    <t xml:space="preserve">1. J. Profar J. Profar , LF (S) </t>
  </si>
  <si>
    <t xml:space="preserve">4. C. Cron C. Cron , 1B (R) </t>
  </si>
  <si>
    <t xml:space="preserve">$3,300 $2,700 </t>
  </si>
  <si>
    <t>WSH 3.5 Runs</t>
  </si>
  <si>
    <t xml:space="preserve">1. C. Yelich C. Yelich , LF (L) </t>
  </si>
  <si>
    <t xml:space="preserve">$5,200 $2,900 </t>
  </si>
  <si>
    <t>LAD 4.5 Runs</t>
  </si>
  <si>
    <t>Pavin Smith</t>
  </si>
  <si>
    <t>Bobby Dalbec</t>
  </si>
  <si>
    <t>Kevin Herget</t>
  </si>
  <si>
    <t>Matt Wallner</t>
  </si>
  <si>
    <t>Génesis Cabrera</t>
  </si>
  <si>
    <t>Willie Calhoun</t>
  </si>
  <si>
    <t>Sandy León</t>
  </si>
  <si>
    <t>Nelson Velázquez</t>
  </si>
  <si>
    <t>Justin Topa</t>
  </si>
  <si>
    <t>Francisco Álvarez</t>
  </si>
  <si>
    <t>Peter Solomon</t>
  </si>
  <si>
    <t>Heliot Ramos</t>
  </si>
  <si>
    <t>Ehire Adrianza</t>
  </si>
  <si>
    <t>Austin Wynns</t>
  </si>
  <si>
    <t>James McCann</t>
  </si>
  <si>
    <t>J.B. Bukauskas</t>
  </si>
  <si>
    <t>Mark Mathias</t>
  </si>
  <si>
    <t>Kevin Smith</t>
  </si>
  <si>
    <t>Eli White</t>
  </si>
  <si>
    <t>McKinley Moore</t>
  </si>
  <si>
    <t>Devin Smeltzer</t>
  </si>
  <si>
    <t>ESPN</t>
  </si>
  <si>
    <t>Y!</t>
  </si>
  <si>
    <t>$</t>
  </si>
  <si>
    <t>GS</t>
  </si>
  <si>
    <t>QS</t>
  </si>
  <si>
    <t>SV</t>
  </si>
  <si>
    <t>HLD</t>
  </si>
  <si>
    <t>ER</t>
  </si>
  <si>
    <t>K</t>
  </si>
  <si>
    <t>WHIP</t>
  </si>
  <si>
    <t>BABIP</t>
  </si>
  <si>
    <t>Own%</t>
  </si>
  <si>
    <t>SP</t>
  </si>
  <si>
    <t>RP</t>
  </si>
  <si>
    <t>Jorge Lopez</t>
  </si>
  <si>
    <t>Felix Bautista</t>
  </si>
  <si>
    <t>Brent Honeywell</t>
  </si>
  <si>
    <t>Jose Alvarado</t>
  </si>
  <si>
    <t>Jose Leclerc</t>
  </si>
  <si>
    <t>Jose Quijada</t>
  </si>
  <si>
    <t>Dany Jimenez</t>
  </si>
  <si>
    <t>Domingo German</t>
  </si>
  <si>
    <t>Adrian Martinez</t>
  </si>
  <si>
    <t>Jaime Barria</t>
  </si>
  <si>
    <t>Jonathan Hernandez</t>
  </si>
  <si>
    <t>Andres Munoz</t>
  </si>
  <si>
    <t>Joe Jimenez</t>
  </si>
  <si>
    <t>Cionel Perez</t>
  </si>
  <si>
    <t>Hector Neris</t>
  </si>
  <si>
    <t>Alexis Diaz</t>
  </si>
  <si>
    <t>Jonathan Loaisiga</t>
  </si>
  <si>
    <t>Carlos Hernandez</t>
  </si>
  <si>
    <t>Emilio Pagan</t>
  </si>
  <si>
    <t>Genesis Cabrera</t>
  </si>
  <si>
    <t>Reynaldo Lopez</t>
  </si>
  <si>
    <t>Luis Frias</t>
  </si>
  <si>
    <t>Carlos Estevez</t>
  </si>
  <si>
    <t>Jose Suarez</t>
  </si>
  <si>
    <t>Jose Urena</t>
  </si>
  <si>
    <t>Jose Cisnero</t>
  </si>
  <si>
    <t>Erasmo Ramirez</t>
  </si>
  <si>
    <t>Seranthony Dominguez</t>
  </si>
  <si>
    <t>Jose Ruiz</t>
  </si>
  <si>
    <t>K/BB</t>
  </si>
  <si>
    <t>OF</t>
  </si>
  <si>
    <t>Ronald Acuna Jr.</t>
  </si>
  <si>
    <t>1B/3B</t>
  </si>
  <si>
    <t>Andres Gimenez</t>
  </si>
  <si>
    <t>2B/SS</t>
  </si>
  <si>
    <t>3B/OF</t>
  </si>
  <si>
    <t>Julio Rodriguez</t>
  </si>
  <si>
    <t>2B/SS/ OF</t>
  </si>
  <si>
    <t>SS/3B</t>
  </si>
  <si>
    <t>Logan O’Hoppe</t>
  </si>
  <si>
    <t>2B/OF</t>
  </si>
  <si>
    <t>1B/2B/ 3B</t>
  </si>
  <si>
    <t>2B/3B</t>
  </si>
  <si>
    <t>1B/3B/ OF</t>
  </si>
  <si>
    <t>Jeremy Pena</t>
  </si>
  <si>
    <t>Yandy Diaz</t>
  </si>
  <si>
    <t>1B/2B</t>
  </si>
  <si>
    <t>Adolis Garcia</t>
  </si>
  <si>
    <t>Jose Ramirez</t>
  </si>
  <si>
    <t>C/OF</t>
  </si>
  <si>
    <t>Elias Diaz</t>
  </si>
  <si>
    <t>Oscar Colas</t>
  </si>
  <si>
    <t>Yoan Moncada</t>
  </si>
  <si>
    <t>Harold Ramirez</t>
  </si>
  <si>
    <t>1B/OF</t>
  </si>
  <si>
    <t>2B/3B/ OF</t>
  </si>
  <si>
    <t>1B/2B/ SS/3B/OF</t>
  </si>
  <si>
    <t>Eugenio Suarez</t>
  </si>
  <si>
    <t>2B/SS/ 3B</t>
  </si>
  <si>
    <t>Travis d’Arnaud</t>
  </si>
  <si>
    <t>Ramon Laureano</t>
  </si>
  <si>
    <t>Mauricio Dubon</t>
  </si>
  <si>
    <t>SS/OF</t>
  </si>
  <si>
    <t>1B/2B/SS</t>
  </si>
  <si>
    <t>Teoscar Hernandez</t>
  </si>
  <si>
    <t>Ramon Urias</t>
  </si>
  <si>
    <t>Christian Vazquez</t>
  </si>
  <si>
    <t>C/1B</t>
  </si>
  <si>
    <t>Francisco Mejia</t>
  </si>
  <si>
    <t>Jose Azocar</t>
  </si>
  <si>
    <t>Tyler O’Neill</t>
  </si>
  <si>
    <t>Enrique Hernandez</t>
  </si>
  <si>
    <t>Jose Abreu</t>
  </si>
  <si>
    <t>Jesus Aguilar</t>
  </si>
  <si>
    <t>Omar Narvaez</t>
  </si>
  <si>
    <t>Martin Maldonado</t>
  </si>
  <si>
    <t>Carlos Perez</t>
  </si>
  <si>
    <t>1B/2B/ OF</t>
  </si>
  <si>
    <t>Edwin Rios</t>
  </si>
  <si>
    <t>Eloy Jimenez</t>
  </si>
  <si>
    <t>1B/2B/ SS/3B</t>
  </si>
  <si>
    <t>Jesus Sanchez</t>
  </si>
  <si>
    <t>Cesar Salazar</t>
  </si>
  <si>
    <t>2b</t>
  </si>
  <si>
    <t>FA</t>
  </si>
  <si>
    <t>Francisco Alvarez</t>
  </si>
  <si>
    <t>Tomas Nido</t>
  </si>
  <si>
    <t>Roberto Perez</t>
  </si>
  <si>
    <t>Vidal Brujan</t>
  </si>
  <si>
    <t>Ji Man Choi</t>
  </si>
  <si>
    <t>Aledmys Diaz</t>
  </si>
  <si>
    <t>Luis Urias</t>
  </si>
  <si>
    <t>2B/SS/ 3B/OF</t>
  </si>
  <si>
    <t>Avisail Garcia</t>
  </si>
  <si>
    <t>1B/2B/ 3B/OF</t>
  </si>
  <si>
    <t>Ke’Bryan Hayes</t>
  </si>
  <si>
    <t>Javier Baez</t>
  </si>
  <si>
    <t>Bat AVG</t>
  </si>
  <si>
    <t>On Base %</t>
  </si>
  <si>
    <t>Slugger %</t>
  </si>
  <si>
    <t>(All)</t>
  </si>
  <si>
    <t>K/GP</t>
  </si>
  <si>
    <t>sWin %</t>
  </si>
  <si>
    <t xml:space="preserve">FIP </t>
  </si>
  <si>
    <t xml:space="preserve">WHIP </t>
  </si>
  <si>
    <t xml:space="preserve">K/BB </t>
  </si>
  <si>
    <t xml:space="preserve">K/GP </t>
  </si>
  <si>
    <t xml:space="preserve">sWin % </t>
  </si>
  <si>
    <t>Nelson Velazquez</t>
  </si>
  <si>
    <t>Brandon Dixon</t>
  </si>
  <si>
    <t>Garrett Whitlock</t>
  </si>
  <si>
    <t>Keynan Middleton</t>
  </si>
  <si>
    <t>Kyle Wright</t>
  </si>
  <si>
    <t>Jose Rodriguez</t>
  </si>
  <si>
    <t>Taj Bradley</t>
  </si>
  <si>
    <t>Griffin Canning</t>
  </si>
  <si>
    <t>Peyton Battenfield</t>
  </si>
  <si>
    <t>Chad Smith</t>
  </si>
  <si>
    <t>Lenyn Sosa</t>
  </si>
  <si>
    <t>Darin Ruf</t>
  </si>
  <si>
    <t>Edouard Julien</t>
  </si>
  <si>
    <t>Janson Junk</t>
  </si>
  <si>
    <t>Leody Taveras</t>
  </si>
  <si>
    <t>- - -</t>
  </si>
  <si>
    <t>K/IP</t>
  </si>
  <si>
    <t>LaneL ThomasThomas</t>
  </si>
  <si>
    <t>Ryan O’Hearn</t>
  </si>
  <si>
    <t>Sandy Leon</t>
  </si>
  <si>
    <t>Tyler Nevin</t>
  </si>
  <si>
    <t>Kyle Garlick</t>
  </si>
  <si>
    <t>Nick Senzel</t>
  </si>
  <si>
    <t>Braden Bristo</t>
  </si>
  <si>
    <t>Colin Rea</t>
  </si>
  <si>
    <t>Ryan O'Hearn</t>
  </si>
  <si>
    <t>José Rodríguez</t>
  </si>
  <si>
    <t>Braves +650 MGM</t>
  </si>
  <si>
    <t>Astros +750 DRAFTKINGS</t>
  </si>
  <si>
    <t>Blue Jays +1300 WILLIAM_HILL</t>
  </si>
  <si>
    <t>Brewers +2200 WILLIAM_HILL</t>
  </si>
  <si>
    <t>Phillies +2500 DRAFTKINGS</t>
  </si>
  <si>
    <t>Twins +3300 WILLIAM_HILL</t>
  </si>
  <si>
    <t>Giants +5500 DRAFTKINGS</t>
  </si>
  <si>
    <t>Marlins +20000 FANDUEL</t>
  </si>
  <si>
    <t>Tigers +25000 MGM</t>
  </si>
  <si>
    <t xml:space="preserve">2. B. Reynolds B. Reynolds , LF (S) </t>
  </si>
  <si>
    <t xml:space="preserve">3. A. McCutchen A. McCutchen , DH (R) </t>
  </si>
  <si>
    <t>PIT 3.5 Runs</t>
  </si>
  <si>
    <t xml:space="preserve">$5,100 $3,700 </t>
  </si>
  <si>
    <t xml:space="preserve">2. S. Marte S. Marte , RF (R) </t>
  </si>
  <si>
    <t xml:space="preserve">3. F. Lindor F. Lindor , SS (S) </t>
  </si>
  <si>
    <t xml:space="preserve">$5,400 $3,900 </t>
  </si>
  <si>
    <t xml:space="preserve">$2,500 $2,400 </t>
  </si>
  <si>
    <t xml:space="preserve">$2,600 $2,200 </t>
  </si>
  <si>
    <t xml:space="preserve">$4,200 $2,600 </t>
  </si>
  <si>
    <t>NYY 4.5 Runs</t>
  </si>
  <si>
    <t xml:space="preserve">1. A. Benintendi A. Benintendi , LF (L) </t>
  </si>
  <si>
    <t xml:space="preserve">3. A. Vaughn A. Vaughn , 1B (R) </t>
  </si>
  <si>
    <t xml:space="preserve">$2,900 $2,300 </t>
  </si>
  <si>
    <t xml:space="preserve">9. E. Andrus E. Andrus , SS (R) </t>
  </si>
  <si>
    <t xml:space="preserve">$3,100 $2,200 </t>
  </si>
  <si>
    <t>o8.5 (100)</t>
  </si>
  <si>
    <t xml:space="preserve">6. J. Kelenic J. Kelenic , LF (L) </t>
  </si>
  <si>
    <t xml:space="preserve">$3,200 $2,500 </t>
  </si>
  <si>
    <t xml:space="preserve">$2,600 $2,500 </t>
  </si>
  <si>
    <t xml:space="preserve">$4,800 $3,300 </t>
  </si>
  <si>
    <t xml:space="preserve">$4,100 $2,600 </t>
  </si>
  <si>
    <t xml:space="preserve">$3,600 $2,200 </t>
  </si>
  <si>
    <t xml:space="preserve">3. K. Schwarber K. Schwarber , DH (L) </t>
  </si>
  <si>
    <t xml:space="preserve">4. N. Castellanos N. Castellanos , RF (R) </t>
  </si>
  <si>
    <t>o8.5 (101)</t>
  </si>
  <si>
    <t xml:space="preserve">$3,600 $2,500 </t>
  </si>
  <si>
    <t xml:space="preserve">7. L. Thomas L. Thomas , RF (R) </t>
  </si>
  <si>
    <t xml:space="preserve">8. C. Abrams C. Abrams , SS (L) </t>
  </si>
  <si>
    <t xml:space="preserve">9. V. Robles V. Robles , CF (R) </t>
  </si>
  <si>
    <t xml:space="preserve">$4,300 $2,800 </t>
  </si>
  <si>
    <t>LAA 4.5 Runs</t>
  </si>
  <si>
    <t xml:space="preserve">$2,500 $2,300 </t>
  </si>
  <si>
    <t xml:space="preserve">$2,800 $2,200 </t>
  </si>
  <si>
    <t xml:space="preserve">$2,200 $2,100 </t>
  </si>
  <si>
    <t xml:space="preserve">$3,100 $2,900 </t>
  </si>
  <si>
    <t xml:space="preserve">1. A. Verdugo A. Verdugo , RF (L) </t>
  </si>
  <si>
    <t xml:space="preserve">$4,700 $3,200 </t>
  </si>
  <si>
    <t xml:space="preserve">$6,100 $3,800 </t>
  </si>
  <si>
    <t>Tigers Hitters</t>
  </si>
  <si>
    <t xml:space="preserve">$2,400 $2,500 </t>
  </si>
  <si>
    <t>Tigers Pitchers</t>
  </si>
  <si>
    <t>Tigers Lineup Data Lineup Data</t>
  </si>
  <si>
    <t>Blue Jays Hitters</t>
  </si>
  <si>
    <t xml:space="preserve">1. G. Springer G. Springer , RF (R) </t>
  </si>
  <si>
    <t xml:space="preserve">2. B. Bichette B. Bichette , SS (R) </t>
  </si>
  <si>
    <t xml:space="preserve">3. V. Guerrero Jr. V. Guerrero Jr. , 1B (R) </t>
  </si>
  <si>
    <t xml:space="preserve">$5,800 $3,900 </t>
  </si>
  <si>
    <t xml:space="preserve">$4,500 $3,300 </t>
  </si>
  <si>
    <t xml:space="preserve">8. D. Jansen D. Jansen , C (R) </t>
  </si>
  <si>
    <t xml:space="preserve">9. K. Kiermaier K. Kiermaier , CF (L) </t>
  </si>
  <si>
    <t>Blue Jays Pitchers</t>
  </si>
  <si>
    <t>Blue Jays Lineup Data Lineup Data</t>
  </si>
  <si>
    <t>DET 3.5 Runs</t>
  </si>
  <si>
    <t xml:space="preserve">$5,100 $2,900 </t>
  </si>
  <si>
    <t xml:space="preserve">5. K. Isbel K. Isbel , CF (L) </t>
  </si>
  <si>
    <t xml:space="preserve">$2,400 $2,300 </t>
  </si>
  <si>
    <t xml:space="preserve">$2,600 $2,300 </t>
  </si>
  <si>
    <t xml:space="preserve">2. J. Smith J. Smith , SS (L) </t>
  </si>
  <si>
    <t xml:space="preserve">5. J. Jung J. Jung , 3B (R) </t>
  </si>
  <si>
    <t>u8.5 (-120)</t>
  </si>
  <si>
    <t xml:space="preserve">1. M. Betts M. Betts , RF (R) </t>
  </si>
  <si>
    <t xml:space="preserve">4. J. Davis J. Davis , 3B (R) </t>
  </si>
  <si>
    <t xml:space="preserve">8. J. Bart J. Bart , C (R) </t>
  </si>
  <si>
    <t>Key Splits and Stats for Padres vs. Brewers</t>
  </si>
  <si>
    <t>Padres: David Dahl: 10-Day Injured List (quadricep), Joe Musgrove: 15-Day Injured List (toe), Adam Engel: 10-Day Injured List (hamstring), Robert Suarez: 15-Day Injured List (arm), Adrian Morejon: 60-Day Injured List (elbow), José Castillo: 15-Day Injured List (shoulder), Drew Pomeranz: 15-Day Injured List (elbow), Fernando Tatis Jr.: Suspended List (suspension), Eguy Rosario: 60-Day Injured List (ankle)</t>
  </si>
  <si>
    <t>Bue Jays</t>
  </si>
  <si>
    <t>RileyR GreeneGreene</t>
  </si>
  <si>
    <t>BobbyB Witt Jr.Witt</t>
  </si>
  <si>
    <t>WillyW AdamesAdames</t>
  </si>
  <si>
    <t>JustinJ TurnerTurner</t>
  </si>
  <si>
    <t>SEASON</t>
  </si>
  <si>
    <t>REC</t>
  </si>
  <si>
    <t>W%</t>
  </si>
  <si>
    <t>SH</t>
  </si>
  <si>
    <t>IBB</t>
  </si>
  <si>
    <t>HBP</t>
  </si>
  <si>
    <t>GIDP</t>
  </si>
  <si>
    <t>XBH</t>
  </si>
  <si>
    <t>Home-Record</t>
  </si>
  <si>
    <t>M</t>
  </si>
  <si>
    <t>E</t>
  </si>
  <si>
    <t>Y</t>
  </si>
  <si>
    <t>Wins</t>
  </si>
  <si>
    <t>Losses</t>
  </si>
  <si>
    <t>HOME</t>
  </si>
  <si>
    <t>AWAY</t>
  </si>
  <si>
    <t>Record</t>
  </si>
  <si>
    <t>Road-Record</t>
  </si>
  <si>
    <t>Pitchers</t>
  </si>
  <si>
    <t>Dodgers +850 WILLIAM_HILL</t>
  </si>
  <si>
    <t>Rays +1100 WILLIAM_HILL</t>
  </si>
  <si>
    <t>Mariners +2800 FANDUEL</t>
  </si>
  <si>
    <t>Angels +4000 WILLIAM_HILL</t>
  </si>
  <si>
    <t>Cubs +15000 MGM</t>
  </si>
  <si>
    <t>PHI @ CIN</t>
  </si>
  <si>
    <t>ARI @ MIA</t>
  </si>
  <si>
    <t>SF @ DET</t>
  </si>
  <si>
    <t>MIN @ NYY</t>
  </si>
  <si>
    <t>CLE @ WSH</t>
  </si>
  <si>
    <t>TB @ TOR</t>
  </si>
  <si>
    <t>LAA @ BOS</t>
  </si>
  <si>
    <t>BAL @ CHW</t>
  </si>
  <si>
    <t>TEX @ HOU</t>
  </si>
  <si>
    <t>ATL @ KC</t>
  </si>
  <si>
    <t>PIT @ STL</t>
  </si>
  <si>
    <t>NYM @ OAK</t>
  </si>
  <si>
    <t>MIL @ SD</t>
  </si>
  <si>
    <t>COL @ SEA</t>
  </si>
  <si>
    <t>CHC @ LAD</t>
  </si>
  <si>
    <t xml:space="preserve">5. B. Marsh B. Marsh , CF (L) </t>
  </si>
  <si>
    <t xml:space="preserve">7.57 pts 9.82 pts pts </t>
  </si>
  <si>
    <t xml:space="preserve">6.77 pts 8.91 pts pts </t>
  </si>
  <si>
    <t>CIN 4.5 Runs</t>
  </si>
  <si>
    <t xml:space="preserve">1. K. Marte K. Marte , 2B (S) </t>
  </si>
  <si>
    <t xml:space="preserve">3. L. Gurriel Jr. L. Gurriel Jr. , LF (R) </t>
  </si>
  <si>
    <t xml:space="preserve">7. N. Ahmed N. Ahmed , SS (R) </t>
  </si>
  <si>
    <t xml:space="preserve">8. G. Moreno G. Moreno , C (R) </t>
  </si>
  <si>
    <t xml:space="preserve">7. J. Segura J. Segura , 3B (R) </t>
  </si>
  <si>
    <t xml:space="preserve">9. G. Hampson G. Hampson , 2B (R) </t>
  </si>
  <si>
    <t>ARI 3.5 Runs</t>
  </si>
  <si>
    <t>MIA 4.5 Runs</t>
  </si>
  <si>
    <t>Detroit Tigers Tigers 7</t>
  </si>
  <si>
    <t xml:space="preserve">3. M. Yastrzemski M. Yastrzemski , CF (L) </t>
  </si>
  <si>
    <t xml:space="preserve">7. B. Crawford B. Crawford , SS (L) </t>
  </si>
  <si>
    <t>SF -1.5 (+105)</t>
  </si>
  <si>
    <t>SF 4.5 Runs</t>
  </si>
  <si>
    <t xml:space="preserve">2. C. Correa C. Correa , SS (R) </t>
  </si>
  <si>
    <t xml:space="preserve">2. A. Judge A. Judge , CF (R) </t>
  </si>
  <si>
    <t xml:space="preserve">$6,400 $4,500 </t>
  </si>
  <si>
    <t xml:space="preserve">4. G. Stanton G. Stanton , DH (R) </t>
  </si>
  <si>
    <t xml:space="preserve">$4,900 $3,400 </t>
  </si>
  <si>
    <t xml:space="preserve">5. G. Torres G. Torres , 2B (R) </t>
  </si>
  <si>
    <t xml:space="preserve">6. F. Cordero F. Cordero , RF (L) </t>
  </si>
  <si>
    <t xml:space="preserve">7. O. Cabrera O. Cabrera , LF (S) </t>
  </si>
  <si>
    <t>MIN 3.5 Runs</t>
  </si>
  <si>
    <t xml:space="preserve">$4,300 $3,200 </t>
  </si>
  <si>
    <t xml:space="preserve">$4,400 $2,500 </t>
  </si>
  <si>
    <t xml:space="preserve">$3,700 $2,600 </t>
  </si>
  <si>
    <t xml:space="preserve">$3,600 $3,100 </t>
  </si>
  <si>
    <t xml:space="preserve">2. D. Smith D. Smith , 1B (L) </t>
  </si>
  <si>
    <t xml:space="preserve">3. J. Meneses J. Meneses , DH (R) </t>
  </si>
  <si>
    <t xml:space="preserve">4. J. Candelario J. Candelario , 3B (S) </t>
  </si>
  <si>
    <t xml:space="preserve">5. L. García L. García , 2B (L) </t>
  </si>
  <si>
    <t xml:space="preserve">6. K. Ruiz K. Ruiz , C (S) </t>
  </si>
  <si>
    <t>CLE 5.5 Runs</t>
  </si>
  <si>
    <t xml:space="preserve">1. Y. Díaz Y. Díaz , 1B (R) </t>
  </si>
  <si>
    <t xml:space="preserve">$3,600 $2,900 </t>
  </si>
  <si>
    <t xml:space="preserve">7. M. Margot M. Margot , CF (R) </t>
  </si>
  <si>
    <t xml:space="preserve">$5,300 $3,700 </t>
  </si>
  <si>
    <t xml:space="preserve">4. D. Varsho D. Varsho , LF (L) </t>
  </si>
  <si>
    <t xml:space="preserve">5. M. Chapman M. Chapman , 3B (R) </t>
  </si>
  <si>
    <t xml:space="preserve">$3,000 $2,900 </t>
  </si>
  <si>
    <t xml:space="preserve">6.55 pts 8.52 pts pts </t>
  </si>
  <si>
    <t>o9 (-110)</t>
  </si>
  <si>
    <t>u9 (-110)</t>
  </si>
  <si>
    <t xml:space="preserve">2. M. Trout M. Trout , CF (R) </t>
  </si>
  <si>
    <t xml:space="preserve">3. S. Ohtani S. Ohtani , DH (L) </t>
  </si>
  <si>
    <t xml:space="preserve">4. A. Rendon A. Rendon , 3B (R) </t>
  </si>
  <si>
    <t xml:space="preserve">5. H. Renfroe H. Renfroe , RF (R) </t>
  </si>
  <si>
    <t xml:space="preserve">7.56 pts 10.1 pts pts </t>
  </si>
  <si>
    <t xml:space="preserve">7. B. Drury B. Drury , 2B (R) </t>
  </si>
  <si>
    <t xml:space="preserve">$3,500 $2,500 </t>
  </si>
  <si>
    <t xml:space="preserve">$4,100 $3,200 </t>
  </si>
  <si>
    <t xml:space="preserve">2. J. Turner J. Turner , DH (R) </t>
  </si>
  <si>
    <t xml:space="preserve">$3,800 $2,800 </t>
  </si>
  <si>
    <t xml:space="preserve">3. R. Refsnyder R. Refsnyder , LF (R) </t>
  </si>
  <si>
    <t xml:space="preserve">4. R. Devers R. Devers , 3B (L) </t>
  </si>
  <si>
    <t xml:space="preserve">$6,300 $4,200 </t>
  </si>
  <si>
    <t xml:space="preserve">5. E. Hernández E. Hernández , CF (R) </t>
  </si>
  <si>
    <t xml:space="preserve">6. C. Arroyo C. Arroyo , 2B (R) </t>
  </si>
  <si>
    <t xml:space="preserve">7. T. Casas T. Casas , 1B (L) </t>
  </si>
  <si>
    <t xml:space="preserve">8. C. Wong C. Wong , C (R) </t>
  </si>
  <si>
    <t xml:space="preserve">$2,400 $2,100 </t>
  </si>
  <si>
    <t xml:space="preserve">9. Y. Chang Y. Chang , SS (R) </t>
  </si>
  <si>
    <t>BOS +1.5 (-160)</t>
  </si>
  <si>
    <t>BOS 4.5 Runs</t>
  </si>
  <si>
    <t>Baltimore Orioles Orioles 6</t>
  </si>
  <si>
    <t xml:space="preserve">1. C. Mullins C. Mullins , CF (L) </t>
  </si>
  <si>
    <t xml:space="preserve">$5,500 $3,400 </t>
  </si>
  <si>
    <t xml:space="preserve">$5,200 $3,800 </t>
  </si>
  <si>
    <t xml:space="preserve">$4,700 $3,600 </t>
  </si>
  <si>
    <t xml:space="preserve">$3,900 $2,800 </t>
  </si>
  <si>
    <t xml:space="preserve">$3,400 $2,800 </t>
  </si>
  <si>
    <t xml:space="preserve">4. E. Jiménez E. Jiménez , DH (R) </t>
  </si>
  <si>
    <t xml:space="preserve">$2,800 $2,400 </t>
  </si>
  <si>
    <t>BAL 4.5 Runs</t>
  </si>
  <si>
    <t>CHW 4.5 Runs</t>
  </si>
  <si>
    <t xml:space="preserve">6. J. Heim J. Heim , C (S) </t>
  </si>
  <si>
    <t xml:space="preserve">$3,100 $3,000 </t>
  </si>
  <si>
    <t xml:space="preserve">8. T. Jankowski T. Jankowski , LF (L) </t>
  </si>
  <si>
    <t xml:space="preserve">$2,500 $2,800 </t>
  </si>
  <si>
    <t xml:space="preserve">9. L. Taveras L. Taveras , CF (S) </t>
  </si>
  <si>
    <t xml:space="preserve">5. K. Tucker K. Tucker , RF (L) </t>
  </si>
  <si>
    <t xml:space="preserve">$5,600 $4,000 </t>
  </si>
  <si>
    <t xml:space="preserve">$4,600 $3,100 </t>
  </si>
  <si>
    <t>TEX 3.5 Runs</t>
  </si>
  <si>
    <t>HOU 4.5 Runs</t>
  </si>
  <si>
    <t>Kansas City Royals Royals 3</t>
  </si>
  <si>
    <t xml:space="preserve">$5,300 $4,300 </t>
  </si>
  <si>
    <t xml:space="preserve">$3,100 0 </t>
  </si>
  <si>
    <t xml:space="preserve">8. K. Pillar K. Pillar , LF (R) </t>
  </si>
  <si>
    <t xml:space="preserve">6.44 pts 8.48 pts pts </t>
  </si>
  <si>
    <t xml:space="preserve">$3,400 $2,700 </t>
  </si>
  <si>
    <t xml:space="preserve">$4,700 $2,700 </t>
  </si>
  <si>
    <t>St. Louis Cardinals Cardinals 3</t>
  </si>
  <si>
    <t xml:space="preserve">6 - 8, 4th NL Central </t>
  </si>
  <si>
    <t xml:space="preserve">$5,900 $4,000 </t>
  </si>
  <si>
    <t xml:space="preserve">$4,000 $3,000 </t>
  </si>
  <si>
    <t xml:space="preserve">4. N. Arenado N. Arenado , 3B (R) </t>
  </si>
  <si>
    <t xml:space="preserve">$4,100 $3,400 </t>
  </si>
  <si>
    <t>STL 4.5 Runs</t>
  </si>
  <si>
    <t xml:space="preserve">$5,400 $3,800 </t>
  </si>
  <si>
    <t xml:space="preserve">1. T. Kemp T. Kemp , 2B (L) </t>
  </si>
  <si>
    <t xml:space="preserve">3. B. Rooker B. Rooker , DH (R) </t>
  </si>
  <si>
    <t xml:space="preserve">4. R. Laureano R. Laureano , RF (R) </t>
  </si>
  <si>
    <t xml:space="preserve">7. C. Capel C. Capel , LF (L) </t>
  </si>
  <si>
    <t xml:space="preserve">$3,100 $2,300 </t>
  </si>
  <si>
    <t xml:space="preserve">9. E. Ruiz E. Ruiz , CF (R) </t>
  </si>
  <si>
    <t xml:space="preserve">$2,900 $2,200 </t>
  </si>
  <si>
    <t xml:space="preserve">7.77 pts 10.28 pts pts </t>
  </si>
  <si>
    <t xml:space="preserve">$3,800 $2,600 </t>
  </si>
  <si>
    <t xml:space="preserve">$3,000 $2,700 </t>
  </si>
  <si>
    <t xml:space="preserve">$3,000 $3,100 </t>
  </si>
  <si>
    <t xml:space="preserve">$2,200 $2,300 </t>
  </si>
  <si>
    <t xml:space="preserve">$4,900 $3,000 </t>
  </si>
  <si>
    <t xml:space="preserve">$3,900 $2,700 </t>
  </si>
  <si>
    <t xml:space="preserve">9. J. Azocar J. Azocar , RF (R) </t>
  </si>
  <si>
    <t>MIL 3.5 Runs</t>
  </si>
  <si>
    <t xml:space="preserve">2. K. Bryant K. Bryant , RF (R) </t>
  </si>
  <si>
    <t xml:space="preserve">3. C. Blackmon C. Blackmon , DH (L) </t>
  </si>
  <si>
    <t xml:space="preserve">$5,100 $4,000 </t>
  </si>
  <si>
    <t xml:space="preserve">9. E. Tovar E. Tovar , SS (R) </t>
  </si>
  <si>
    <t xml:space="preserve">$2,700 $2,600 </t>
  </si>
  <si>
    <t xml:space="preserve">$4,300 $2,900 </t>
  </si>
  <si>
    <t>COL 3.5 Runs</t>
  </si>
  <si>
    <t>SEA 4.5 Runs</t>
  </si>
  <si>
    <t>Los Angeles Dodgers Dodgers 2</t>
  </si>
  <si>
    <t xml:space="preserve">1. N. Hoerner N. Hoerner , 2B (R) </t>
  </si>
  <si>
    <t xml:space="preserve">$4,200 $3,200 </t>
  </si>
  <si>
    <t xml:space="preserve">2. D. Swanson D. Swanson , SS (R) </t>
  </si>
  <si>
    <t xml:space="preserve">$5,400 $3,400 </t>
  </si>
  <si>
    <t xml:space="preserve">4. S. Suzuki S. Suzuki , RF (R) </t>
  </si>
  <si>
    <t xml:space="preserve">5. C. Bellinger C. Bellinger , CF (L) </t>
  </si>
  <si>
    <t xml:space="preserve">$3,200 $2,900 </t>
  </si>
  <si>
    <t xml:space="preserve">$2,800 $2,300 </t>
  </si>
  <si>
    <t xml:space="preserve">$4,800 $3,200 </t>
  </si>
  <si>
    <t xml:space="preserve">6. M. Vargas M. Vargas , 2B (R) </t>
  </si>
  <si>
    <t xml:space="preserve">9. A. Barnes A. Barnes , C (R) </t>
  </si>
  <si>
    <t>o8.5 (-114)</t>
  </si>
  <si>
    <t>u8.5 (-107)</t>
  </si>
  <si>
    <t>CHC 3.5 Runs</t>
  </si>
  <si>
    <t>Key Splits and Stats for Dodgers vs. Cubs</t>
  </si>
  <si>
    <t>Vaughn Grissom</t>
  </si>
  <si>
    <t>Yonny Chirinos</t>
  </si>
  <si>
    <t>Louie Varland</t>
  </si>
  <si>
    <t>Yennier Cano</t>
  </si>
  <si>
    <t>Josh Staumont</t>
  </si>
  <si>
    <t>Robert Stephenson</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</si>
  <si>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</si>
  <si>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</si>
  <si>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</si>
  <si>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</si>
  <si>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</si>
  <si>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</si>
  <si>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</si>
  <si>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</si>
  <si>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</si>
  <si>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</si>
  <si>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</si>
  <si>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</si>
  <si>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</si>
  <si>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</si>
  <si>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</si>
  <si>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</si>
  <si>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</si>
  <si>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</si>
  <si>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</si>
  <si>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</si>
  <si>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</si>
  <si>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</si>
  <si>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</si>
  <si>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</si>
  <si>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</si>
  <si>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</si>
  <si>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</si>
  <si>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</si>
  <si>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</si>
  <si>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</si>
  <si>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</si>
  <si>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EugenioE SuárezSuarez</t>
  </si>
  <si>
    <t>BA</t>
  </si>
  <si>
    <t>OBA</t>
  </si>
  <si>
    <t>Slug%</t>
  </si>
  <si>
    <t>Last Game Date</t>
  </si>
  <si>
    <t>Final Score</t>
  </si>
  <si>
    <t>TOTAL</t>
  </si>
  <si>
    <t xml:space="preserve">ERA </t>
  </si>
  <si>
    <t>K (SO)</t>
  </si>
  <si>
    <t xml:space="preserve">GS </t>
  </si>
  <si>
    <t>1WAR:10RUN</t>
  </si>
  <si>
    <t>R. Nelson</t>
  </si>
  <si>
    <t>(1-0)</t>
  </si>
  <si>
    <t>Z. Gallen</t>
  </si>
  <si>
    <t>(1-1)</t>
  </si>
  <si>
    <t>SP 19</t>
  </si>
  <si>
    <t>M. Kelly</t>
  </si>
  <si>
    <t>(0-2)</t>
  </si>
  <si>
    <t>(2-0)</t>
  </si>
  <si>
    <t>B. Elder</t>
  </si>
  <si>
    <t>(0-0)</t>
  </si>
  <si>
    <t>S. Strider</t>
  </si>
  <si>
    <t>SP 9</t>
  </si>
  <si>
    <t>C. Morton</t>
  </si>
  <si>
    <t>(2-1)</t>
  </si>
  <si>
    <t>K. Gibson</t>
  </si>
  <si>
    <t>(3-0)</t>
  </si>
  <si>
    <t>G. Rodriguez</t>
  </si>
  <si>
    <t>SP 65</t>
  </si>
  <si>
    <t>D. Kremer</t>
  </si>
  <si>
    <t>T. Wells</t>
  </si>
  <si>
    <t>(0-1)</t>
  </si>
  <si>
    <t>(0-3)</t>
  </si>
  <si>
    <t>D. Smyly</t>
  </si>
  <si>
    <t>M. Stroman</t>
  </si>
  <si>
    <t>J. Steele</t>
  </si>
  <si>
    <t>M. Kopech</t>
  </si>
  <si>
    <t>D. Cease</t>
  </si>
  <si>
    <t>L. Lynn</t>
  </si>
  <si>
    <t>SP 53</t>
  </si>
  <si>
    <t>H. Greene</t>
  </si>
  <si>
    <t>SP 51</t>
  </si>
  <si>
    <t>L. Weaver</t>
  </si>
  <si>
    <t>S. Bieber</t>
  </si>
  <si>
    <t>C. Quantrill</t>
  </si>
  <si>
    <t>K. Freeland</t>
  </si>
  <si>
    <t>M. Boyd</t>
  </si>
  <si>
    <t>E. Rodriguez</t>
  </si>
  <si>
    <t>SP 86</t>
  </si>
  <si>
    <t>(1-2)</t>
  </si>
  <si>
    <t>H. Brown</t>
  </si>
  <si>
    <t>F. Valdez</t>
  </si>
  <si>
    <t>C. Javier</t>
  </si>
  <si>
    <t>SP 55</t>
  </si>
  <si>
    <t>SP 37</t>
  </si>
  <si>
    <t>Z. Greinke</t>
  </si>
  <si>
    <t>J. Lyles</t>
  </si>
  <si>
    <t>B. Singer</t>
  </si>
  <si>
    <t>Los Angeles</t>
  </si>
  <si>
    <t>T. Anderson</t>
  </si>
  <si>
    <t>R. Detmers</t>
  </si>
  <si>
    <t>S. Ohtani</t>
  </si>
  <si>
    <t>SP 4</t>
  </si>
  <si>
    <t>P. Sandoval</t>
  </si>
  <si>
    <t>SP 41</t>
  </si>
  <si>
    <t>C. Kershaw</t>
  </si>
  <si>
    <t>B. Garrett</t>
  </si>
  <si>
    <t>S. Alcantara</t>
  </si>
  <si>
    <t>SP 6</t>
  </si>
  <si>
    <t>J. Luzardo</t>
  </si>
  <si>
    <t>E. Cabrera</t>
  </si>
  <si>
    <t>F. Peralta</t>
  </si>
  <si>
    <t>C. Burnes</t>
  </si>
  <si>
    <t>C. Rea</t>
  </si>
  <si>
    <t>E. Lauer</t>
  </si>
  <si>
    <t>P. Lopez</t>
  </si>
  <si>
    <t>S. Gray</t>
  </si>
  <si>
    <t>J. Ryan</t>
  </si>
  <si>
    <t>New York</t>
  </si>
  <si>
    <t>T. Megill</t>
  </si>
  <si>
    <t>@SF</t>
  </si>
  <si>
    <t>D. German</t>
  </si>
  <si>
    <t>G. Cole</t>
  </si>
  <si>
    <t>SP 1</t>
  </si>
  <si>
    <t>C. Schmidt</t>
  </si>
  <si>
    <t>J. Sears</t>
  </si>
  <si>
    <t>K. Muller</t>
  </si>
  <si>
    <t>K. Waldichuk</t>
  </si>
  <si>
    <t>A. Nola</t>
  </si>
  <si>
    <t>Z. Wheeler</t>
  </si>
  <si>
    <t>SP 17</t>
  </si>
  <si>
    <t>T. Walker</t>
  </si>
  <si>
    <t>R. Contreras</t>
  </si>
  <si>
    <t>M. Keller</t>
  </si>
  <si>
    <t>R. Hill</t>
  </si>
  <si>
    <t>J. Oviedo</t>
  </si>
  <si>
    <t>Y. Darvish</t>
  </si>
  <si>
    <t>SP 31</t>
  </si>
  <si>
    <t>B. Snell</t>
  </si>
  <si>
    <t>M. Wacha</t>
  </si>
  <si>
    <t>San Francisco</t>
  </si>
  <si>
    <t>L. Webb</t>
  </si>
  <si>
    <t>A. Cobb</t>
  </si>
  <si>
    <t>SP 84</t>
  </si>
  <si>
    <t>G. Kirby</t>
  </si>
  <si>
    <t>SP 33</t>
  </si>
  <si>
    <t>L. Castillo</t>
  </si>
  <si>
    <t>SP 5</t>
  </si>
  <si>
    <t>L. Gilbert</t>
  </si>
  <si>
    <t>SP 29</t>
  </si>
  <si>
    <t>M. Gonzales</t>
  </si>
  <si>
    <t>M. Mikolas</t>
  </si>
  <si>
    <t>J. Flaherty</t>
  </si>
  <si>
    <t>J. Montgomery</t>
  </si>
  <si>
    <t>S. McClanahan</t>
  </si>
  <si>
    <t>SP 8</t>
  </si>
  <si>
    <t>J. Gray</t>
  </si>
  <si>
    <t>SP 52</t>
  </si>
  <si>
    <t>A. Heaney</t>
  </si>
  <si>
    <t>SP 2</t>
  </si>
  <si>
    <t>N. Eovaldi</t>
  </si>
  <si>
    <t>M. Perez</t>
  </si>
  <si>
    <t>SP 58</t>
  </si>
  <si>
    <t>Y. Kikuchi</t>
  </si>
  <si>
    <t>A. Manoah</t>
  </si>
  <si>
    <t>K. Gausman</t>
  </si>
  <si>
    <t>C. Bassitt</t>
  </si>
  <si>
    <t>J. Berrios</t>
  </si>
  <si>
    <t>SP 56</t>
  </si>
  <si>
    <t>P. Corbin</t>
  </si>
  <si>
    <t>M. Gore</t>
  </si>
  <si>
    <t>T. Williams</t>
  </si>
  <si>
    <t>Pitcher ERA</t>
  </si>
  <si>
    <t>SP 82</t>
  </si>
  <si>
    <t>T. Houck</t>
  </si>
  <si>
    <t>SP 128</t>
  </si>
  <si>
    <t>SP 15</t>
  </si>
  <si>
    <t>SP 28</t>
  </si>
  <si>
    <t>(blank)</t>
  </si>
  <si>
    <t xml:space="preserve">Walks </t>
  </si>
  <si>
    <t xml:space="preserve">IP </t>
  </si>
  <si>
    <t>Tyler Holton</t>
  </si>
  <si>
    <t>Casey Legumina</t>
  </si>
  <si>
    <t>Seiya Suzuki</t>
  </si>
  <si>
    <t>Tyler Wade</t>
  </si>
  <si>
    <t>Josh Sborz</t>
  </si>
  <si>
    <t>Jose Caballero</t>
  </si>
  <si>
    <t>Tommy Milone</t>
  </si>
  <si>
    <t>Tanner Banks</t>
  </si>
  <si>
    <t>Tucupita Marcano</t>
  </si>
  <si>
    <t>Trevor Kelley</t>
  </si>
  <si>
    <t>Zach Neto</t>
  </si>
  <si>
    <t>Michael Lorenzen</t>
  </si>
  <si>
    <t>Hogan Harris</t>
  </si>
  <si>
    <t xml:space="preserve">4. MLB Starting Lineups | April 16, 2023 </t>
  </si>
  <si>
    <t>MLB Starting Lineups | April 16, 2023 MLB Lineups</t>
  </si>
  <si>
    <t>Xander Bogaerts and Willy Adames should be in the starting lineup on Sunday when the San Diego Padres (8-8) host the Milwaukee Brewers (10-5), the No. 1 matchup of the day in the major leagues, at PETCO Park. The Padres will hand the ball to Yu Darvish (0-1) versus the Brewers and their starter Wade Miley. Another contest to see on Sunday is at Dodger Stadium between the Los Angeles Dodgers (8-7) and the Chicago Cubs (7-6), as Will Smith (.333/.417/.641, three doubles, three home runs and 12 RBI) and Ian Happ (.319/.448/.574, six doubles, two home runs and nine RBI) have been strong for their respective team lineups this year. The Dodgers will start Julio Urias (2-0) and the Cubs will turn to Drew Smyly. MLB action on Sunday includes 15 contests. The day's first game starts at 1:10 PM ET.</t>
  </si>
  <si>
    <t>Yankees +900 FANDUEL</t>
  </si>
  <si>
    <t>Padres +1000 MGM</t>
  </si>
  <si>
    <t>Cardinals +2100 FANDUEL</t>
  </si>
  <si>
    <t>Guardians +3200 FANDUEL</t>
  </si>
  <si>
    <t>Rangers +4500 FANDUEL</t>
  </si>
  <si>
    <t>Red Sox +8500 FANDUEL</t>
  </si>
  <si>
    <t>White Sox +10000 FANDUEL</t>
  </si>
  <si>
    <t>Orioles +13000 DRAFTKINGS</t>
  </si>
  <si>
    <t>Diamondbacks +13000 DRAFTKINGS</t>
  </si>
  <si>
    <t>Athletics +100000 MGM</t>
  </si>
  <si>
    <t>Rockies +100000 FANDUEL</t>
  </si>
  <si>
    <t>Nationals +100000 FANDUEL</t>
  </si>
  <si>
    <t>Minnesota Twins Twins 1</t>
  </si>
  <si>
    <t>New York Yankees Yankees 6</t>
  </si>
  <si>
    <t xml:space="preserve">10 - 5, 1st AL Central </t>
  </si>
  <si>
    <t xml:space="preserve">9 - 6, 3rd AL East </t>
  </si>
  <si>
    <t xml:space="preserve">1. E. Julien E. Julien , 2B (L) </t>
  </si>
  <si>
    <t xml:space="preserve">$2,800 $2,500 </t>
  </si>
  <si>
    <t xml:space="preserve">8.09 pts 10.58 pts pts </t>
  </si>
  <si>
    <t xml:space="preserve">$5,100 $2,800 </t>
  </si>
  <si>
    <t xml:space="preserve">8.03 pts 10.48 pts pts </t>
  </si>
  <si>
    <t xml:space="preserve">3. B. Buxton B. Buxton , DH (R) </t>
  </si>
  <si>
    <t xml:space="preserve">$5,500 $3,600 </t>
  </si>
  <si>
    <t xml:space="preserve">8.63 pts 11.51 pts pts </t>
  </si>
  <si>
    <t xml:space="preserve">4. T. Larnach T. Larnach , LF (L) </t>
  </si>
  <si>
    <t xml:space="preserve">$4,000 $2,900 </t>
  </si>
  <si>
    <t xml:space="preserve">7.26 pts 9.61 pts pts </t>
  </si>
  <si>
    <t xml:space="preserve">5. J. Miranda J. Miranda , 3B (R) </t>
  </si>
  <si>
    <t xml:space="preserve">$3,300 $2,600 </t>
  </si>
  <si>
    <t xml:space="preserve">6.84 pts 8.9 pts pts </t>
  </si>
  <si>
    <t xml:space="preserve">6. D. Solano D. Solano , 1B (R) </t>
  </si>
  <si>
    <t xml:space="preserve">6.65 pts 8.48 pts pts </t>
  </si>
  <si>
    <t xml:space="preserve">7. M. Kepler M. Kepler , RF (L) </t>
  </si>
  <si>
    <t xml:space="preserve">$4,000 $2,300 </t>
  </si>
  <si>
    <t xml:space="preserve">6.37 pts 8.47 pts pts </t>
  </si>
  <si>
    <t xml:space="preserve">8. C. Vázquez C. Vázquez , C (R) </t>
  </si>
  <si>
    <t xml:space="preserve">$3,100 $2,400 </t>
  </si>
  <si>
    <t xml:space="preserve">6.39 pts 8.25 pts pts </t>
  </si>
  <si>
    <t xml:space="preserve">6.25 pts 8.02 pts pts </t>
  </si>
  <si>
    <t xml:space="preserve">T. Mahle T. Mahle (R), 1-2 </t>
  </si>
  <si>
    <t xml:space="preserve">$10,100 $9,500 </t>
  </si>
  <si>
    <t xml:space="preserve">16.23 pts 30.95 pts pts </t>
  </si>
  <si>
    <t xml:space="preserve">1. D. LeMahieu D. LeMahieu , 3B (R) </t>
  </si>
  <si>
    <t xml:space="preserve">$4,500 $3,000 </t>
  </si>
  <si>
    <t xml:space="preserve">7.8 pts 10.14 pts pts </t>
  </si>
  <si>
    <t xml:space="preserve">10.34 pts 13.83 pts pts </t>
  </si>
  <si>
    <t xml:space="preserve">$4,800 $3,500 </t>
  </si>
  <si>
    <t xml:space="preserve">7.82 pts 10.42 pts pts </t>
  </si>
  <si>
    <t xml:space="preserve">$5,200 $3,400 </t>
  </si>
  <si>
    <t xml:space="preserve">7.86 pts 10.45 pts pts </t>
  </si>
  <si>
    <t xml:space="preserve">$5,300 $3,900 </t>
  </si>
  <si>
    <t xml:space="preserve">7.54 pts 9.87 pts pts </t>
  </si>
  <si>
    <t xml:space="preserve">7.04 pts 9.28 pts pts </t>
  </si>
  <si>
    <t xml:space="preserve">$2,600 $2,400 </t>
  </si>
  <si>
    <t xml:space="preserve">6.87 pts 8.9 pts pts </t>
  </si>
  <si>
    <t xml:space="preserve">8. K. Higashioka K. Higashioka , C (R) </t>
  </si>
  <si>
    <t xml:space="preserve">$2,700 $2,200 </t>
  </si>
  <si>
    <t xml:space="preserve">6.87 pts 9.1 pts pts </t>
  </si>
  <si>
    <t xml:space="preserve">9. A. Volpe A. Volpe , SS (R) </t>
  </si>
  <si>
    <t xml:space="preserve">$2,800 $2,600 </t>
  </si>
  <si>
    <t xml:space="preserve">6.11 pts 7.97 pts pts </t>
  </si>
  <si>
    <t xml:space="preserve">D. Germán D. Germán (R), 1-1 </t>
  </si>
  <si>
    <t xml:space="preserve">$7,500 $7,800 </t>
  </si>
  <si>
    <t xml:space="preserve">18.34 pts 32.53 pts pts </t>
  </si>
  <si>
    <t>MIN +121</t>
  </si>
  <si>
    <t>NYY -145</t>
  </si>
  <si>
    <t>MIN +1.5 (-175)</t>
  </si>
  <si>
    <t>NYY -1.5 (+146)</t>
  </si>
  <si>
    <t>o8 (100)</t>
  </si>
  <si>
    <t>u8 (-120)</t>
  </si>
  <si>
    <t>San Francisco Giants Giants 6</t>
  </si>
  <si>
    <t xml:space="preserve">5 - 9, 4th NL West </t>
  </si>
  <si>
    <t xml:space="preserve">5 - 9, 4th AL Central </t>
  </si>
  <si>
    <t xml:space="preserve">1. L. Wade Jr. L. Wade Jr. , RF (L) </t>
  </si>
  <si>
    <t xml:space="preserve">7.7 pts 10.24 pts pts </t>
  </si>
  <si>
    <t xml:space="preserve">2. T. Estrada T. Estrada , 2B (R) </t>
  </si>
  <si>
    <t xml:space="preserve">$4,300 $3,100 </t>
  </si>
  <si>
    <t xml:space="preserve">8.74 pts 11.32 pts pts </t>
  </si>
  <si>
    <t xml:space="preserve">7.44 pts 9.99 pts pts </t>
  </si>
  <si>
    <t xml:space="preserve">$3,100 $2,700 </t>
  </si>
  <si>
    <t xml:space="preserve">7.26 pts 9.48 pts pts </t>
  </si>
  <si>
    <t xml:space="preserve">5. M. Beaty M. Beaty , DH (L) </t>
  </si>
  <si>
    <t xml:space="preserve">$2,600 $2,000 </t>
  </si>
  <si>
    <t xml:space="preserve">7.14 pts 9.36 pts pts </t>
  </si>
  <si>
    <t xml:space="preserve">6. W. Flores W. Flores , 1B (R) </t>
  </si>
  <si>
    <t xml:space="preserve">$3,500 $2,800 </t>
  </si>
  <si>
    <t xml:space="preserve">6.76 pts 8.94 pts pts </t>
  </si>
  <si>
    <t xml:space="preserve">$2,200 $2,200 </t>
  </si>
  <si>
    <t xml:space="preserve">6.51 pts 8.47 pts pts </t>
  </si>
  <si>
    <t xml:space="preserve">9. B. Sabol B. Sabol , LF (L) </t>
  </si>
  <si>
    <t xml:space="preserve">$2,300 $2,400 </t>
  </si>
  <si>
    <t xml:space="preserve">6.62 pts 8.6 pts pts </t>
  </si>
  <si>
    <t xml:space="preserve">A. DeSclafani A. DeSclafani (R), 1-0 </t>
  </si>
  <si>
    <t xml:space="preserve">$8,900 $9,900 </t>
  </si>
  <si>
    <t xml:space="preserve">20.8 pts 35.75 pts pts </t>
  </si>
  <si>
    <t xml:space="preserve">1. N. Maton N. Maton , 2B (L) </t>
  </si>
  <si>
    <t xml:space="preserve">8.36 pts 11.16 pts pts </t>
  </si>
  <si>
    <t xml:space="preserve">2. R. Greene R. Greene , CF (L) </t>
  </si>
  <si>
    <t xml:space="preserve">7.63 pts 9.94 pts pts </t>
  </si>
  <si>
    <t xml:space="preserve">3. J. Báez J. Báez , SS (R) </t>
  </si>
  <si>
    <t xml:space="preserve">7.19 pts 9.4 pts pts </t>
  </si>
  <si>
    <t xml:space="preserve">4. K. Carpenter K. Carpenter , DH (L) </t>
  </si>
  <si>
    <t xml:space="preserve">$3,000 $2,400 </t>
  </si>
  <si>
    <t xml:space="preserve">7.45 pts 9.62 pts pts </t>
  </si>
  <si>
    <t xml:space="preserve">5. S. Torkelson S. Torkelson , 1B (R) </t>
  </si>
  <si>
    <t xml:space="preserve">$2,500 $2,500 </t>
  </si>
  <si>
    <t xml:space="preserve">6.41 pts 8.34 pts pts </t>
  </si>
  <si>
    <t xml:space="preserve">6. A. Baddoo A. Baddoo , LF (L) </t>
  </si>
  <si>
    <t xml:space="preserve">7. Z. McKinstry Z. McKinstry , 3B (L) </t>
  </si>
  <si>
    <t xml:space="preserve">6.21 pts 8.15 pts pts </t>
  </si>
  <si>
    <t xml:space="preserve">8. E. Haase E. Haase , C (R) </t>
  </si>
  <si>
    <t xml:space="preserve">$3,400 $2,300 </t>
  </si>
  <si>
    <t xml:space="preserve">6.67 pts 8.78 pts pts </t>
  </si>
  <si>
    <t xml:space="preserve">9. M. Vierling M. Vierling , RF (R) </t>
  </si>
  <si>
    <t xml:space="preserve">$2,900 $2,400 </t>
  </si>
  <si>
    <t xml:space="preserve">6.36 pts 8.21 pts pts </t>
  </si>
  <si>
    <t xml:space="preserve">M. Lorenzen M. Lorenzen (R), 0-0 </t>
  </si>
  <si>
    <t xml:space="preserve">$6,100 $7,400 </t>
  </si>
  <si>
    <t xml:space="preserve">15.99 pts 29.13 pts pts </t>
  </si>
  <si>
    <t>SF -150</t>
  </si>
  <si>
    <t>DET +123</t>
  </si>
  <si>
    <t>DET +1.5 (-133)</t>
  </si>
  <si>
    <t>Chicago White Sox White Sox 7</t>
  </si>
  <si>
    <t xml:space="preserve">8 - 7, 4th AL East </t>
  </si>
  <si>
    <t xml:space="preserve">6 - 9, 3rd AL Central </t>
  </si>
  <si>
    <t xml:space="preserve">$5,700 $3,400 </t>
  </si>
  <si>
    <t xml:space="preserve">8.76 pts 11.37 pts pts </t>
  </si>
  <si>
    <t xml:space="preserve">2. A. Rutschman A. Rutschman , DH (S) </t>
  </si>
  <si>
    <t xml:space="preserve">$5,800 $3,800 </t>
  </si>
  <si>
    <t xml:space="preserve">8.88 pts 11.7 pts pts </t>
  </si>
  <si>
    <t xml:space="preserve">$5,400 $3,600 </t>
  </si>
  <si>
    <t xml:space="preserve">8.29 pts 10.97 pts pts </t>
  </si>
  <si>
    <t xml:space="preserve">4. A. Santander A. Santander , RF (S) </t>
  </si>
  <si>
    <t xml:space="preserve">7.54 pts 9.97 pts pts </t>
  </si>
  <si>
    <t xml:space="preserve">5. A. Hays A. Hays , LF (R) </t>
  </si>
  <si>
    <t xml:space="preserve">7.52 pts 9.88 pts pts </t>
  </si>
  <si>
    <t xml:space="preserve">6. A. Frazier A. Frazier , 2B (L) </t>
  </si>
  <si>
    <t xml:space="preserve">$3,300 $2,800 </t>
  </si>
  <si>
    <t xml:space="preserve">6.71 pts 8.58 pts pts </t>
  </si>
  <si>
    <t xml:space="preserve">7. R. Urías R. Urías , 3B (R) </t>
  </si>
  <si>
    <t xml:space="preserve">6.9 pts 9.02 pts pts </t>
  </si>
  <si>
    <t xml:space="preserve">8. J. McCann J. McCann , C (R) </t>
  </si>
  <si>
    <t xml:space="preserve">6.05 pts 7.94 pts pts </t>
  </si>
  <si>
    <t xml:space="preserve">9. J. Mateo J. Mateo , SS (R) </t>
  </si>
  <si>
    <t xml:space="preserve">7.4 pts 9.58 pts pts </t>
  </si>
  <si>
    <t xml:space="preserve">K. Gibson K. Gibson (R), 3-0 </t>
  </si>
  <si>
    <t xml:space="preserve">$9,400 $8,700 </t>
  </si>
  <si>
    <t xml:space="preserve">15.09 pts 28.56 pts pts </t>
  </si>
  <si>
    <t xml:space="preserve">$4,000 $2,800 </t>
  </si>
  <si>
    <t xml:space="preserve">8.33 pts 10.84 pts pts </t>
  </si>
  <si>
    <t xml:space="preserve">8.57 pts 11.11 pts pts </t>
  </si>
  <si>
    <t xml:space="preserve">$3,900 $3,000 </t>
  </si>
  <si>
    <t xml:space="preserve">7.35 pts 9.61 pts pts </t>
  </si>
  <si>
    <t xml:space="preserve">8.41 pts 11.1 pts pts </t>
  </si>
  <si>
    <t xml:space="preserve">5. Y. Grandal Y. Grandal , C (S) </t>
  </si>
  <si>
    <t xml:space="preserve">6.31 pts 8.44 pts pts </t>
  </si>
  <si>
    <t xml:space="preserve">6. J. Burger J. Burger , 3B (R) </t>
  </si>
  <si>
    <t xml:space="preserve">$3,400 $2,600 </t>
  </si>
  <si>
    <t xml:space="preserve">7.52 pts 9.89 pts pts </t>
  </si>
  <si>
    <t xml:space="preserve">7. O. Colas O. Colas , RF (L) </t>
  </si>
  <si>
    <t xml:space="preserve">$2,500 $2,700 </t>
  </si>
  <si>
    <t xml:space="preserve">7.53 pts 9.75 pts pts </t>
  </si>
  <si>
    <t xml:space="preserve">8. L. Sosa L. Sosa , 2B (R) </t>
  </si>
  <si>
    <t xml:space="preserve">6.43 pts 8.37 pts pts </t>
  </si>
  <si>
    <t xml:space="preserve">6.53 pts 8.37 pts pts </t>
  </si>
  <si>
    <t xml:space="preserve">M. Kopech M. Kopech (R), 0-2 </t>
  </si>
  <si>
    <t xml:space="preserve">$7,300 $8,200 </t>
  </si>
  <si>
    <t xml:space="preserve">20.21 pts 34.49 pts pts </t>
  </si>
  <si>
    <t>BAL -112</t>
  </si>
  <si>
    <t>CHW -106</t>
  </si>
  <si>
    <t>BAL -1.5 (+145)</t>
  </si>
  <si>
    <t>CHW +1.5 (-175)</t>
  </si>
  <si>
    <t>o9 (100)</t>
  </si>
  <si>
    <t>u9 (-121)</t>
  </si>
  <si>
    <t>Pittsburgh Pirates Pirates 6</t>
  </si>
  <si>
    <t xml:space="preserve">9 - 6, 2nd NL Central </t>
  </si>
  <si>
    <t xml:space="preserve">6 - 9, 5th NL Central </t>
  </si>
  <si>
    <t xml:space="preserve">1. K. Hayes K. Hayes , 3B (R) </t>
  </si>
  <si>
    <t xml:space="preserve">$3,700 $2,500 </t>
  </si>
  <si>
    <t xml:space="preserve">7.91 pts 10.16 pts pts </t>
  </si>
  <si>
    <t xml:space="preserve">$6,000 $4,100 </t>
  </si>
  <si>
    <t xml:space="preserve">8.44 pts 11 pts pts </t>
  </si>
  <si>
    <t xml:space="preserve">$4,400 $3,100 </t>
  </si>
  <si>
    <t xml:space="preserve">7.9 pts 10.45 pts pts </t>
  </si>
  <si>
    <t xml:space="preserve">4. C. Santana C. Santana , 1B (S) </t>
  </si>
  <si>
    <t xml:space="preserve">7.03 pts 9.3 pts pts </t>
  </si>
  <si>
    <t xml:space="preserve">5. C. Joe C. Joe , RF (R) </t>
  </si>
  <si>
    <t xml:space="preserve">$3,300 $2,900 </t>
  </si>
  <si>
    <t xml:space="preserve">7.06 pts 9.22 pts pts </t>
  </si>
  <si>
    <t xml:space="preserve">6. R. Castro R. Castro , SS (S) </t>
  </si>
  <si>
    <t xml:space="preserve">6.98 pts 9.1 pts pts </t>
  </si>
  <si>
    <t xml:space="preserve">7. M. Mathias M. Mathias , 2B (R) </t>
  </si>
  <si>
    <t xml:space="preserve">8.09 pts 10.55 pts pts </t>
  </si>
  <si>
    <t xml:space="preserve">8. J. Bae J. Bae , CF (L) </t>
  </si>
  <si>
    <t xml:space="preserve">$3,600 $3,000 </t>
  </si>
  <si>
    <t xml:space="preserve">7.4 pts 9.53 pts pts </t>
  </si>
  <si>
    <t xml:space="preserve">9. J. Delay J. Delay , C (R) </t>
  </si>
  <si>
    <t xml:space="preserve">5.43 pts 7.11 pts pts </t>
  </si>
  <si>
    <t xml:space="preserve">R. Contreras R. Contreras (R), 1-1 </t>
  </si>
  <si>
    <t xml:space="preserve">$6,600 $7,300 </t>
  </si>
  <si>
    <t xml:space="preserve">12.55 pts 23.93 pts pts </t>
  </si>
  <si>
    <t xml:space="preserve">1. B. Donovan B. Donovan , 1B (L) </t>
  </si>
  <si>
    <t xml:space="preserve">8.2 pts 10.79 pts pts </t>
  </si>
  <si>
    <t xml:space="preserve">2. A. Burleson A. Burleson , LF (L) </t>
  </si>
  <si>
    <t xml:space="preserve">$3,400 $3,000 </t>
  </si>
  <si>
    <t xml:space="preserve">8.09 pts 10.49 pts pts </t>
  </si>
  <si>
    <t xml:space="preserve">3. P. Goldschmidt P. Goldschmidt , DH (R) </t>
  </si>
  <si>
    <t xml:space="preserve">$5,700 $3,900 </t>
  </si>
  <si>
    <t xml:space="preserve">9.29 pts 12.25 pts pts </t>
  </si>
  <si>
    <t xml:space="preserve">$5,700 $3,700 </t>
  </si>
  <si>
    <t xml:space="preserve">8.48 pts 11.2 pts pts </t>
  </si>
  <si>
    <t xml:space="preserve">5. N. Gorman N. Gorman , 2B (L) </t>
  </si>
  <si>
    <t xml:space="preserve">8.29 pts 10.92 pts pts </t>
  </si>
  <si>
    <t xml:space="preserve">6. J. Walker J. Walker , RF (R) </t>
  </si>
  <si>
    <t xml:space="preserve">7.94 pts 10.25 pts pts </t>
  </si>
  <si>
    <t xml:space="preserve">7. L. Nootbaar L. Nootbaar , CF (L) </t>
  </si>
  <si>
    <t xml:space="preserve">$3,700 $2,800 </t>
  </si>
  <si>
    <t xml:space="preserve">7.9 pts 10.5 pts pts </t>
  </si>
  <si>
    <t xml:space="preserve">8. T. Edman T. Edman , SS (S) </t>
  </si>
  <si>
    <t xml:space="preserve">7.45 pts 9.53 pts pts </t>
  </si>
  <si>
    <t xml:space="preserve">9. A. Knizner A. Knizner , C (R) </t>
  </si>
  <si>
    <t xml:space="preserve">5.75 pts 7.53 pts pts </t>
  </si>
  <si>
    <t xml:space="preserve">S. Matz S. Matz (L), 0-4 </t>
  </si>
  <si>
    <t xml:space="preserve">$6,900 $8,900 </t>
  </si>
  <si>
    <t xml:space="preserve">18.64 pts 33.25 pts pts </t>
  </si>
  <si>
    <t>PIT +155</t>
  </si>
  <si>
    <t>STL -194</t>
  </si>
  <si>
    <t>PIT +1.5 (-125)</t>
  </si>
  <si>
    <t>STL -1.5 (+105)</t>
  </si>
  <si>
    <t>Tampa Bay Rays Rays 2</t>
  </si>
  <si>
    <t>Toronto Blue Jays Blue Jays 5</t>
  </si>
  <si>
    <t xml:space="preserve">13 - 2, 1st AL East </t>
  </si>
  <si>
    <t xml:space="preserve">10 - 5, 2nd AL East </t>
  </si>
  <si>
    <t xml:space="preserve">9.69 pts 12.79 pts pts </t>
  </si>
  <si>
    <t xml:space="preserve">2. W. Franco W. Franco , SS (S) </t>
  </si>
  <si>
    <t xml:space="preserve">$5,700 $4,200 </t>
  </si>
  <si>
    <t xml:space="preserve">9.6 pts 12.52 pts pts </t>
  </si>
  <si>
    <t xml:space="preserve">3. I. Paredes I. Paredes , 3B (R) </t>
  </si>
  <si>
    <t xml:space="preserve">$3,800 $3,200 </t>
  </si>
  <si>
    <t xml:space="preserve">9.35 pts 12.4 pts pts </t>
  </si>
  <si>
    <t xml:space="preserve">4. R. Arozarena R. Arozarena , LF (R) </t>
  </si>
  <si>
    <t xml:space="preserve">$6,200 $3,900 </t>
  </si>
  <si>
    <t xml:space="preserve">9.78 pts 12.82 pts pts </t>
  </si>
  <si>
    <t xml:space="preserve">5. H. Ramírez H. Ramírez , DH (R) </t>
  </si>
  <si>
    <t xml:space="preserve">8.4 pts 10.81 pts pts </t>
  </si>
  <si>
    <t xml:space="preserve">6. T. Walls T. Walls , 2B (S) </t>
  </si>
  <si>
    <t xml:space="preserve">$2,700 $2,700 </t>
  </si>
  <si>
    <t xml:space="preserve">7.32 pts 9.72 pts pts </t>
  </si>
  <si>
    <t xml:space="preserve">8. F. Mejía F. Mejía , C (S) </t>
  </si>
  <si>
    <t xml:space="preserve">$3,300 $2,200 </t>
  </si>
  <si>
    <t xml:space="preserve">7.21 pts 9.38 pts pts </t>
  </si>
  <si>
    <t xml:space="preserve">9. V. Bruján V. Bruján , RF (S) </t>
  </si>
  <si>
    <t xml:space="preserve">6.76 pts 8.88 pts pts </t>
  </si>
  <si>
    <t xml:space="preserve">C. Faucher C. Faucher (R), 0-0 </t>
  </si>
  <si>
    <t xml:space="preserve">$4,000 $5,500 </t>
  </si>
  <si>
    <t xml:space="preserve">9.2 pts 20.26 pts pts </t>
  </si>
  <si>
    <t xml:space="preserve">8.32 pts 10.94 pts pts </t>
  </si>
  <si>
    <t xml:space="preserve">$6,000 $4,400 </t>
  </si>
  <si>
    <t xml:space="preserve">8.47 pts 10.92 pts pts </t>
  </si>
  <si>
    <t xml:space="preserve">8.08 pts 10.56 pts pts </t>
  </si>
  <si>
    <t xml:space="preserve">$4,400 $3,200 </t>
  </si>
  <si>
    <t xml:space="preserve">8.01 pts 10.5 pts pts </t>
  </si>
  <si>
    <t xml:space="preserve">$4,900 $4,500 </t>
  </si>
  <si>
    <t xml:space="preserve">6.98 pts 9.36 pts pts </t>
  </si>
  <si>
    <t xml:space="preserve">6. A. Kirk A. Kirk , DH (R) </t>
  </si>
  <si>
    <t xml:space="preserve">6.66 pts 8.73 pts pts </t>
  </si>
  <si>
    <t xml:space="preserve">7. W. Merrifield W. Merrifield , 2B (R) </t>
  </si>
  <si>
    <t xml:space="preserve">7.1 pts 9.15 pts pts </t>
  </si>
  <si>
    <t xml:space="preserve">$3,300 $2,400 </t>
  </si>
  <si>
    <t xml:space="preserve">6.79 pts 9.07 pts pts </t>
  </si>
  <si>
    <t xml:space="preserve">Y. Kikuchi Y. Kikuchi (L), 2-0 </t>
  </si>
  <si>
    <t xml:space="preserve">$7,900 $7,400 </t>
  </si>
  <si>
    <t xml:space="preserve">15 pts 27.83 pts pts </t>
  </si>
  <si>
    <t>TB +106</t>
  </si>
  <si>
    <t>TOR -123</t>
  </si>
  <si>
    <t>TB +1.5 (-185)</t>
  </si>
  <si>
    <t>TOR -1.5 (+150)</t>
  </si>
  <si>
    <t>o9.5 (-103)</t>
  </si>
  <si>
    <t>u9.5 (-118)</t>
  </si>
  <si>
    <t>TOR 4.5 Runs</t>
  </si>
  <si>
    <t>Cleveland Guardians Guardians 6</t>
  </si>
  <si>
    <t>Washington Nationals Nationals 4</t>
  </si>
  <si>
    <t xml:space="preserve">9 - 6, 2nd AL Central </t>
  </si>
  <si>
    <t xml:space="preserve">4 - 11, 5th NL East </t>
  </si>
  <si>
    <t xml:space="preserve">$4,500 $3,200 </t>
  </si>
  <si>
    <t xml:space="preserve">8.71 pts 11.1 pts pts </t>
  </si>
  <si>
    <t xml:space="preserve">8.12 pts 10.32 pts pts </t>
  </si>
  <si>
    <t xml:space="preserve">$5,900 $3,600 </t>
  </si>
  <si>
    <t xml:space="preserve">8.74 pts 11.59 pts pts </t>
  </si>
  <si>
    <t xml:space="preserve">4. J. Naylor J. Naylor , DH (L) </t>
  </si>
  <si>
    <t xml:space="preserve">7.33 pts 9.65 pts pts </t>
  </si>
  <si>
    <t xml:space="preserve">5. J. Bell J. Bell , 1B (S) </t>
  </si>
  <si>
    <t xml:space="preserve">6.89 pts 9.13 pts pts </t>
  </si>
  <si>
    <t xml:space="preserve">6. A. Giménez A. Giménez , 2B (L) </t>
  </si>
  <si>
    <t xml:space="preserve">$4,600 $3,500 </t>
  </si>
  <si>
    <t xml:space="preserve">7.85 pts 10.22 pts pts </t>
  </si>
  <si>
    <t xml:space="preserve">6.76 pts 8.75 pts pts </t>
  </si>
  <si>
    <t xml:space="preserve">8. M. Straw M. Straw , CF (R) </t>
  </si>
  <si>
    <t xml:space="preserve">6.67 pts 8.53 pts pts </t>
  </si>
  <si>
    <t xml:space="preserve">9. C. Gallagher C. Gallagher , C (R) </t>
  </si>
  <si>
    <t xml:space="preserve">$2,500 $2,000 </t>
  </si>
  <si>
    <t xml:space="preserve">5.78 pts 7.46 pts pts </t>
  </si>
  <si>
    <t xml:space="preserve">Z. Plesac Z. Plesac (R), 1-0 </t>
  </si>
  <si>
    <t xml:space="preserve">$6,500 $7,200 </t>
  </si>
  <si>
    <t xml:space="preserve">16.12 pts 29.43 pts pts </t>
  </si>
  <si>
    <t xml:space="preserve">$3,100 $3,200 </t>
  </si>
  <si>
    <t xml:space="preserve">8.2 pts 10.74 pts pts </t>
  </si>
  <si>
    <t xml:space="preserve">7.09 pts 9.42 pts pts </t>
  </si>
  <si>
    <t xml:space="preserve">$4,400 $2,600 </t>
  </si>
  <si>
    <t xml:space="preserve">7.35 pts 9.52 pts pts </t>
  </si>
  <si>
    <t xml:space="preserve">6.7 pts 8.77 pts pts </t>
  </si>
  <si>
    <t xml:space="preserve">$3,000 $2,500 </t>
  </si>
  <si>
    <t xml:space="preserve">6.7 pts 8.63 pts pts </t>
  </si>
  <si>
    <t xml:space="preserve">$3,500 $2,700 </t>
  </si>
  <si>
    <t xml:space="preserve">6.34 pts 8.24 pts pts </t>
  </si>
  <si>
    <t xml:space="preserve">6.61 pts 8.71 pts pts </t>
  </si>
  <si>
    <t xml:space="preserve">6.25 pts 7.99 pts pts </t>
  </si>
  <si>
    <t xml:space="preserve">5.99 pts 7.71 pts pts </t>
  </si>
  <si>
    <t xml:space="preserve">C. Kuhl C. Kuhl (R), 0-1 </t>
  </si>
  <si>
    <t xml:space="preserve">$5,600 $6,300 </t>
  </si>
  <si>
    <t xml:space="preserve">14.26 pts 27.01 pts pts </t>
  </si>
  <si>
    <t>CLE -185</t>
  </si>
  <si>
    <t>WSH +153</t>
  </si>
  <si>
    <t>CLE -1.5 (-115)</t>
  </si>
  <si>
    <t>WSH +1.5 (-109)</t>
  </si>
  <si>
    <t>o9.5 (-118)</t>
  </si>
  <si>
    <t>u9.5 (-104)</t>
  </si>
  <si>
    <t>Milwaukee Brewers Brewers 3</t>
  </si>
  <si>
    <t>San Diego Padres Padres 10</t>
  </si>
  <si>
    <t xml:space="preserve">10 - 5, 1st NL Central </t>
  </si>
  <si>
    <t xml:space="preserve">8 - 8, 3rd NL West </t>
  </si>
  <si>
    <t xml:space="preserve">$4,900 $3,100 </t>
  </si>
  <si>
    <t xml:space="preserve">8.35 pts 10.87 pts pts </t>
  </si>
  <si>
    <t xml:space="preserve">2. J. Winker J. Winker , DH (L) </t>
  </si>
  <si>
    <t xml:space="preserve">7.47 pts 9.95 pts pts </t>
  </si>
  <si>
    <t xml:space="preserve">3. W. Adames W. Adames , SS (R) </t>
  </si>
  <si>
    <t xml:space="preserve">$5,300 $3,500 </t>
  </si>
  <si>
    <t xml:space="preserve">4. R. Tellez R. Tellez , 1B (L) </t>
  </si>
  <si>
    <t xml:space="preserve">$3,500 $2,900 </t>
  </si>
  <si>
    <t xml:space="preserve">8.06 pts 10.75 pts pts </t>
  </si>
  <si>
    <t xml:space="preserve">5. B. Anderson B. Anderson , 3B (R) </t>
  </si>
  <si>
    <t xml:space="preserve">$3,700 $3,100 </t>
  </si>
  <si>
    <t xml:space="preserve">7.34 pts 9.63 pts pts </t>
  </si>
  <si>
    <t xml:space="preserve">6. G. Mitchell G. Mitchell , CF (L) </t>
  </si>
  <si>
    <t xml:space="preserve">$3,200 $3,100 </t>
  </si>
  <si>
    <t xml:space="preserve">8.82 pts 11.36 pts pts </t>
  </si>
  <si>
    <t xml:space="preserve">7. V. Caratini V. Caratini , C (S) </t>
  </si>
  <si>
    <t xml:space="preserve">6.35 pts 8.3 pts pts </t>
  </si>
  <si>
    <t xml:space="preserve">8. B. Turang B. Turang , 2B (L) </t>
  </si>
  <si>
    <t xml:space="preserve">$2,600 $2,800 </t>
  </si>
  <si>
    <t xml:space="preserve">7.59 pts 9.84 pts pts </t>
  </si>
  <si>
    <t xml:space="preserve">9. J. Wiemer J. Wiemer , RF (R) </t>
  </si>
  <si>
    <t xml:space="preserve">6.98 pts 9.13 pts pts </t>
  </si>
  <si>
    <t xml:space="preserve">F. Peralta F. Peralta (R), 2-1 </t>
  </si>
  <si>
    <t xml:space="preserve">$10,700 $9,800 </t>
  </si>
  <si>
    <t xml:space="preserve">24.41 pts 43.38 pts pts </t>
  </si>
  <si>
    <t xml:space="preserve">1. T. Grisham T. Grisham , CF (L) </t>
  </si>
  <si>
    <t xml:space="preserve">8.39 pts 11.13 pts pts </t>
  </si>
  <si>
    <t xml:space="preserve">8.66 pts 11.32 pts pts </t>
  </si>
  <si>
    <t xml:space="preserve">$5,600 $3,500 </t>
  </si>
  <si>
    <t xml:space="preserve">7.98 pts 10.63 pts pts </t>
  </si>
  <si>
    <t xml:space="preserve">4. X. Bogaerts X. Bogaerts , SS (R) </t>
  </si>
  <si>
    <t xml:space="preserve">7.92 pts 10.29 pts pts </t>
  </si>
  <si>
    <t xml:space="preserve">5. N. Cruz N. Cruz , DH (R) </t>
  </si>
  <si>
    <t xml:space="preserve">$4,500 $3,400 </t>
  </si>
  <si>
    <t xml:space="preserve">6.57 pts 8.7 pts pts </t>
  </si>
  <si>
    <t xml:space="preserve">6. J. Cronenworth J. Cronenworth , 2B (L) </t>
  </si>
  <si>
    <t xml:space="preserve">$4,300 $2,500 </t>
  </si>
  <si>
    <t xml:space="preserve">7.07 pts 9.36 pts pts </t>
  </si>
  <si>
    <t xml:space="preserve">7. M. Carpenter M. Carpenter , 1B (L) </t>
  </si>
  <si>
    <t xml:space="preserve">7.17 pts 9.59 pts pts </t>
  </si>
  <si>
    <t xml:space="preserve">8. A. Nola A. Nola , C (R) </t>
  </si>
  <si>
    <t xml:space="preserve">6.11 pts 8.01 pts pts </t>
  </si>
  <si>
    <t xml:space="preserve">6.36 pts 8.1 pts pts </t>
  </si>
  <si>
    <t xml:space="preserve">S. Lugo S. Lugo (R), 2-0 </t>
  </si>
  <si>
    <t xml:space="preserve">$7,400 $9,200 </t>
  </si>
  <si>
    <t xml:space="preserve">16.47 pts 30.16 pts pts </t>
  </si>
  <si>
    <t>MIL +120</t>
  </si>
  <si>
    <t>SD -146</t>
  </si>
  <si>
    <t>MIL +1.5 (-175)</t>
  </si>
  <si>
    <t>SD -1.5 (+140)</t>
  </si>
  <si>
    <t>o7.5 (-115)</t>
  </si>
  <si>
    <t>u7.5 (-105)</t>
  </si>
  <si>
    <t>SD 3.5 Runs</t>
  </si>
  <si>
    <t>New York Mets Mets 3</t>
  </si>
  <si>
    <t>Oakland Athletics Athletics 2</t>
  </si>
  <si>
    <t xml:space="preserve">9 - 6, 2nd NL East </t>
  </si>
  <si>
    <t xml:space="preserve">3 - 12, 5th AL West </t>
  </si>
  <si>
    <t xml:space="preserve">$4,100 $3,000 </t>
  </si>
  <si>
    <t xml:space="preserve">7.83 pts 10.26 pts pts </t>
  </si>
  <si>
    <t xml:space="preserve">$5,000 $3,400 </t>
  </si>
  <si>
    <t xml:space="preserve">8.72 pts 11.15 pts pts </t>
  </si>
  <si>
    <t xml:space="preserve">$4,800 $3,700 </t>
  </si>
  <si>
    <t xml:space="preserve">8.36 pts 11.03 pts pts </t>
  </si>
  <si>
    <t xml:space="preserve">8.8 pts 11.78 pts pts </t>
  </si>
  <si>
    <t xml:space="preserve">5. J. McNeil J. McNeil , 2B (L) </t>
  </si>
  <si>
    <t xml:space="preserve">6.93 pts 8.95 pts pts </t>
  </si>
  <si>
    <t xml:space="preserve">6. M. Canha M. Canha , LF (R) </t>
  </si>
  <si>
    <t xml:space="preserve">6.67 pts 8.77 pts pts </t>
  </si>
  <si>
    <t xml:space="preserve">7. D. Vogelbach D. Vogelbach , DH (L) </t>
  </si>
  <si>
    <t xml:space="preserve">6.24 pts 8.34 pts pts </t>
  </si>
  <si>
    <t xml:space="preserve">8. L. Guillorme L. Guillorme , 3B (L) </t>
  </si>
  <si>
    <t xml:space="preserve">5.92 pts 7.55 pts pts </t>
  </si>
  <si>
    <t xml:space="preserve">9. F. Alvarez F. Alvarez , C (R) </t>
  </si>
  <si>
    <t xml:space="preserve">5.98 pts 7.87 pts pts </t>
  </si>
  <si>
    <t xml:space="preserve">C. Carrasco C. Carrasco (R), 0-2 </t>
  </si>
  <si>
    <t xml:space="preserve">$8,600 $7,500 </t>
  </si>
  <si>
    <t xml:space="preserve">19.43 pts 35.26 pts pts </t>
  </si>
  <si>
    <t xml:space="preserve">7.74 pts 10.09 pts pts </t>
  </si>
  <si>
    <t xml:space="preserve">2. J. Peterson J. Peterson , 3B (L) </t>
  </si>
  <si>
    <t xml:space="preserve">7.8 pts 10.27 pts pts </t>
  </si>
  <si>
    <t xml:space="preserve">7.2 pts 9.51 pts pts </t>
  </si>
  <si>
    <t xml:space="preserve">7.37 pts 9.66 pts pts </t>
  </si>
  <si>
    <t xml:space="preserve">5. A. Díaz A. Díaz , SS (R) </t>
  </si>
  <si>
    <t xml:space="preserve">$3,500 $2,200 </t>
  </si>
  <si>
    <t xml:space="preserve">6.61 pts 8.67 pts pts </t>
  </si>
  <si>
    <t xml:space="preserve">6. J. Aguilar J. Aguilar , 1B (R) </t>
  </si>
  <si>
    <t xml:space="preserve">6.53 pts 8.57 pts pts </t>
  </si>
  <si>
    <t xml:space="preserve">7.96 pts 10.34 pts pts </t>
  </si>
  <si>
    <t xml:space="preserve">8. C. Pèrez C. Pèrez , C (R) </t>
  </si>
  <si>
    <t xml:space="preserve">6.38 pts 8.34 pts pts </t>
  </si>
  <si>
    <t xml:space="preserve">6.82 pts 8.92 pts pts </t>
  </si>
  <si>
    <t xml:space="preserve">S. Fujinami S. Fujinami (R), 0-3 </t>
  </si>
  <si>
    <t xml:space="preserve">$5,000 $6,000 </t>
  </si>
  <si>
    <t xml:space="preserve">13.02 pts 25.14 pts pts </t>
  </si>
  <si>
    <t>NYM -193</t>
  </si>
  <si>
    <t>OAK +155</t>
  </si>
  <si>
    <t>NYM -1.5 (-115)</t>
  </si>
  <si>
    <t>OAK +1.5 (-105)</t>
  </si>
  <si>
    <t>o9.5 (-117)</t>
  </si>
  <si>
    <t>NYM 5.5 Runs</t>
  </si>
  <si>
    <t>OAK 3.5 Runs</t>
  </si>
  <si>
    <t>Philadelphia Phillies Phillies 0</t>
  </si>
  <si>
    <t>Cincinnati Reds Reds 13</t>
  </si>
  <si>
    <t xml:space="preserve">5 - 10, 4th NL East </t>
  </si>
  <si>
    <t xml:space="preserve">$3,500 $3,000 </t>
  </si>
  <si>
    <t xml:space="preserve">8.23 pts 10.62 pts pts </t>
  </si>
  <si>
    <t xml:space="preserve">$6,100 $3,500 </t>
  </si>
  <si>
    <t xml:space="preserve">9.29 pts 11.99 pts pts </t>
  </si>
  <si>
    <t xml:space="preserve">$5,500 $3,100 </t>
  </si>
  <si>
    <t xml:space="preserve">9.14 pts 12.26 pts pts </t>
  </si>
  <si>
    <t xml:space="preserve">7.99 pts 10.52 pts pts </t>
  </si>
  <si>
    <t xml:space="preserve">$3,900 $3,300 </t>
  </si>
  <si>
    <t xml:space="preserve">8.34 pts 10.84 pts pts </t>
  </si>
  <si>
    <t xml:space="preserve">6. A. Bohm A. Bohm , 1B (R) </t>
  </si>
  <si>
    <t xml:space="preserve">$4,200 $3,400 </t>
  </si>
  <si>
    <t xml:space="preserve">7.95 pts 10.27 pts pts </t>
  </si>
  <si>
    <t xml:space="preserve">7. J. Cave J. Cave , LF (L) </t>
  </si>
  <si>
    <t xml:space="preserve">7.69 pts 10.08 pts pts </t>
  </si>
  <si>
    <t xml:space="preserve">8. E. Sosa E. Sosa , 3B (R) </t>
  </si>
  <si>
    <t xml:space="preserve">7.59 pts 9.91 pts pts </t>
  </si>
  <si>
    <t xml:space="preserve">9. G. Stubbs G. Stubbs , C (L) </t>
  </si>
  <si>
    <t xml:space="preserve">7.5 pts 9.8 pts pts </t>
  </si>
  <si>
    <t xml:space="preserve">M. Strahm M. Strahm (L), 1-1 </t>
  </si>
  <si>
    <t xml:space="preserve">$7,000 $7,000 </t>
  </si>
  <si>
    <t xml:space="preserve">14.13 pts 26.13 pts pts </t>
  </si>
  <si>
    <t xml:space="preserve">8.53 pts 11.25 pts pts </t>
  </si>
  <si>
    <t xml:space="preserve">2. S. Steer S. Steer , 3B (R) </t>
  </si>
  <si>
    <t xml:space="preserve">8.47 pts 11.09 pts pts </t>
  </si>
  <si>
    <t xml:space="preserve">3. S. Fairchild S. Fairchild , RF (R) </t>
  </si>
  <si>
    <t xml:space="preserve">8.23 pts 10.69 pts pts </t>
  </si>
  <si>
    <t xml:space="preserve">4. T. Stephenson T. Stephenson , DH (R) </t>
  </si>
  <si>
    <t xml:space="preserve">$4,400 $2,800 </t>
  </si>
  <si>
    <t xml:space="preserve">8.08 pts 10.48 pts pts </t>
  </si>
  <si>
    <t xml:space="preserve">5. W. Myers W. Myers , 1B (R) </t>
  </si>
  <si>
    <t xml:space="preserve">7.1 pts 9.35 pts pts </t>
  </si>
  <si>
    <t xml:space="preserve">6. N. Senzel N. Senzel , CF (R) </t>
  </si>
  <si>
    <t xml:space="preserve">$2,000 $2,300 </t>
  </si>
  <si>
    <t xml:space="preserve">7 pts 9.03 pts pts </t>
  </si>
  <si>
    <t xml:space="preserve">7. T. Friedl T. Friedl , LF (L) </t>
  </si>
  <si>
    <t xml:space="preserve">8.04 pts 10.42 pts pts </t>
  </si>
  <si>
    <t xml:space="preserve">8. J. Barrero J. Barrero , SS (R) </t>
  </si>
  <si>
    <t xml:space="preserve">6.66 pts 8.69 pts pts </t>
  </si>
  <si>
    <t xml:space="preserve">9. C. Casali C. Casali , C (R) </t>
  </si>
  <si>
    <t xml:space="preserve">6.63 pts 8.79 pts pts </t>
  </si>
  <si>
    <t xml:space="preserve">G. Ashcraft G. Ashcraft (R), 2-0 </t>
  </si>
  <si>
    <t xml:space="preserve">$7,200 $10,000 </t>
  </si>
  <si>
    <t xml:space="preserve">13.89 pts 26.74 pts pts </t>
  </si>
  <si>
    <t>PHI -114</t>
  </si>
  <si>
    <t>CIN -103</t>
  </si>
  <si>
    <t>PHI -1.5 (+140)</t>
  </si>
  <si>
    <t>CIN +1.5 (-165)</t>
  </si>
  <si>
    <t>o9.5 (-109)</t>
  </si>
  <si>
    <t>u9.5 (-111)</t>
  </si>
  <si>
    <t>PHI 4.5 Runs</t>
  </si>
  <si>
    <t>Los Angeles Angels Angels 7</t>
  </si>
  <si>
    <t>Boston Red Sox Red Sox 9</t>
  </si>
  <si>
    <t xml:space="preserve">7 - 7, 2nd AL West </t>
  </si>
  <si>
    <t xml:space="preserve">7 - 8, 5th AL East </t>
  </si>
  <si>
    <t xml:space="preserve">8.95 pts 11.69 pts pts </t>
  </si>
  <si>
    <t xml:space="preserve">$5,900 $4,400 </t>
  </si>
  <si>
    <t xml:space="preserve">9.55 pts 12.67 pts pts </t>
  </si>
  <si>
    <t xml:space="preserve">8.48 pts 11.17 pts pts </t>
  </si>
  <si>
    <t xml:space="preserve">7.62 pts 10.18 pts pts </t>
  </si>
  <si>
    <t xml:space="preserve">$4,800 $3,400 </t>
  </si>
  <si>
    <t xml:space="preserve">6. G. Urshela G. Urshela , 1B (R) </t>
  </si>
  <si>
    <t xml:space="preserve">7.06 pts 9.12 pts pts </t>
  </si>
  <si>
    <t xml:space="preserve">6.74 pts 8.87 pts pts </t>
  </si>
  <si>
    <t xml:space="preserve">8. Z. Neto Z. Neto , SS (R) </t>
  </si>
  <si>
    <t xml:space="preserve">0 0 </t>
  </si>
  <si>
    <t xml:space="preserve">7.07 pts 9.24 pts pts </t>
  </si>
  <si>
    <t xml:space="preserve">9. M. Thaiss M. Thaiss , C (L) </t>
  </si>
  <si>
    <t xml:space="preserve">T. Anderson T. Anderson (L), 1-0 </t>
  </si>
  <si>
    <t xml:space="preserve">$9,700 $8,600 </t>
  </si>
  <si>
    <t xml:space="preserve">14.38 pts 27.65 pts pts </t>
  </si>
  <si>
    <t xml:space="preserve">$4,600 $3,000 </t>
  </si>
  <si>
    <t xml:space="preserve">7.63 pts 9.88 pts pts </t>
  </si>
  <si>
    <t xml:space="preserve">7.85 pts 10.39 pts pts </t>
  </si>
  <si>
    <t xml:space="preserve">7.44 pts 9.71 pts pts </t>
  </si>
  <si>
    <t xml:space="preserve">8.01 pts 10.6 pts pts </t>
  </si>
  <si>
    <t xml:space="preserve">6.38 pts 8.53 pts pts </t>
  </si>
  <si>
    <t xml:space="preserve">6.63 pts 8.58 pts pts </t>
  </si>
  <si>
    <t xml:space="preserve">7.51 pts 9.96 pts pts </t>
  </si>
  <si>
    <t xml:space="preserve">5.83 pts 7.75 pts pts </t>
  </si>
  <si>
    <t xml:space="preserve">6.11 pts 8.05 pts pts </t>
  </si>
  <si>
    <t xml:space="preserve">N. Pivetta N. Pivetta (R), 0-1 </t>
  </si>
  <si>
    <t xml:space="preserve">$9,200 $8,800 </t>
  </si>
  <si>
    <t xml:space="preserve">15.6 pts 29.99 pts pts </t>
  </si>
  <si>
    <t>LAA -117</t>
  </si>
  <si>
    <t>BOS -101</t>
  </si>
  <si>
    <t>LAA -1.5 (+135)</t>
  </si>
  <si>
    <t>o9.5 (-105)</t>
  </si>
  <si>
    <t>u9.5 (-115)</t>
  </si>
  <si>
    <t>Arizona Diamondbacks Diamondbacks 2</t>
  </si>
  <si>
    <t>Miami Marlins Marlins 3</t>
  </si>
  <si>
    <t xml:space="preserve">8 - 7, 1st NL West </t>
  </si>
  <si>
    <t xml:space="preserve">8 - 7, 3rd NL East </t>
  </si>
  <si>
    <t xml:space="preserve">$4,200 $2,500 </t>
  </si>
  <si>
    <t xml:space="preserve">7.65 pts 10.04 pts pts </t>
  </si>
  <si>
    <t xml:space="preserve">2. J. Rojas J. Rojas , 3B (L) </t>
  </si>
  <si>
    <t xml:space="preserve">8.28 pts 10.77 pts pts </t>
  </si>
  <si>
    <t xml:space="preserve">$3,800 $2,700 </t>
  </si>
  <si>
    <t xml:space="preserve">7.61 pts 9.95 pts pts </t>
  </si>
  <si>
    <t xml:space="preserve">7.47 pts 9.83 pts pts </t>
  </si>
  <si>
    <t xml:space="preserve">5. E. Longoria E. Longoria , DH (R) </t>
  </si>
  <si>
    <t xml:space="preserve">$3,400 $3,300 </t>
  </si>
  <si>
    <t xml:space="preserve">7.97 pts 10.46 pts pts </t>
  </si>
  <si>
    <t xml:space="preserve">6. C. Carroll C. Carroll , CF (L) </t>
  </si>
  <si>
    <t xml:space="preserve">8.75 pts 11.3 pts pts </t>
  </si>
  <si>
    <t xml:space="preserve">$2,600 $2,900 </t>
  </si>
  <si>
    <t xml:space="preserve">7.52 pts 9.74 pts pts </t>
  </si>
  <si>
    <t xml:space="preserve">9. J. McCarthy J. McCarthy , RF (L) </t>
  </si>
  <si>
    <t xml:space="preserve">$3,500 $2,600 </t>
  </si>
  <si>
    <t xml:space="preserve">7.76 pts 9.95 pts pts </t>
  </si>
  <si>
    <t xml:space="preserve">R. Nelson R. Nelson (R), 1-0 </t>
  </si>
  <si>
    <t xml:space="preserve">$8,500 $7,600 </t>
  </si>
  <si>
    <t xml:space="preserve">18.44 pts 32.34 pts pts </t>
  </si>
  <si>
    <t xml:space="preserve">1. J. Chisholm Jr. J. Chisholm Jr. , CF (L) </t>
  </si>
  <si>
    <t xml:space="preserve">9.18 pts 12 pts pts </t>
  </si>
  <si>
    <t xml:space="preserve">2. J. Berti J. Berti , SS (R) </t>
  </si>
  <si>
    <t xml:space="preserve">$3,200 $2,400 </t>
  </si>
  <si>
    <t xml:space="preserve">8.11 pts 10.43 pts pts </t>
  </si>
  <si>
    <t xml:space="preserve">3. G. Cooper G. Cooper , 1B (R) </t>
  </si>
  <si>
    <t xml:space="preserve">$3,300 $3,100 </t>
  </si>
  <si>
    <t xml:space="preserve">7.51 pts 9.81 pts pts </t>
  </si>
  <si>
    <t xml:space="preserve">4. B. De La Cruz B. D. L. Cruz , LF (R) </t>
  </si>
  <si>
    <t xml:space="preserve">7.66 pts 9.97 pts pts </t>
  </si>
  <si>
    <t xml:space="preserve">5. A. García A. García , DH (R) </t>
  </si>
  <si>
    <t xml:space="preserve">6.49 pts 8.49 pts pts </t>
  </si>
  <si>
    <t xml:space="preserve">6. J. Sánchez J. Sánchez , RF (L) </t>
  </si>
  <si>
    <t xml:space="preserve">6.6 pts 8.66 pts pts </t>
  </si>
  <si>
    <t xml:space="preserve">6.6 pts 8.44 pts pts </t>
  </si>
  <si>
    <t xml:space="preserve">8. N. Fortes N. Fortes , C (R) </t>
  </si>
  <si>
    <t xml:space="preserve">6.44 pts 8.41 pts pts </t>
  </si>
  <si>
    <t xml:space="preserve">5.84 pts 7.52 pts pts </t>
  </si>
  <si>
    <t xml:space="preserve">B. Garrett B. Garrett (L), 0-0 </t>
  </si>
  <si>
    <t xml:space="preserve">$7,100 $7,700 </t>
  </si>
  <si>
    <t xml:space="preserve">15.02 pts 28.31 pts pts </t>
  </si>
  <si>
    <t>ARI +110</t>
  </si>
  <si>
    <t>MIA -130</t>
  </si>
  <si>
    <t>ARI +1.5 (-200)</t>
  </si>
  <si>
    <t>MIA -1.5 (+165)</t>
  </si>
  <si>
    <t>o8.5 (-110)</t>
  </si>
  <si>
    <t>u8.5 (-111)</t>
  </si>
  <si>
    <t>Atlanta Braves Braves 9</t>
  </si>
  <si>
    <t xml:space="preserve">11 - 4, 1st NL East </t>
  </si>
  <si>
    <t xml:space="preserve">4 - 11, 5th AL Central </t>
  </si>
  <si>
    <t xml:space="preserve">$6,500 $4,200 </t>
  </si>
  <si>
    <t xml:space="preserve">9.02 pts 11.83 pts pts </t>
  </si>
  <si>
    <t xml:space="preserve">9.11 pts 12.24 pts pts </t>
  </si>
  <si>
    <t xml:space="preserve">8.09 pts 10.76 pts pts </t>
  </si>
  <si>
    <t xml:space="preserve">7.56 pts 10.05 pts pts </t>
  </si>
  <si>
    <t xml:space="preserve">5. O. Albies O. Albies , 2B (S) </t>
  </si>
  <si>
    <t xml:space="preserve">$4,700 $2,800 </t>
  </si>
  <si>
    <t xml:space="preserve">7.47 pts 9.82 pts pts </t>
  </si>
  <si>
    <t xml:space="preserve">6. V. Grissom V. Grissom , SS (R) </t>
  </si>
  <si>
    <t xml:space="preserve">7.48 pts 9.67 pts pts </t>
  </si>
  <si>
    <t xml:space="preserve">7. M. Ozuna M. Ozuna , DH (R) </t>
  </si>
  <si>
    <t xml:space="preserve">6.75 pts 8.9 pts pts </t>
  </si>
  <si>
    <t xml:space="preserve">7.22 pts 9.37 pts pts </t>
  </si>
  <si>
    <t xml:space="preserve">9. E. White E. White , CF (R) </t>
  </si>
  <si>
    <t xml:space="preserve">6.94 pts 9.06 pts pts </t>
  </si>
  <si>
    <t xml:space="preserve">B. Elder B. Elder (R), 2-0 </t>
  </si>
  <si>
    <t xml:space="preserve">$7,700 $9,700 </t>
  </si>
  <si>
    <t xml:space="preserve">21.36 pts 37.84 pts pts </t>
  </si>
  <si>
    <t xml:space="preserve">1. B. Witt Jr. B. Witt Jr. , SS (R) </t>
  </si>
  <si>
    <t xml:space="preserve">8.56 pts 11.11 pts pts </t>
  </si>
  <si>
    <t xml:space="preserve">2. M. Melendez M. Melendez , RF (L) </t>
  </si>
  <si>
    <t xml:space="preserve">8.27 pts 11.04 pts pts </t>
  </si>
  <si>
    <t xml:space="preserve">3. V. Pasquantino V. Pasquantino , DH (L) </t>
  </si>
  <si>
    <t xml:space="preserve">8.23 pts 10.67 pts pts </t>
  </si>
  <si>
    <t xml:space="preserve">$5,000 $2,700 </t>
  </si>
  <si>
    <t xml:space="preserve">7.94 pts 10.46 pts pts </t>
  </si>
  <si>
    <t xml:space="preserve">6.75 pts 8.78 pts pts </t>
  </si>
  <si>
    <t xml:space="preserve">6. M. Massey M. Massey , 2B (L) </t>
  </si>
  <si>
    <t xml:space="preserve">6.66 pts 8.71 pts pts </t>
  </si>
  <si>
    <t xml:space="preserve">7. H. Dozier H. Dozier , 1B (R) </t>
  </si>
  <si>
    <t xml:space="preserve">6.52 pts 8.49 pts pts </t>
  </si>
  <si>
    <t xml:space="preserve">8. N. Lopez N. Lopez , 3B (L) </t>
  </si>
  <si>
    <t xml:space="preserve">6.55 pts 8.29 pts pts </t>
  </si>
  <si>
    <t xml:space="preserve">9. J. Bradley Jr. J. Bradley Jr. , LF (L) </t>
  </si>
  <si>
    <t xml:space="preserve">5.61 pts 7.38 pts pts </t>
  </si>
  <si>
    <t xml:space="preserve">K. Bubic K. Bubic (L), 0-2 </t>
  </si>
  <si>
    <t xml:space="preserve">$8,100 $8,000 </t>
  </si>
  <si>
    <t xml:space="preserve">17.61 pts 32.49 pts pts </t>
  </si>
  <si>
    <t>ATL -145</t>
  </si>
  <si>
    <t>KC +120</t>
  </si>
  <si>
    <t>ATL -1.5 (+110)</t>
  </si>
  <si>
    <t>KC +1.5 (-135)</t>
  </si>
  <si>
    <t>KC 3.5 Runs</t>
  </si>
  <si>
    <t>Texas Rangers Rangers 2</t>
  </si>
  <si>
    <t>Houston Astros Astros 8</t>
  </si>
  <si>
    <t xml:space="preserve">8 - 6, 1st AL West </t>
  </si>
  <si>
    <t xml:space="preserve">7 - 8, 3rd AL West </t>
  </si>
  <si>
    <t xml:space="preserve">$5,300 $3,300 </t>
  </si>
  <si>
    <t xml:space="preserve">7.04 pts 9.26 pts pts </t>
  </si>
  <si>
    <t xml:space="preserve">8.22 pts 10.59 pts pts </t>
  </si>
  <si>
    <t xml:space="preserve">8.04 pts 10.57 pts pts </t>
  </si>
  <si>
    <t xml:space="preserve">7.33 pts 9.56 pts pts </t>
  </si>
  <si>
    <t xml:space="preserve">$3,000 $3,000 </t>
  </si>
  <si>
    <t xml:space="preserve">6.62 pts 8.77 pts pts </t>
  </si>
  <si>
    <t xml:space="preserve">7. R. Grossman R. Grossman , DH (S) </t>
  </si>
  <si>
    <t xml:space="preserve">$2,800 $2,700 </t>
  </si>
  <si>
    <t xml:space="preserve">6.61 pts 8.69 pts pts </t>
  </si>
  <si>
    <t xml:space="preserve">6.76 pts 8.74 pts pts </t>
  </si>
  <si>
    <t xml:space="preserve">$2,200 $2,500 </t>
  </si>
  <si>
    <t xml:space="preserve">6.06 pts 7.82 pts pts </t>
  </si>
  <si>
    <t xml:space="preserve">J. Gray J. Gray (R), 1-1 </t>
  </si>
  <si>
    <t xml:space="preserve">$9,000 $9,600 </t>
  </si>
  <si>
    <t xml:space="preserve">19.17 pts 35.17 pts pts </t>
  </si>
  <si>
    <t xml:space="preserve">1. M. Dubón M. Dubón , 2B (R) </t>
  </si>
  <si>
    <t xml:space="preserve">$2,900 $2,600 </t>
  </si>
  <si>
    <t xml:space="preserve">7.55 pts 9.85 pts pts </t>
  </si>
  <si>
    <t xml:space="preserve">8.08 pts 10.75 pts pts </t>
  </si>
  <si>
    <t xml:space="preserve">3. Y. Alvarez Y. Alvarez , DH (L) </t>
  </si>
  <si>
    <t xml:space="preserve">$6,100 $4,500 </t>
  </si>
  <si>
    <t xml:space="preserve">8.53 pts 11.49 pts pts </t>
  </si>
  <si>
    <t xml:space="preserve">6.99 pts 9.08 pts pts </t>
  </si>
  <si>
    <t xml:space="preserve">8.56 pts 11.22 pts pts </t>
  </si>
  <si>
    <t xml:space="preserve">6. J. Peña J. Peña , SS (R) </t>
  </si>
  <si>
    <t xml:space="preserve">$4,200 $3,100 </t>
  </si>
  <si>
    <t xml:space="preserve">7.9 pts 10.27 pts pts </t>
  </si>
  <si>
    <t xml:space="preserve">7. C. Julks C. Julks , LF (R) </t>
  </si>
  <si>
    <t xml:space="preserve">6.44 pts 8.35 pts pts </t>
  </si>
  <si>
    <t xml:space="preserve">8. Y. Diaz Y. Diaz , C (R) </t>
  </si>
  <si>
    <t xml:space="preserve">7 pts 9.18 pts pts </t>
  </si>
  <si>
    <t xml:space="preserve">9. J. Meyers J. Meyers , CF (R) </t>
  </si>
  <si>
    <t xml:space="preserve">5.95 pts 7.73 pts pts </t>
  </si>
  <si>
    <t xml:space="preserve">H. Brown H. Brown (R), 2-0 </t>
  </si>
  <si>
    <t xml:space="preserve">$8,000 $9,000 </t>
  </si>
  <si>
    <t xml:space="preserve">18.3 pts 33.48 pts pts </t>
  </si>
  <si>
    <t>TEX +150</t>
  </si>
  <si>
    <t>HOU -185</t>
  </si>
  <si>
    <t>TEX +1.5 (-135)</t>
  </si>
  <si>
    <t>HOU -1.5 (+118)</t>
  </si>
  <si>
    <t>o8 (-120)</t>
  </si>
  <si>
    <t>u8 (100)</t>
  </si>
  <si>
    <t>Chicago Cubs Cubs 1</t>
  </si>
  <si>
    <t xml:space="preserve">7 - 6, 3rd NL Central </t>
  </si>
  <si>
    <t xml:space="preserve">$3,800 $3,300 </t>
  </si>
  <si>
    <t xml:space="preserve">8.63 pts 11.11 pts pts </t>
  </si>
  <si>
    <t xml:space="preserve">8.23 pts 10.73 pts pts </t>
  </si>
  <si>
    <t xml:space="preserve">7.99 pts 10.51 pts pts </t>
  </si>
  <si>
    <t xml:space="preserve">7.46 pts 9.69 pts pts </t>
  </si>
  <si>
    <t xml:space="preserve">7.06 pts 9.35 pts pts </t>
  </si>
  <si>
    <t xml:space="preserve">6. T. Mancini T. Mancini , 1B (R) </t>
  </si>
  <si>
    <t xml:space="preserve">6.64 pts 8.63 pts pts </t>
  </si>
  <si>
    <t xml:space="preserve">7. E. Hosmer E. Hosmer , DH (L) </t>
  </si>
  <si>
    <t xml:space="preserve">6.37 pts 8.29 pts pts </t>
  </si>
  <si>
    <t xml:space="preserve">8. P. Wisdom P. Wisdom , 3B (R) </t>
  </si>
  <si>
    <t xml:space="preserve">7.19 pts 9.66 pts pts </t>
  </si>
  <si>
    <t xml:space="preserve">9. T. Barnhart T. Barnhart , C (L) </t>
  </si>
  <si>
    <t xml:space="preserve">5.26 pts 6.93 pts pts </t>
  </si>
  <si>
    <t xml:space="preserve">J. Taillon J. Taillon (R), 0-2 </t>
  </si>
  <si>
    <t xml:space="preserve">$8,200 $8,400 </t>
  </si>
  <si>
    <t xml:space="preserve">16.63 pts 30.1 pts pts </t>
  </si>
  <si>
    <t xml:space="preserve">8.69 pts 11.47 pts pts </t>
  </si>
  <si>
    <t xml:space="preserve">$5,500 $3,700 </t>
  </si>
  <si>
    <t xml:space="preserve">9.39 pts 12.31 pts pts </t>
  </si>
  <si>
    <t xml:space="preserve">3. M. Muncy M. Muncy , 3B (L) </t>
  </si>
  <si>
    <t xml:space="preserve">8.09 pts 10.92 pts pts </t>
  </si>
  <si>
    <t xml:space="preserve">4. J. Martinez J. Martinez , DH (R) </t>
  </si>
  <si>
    <t xml:space="preserve">7.57 pts 9.98 pts pts </t>
  </si>
  <si>
    <t xml:space="preserve">5. J. Outman J. Outman , LF (L) </t>
  </si>
  <si>
    <t xml:space="preserve">$3,600 $3,300 </t>
  </si>
  <si>
    <t xml:space="preserve">8.61 pts 11.39 pts pts </t>
  </si>
  <si>
    <t xml:space="preserve">7.44 pts 9.86 pts pts </t>
  </si>
  <si>
    <t xml:space="preserve">7. J. Heyward J. Heyward , CF (L) </t>
  </si>
  <si>
    <t xml:space="preserve">6.62 pts 8.66 pts pts </t>
  </si>
  <si>
    <t xml:space="preserve">8. M. Rojas M. Rojas , SS (R) </t>
  </si>
  <si>
    <t xml:space="preserve">5.92 pts 7.57 pts pts </t>
  </si>
  <si>
    <t xml:space="preserve">$2,800 $2,000 </t>
  </si>
  <si>
    <t xml:space="preserve">6.42 pts 8.49 pts pts </t>
  </si>
  <si>
    <t xml:space="preserve">M. Grove M. Grove (R), 0-1 </t>
  </si>
  <si>
    <t xml:space="preserve">$7,100 $7,100 </t>
  </si>
  <si>
    <t xml:space="preserve">15.13 pts 27.57 pts pts </t>
  </si>
  <si>
    <t>CHC +120</t>
  </si>
  <si>
    <t>LAD -146</t>
  </si>
  <si>
    <t>CHC +1.5 (-160)</t>
  </si>
  <si>
    <t>LAD -1.5 (+138)</t>
  </si>
  <si>
    <t>u8.5 (-121)</t>
  </si>
  <si>
    <t>Colorado Rockies Rockies 2</t>
  </si>
  <si>
    <t>Seattle Mariners Mariners 9</t>
  </si>
  <si>
    <t xml:space="preserve">5 - 10, 5th NL West </t>
  </si>
  <si>
    <t xml:space="preserve">7.34 pts 9.6 pts pts </t>
  </si>
  <si>
    <t xml:space="preserve">$5,200 $3,100 </t>
  </si>
  <si>
    <t xml:space="preserve">7.78 pts 10.21 pts pts </t>
  </si>
  <si>
    <t xml:space="preserve">7.22 pts 9.36 pts pts </t>
  </si>
  <si>
    <t xml:space="preserve">7.49 pts 9.97 pts pts </t>
  </si>
  <si>
    <t xml:space="preserve">5. R. McMahon R. McMahon , 2B (L) </t>
  </si>
  <si>
    <t xml:space="preserve">7.91 pts 10.31 pts pts </t>
  </si>
  <si>
    <t xml:space="preserve">6. E. Díaz E. Díaz , C (R) </t>
  </si>
  <si>
    <t xml:space="preserve">6.93 pts 9.11 pts pts </t>
  </si>
  <si>
    <t xml:space="preserve">7. E. Montero E. Montero , 3B (R) </t>
  </si>
  <si>
    <t xml:space="preserve">6.58 pts 8.6 pts pts </t>
  </si>
  <si>
    <t xml:space="preserve">8. Y. Daza Y. Daza , CF (R) </t>
  </si>
  <si>
    <t xml:space="preserve">6.22 pts 7.88 pts pts </t>
  </si>
  <si>
    <t xml:space="preserve">6.23 pts 8.11 pts pts </t>
  </si>
  <si>
    <t xml:space="preserve">R. Feltner R. Feltner (R), 0-2 </t>
  </si>
  <si>
    <t xml:space="preserve">$6,200 $6,700 </t>
  </si>
  <si>
    <t xml:space="preserve">13.66 pts 25.13 pts pts </t>
  </si>
  <si>
    <t xml:space="preserve">9.63 pts 12.47 pts pts </t>
  </si>
  <si>
    <t xml:space="preserve">8.03 pts 10.44 pts pts </t>
  </si>
  <si>
    <t xml:space="preserve">$3,900 $2,900 </t>
  </si>
  <si>
    <t xml:space="preserve">7.96 pts 10.61 pts pts </t>
  </si>
  <si>
    <t xml:space="preserve">4. C. Raleigh C. Raleigh , C (S) </t>
  </si>
  <si>
    <t xml:space="preserve">$3,700 $2,900 </t>
  </si>
  <si>
    <t xml:space="preserve">7.39 pts 9.91 pts pts </t>
  </si>
  <si>
    <t xml:space="preserve">5. T. Hernández T. Hernández , RF (R) </t>
  </si>
  <si>
    <t xml:space="preserve">$5,000 $2,900 </t>
  </si>
  <si>
    <t xml:space="preserve">8.24 pts 10.87 pts pts </t>
  </si>
  <si>
    <t xml:space="preserve">7.2 pts 9.53 pts pts </t>
  </si>
  <si>
    <t xml:space="preserve">7. T. La Stella T. L. Stella , DH (L) </t>
  </si>
  <si>
    <t xml:space="preserve">6.61 pts 8.56 pts pts </t>
  </si>
  <si>
    <t xml:space="preserve">8. K. Wong K. Wong , 2B (L) </t>
  </si>
  <si>
    <t xml:space="preserve">6.69 pts 8.72 pts pts </t>
  </si>
  <si>
    <t xml:space="preserve">5.99 pts 7.84 pts pts </t>
  </si>
  <si>
    <t xml:space="preserve">G. Kirby G. Kirby (R), 1-1 </t>
  </si>
  <si>
    <t xml:space="preserve">$7,700 $9,400 </t>
  </si>
  <si>
    <t xml:space="preserve">16.62 pts 32.12 pts pts </t>
  </si>
  <si>
    <t>COL +185</t>
  </si>
  <si>
    <t>SEA -225</t>
  </si>
  <si>
    <t>COL +1.5 (-105)</t>
  </si>
  <si>
    <t>SEA -1.5 (-111)</t>
  </si>
  <si>
    <t>o8 (105)</t>
  </si>
  <si>
    <t>u8 (-114)</t>
  </si>
  <si>
    <t>MLB Starting Lineups | April 16, 2023</t>
  </si>
  <si>
    <t>More Top Matchups for Sunday</t>
  </si>
  <si>
    <t>MLB Injury News: Padres, Brewers and More</t>
  </si>
  <si>
    <t>MLB action on the day also features a matchup between Rafael Devers (.276/.333/.672, two doubles, seven home runs and 15 RBI) and Mike Trout (.300/.462/.580, five doubles, three home runs and nine RBI) as the Boston Red Sox (7-8) host the Los Angeles Angels (7-7) at Fenway Park.</t>
  </si>
  <si>
    <t>The Red Sox will give the start to Garrett Whitlock while the Angels look to Reid Detmers.</t>
  </si>
  <si>
    <t>Also on Sunday, there is a clash at Yankee Stadium between the New York Yankees (9-6) and the Minnesota Twins (10-5), with Gleyber Torres (.283 AVG, two doubles, a triple, two home runs and six RBI) and Byron Buxton (.250 AVG, a double, a triple, two home runs and five RBI) the star attractions at the plate for their respective squads.</t>
  </si>
  <si>
    <t>The Yankees will start Gerrit Cole (2-0) against the Twins and Pablo Lopez.</t>
  </si>
  <si>
    <t>Looking elsewhere around Major League Baseball, Thairo Estrada's San Francisco Giants (5-9) and Nick Maton's Detroit Tigers (5-9) will square off at Comerica Park on Sunday. Estrada is hitting .365/.411/.615, while Maton owns a .195/.313/.463 triple slash line.</t>
  </si>
  <si>
    <t>The Giants will start Logan Webb (0-2) versus the Tigers and Matthew Boyd (0-1).</t>
  </si>
  <si>
    <t>The Padres have won three of their four games this season when striking out 10 or more opposing batters.</t>
  </si>
  <si>
    <t>The Padres have played nine home games this season and allowed 1.4 homers per contest there, compared to 0.6 on the road.</t>
  </si>
  <si>
    <t>The Brewers have gone 5-1 in games when the starter goes at least six innings while allowing three or fewer earned runs.</t>
  </si>
  <si>
    <t>The Brewers are averaging 2.3 extra-base hits per game while slugging .409 on the road.</t>
  </si>
  <si>
    <t>The Dodgers have won four of their six games this season when striking out 10 or more opposing batters.</t>
  </si>
  <si>
    <t>In eight home games this season, the Dodgers have a batting average of .227 while averaging 7.1 base hits per contest.</t>
  </si>
  <si>
    <t>The Cubs are 3-1 this season in games when they hit at least two home runs.</t>
  </si>
  <si>
    <t>The Cubs average 6.8 runs per road game.</t>
  </si>
  <si>
    <t>Brewers: Gus Varland: Active (hand), Brandon Woodruff: 15-Day Injured List (shoulder), Aaron Ashby: 60-Day Injured List (shoulder), Adrian Houser: 15-Day Injured List (groin), Justin Wilson: 60-Day Injured List (elbow), Luis Urías: 10-Day Injured List (hamstring), Tyrone Taylor: 10-Day Injured List (elbow), Jason Alexander: 60-Day Injured List (shouder)</t>
  </si>
  <si>
    <t>Dodgers: Will Smith: Active (illness), Tony Gonsolin: 15-Day Injured List (ankle), J.P. Feyereisen: 60-Day Injured List (shoulder), Álex Reyes: 15-Day Injured List (shoulder), Ryan Pepiot: 15-Day Injured List (oblique), Gavin Lux: 60-Day Injured List (knee), Jimmy Nelson: 15-Day Injured List (elbow), Daniel Hudson: 15-Day Injured List (knee), Walker Buehler: 60-Day Injured List (elbow), Blake Treinen: 60-Day Injured List (shoulder)</t>
  </si>
  <si>
    <t>Cubs: Kyle Hendricks: 15-Day Injured List (shoulder), Codi Heuer: 60-Day Injured List (elbow), Ethan Roberts: 60-Day Injured List (elbow)</t>
  </si>
  <si>
    <t>Wins Above Replacement</t>
  </si>
  <si>
    <t>K. Bradish</t>
  </si>
  <si>
    <t>G. Canning</t>
  </si>
  <si>
    <t>SP 77</t>
  </si>
  <si>
    <t>Z. Eflin</t>
  </si>
  <si>
    <t>C. Sale</t>
  </si>
  <si>
    <t>SP 40</t>
  </si>
  <si>
    <t>(3-1)</t>
  </si>
  <si>
    <t>SP 68</t>
  </si>
  <si>
    <t>(4-0)</t>
  </si>
  <si>
    <t>SP 34</t>
  </si>
  <si>
    <t>J. Wentz</t>
  </si>
  <si>
    <t>M. Lorenzen</t>
  </si>
  <si>
    <t>A. DeSclafani</t>
  </si>
  <si>
    <t>(0-4)</t>
  </si>
  <si>
    <t>SP 69</t>
  </si>
  <si>
    <t>Noah Davis</t>
  </si>
  <si>
    <t>Cooper Criswell</t>
  </si>
  <si>
    <t>Jarren Duran</t>
  </si>
  <si>
    <t>Josh Taylor</t>
  </si>
  <si>
    <t>George Soriano</t>
  </si>
  <si>
    <t>José Butto</t>
  </si>
  <si>
    <t>Jimmy Yacabonis</t>
  </si>
  <si>
    <t>Richard Lovelady</t>
  </si>
  <si>
    <t>Luis F. Ortiz</t>
  </si>
  <si>
    <t>Reiss Knehr</t>
  </si>
  <si>
    <t>Justin Bruihl</t>
  </si>
  <si>
    <t>Brandon Hughes</t>
  </si>
  <si>
    <t>Darren McCaughan</t>
  </si>
  <si>
    <t>Brett Baty</t>
  </si>
  <si>
    <t>Brayan Bello</t>
  </si>
  <si>
    <t>Chadwick Tromp</t>
  </si>
  <si>
    <t>AlexA BregmanBregman</t>
  </si>
  <si>
    <t>VladimirV Guerrero Jr.Guerrero</t>
  </si>
  <si>
    <t>FranciscoF LindorLindor</t>
  </si>
  <si>
    <t>JeffJ McNeilMcNeil</t>
  </si>
  <si>
    <t>HunterH RenfroeRenfroe</t>
  </si>
  <si>
    <t xml:space="preserve">AB </t>
  </si>
  <si>
    <t xml:space="preserve">H </t>
  </si>
  <si>
    <t xml:space="preserve">RBI </t>
  </si>
  <si>
    <t>SP 99</t>
  </si>
  <si>
    <t>SP 38</t>
  </si>
  <si>
    <t>G. Ashcraft</t>
  </si>
  <si>
    <t>(2-2)</t>
  </si>
  <si>
    <t>SP 67</t>
  </si>
  <si>
    <t>TeoscarT HernándezHernandez</t>
  </si>
  <si>
    <t>MattM OlsonOlson</t>
  </si>
  <si>
    <t>SP 92</t>
  </si>
  <si>
    <t>(1-3)</t>
  </si>
  <si>
    <t>SP 130</t>
  </si>
  <si>
    <t>SP 123</t>
  </si>
  <si>
    <t>SP 44</t>
  </si>
  <si>
    <t>FreddieF FreemanFreeman</t>
  </si>
  <si>
    <t>Nestor Cortes Jr.</t>
  </si>
  <si>
    <t>T. Henry</t>
  </si>
  <si>
    <t>TBD</t>
  </si>
  <si>
    <t>SP 20</t>
  </si>
  <si>
    <t>SP 91</t>
  </si>
  <si>
    <t>@CWS</t>
  </si>
  <si>
    <t>Mason Miller</t>
  </si>
  <si>
    <t>Tyler Freeman</t>
  </si>
  <si>
    <t>Jeff Brigham</t>
  </si>
  <si>
    <t>Oswald Peraza</t>
  </si>
  <si>
    <t>Jordan Diaz</t>
  </si>
  <si>
    <t>Enmanuel Valdez</t>
  </si>
  <si>
    <t>Brent Headrick</t>
  </si>
  <si>
    <t>Tayler Saucedo</t>
  </si>
  <si>
    <t>Levi Stoudt</t>
  </si>
  <si>
    <t>Anthony Misiewicz</t>
  </si>
  <si>
    <t>Daniel Bard</t>
  </si>
  <si>
    <t>JoJo Romero</t>
  </si>
  <si>
    <t>Greg Weissert</t>
  </si>
  <si>
    <t>Adam Haseley</t>
  </si>
  <si>
    <t>Blake Perkins</t>
  </si>
  <si>
    <t>Lucas Sims</t>
  </si>
  <si>
    <t>Tristan Beck</t>
  </si>
  <si>
    <t>Luke Weaver</t>
  </si>
  <si>
    <t>Yohan Ramirez</t>
  </si>
  <si>
    <t>Yonny Hernández</t>
  </si>
  <si>
    <t>Luke Williams</t>
  </si>
  <si>
    <t>Brett Sullivan</t>
  </si>
  <si>
    <t>Fernando Tatis Jr.</t>
  </si>
  <si>
    <t>Joe Mantiply</t>
  </si>
  <si>
    <t>ThairoT EstradaEstrada</t>
  </si>
  <si>
    <t>BrandonB NimmoNimmo</t>
  </si>
  <si>
    <t>JeimerJ CandelarioCandelario</t>
  </si>
  <si>
    <t>WanderW FrancoFranco</t>
  </si>
  <si>
    <t>StevenS KwanKwan</t>
  </si>
  <si>
    <t>ChristianC WalkerWalker</t>
  </si>
  <si>
    <t>Chad Wallach</t>
  </si>
  <si>
    <t>Jorge Polanco</t>
  </si>
  <si>
    <t>Yonny Hernandez</t>
  </si>
  <si>
    <t>Joey Lucchesi</t>
  </si>
  <si>
    <t>Jose Butto</t>
  </si>
  <si>
    <t>Ray Kerr</t>
  </si>
  <si>
    <t>Jeremiah Estrada</t>
  </si>
  <si>
    <t>Jake Reed</t>
  </si>
  <si>
    <t>SP 93</t>
  </si>
  <si>
    <t>(3-2)</t>
  </si>
  <si>
    <t>SP 72</t>
  </si>
  <si>
    <t>@WSH</t>
  </si>
  <si>
    <t>SP 127</t>
  </si>
  <si>
    <t>Paul DeJong</t>
  </si>
  <si>
    <t>SS/3B/ OF</t>
  </si>
  <si>
    <t>Freddy Fermin</t>
  </si>
  <si>
    <t>Logan Allen</t>
  </si>
  <si>
    <t>Bailey Ober</t>
  </si>
  <si>
    <t>Joe Musgrove</t>
  </si>
  <si>
    <t>Austin Warren</t>
  </si>
  <si>
    <t>Will Vest</t>
  </si>
  <si>
    <t>Edwin Uceta</t>
  </si>
  <si>
    <t>Elvis Peguero</t>
  </si>
  <si>
    <t>Simeon Woods Richardson</t>
  </si>
  <si>
    <t>Steven Okert</t>
  </si>
  <si>
    <t>Cristopher Sanchez</t>
  </si>
  <si>
    <t>SP 11</t>
  </si>
  <si>
    <t>SP 102</t>
  </si>
  <si>
    <t>SP 18</t>
  </si>
  <si>
    <t>T. Gonsolin</t>
  </si>
  <si>
    <t>(4-1)</t>
  </si>
  <si>
    <t>SP 47</t>
  </si>
  <si>
    <t>SP 27</t>
  </si>
  <si>
    <t>(1-4)</t>
  </si>
  <si>
    <t>SP 46</t>
  </si>
  <si>
    <t>https://www.mlb.com/stats/team</t>
  </si>
  <si>
    <t>Cristopher Sánchez</t>
  </si>
  <si>
    <t>TaylorT WardWard</t>
  </si>
  <si>
    <t>JoshJ JungJung</t>
  </si>
  <si>
    <t>PaulP GoldschmidtGoldschmidt</t>
  </si>
  <si>
    <t>JonathanJ IndiaIndia</t>
  </si>
  <si>
    <t>ShoheiS OhtaniOhtani</t>
  </si>
  <si>
    <t>AndrewA BenintendiBenintendi</t>
  </si>
  <si>
    <t>Austin Slater</t>
  </si>
  <si>
    <t>Henry Ramos</t>
  </si>
  <si>
    <t>Mitch Haniger</t>
  </si>
  <si>
    <t>Brenton Doyle</t>
  </si>
  <si>
    <t>Tommy Henry</t>
  </si>
  <si>
    <t>Jake Cousins</t>
  </si>
  <si>
    <t>Brennan Bernardino</t>
  </si>
  <si>
    <t>Alex Claudio</t>
  </si>
  <si>
    <t>Sean Nolin</t>
  </si>
  <si>
    <t>SP 96</t>
  </si>
  <si>
    <t>SP 126</t>
  </si>
  <si>
    <t>L. Giolito</t>
  </si>
  <si>
    <t>SP 89</t>
  </si>
  <si>
    <t>SP 42</t>
  </si>
  <si>
    <t>SP 36</t>
  </si>
  <si>
    <t>SP 71</t>
  </si>
  <si>
    <t>SP 78</t>
  </si>
  <si>
    <t>M. Scherzer</t>
  </si>
  <si>
    <t>J. Musgrove</t>
  </si>
  <si>
    <t>(2-3)</t>
  </si>
  <si>
    <t>A. Wainwright</t>
  </si>
  <si>
    <t>SP 88</t>
  </si>
  <si>
    <t>SP 13</t>
  </si>
  <si>
    <t>NickN CastellanosCastellanos</t>
  </si>
  <si>
    <t>NolanN ArenadoArenado</t>
  </si>
  <si>
    <t>Miguel Andujar</t>
  </si>
  <si>
    <t>Emmanuel Rivera</t>
  </si>
  <si>
    <t>Zack Short</t>
  </si>
  <si>
    <t>Taylor Trammell</t>
  </si>
  <si>
    <t>Randal Grichuk</t>
  </si>
  <si>
    <t>Michael Busch</t>
  </si>
  <si>
    <t>Joey Ortiz</t>
  </si>
  <si>
    <t>Dominic Fletcher</t>
  </si>
  <si>
    <t>Drew Maggi</t>
  </si>
  <si>
    <t>Maikel Garcia</t>
  </si>
  <si>
    <t>Matt Reynolds</t>
  </si>
  <si>
    <t>Harrison Bader</t>
  </si>
  <si>
    <t>Jeter Downs</t>
  </si>
  <si>
    <t>Xavier Edwards</t>
  </si>
  <si>
    <t>Dalton Guthrie</t>
  </si>
  <si>
    <t>Cal Stevenson</t>
  </si>
  <si>
    <t>Tyrone Taylor</t>
  </si>
  <si>
    <t>Bryce Harper</t>
  </si>
  <si>
    <t>Rylan Bannon</t>
  </si>
  <si>
    <t>Andy Ibanez</t>
  </si>
  <si>
    <t>Tanner Bibee</t>
  </si>
  <si>
    <t>Bryce Miller</t>
  </si>
  <si>
    <t>Easton McGee</t>
  </si>
  <si>
    <t>Victor Gonzalez</t>
  </si>
  <si>
    <t>Tyson Miller</t>
  </si>
  <si>
    <t>Brock Stewart</t>
  </si>
  <si>
    <t>Cody Bolton</t>
  </si>
  <si>
    <t>Chase Silseth</t>
  </si>
  <si>
    <t>Konnor Pilkington</t>
  </si>
  <si>
    <t>Tom Cosgrove</t>
  </si>
  <si>
    <t>Nate Pearson</t>
  </si>
  <si>
    <t>Chris Devenski</t>
  </si>
  <si>
    <t>Zack Burdi</t>
  </si>
  <si>
    <t>Tony Gonsolin</t>
  </si>
  <si>
    <t>Andres Machado</t>
  </si>
  <si>
    <t>Guillermo Zuniga</t>
  </si>
  <si>
    <t>Jordan Weems</t>
  </si>
  <si>
    <t>Heath Hembree</t>
  </si>
  <si>
    <t>Brandon Bielak</t>
  </si>
  <si>
    <t>Matt Gage</t>
  </si>
  <si>
    <t>Josh Winder</t>
  </si>
  <si>
    <t>Cory Abbott</t>
  </si>
  <si>
    <t>DL Hall</t>
  </si>
  <si>
    <t>Bryan Hoeing</t>
  </si>
  <si>
    <t>Drew Rucinski</t>
  </si>
  <si>
    <t>Nick Mears</t>
  </si>
  <si>
    <t>Nick Ramirez</t>
  </si>
  <si>
    <t>Alex Colome</t>
  </si>
  <si>
    <t>Yerry Rodriguez</t>
  </si>
  <si>
    <t>Sam Long</t>
  </si>
  <si>
    <t>Luis Medina</t>
  </si>
  <si>
    <t>Johan Quezada</t>
  </si>
  <si>
    <t>Caleb Kilian</t>
  </si>
  <si>
    <t>B. Pfaadt</t>
  </si>
  <si>
    <t>SP 60</t>
  </si>
  <si>
    <t>(3-3)</t>
  </si>
  <si>
    <t>@KC</t>
  </si>
  <si>
    <t>B. Bello</t>
  </si>
  <si>
    <t>J. Taillon</t>
  </si>
  <si>
    <t>SP 133</t>
  </si>
  <si>
    <t>SP 117</t>
  </si>
  <si>
    <t>L. Allen</t>
  </si>
  <si>
    <t>T. Bibee</t>
  </si>
  <si>
    <t>C. Seabold</t>
  </si>
  <si>
    <t>SP 170</t>
  </si>
  <si>
    <t>(5-1)</t>
  </si>
  <si>
    <t>(4-3)</t>
  </si>
  <si>
    <t>SP 12</t>
  </si>
  <si>
    <t>L. Varland</t>
  </si>
  <si>
    <t>B. Ober</t>
  </si>
  <si>
    <t>(5-0)</t>
  </si>
  <si>
    <t>SP 167</t>
  </si>
  <si>
    <t>J. Verlander</t>
  </si>
  <si>
    <t>SP 26</t>
  </si>
  <si>
    <t>(4-2)</t>
  </si>
  <si>
    <t>(1-5)</t>
  </si>
  <si>
    <t>SP 100</t>
  </si>
  <si>
    <t>(2-4)</t>
  </si>
  <si>
    <t>SP 132</t>
  </si>
  <si>
    <t>J. Fleming</t>
  </si>
  <si>
    <t>D. Dunning</t>
  </si>
  <si>
    <t>J. Irvin</t>
  </si>
  <si>
    <t>SP 114</t>
  </si>
  <si>
    <t>SP 111</t>
  </si>
  <si>
    <t>Victor González</t>
  </si>
  <si>
    <t>Jake Bauers</t>
  </si>
  <si>
    <t>Andrés Machado</t>
  </si>
  <si>
    <t>Billy Hamilton</t>
  </si>
  <si>
    <t>Yimi García</t>
  </si>
  <si>
    <t>David Fry</t>
  </si>
  <si>
    <t>Yerry Rodríguez</t>
  </si>
  <si>
    <t>Alex Colomé</t>
  </si>
  <si>
    <t>Andy Ibáñez</t>
  </si>
  <si>
    <t>Romy González</t>
  </si>
  <si>
    <t>Nick Solak</t>
  </si>
  <si>
    <t>OzzieO AlbiesAlbies</t>
  </si>
  <si>
    <t>JulioJ RodríguezRodriguez</t>
  </si>
  <si>
    <t>GeorgeG SpringerSpringer</t>
  </si>
  <si>
    <t>EsteuryE RuizRuiz</t>
  </si>
  <si>
    <t>JJ Bleday</t>
  </si>
  <si>
    <t>Matt Mervis</t>
  </si>
  <si>
    <t>Chris Owings</t>
  </si>
  <si>
    <t>Alex Kirilloff</t>
  </si>
  <si>
    <t>Miguel Amaya</t>
  </si>
  <si>
    <t>Peyton Burdick</t>
  </si>
  <si>
    <t>Adam Engel</t>
  </si>
  <si>
    <t>Braden Shewmake</t>
  </si>
  <si>
    <t>Jake Irvin</t>
  </si>
  <si>
    <t>J.P. France</t>
  </si>
  <si>
    <t>Antonio Senzatela</t>
  </si>
  <si>
    <t>Chase Anderson</t>
  </si>
  <si>
    <t>Austin Cox</t>
  </si>
  <si>
    <t>Alex Faedo</t>
  </si>
  <si>
    <t>Juan Then</t>
  </si>
  <si>
    <t>Justin Verlander</t>
  </si>
  <si>
    <t>Max Castillo</t>
  </si>
  <si>
    <t>Adrian Houser</t>
  </si>
  <si>
    <t>Chi Chi Gonzalez</t>
  </si>
  <si>
    <t>Jonathan Heasley</t>
  </si>
  <si>
    <t>Adam Wainwright</t>
  </si>
  <si>
    <t>Raisel Iglesias</t>
  </si>
  <si>
    <t>Gavin Stone</t>
  </si>
  <si>
    <t>Brandon Pfaadt</t>
  </si>
  <si>
    <t>Spencer Patton</t>
  </si>
  <si>
    <t>Rico Garcia</t>
  </si>
  <si>
    <t>Sam Hentges</t>
  </si>
  <si>
    <t>Zach Muckenhirn</t>
  </si>
  <si>
    <t>Jay Jackson</t>
  </si>
  <si>
    <t>Jeff Hoffman</t>
  </si>
  <si>
    <t>James Naile</t>
  </si>
  <si>
    <t>Dominic Leone</t>
  </si>
  <si>
    <t>Bennett Sousa</t>
  </si>
  <si>
    <t>Cole Waites</t>
  </si>
  <si>
    <t>Austin Pruitt</t>
  </si>
  <si>
    <t>Wander Suero</t>
  </si>
  <si>
    <t>Sammy Peralta</t>
  </si>
  <si>
    <t>Zack Littell</t>
  </si>
  <si>
    <t>SP 62</t>
  </si>
  <si>
    <t>SP 23</t>
  </si>
  <si>
    <t>SP 120</t>
  </si>
  <si>
    <t>SP 85</t>
  </si>
  <si>
    <t>A. Gomber</t>
  </si>
  <si>
    <t>(3-4)</t>
  </si>
  <si>
    <t>SP 175</t>
  </si>
  <si>
    <t>SP 212</t>
  </si>
  <si>
    <t>SP 50</t>
  </si>
  <si>
    <t>N. Syndergaard</t>
  </si>
  <si>
    <t>(5-2)</t>
  </si>
  <si>
    <t>SP 75</t>
  </si>
  <si>
    <t>SP 232</t>
  </si>
  <si>
    <t>SP 101</t>
  </si>
  <si>
    <t>L. Ortiz</t>
  </si>
  <si>
    <t>SP 24</t>
  </si>
  <si>
    <t>SP 45</t>
  </si>
  <si>
    <t>(2-5)</t>
  </si>
  <si>
    <t>SP 35</t>
  </si>
  <si>
    <t>B. Miller</t>
  </si>
  <si>
    <t>SP 90</t>
  </si>
  <si>
    <t>SP 3</t>
  </si>
  <si>
    <t>Lourdes Gurriel</t>
  </si>
  <si>
    <t>Christopher Morel</t>
  </si>
  <si>
    <t>Ha-seong Kim</t>
  </si>
  <si>
    <t>Ji-Hwan Bae</t>
  </si>
  <si>
    <t>Mickey Moniak</t>
  </si>
  <si>
    <t>Casey Schmitt</t>
  </si>
  <si>
    <t>Matt McLain</t>
  </si>
  <si>
    <t>Oscar Mercado</t>
  </si>
  <si>
    <t>Patrick Bailey</t>
  </si>
  <si>
    <t>Michael Perez</t>
  </si>
  <si>
    <t>Jonathan Davis</t>
  </si>
  <si>
    <t>Ben Rortvedt</t>
  </si>
  <si>
    <t>Pablo Reyes</t>
  </si>
  <si>
    <t>Clint Frazier</t>
  </si>
  <si>
    <t>Mike Tauchman</t>
  </si>
  <si>
    <t>Greg Allen</t>
  </si>
  <si>
    <t>Gary Sanchez</t>
  </si>
  <si>
    <t>Sam Huff</t>
  </si>
  <si>
    <t>Josh Palacios</t>
  </si>
  <si>
    <t>Mark Vientos</t>
  </si>
  <si>
    <t>Chris Okey</t>
  </si>
  <si>
    <t>Bo Naylor</t>
  </si>
  <si>
    <t>Tres Barrera</t>
  </si>
  <si>
    <t>Livan Soto</t>
  </si>
  <si>
    <t>Jose Altuve</t>
  </si>
  <si>
    <t>Jake Alu</t>
  </si>
  <si>
    <t>Ernie Clement</t>
  </si>
  <si>
    <t>Michael Toglia</t>
  </si>
  <si>
    <t>Jake Marisnick</t>
  </si>
  <si>
    <t>Brayan Rocchio</t>
  </si>
  <si>
    <t>Jared Walsh</t>
  </si>
  <si>
    <t>Ben Lively</t>
  </si>
  <si>
    <t>Eury Perez</t>
  </si>
  <si>
    <t>Bobby Miller</t>
  </si>
  <si>
    <t>Matthew Liberatore</t>
  </si>
  <si>
    <t>James Paxton</t>
  </si>
  <si>
    <t>Luis Severino</t>
  </si>
  <si>
    <t>Brandon Williamson</t>
  </si>
  <si>
    <t>Jose De Leon</t>
  </si>
  <si>
    <t>Mike Mayers</t>
  </si>
  <si>
    <t>Peter Lambert</t>
  </si>
  <si>
    <t>Josh Walker</t>
  </si>
  <si>
    <t>Luis L. Ortiz</t>
  </si>
  <si>
    <t>Eduardo Salazar</t>
  </si>
  <si>
    <t>Ryan Walker</t>
  </si>
  <si>
    <t>Justin Garza</t>
  </si>
  <si>
    <t>Ryan Weber</t>
  </si>
  <si>
    <t>Cody Bradford</t>
  </si>
  <si>
    <t>Zack Weiss</t>
  </si>
  <si>
    <t>Drew Carlton</t>
  </si>
  <si>
    <t>Garrett Acton</t>
  </si>
  <si>
    <t>Deivi Garcia</t>
  </si>
  <si>
    <t>Jackson Kowar</t>
  </si>
  <si>
    <t>Dylan Covey</t>
  </si>
  <si>
    <t>Tyler Cyr</t>
  </si>
  <si>
    <t>Jacob Webb</t>
  </si>
  <si>
    <t>Trevor Megill</t>
  </si>
  <si>
    <t>Ryan Sherriff</t>
  </si>
  <si>
    <t>Matt Carasiti</t>
  </si>
  <si>
    <t>Thomas Hatch</t>
  </si>
  <si>
    <t>Parker Mushinski</t>
  </si>
  <si>
    <t>Austin Adams</t>
  </si>
  <si>
    <t>Karl Kauffmann</t>
  </si>
  <si>
    <t>Silvino Bracho</t>
  </si>
  <si>
    <t>Ranger Suarez</t>
  </si>
  <si>
    <t>Garrett Crochet</t>
  </si>
  <si>
    <t>Zach Neal</t>
  </si>
  <si>
    <t>Joe Barlow</t>
  </si>
  <si>
    <t>Dereck Rodriguez</t>
  </si>
  <si>
    <t>John King</t>
  </si>
  <si>
    <t>Nicholas Padilla</t>
  </si>
  <si>
    <t>Mychal Givens</t>
  </si>
  <si>
    <t>Erich Uelmen</t>
  </si>
  <si>
    <t>Nick Burdi</t>
  </si>
  <si>
    <t>Alan Busenitz</t>
  </si>
  <si>
    <t>Riley Pint</t>
  </si>
  <si>
    <t>Reyes Moronta</t>
  </si>
  <si>
    <t>Nick Wittgren</t>
  </si>
  <si>
    <t>Joely Rodriguez</t>
  </si>
  <si>
    <t>Fernando Abad</t>
  </si>
  <si>
    <t>36-15-0</t>
  </si>
  <si>
    <t>32-17-0</t>
  </si>
  <si>
    <t>31-18-0</t>
  </si>
  <si>
    <t>30-19-0</t>
  </si>
  <si>
    <t>31-20-0</t>
  </si>
  <si>
    <t>30-21-0</t>
  </si>
  <si>
    <t>29-21-0</t>
  </si>
  <si>
    <t>28-21-0</t>
  </si>
  <si>
    <t>27-22-0</t>
  </si>
  <si>
    <t>28-23-0</t>
  </si>
  <si>
    <t>26-24-0</t>
  </si>
  <si>
    <t>25-24-0</t>
  </si>
  <si>
    <t>25-25-0</t>
  </si>
  <si>
    <t>24-25-0</t>
  </si>
  <si>
    <t>23-26-0</t>
  </si>
  <si>
    <t>22-25-0</t>
  </si>
  <si>
    <t>22-26-0</t>
  </si>
  <si>
    <t>22-27-0</t>
  </si>
  <si>
    <t>23-29-0</t>
  </si>
  <si>
    <t>21-28-0</t>
  </si>
  <si>
    <t>21-29-0</t>
  </si>
  <si>
    <t>21-30-0</t>
  </si>
  <si>
    <t>15-36-0</t>
  </si>
  <si>
    <t>10-41-0</t>
  </si>
  <si>
    <t>29-22-0</t>
  </si>
  <si>
    <t>27-21-0</t>
  </si>
  <si>
    <t>28-22-0</t>
  </si>
  <si>
    <t>26-21-0</t>
  </si>
  <si>
    <t>27-23-0</t>
  </si>
  <si>
    <t>26-23-0</t>
  </si>
  <si>
    <t>27-24-0</t>
  </si>
  <si>
    <t>26-25-0</t>
  </si>
  <si>
    <t>23-27-0</t>
  </si>
  <si>
    <t>20-29-0</t>
  </si>
  <si>
    <t>19-30-0</t>
  </si>
  <si>
    <t>19-31-0</t>
  </si>
  <si>
    <t>19-32-0</t>
  </si>
  <si>
    <t>18-33-0</t>
  </si>
  <si>
    <t>17-33-0</t>
  </si>
  <si>
    <t>30-18-3</t>
  </si>
  <si>
    <t>30-18-2</t>
  </si>
  <si>
    <t>29-18-2</t>
  </si>
  <si>
    <t>29-19-1</t>
  </si>
  <si>
    <t>28-21-2</t>
  </si>
  <si>
    <t>26-20-3</t>
  </si>
  <si>
    <t>28-22-1</t>
  </si>
  <si>
    <t>27-23-2</t>
  </si>
  <si>
    <t>25-22-1</t>
  </si>
  <si>
    <t>25-22-3</t>
  </si>
  <si>
    <t>24-22-1</t>
  </si>
  <si>
    <t>25-23-2</t>
  </si>
  <si>
    <t>23-24-4</t>
  </si>
  <si>
    <t>24-26-1</t>
  </si>
  <si>
    <t>23-25-1</t>
  </si>
  <si>
    <t>23-25-3</t>
  </si>
  <si>
    <t>23-26-1</t>
  </si>
  <si>
    <t>23-26-2</t>
  </si>
  <si>
    <t>22-25-2</t>
  </si>
  <si>
    <t>22-26-1</t>
  </si>
  <si>
    <t>21-25-3</t>
  </si>
  <si>
    <t>21-26-3</t>
  </si>
  <si>
    <t>21-27-2</t>
  </si>
  <si>
    <t>17-30-2</t>
  </si>
  <si>
    <t>15-32-2</t>
  </si>
  <si>
    <t>Thu May 25</t>
  </si>
  <si>
    <t>Fri May 26</t>
  </si>
  <si>
    <t>Sat May 27</t>
  </si>
  <si>
    <t>Sun May 28</t>
  </si>
  <si>
    <t>Mon May 29</t>
  </si>
  <si>
    <t>Tue May 30</t>
  </si>
  <si>
    <t>Wed May 31</t>
  </si>
  <si>
    <t>SP 149</t>
  </si>
  <si>
    <t>(5-3)</t>
  </si>
  <si>
    <t>SP 54</t>
  </si>
  <si>
    <t>(6-2)</t>
  </si>
  <si>
    <t>D. Dodd</t>
  </si>
  <si>
    <t>SP 304</t>
  </si>
  <si>
    <t>J. Shuster</t>
  </si>
  <si>
    <t>(5-4)</t>
  </si>
  <si>
    <t>SP 48</t>
  </si>
  <si>
    <t>SP 7</t>
  </si>
  <si>
    <t>SP 87</t>
  </si>
  <si>
    <t>SP 143</t>
  </si>
  <si>
    <t>SP 105</t>
  </si>
  <si>
    <t>G. Whitlock</t>
  </si>
  <si>
    <t>SP 113</t>
  </si>
  <si>
    <t>K. Hendricks</t>
  </si>
  <si>
    <t>SP 187</t>
  </si>
  <si>
    <t>(6-1)</t>
  </si>
  <si>
    <t>SP 73</t>
  </si>
  <si>
    <t>(4-4)</t>
  </si>
  <si>
    <t>(3-5)</t>
  </si>
  <si>
    <t>J. Lambert</t>
  </si>
  <si>
    <t>SP 240</t>
  </si>
  <si>
    <t>B. Williamson</t>
  </si>
  <si>
    <t>SP 290</t>
  </si>
  <si>
    <t>B. Lively</t>
  </si>
  <si>
    <t>SP 286</t>
  </si>
  <si>
    <t>SP 213</t>
  </si>
  <si>
    <t>SP 14</t>
  </si>
  <si>
    <t>H. Gaddis</t>
  </si>
  <si>
    <t>SP 228</t>
  </si>
  <si>
    <t>(4-5)</t>
  </si>
  <si>
    <t>SP 172</t>
  </si>
  <si>
    <t>SP 253</t>
  </si>
  <si>
    <t>C. Anderson</t>
  </si>
  <si>
    <t>SP 333</t>
  </si>
  <si>
    <t>SP 278</t>
  </si>
  <si>
    <t>K. Kauffmann</t>
  </si>
  <si>
    <t>SP 363</t>
  </si>
  <si>
    <t>A. Faedo</t>
  </si>
  <si>
    <t>SP 237</t>
  </si>
  <si>
    <t>SP 266</t>
  </si>
  <si>
    <t>SP 107</t>
  </si>
  <si>
    <t>SP 63</t>
  </si>
  <si>
    <t>J. France</t>
  </si>
  <si>
    <t>SP 166</t>
  </si>
  <si>
    <t>B. Bielak</t>
  </si>
  <si>
    <t>SP 176</t>
  </si>
  <si>
    <t>(0-8)</t>
  </si>
  <si>
    <t>J. Barria</t>
  </si>
  <si>
    <t>SP 136</t>
  </si>
  <si>
    <t>@TB</t>
  </si>
  <si>
    <t>SP 121</t>
  </si>
  <si>
    <t>(6-4)</t>
  </si>
  <si>
    <t>G. Stone</t>
  </si>
  <si>
    <t>SP 190</t>
  </si>
  <si>
    <t>SP 332</t>
  </si>
  <si>
    <t>SP 64</t>
  </si>
  <si>
    <t>SP 112</t>
  </si>
  <si>
    <t>E. Perez</t>
  </si>
  <si>
    <t>SP 198</t>
  </si>
  <si>
    <t>SP 80</t>
  </si>
  <si>
    <t>SP 236</t>
  </si>
  <si>
    <t>A. Houser</t>
  </si>
  <si>
    <t>SP 206</t>
  </si>
  <si>
    <t>(7-1)</t>
  </si>
  <si>
    <t>C. Carrasco</t>
  </si>
  <si>
    <t>L. Severino</t>
  </si>
  <si>
    <t>J. Kaprielian</t>
  </si>
  <si>
    <t>SP 247</t>
  </si>
  <si>
    <t>SP 215</t>
  </si>
  <si>
    <t>L. Medina</t>
  </si>
  <si>
    <t>SP 177</t>
  </si>
  <si>
    <t>SP 157</t>
  </si>
  <si>
    <t>M. Strahm</t>
  </si>
  <si>
    <t>R. Suarez</t>
  </si>
  <si>
    <t>SP 74</t>
  </si>
  <si>
    <t>SP 264</t>
  </si>
  <si>
    <t>SP 135</t>
  </si>
  <si>
    <t>SP 138</t>
  </si>
  <si>
    <t>(1-6)</t>
  </si>
  <si>
    <t>SP 59</t>
  </si>
  <si>
    <t>R. Weathers</t>
  </si>
  <si>
    <t>S. Alexander</t>
  </si>
  <si>
    <t>SP 189</t>
  </si>
  <si>
    <t>A. Wood</t>
  </si>
  <si>
    <t>SP 83</t>
  </si>
  <si>
    <t>SP 21</t>
  </si>
  <si>
    <t>SP 159</t>
  </si>
  <si>
    <t>SP 145</t>
  </si>
  <si>
    <t>M. Liberatore</t>
  </si>
  <si>
    <t>SP 196</t>
  </si>
  <si>
    <t>(2-6)</t>
  </si>
  <si>
    <t>T. Glasnow</t>
  </si>
  <si>
    <t>T. Bradley</t>
  </si>
  <si>
    <t>SP 155</t>
  </si>
  <si>
    <t>(8-0)</t>
  </si>
  <si>
    <t>SP 94</t>
  </si>
  <si>
    <t>SP 30</t>
  </si>
  <si>
    <t>SP 226</t>
  </si>
  <si>
    <t>SP 164</t>
  </si>
  <si>
    <t>SP 131</t>
  </si>
  <si>
    <t>AnthonyA RizzoRizzo</t>
  </si>
  <si>
    <t>VinnieV PasquantinoPasquantino</t>
  </si>
  <si>
    <t>DaultonD VarshoVarsho</t>
  </si>
  <si>
    <t>PeteP AlonsoAlonso</t>
  </si>
  <si>
    <t>AndrewA VaughnVaughn</t>
  </si>
  <si>
    <t>DansbyD SwansonSwanson</t>
  </si>
  <si>
    <t>MookieM BettsBetts</t>
  </si>
  <si>
    <t>TyT FranceFrance</t>
  </si>
  <si>
    <t>LuisL Robert Jr.Robert</t>
  </si>
  <si>
    <t>AlecA BohmBohm</t>
  </si>
  <si>
    <t>CedricC MullinsMullins</t>
  </si>
  <si>
    <t>GleyberG TorresTorres</t>
  </si>
  <si>
    <t>MikeM TroutTrout</t>
  </si>
  <si>
    <t>Ke'BryanK HayesHayes</t>
  </si>
  <si>
    <t>XanderX BogaertsBogaerts</t>
  </si>
  <si>
    <t>WillsonW ContrerasContreras</t>
  </si>
  <si>
    <t>JorgeJ SolerSoler</t>
  </si>
  <si>
    <t>SpencerS SteerSteer</t>
  </si>
  <si>
    <t>AmedA RosarioRosario</t>
  </si>
  <si>
    <t>AnthonyA VolpeVolpe</t>
  </si>
  <si>
    <t>SpencerS TorkelsonTorkelson</t>
  </si>
  <si>
    <t>KyleK TuckerTucker</t>
  </si>
  <si>
    <t>ChristianC YelichYelich</t>
  </si>
  <si>
    <t>Óscar Mercado</t>
  </si>
  <si>
    <t>José De León</t>
  </si>
  <si>
    <t>Ranger Suárez</t>
  </si>
  <si>
    <t>Eury Pérez</t>
  </si>
  <si>
    <t>Guillermo Zuñiga</t>
  </si>
  <si>
    <t>Chi Chi González</t>
  </si>
  <si>
    <t>Lucas Erceg</t>
  </si>
  <si>
    <t>Dereck Rodríguez</t>
  </si>
  <si>
    <t>Deivi García</t>
  </si>
  <si>
    <t>Gary Sánchez</t>
  </si>
  <si>
    <t>Joely Rodríguez</t>
  </si>
  <si>
    <t>14-10</t>
  </si>
  <si>
    <t>13-12</t>
  </si>
  <si>
    <t>13-11</t>
  </si>
  <si>
    <t>14-14</t>
  </si>
  <si>
    <t>12-13</t>
  </si>
  <si>
    <t>17-7</t>
  </si>
  <si>
    <t>14-11</t>
  </si>
  <si>
    <t>15-9</t>
  </si>
  <si>
    <t>12-9</t>
  </si>
  <si>
    <t>12-15</t>
  </si>
  <si>
    <t>15-11</t>
  </si>
  <si>
    <t>11-15</t>
  </si>
  <si>
    <t>11-16</t>
  </si>
  <si>
    <t>15-8</t>
  </si>
  <si>
    <t>10-14</t>
  </si>
  <si>
    <t>10-10</t>
  </si>
  <si>
    <t>7-19</t>
  </si>
  <si>
    <t>15-10</t>
  </si>
  <si>
    <t>17-11</t>
  </si>
  <si>
    <t>5-20</t>
  </si>
  <si>
    <t>23-5</t>
  </si>
  <si>
    <t>16-8</t>
  </si>
  <si>
    <t>13-9</t>
  </si>
  <si>
    <t>17-9</t>
  </si>
  <si>
    <t>11-13</t>
  </si>
  <si>
    <t>9-17</t>
  </si>
  <si>
    <t>11-14</t>
  </si>
  <si>
    <t>8-17</t>
  </si>
  <si>
    <t>13-13</t>
  </si>
  <si>
    <t>13-10</t>
  </si>
  <si>
    <t>5-21</t>
  </si>
  <si>
    <t>12-12</t>
  </si>
  <si>
    <t>13-15</t>
  </si>
  <si>
    <t>9-15</t>
  </si>
  <si>
    <t>7-15</t>
  </si>
  <si>
    <t>9-16</t>
  </si>
  <si>
    <t>14-13</t>
  </si>
  <si>
    <t>13-16</t>
  </si>
  <si>
    <t>10-12</t>
  </si>
  <si>
    <t>9-14</t>
  </si>
  <si>
    <t>12-14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</si>
</sst>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_(* \(#,##0.00\);_(* &quot;-&quot;??_);_(@_)"/>
    <numFmt numFmtId="164" formatCode="0.0000"/>
    <numFmt numFmtId="165" formatCode="0.000"/>
    <numFmt numFmtId="166" formatCode="0.0"/>
    <numFmt numFmtId="167" formatCode="0_);\(0\)"/>
    <numFmt numFmtId="168" formatCode="0.000_);[Red]\(0.000\)"/>
    <numFmt numFmtId="169" formatCode="0.00_);[Red]\(0.00\)"/>
    <numFmt numFmtId="170" formatCode="0_);[Red]\(0\)"/>
    <numFmt numFmtId="171" formatCode="[$-F800]dddd\,\ mmmm\ dd\,\ yyyy"/>
    <numFmt numFmtId="172" formatCode="_(* #,##0_);_(* \(#,##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i/>
      <sz val="11"/>
      <color theme="0"/>
      <name val="Calibri"/>
      <family val="2"/>
      <scheme val="minor"/>
    </font>
    <font>
      <b/>
      <i/>
      <sz val="11"/>
      <color theme="0"/>
      <name val="Calibri"/>
      <family val="2"/>
      <scheme val="minor"/>
    </font>
    <font>
      <b/>
      <sz val="11"/>
      <color rgb="FFFFFF00"/>
      <name val="Calibri"/>
      <family val="2"/>
      <scheme val="minor"/>
    </font>
    <font>
      <i/>
      <sz val="11"/>
      <color theme="1"/>
      <name val="Calibri"/>
      <family val="2"/>
      <scheme val="minor"/>
    </font>
    <font>
      <u/>
      <sz val="11"/>
      <color theme="10"/>
      <name val="Calibri"/>
      <family val="2"/>
      <scheme val="minor"/>
    </font>
    <font>
      <b/>
      <i/>
      <sz val="11"/>
      <color theme="1"/>
      <name val="Calibri"/>
      <family val="2"/>
      <scheme val="minor"/>
    </font>
    <font>
      <b/>
      <u/>
      <sz val="11"/>
      <color theme="0"/>
      <name val="Calibri"/>
      <family val="2"/>
      <scheme val="minor"/>
    </font>
    <font>
      <strike/>
      <sz val="11"/>
      <color theme="1"/>
      <name val="Calibri"/>
      <family val="2"/>
      <scheme val="minor"/>
    </font>
    <font>
      <b/>
      <i/>
      <sz val="12"/>
      <color theme="0"/>
      <name val="Calibri"/>
      <family val="2"/>
      <scheme val="minor"/>
    </font>
    <font>
      <u/>
      <sz val="11"/>
      <color theme="0"/>
      <name val="Calibri"/>
      <family val="2"/>
      <scheme val="minor"/>
    </font>
    <font>
      <u/>
      <sz val="11"/>
      <color rgb="FF002060"/>
      <name val="Calibri"/>
      <family val="2"/>
      <scheme val="minor"/>
    </font>
    <font>
      <sz val="8"/>
      <name val="Calibri"/>
      <family val="2"/>
      <scheme val="minor"/>
    </font>
  </fonts>
  <fills count="31">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0" tint="-0.499984740745262"/>
        <bgColor indexed="64"/>
      </patternFill>
    </fill>
    <fill>
      <patternFill patternType="solid">
        <fgColor rgb="FFFF000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00000"/>
        <bgColor indexed="64"/>
      </patternFill>
    </fill>
    <fill>
      <patternFill patternType="solid">
        <fgColor rgb="FFFFC000"/>
        <bgColor indexed="64"/>
      </patternFill>
    </fill>
    <fill>
      <patternFill patternType="solid">
        <fgColor rgb="FF92D050"/>
        <bgColor indexed="64"/>
      </patternFill>
    </fill>
    <fill>
      <patternFill patternType="solid">
        <fgColor rgb="FF00B050"/>
        <bgColor indexed="64"/>
      </patternFill>
    </fill>
    <fill>
      <patternFill patternType="solid">
        <fgColor rgb="FF00B0F0"/>
        <bgColor indexed="64"/>
      </patternFill>
    </fill>
    <fill>
      <patternFill patternType="solid">
        <fgColor rgb="FF0070C0"/>
        <bgColor indexed="64"/>
      </patternFill>
    </fill>
    <fill>
      <patternFill patternType="solid">
        <fgColor rgb="FF002060"/>
        <bgColor indexed="64"/>
      </patternFill>
    </fill>
    <fill>
      <patternFill patternType="solid">
        <fgColor rgb="FF7030A0"/>
        <bgColor indexed="64"/>
      </patternFill>
    </fill>
    <fill>
      <patternFill patternType="solid">
        <fgColor rgb="FFCC99FF"/>
        <bgColor indexed="64"/>
      </patternFill>
    </fill>
    <fill>
      <patternFill patternType="solid">
        <fgColor rgb="FF996633"/>
        <bgColor indexed="64"/>
      </patternFill>
    </fill>
    <fill>
      <patternFill patternType="solid">
        <fgColor rgb="FFFF7C80"/>
        <bgColor indexed="64"/>
      </patternFill>
    </fill>
    <fill>
      <patternFill patternType="solid">
        <fgColor rgb="FF00CC99"/>
        <bgColor indexed="64"/>
      </patternFill>
    </fill>
    <fill>
      <patternFill patternType="solid">
        <fgColor theme="5"/>
        <bgColor indexed="64"/>
      </patternFill>
    </fill>
    <fill>
      <patternFill patternType="solid">
        <fgColor rgb="FFFFFF99"/>
        <bgColor indexed="64"/>
      </patternFill>
    </fill>
    <fill>
      <patternFill patternType="solid">
        <fgColor theme="8" tint="0.79998168889431442"/>
        <bgColor indexed="64"/>
      </patternFill>
    </fill>
    <fill>
      <patternFill patternType="solid">
        <fgColor theme="0"/>
        <bgColor indexed="64"/>
      </patternFill>
    </fill>
    <fill>
      <patternFill patternType="solid">
        <fgColor rgb="FF37D5D1"/>
        <bgColor indexed="64"/>
      </patternFill>
    </fill>
    <fill>
      <patternFill patternType="solid">
        <fgColor rgb="FFBAF0EF"/>
        <bgColor indexed="64"/>
      </patternFill>
    </fill>
    <fill>
      <patternFill patternType="solid">
        <fgColor theme="0" tint="-4.9989318521683403E-2"/>
        <bgColor indexed="64"/>
      </patternFill>
    </fill>
  </fills>
  <borders count="7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auto="1"/>
      </left>
      <right style="thin">
        <color auto="1"/>
      </right>
      <top style="medium">
        <color indexed="64"/>
      </top>
      <bottom style="thin">
        <color auto="1"/>
      </bottom>
      <diagonal/>
    </border>
    <border>
      <left style="thin">
        <color auto="1"/>
      </left>
      <right style="thin">
        <color auto="1"/>
      </right>
      <top style="thin">
        <color auto="1"/>
      </top>
      <bottom style="medium">
        <color indexed="64"/>
      </bottom>
      <diagonal/>
    </border>
    <border>
      <left/>
      <right style="thin">
        <color theme="0"/>
      </right>
      <top style="medium">
        <color indexed="64"/>
      </top>
      <bottom style="medium">
        <color indexed="64"/>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thin">
        <color theme="1"/>
      </left>
      <right style="thin">
        <color theme="1"/>
      </right>
      <top style="thin">
        <color theme="1"/>
      </top>
      <bottom style="thin">
        <color theme="1"/>
      </bottom>
      <diagonal/>
    </border>
    <border>
      <left style="medium">
        <color theme="0"/>
      </left>
      <right style="thin">
        <color theme="0"/>
      </right>
      <top style="medium">
        <color theme="0"/>
      </top>
      <bottom/>
      <diagonal/>
    </border>
    <border>
      <left style="thin">
        <color theme="0"/>
      </left>
      <right style="thin">
        <color theme="0"/>
      </right>
      <top style="medium">
        <color theme="0"/>
      </top>
      <bottom/>
      <diagonal/>
    </border>
    <border>
      <left style="thin">
        <color theme="0"/>
      </left>
      <right style="medium">
        <color theme="0"/>
      </right>
      <top style="medium">
        <color theme="0"/>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right/>
      <top style="medium">
        <color indexed="64"/>
      </top>
      <bottom style="thin">
        <color rgb="FFDE2E71"/>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style="medium">
        <color indexed="64"/>
      </right>
      <top style="medium">
        <color indexed="64"/>
      </top>
      <bottom/>
      <diagonal/>
    </border>
    <border>
      <left style="medium">
        <color theme="1"/>
      </left>
      <right style="medium">
        <color theme="1"/>
      </right>
      <top style="medium">
        <color theme="1"/>
      </top>
      <bottom style="thin">
        <color indexed="64"/>
      </bottom>
      <diagonal/>
    </border>
    <border>
      <left style="medium">
        <color theme="1"/>
      </left>
      <right style="medium">
        <color theme="1"/>
      </right>
      <top style="thin">
        <color indexed="64"/>
      </top>
      <bottom style="thin">
        <color indexed="64"/>
      </bottom>
      <diagonal/>
    </border>
    <border>
      <left style="medium">
        <color theme="1"/>
      </left>
      <right style="medium">
        <color theme="1"/>
      </right>
      <top style="thin">
        <color indexed="64"/>
      </top>
      <bottom style="medium">
        <color theme="1"/>
      </bottom>
      <diagonal/>
    </border>
    <border>
      <left style="medium">
        <color theme="1"/>
      </left>
      <right style="medium">
        <color theme="1"/>
      </right>
      <top style="medium">
        <color theme="1"/>
      </top>
      <bottom style="thin">
        <color theme="1"/>
      </bottom>
      <diagonal/>
    </border>
    <border>
      <left style="medium">
        <color theme="1"/>
      </left>
      <right style="medium">
        <color theme="1"/>
      </right>
      <top style="thin">
        <color theme="1"/>
      </top>
      <bottom style="thin">
        <color theme="1"/>
      </bottom>
      <diagonal/>
    </border>
    <border>
      <left style="medium">
        <color theme="1"/>
      </left>
      <right style="medium">
        <color theme="1"/>
      </right>
      <top style="thin">
        <color theme="1"/>
      </top>
      <bottom style="medium">
        <color theme="1"/>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right/>
      <top style="thin">
        <color theme="4" tint="0.39997558519241921"/>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theme="4" tint="0.39997558519241921"/>
      </top>
      <bottom style="thin">
        <color indexed="64"/>
      </bottom>
      <diagonal/>
    </border>
    <border>
      <left/>
      <right style="thin">
        <color indexed="64"/>
      </right>
      <top style="thin">
        <color theme="4" tint="0.39997558519241921"/>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s>
  <cellStyleXfs count="4">
    <xf numFmtId="0" fontId="0" fillId="0" borderId="0"/>
    <xf numFmtId="9" fontId="1" fillId="0" borderId="0" applyFont="0" applyFill="0" applyBorder="0" applyAlignment="0" applyProtection="0"/>
    <xf numFmtId="0" fontId="9" fillId="0" borderId="0" applyNumberFormat="0" applyFill="0" applyBorder="0" applyAlignment="0" applyProtection="0"/>
    <xf numFmtId="43" fontId="1" fillId="0" borderId="0" applyFont="0" applyFill="0" applyBorder="0" applyAlignment="0" applyProtection="0"/>
  </cellStyleXfs>
  <cellXfs count="309">
    <xf numFmtId="0" fontId="0" fillId="0" borderId="0" xfId="0"/>
    <xf numFmtId="0" fontId="0" fillId="0" borderId="0" xfId="0" applyAlignment="1">
      <alignment horizontal="center" vertical="center"/>
    </xf>
    <xf numFmtId="0" fontId="0" fillId="0" borderId="0" xfId="0" applyBorder="1" applyAlignment="1">
      <alignment horizontal="center" vertical="center"/>
    </xf>
    <xf numFmtId="0" fontId="3" fillId="2" borderId="1" xfId="0" applyFont="1" applyFill="1" applyBorder="1" applyAlignment="1">
      <alignment horizontal="center" vertical="center"/>
    </xf>
    <xf numFmtId="0" fontId="0" fillId="0" borderId="1" xfId="0" applyBorder="1" applyAlignment="1">
      <alignment horizontal="center" vertical="center"/>
    </xf>
    <xf numFmtId="0" fontId="0" fillId="3" borderId="0" xfId="0" applyFill="1"/>
    <xf numFmtId="0" fontId="6" fillId="3" borderId="3" xfId="0" applyFont="1" applyFill="1" applyBorder="1" applyAlignment="1">
      <alignment horizontal="center"/>
    </xf>
    <xf numFmtId="0" fontId="6" fillId="3"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6" fillId="3" borderId="3" xfId="0" applyFont="1" applyFill="1" applyBorder="1" applyAlignment="1">
      <alignment horizontal="left" vertical="center"/>
    </xf>
    <xf numFmtId="0" fontId="0" fillId="4" borderId="5" xfId="0" applyFill="1" applyBorder="1" applyAlignment="1">
      <alignment horizontal="center" vertical="center"/>
    </xf>
    <xf numFmtId="0" fontId="0" fillId="4" borderId="6" xfId="0" applyFill="1" applyBorder="1" applyAlignment="1">
      <alignment horizontal="center" vertical="center"/>
    </xf>
    <xf numFmtId="0" fontId="0" fillId="5" borderId="5" xfId="0" applyFill="1" applyBorder="1" applyAlignment="1">
      <alignment horizontal="center" vertical="center"/>
    </xf>
    <xf numFmtId="0" fontId="0" fillId="5" borderId="6" xfId="0" applyFill="1" applyBorder="1" applyAlignment="1">
      <alignment horizontal="center" vertical="center"/>
    </xf>
    <xf numFmtId="0" fontId="0" fillId="0" borderId="12" xfId="0" applyBorder="1"/>
    <xf numFmtId="0" fontId="0" fillId="0" borderId="14" xfId="0" applyBorder="1"/>
    <xf numFmtId="0" fontId="0" fillId="0" borderId="13"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6" fillId="3" borderId="9" xfId="0" applyFont="1" applyFill="1" applyBorder="1"/>
    <xf numFmtId="0" fontId="6" fillId="3" borderId="10" xfId="0" applyFont="1" applyFill="1" applyBorder="1" applyAlignment="1">
      <alignment horizontal="center" vertical="center"/>
    </xf>
    <xf numFmtId="0" fontId="6" fillId="3" borderId="11" xfId="0" applyFont="1" applyFill="1" applyBorder="1" applyAlignment="1">
      <alignment horizontal="center" vertical="center"/>
    </xf>
    <xf numFmtId="165" fontId="0" fillId="0" borderId="0" xfId="0" applyNumberFormat="1" applyAlignment="1">
      <alignment horizontal="center" vertical="center"/>
    </xf>
    <xf numFmtId="165" fontId="0" fillId="0" borderId="0" xfId="0" applyNumberFormat="1" applyBorder="1" applyAlignment="1">
      <alignment horizontal="center" vertical="center"/>
    </xf>
    <xf numFmtId="165" fontId="0" fillId="0" borderId="13" xfId="0" applyNumberFormat="1" applyBorder="1" applyAlignment="1">
      <alignment horizontal="center" vertical="center"/>
    </xf>
    <xf numFmtId="165" fontId="0" fillId="0" borderId="15" xfId="0" applyNumberFormat="1" applyBorder="1" applyAlignment="1">
      <alignment horizontal="center" vertical="center"/>
    </xf>
    <xf numFmtId="165" fontId="0" fillId="0" borderId="16" xfId="0" applyNumberFormat="1" applyBorder="1" applyAlignment="1">
      <alignment horizontal="center" vertical="center"/>
    </xf>
    <xf numFmtId="2" fontId="0" fillId="0" borderId="0" xfId="0" applyNumberFormat="1" applyBorder="1" applyAlignment="1">
      <alignment horizontal="center" vertical="center"/>
    </xf>
    <xf numFmtId="2" fontId="0" fillId="0" borderId="15" xfId="0" applyNumberFormat="1" applyBorder="1" applyAlignment="1">
      <alignment horizontal="center" vertical="center"/>
    </xf>
    <xf numFmtId="0" fontId="0" fillId="6" borderId="9" xfId="0" applyFill="1" applyBorder="1"/>
    <xf numFmtId="0" fontId="0" fillId="6" borderId="10" xfId="0" applyFill="1" applyBorder="1"/>
    <xf numFmtId="0" fontId="7" fillId="3" borderId="2" xfId="0" applyFont="1" applyFill="1" applyBorder="1" applyAlignment="1">
      <alignment horizontal="center"/>
    </xf>
    <xf numFmtId="0" fontId="7" fillId="3" borderId="2" xfId="0" applyFont="1" applyFill="1" applyBorder="1" applyAlignment="1">
      <alignment horizontal="center" vertical="center"/>
    </xf>
    <xf numFmtId="0" fontId="0" fillId="6" borderId="0" xfId="0" applyFill="1"/>
    <xf numFmtId="0" fontId="0" fillId="6" borderId="11" xfId="0" applyFill="1" applyBorder="1"/>
    <xf numFmtId="0" fontId="0" fillId="6" borderId="12" xfId="0" applyFill="1" applyBorder="1"/>
    <xf numFmtId="0" fontId="0" fillId="0" borderId="2" xfId="0" applyBorder="1" applyAlignment="1">
      <alignment horizontal="center" vertical="center"/>
    </xf>
    <xf numFmtId="0" fontId="2" fillId="3" borderId="18" xfId="0" applyFont="1" applyFill="1" applyBorder="1" applyAlignment="1">
      <alignment horizontal="center" vertical="center"/>
    </xf>
    <xf numFmtId="0" fontId="0" fillId="9" borderId="2" xfId="0" applyFill="1" applyBorder="1" applyAlignment="1">
      <alignment horizontal="center" vertical="center"/>
    </xf>
    <xf numFmtId="0" fontId="0" fillId="10" borderId="2" xfId="0" applyFill="1" applyBorder="1" applyAlignment="1">
      <alignment horizontal="center" vertical="center"/>
    </xf>
    <xf numFmtId="0" fontId="0" fillId="11" borderId="2" xfId="0" applyFill="1" applyBorder="1" applyAlignment="1">
      <alignment horizontal="center" vertical="center"/>
    </xf>
    <xf numFmtId="0" fontId="0" fillId="6" borderId="2" xfId="0" applyFill="1" applyBorder="1" applyAlignment="1">
      <alignment horizontal="center" vertical="center"/>
    </xf>
    <xf numFmtId="0" fontId="0" fillId="6" borderId="13" xfId="0" applyFill="1" applyBorder="1"/>
    <xf numFmtId="0" fontId="0" fillId="6" borderId="0" xfId="0" applyFill="1" applyAlignment="1">
      <alignment horizontal="center" vertical="center"/>
    </xf>
    <xf numFmtId="0" fontId="0" fillId="3" borderId="0" xfId="0" applyFill="1" applyAlignment="1">
      <alignment horizontal="center" vertic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18" xfId="0" applyBorder="1" applyAlignment="1">
      <alignment horizontal="center" vertical="center"/>
    </xf>
    <xf numFmtId="0" fontId="0" fillId="6" borderId="12" xfId="0" applyFill="1" applyBorder="1" applyAlignment="1">
      <alignment horizontal="center" vertical="center"/>
    </xf>
    <xf numFmtId="166" fontId="0" fillId="6" borderId="0" xfId="0" applyNumberFormat="1" applyFill="1" applyAlignment="1">
      <alignment horizontal="center" vertical="center"/>
    </xf>
    <xf numFmtId="164" fontId="0" fillId="2" borderId="2" xfId="0" applyNumberFormat="1" applyFill="1" applyBorder="1" applyAlignment="1">
      <alignment horizontal="center" vertical="center"/>
    </xf>
    <xf numFmtId="1" fontId="0" fillId="0" borderId="2" xfId="0" applyNumberFormat="1" applyBorder="1" applyAlignment="1">
      <alignment horizontal="center" vertical="center"/>
    </xf>
    <xf numFmtId="165" fontId="8" fillId="0" borderId="10" xfId="0" applyNumberFormat="1" applyFont="1" applyBorder="1" applyAlignment="1">
      <alignment horizontal="center" vertical="center"/>
    </xf>
    <xf numFmtId="166" fontId="0" fillId="6" borderId="0" xfId="0" applyNumberFormat="1" applyFill="1"/>
    <xf numFmtId="164" fontId="0" fillId="0" borderId="2" xfId="0" applyNumberFormat="1" applyBorder="1" applyAlignment="1">
      <alignment horizontal="center" vertical="center"/>
    </xf>
    <xf numFmtId="166" fontId="0" fillId="0" borderId="2" xfId="0" applyNumberFormat="1" applyBorder="1" applyAlignment="1">
      <alignment horizontal="center" vertical="center"/>
    </xf>
    <xf numFmtId="167" fontId="8" fillId="0" borderId="0" xfId="0" applyNumberFormat="1" applyFont="1" applyAlignment="1">
      <alignment horizontal="center" vertical="center"/>
    </xf>
    <xf numFmtId="165" fontId="0" fillId="0" borderId="2" xfId="0" applyNumberFormat="1" applyBorder="1" applyAlignment="1">
      <alignment horizontal="center" vertical="center"/>
    </xf>
    <xf numFmtId="168" fontId="8" fillId="0" borderId="0" xfId="0" applyNumberFormat="1" applyFont="1" applyAlignment="1">
      <alignment horizontal="center" vertical="center"/>
    </xf>
    <xf numFmtId="165" fontId="0" fillId="0" borderId="18" xfId="0" applyNumberFormat="1" applyBorder="1" applyAlignment="1">
      <alignment horizontal="center" vertical="center"/>
    </xf>
    <xf numFmtId="0" fontId="3" fillId="8" borderId="2" xfId="0" applyFont="1" applyFill="1" applyBorder="1" applyAlignment="1">
      <alignment horizontal="center" vertical="center" wrapText="1"/>
    </xf>
    <xf numFmtId="0" fontId="2" fillId="3" borderId="2" xfId="0" applyFont="1" applyFill="1" applyBorder="1" applyAlignment="1">
      <alignment horizontal="center"/>
    </xf>
    <xf numFmtId="10" fontId="0" fillId="6" borderId="0" xfId="1" applyNumberFormat="1" applyFont="1" applyFill="1" applyAlignment="1">
      <alignment horizontal="center" vertical="center"/>
    </xf>
    <xf numFmtId="0" fontId="0" fillId="6" borderId="14" xfId="0" applyFill="1" applyBorder="1"/>
    <xf numFmtId="0" fontId="0" fillId="6" borderId="15" xfId="0" applyFill="1" applyBorder="1"/>
    <xf numFmtId="0" fontId="0" fillId="6" borderId="15" xfId="0" applyFill="1" applyBorder="1" applyAlignment="1">
      <alignment horizontal="center" vertical="center"/>
    </xf>
    <xf numFmtId="0" fontId="0" fillId="6" borderId="16" xfId="0" applyFill="1" applyBorder="1"/>
    <xf numFmtId="2" fontId="0" fillId="0" borderId="2" xfId="0" applyNumberFormat="1" applyBorder="1" applyAlignment="1">
      <alignment horizontal="center" vertical="center"/>
    </xf>
    <xf numFmtId="0" fontId="3" fillId="2" borderId="2" xfId="0" applyFont="1" applyFill="1" applyBorder="1" applyAlignment="1">
      <alignment horizontal="center" vertical="center"/>
    </xf>
    <xf numFmtId="0" fontId="4" fillId="12" borderId="2" xfId="0" applyFont="1" applyFill="1" applyBorder="1" applyAlignment="1">
      <alignment horizontal="center"/>
    </xf>
    <xf numFmtId="0" fontId="4" fillId="7" borderId="2" xfId="0" applyFont="1" applyFill="1" applyBorder="1" applyAlignment="1">
      <alignment horizontal="center" vertical="center"/>
    </xf>
    <xf numFmtId="0" fontId="0" fillId="13" borderId="2" xfId="0" applyFill="1" applyBorder="1" applyAlignment="1">
      <alignment horizontal="center" vertical="center"/>
    </xf>
    <xf numFmtId="0" fontId="0" fillId="2" borderId="2" xfId="0" applyFill="1" applyBorder="1" applyAlignment="1">
      <alignment horizontal="center" vertical="center"/>
    </xf>
    <xf numFmtId="0" fontId="0" fillId="14" borderId="2" xfId="0" applyFill="1" applyBorder="1" applyAlignment="1">
      <alignment horizontal="center" vertical="center"/>
    </xf>
    <xf numFmtId="0" fontId="4" fillId="15" borderId="2" xfId="0" applyFont="1" applyFill="1" applyBorder="1" applyAlignment="1">
      <alignment horizontal="center" vertical="center"/>
    </xf>
    <xf numFmtId="0" fontId="0" fillId="16" borderId="2" xfId="0" applyFill="1" applyBorder="1" applyAlignment="1">
      <alignment horizontal="center" vertical="center"/>
    </xf>
    <xf numFmtId="0" fontId="4" fillId="17" borderId="2" xfId="0" applyFont="1" applyFill="1" applyBorder="1" applyAlignment="1">
      <alignment horizontal="center" vertical="center"/>
    </xf>
    <xf numFmtId="0" fontId="4" fillId="18" borderId="2" xfId="0" applyFont="1" applyFill="1" applyBorder="1" applyAlignment="1">
      <alignment horizontal="center" vertical="center"/>
    </xf>
    <xf numFmtId="0" fontId="4" fillId="19" borderId="2" xfId="0" applyFont="1" applyFill="1" applyBorder="1" applyAlignment="1">
      <alignment horizontal="center" vertical="center"/>
    </xf>
    <xf numFmtId="0" fontId="0" fillId="20" borderId="2" xfId="0" applyFill="1" applyBorder="1" applyAlignment="1">
      <alignment horizontal="center" vertical="center"/>
    </xf>
    <xf numFmtId="0" fontId="4" fillId="21" borderId="2" xfId="0" applyFont="1" applyFill="1" applyBorder="1" applyAlignment="1">
      <alignment horizontal="center" vertical="center"/>
    </xf>
    <xf numFmtId="0" fontId="0" fillId="22" borderId="2" xfId="0" applyFill="1" applyBorder="1" applyAlignment="1">
      <alignment horizontal="center" vertical="center"/>
    </xf>
    <xf numFmtId="0" fontId="0" fillId="23" borderId="2" xfId="0" applyFill="1" applyBorder="1" applyAlignment="1">
      <alignment horizontal="center" vertical="center"/>
    </xf>
    <xf numFmtId="0" fontId="4" fillId="3" borderId="2" xfId="0" applyFont="1" applyFill="1" applyBorder="1" applyAlignment="1">
      <alignment horizontal="center"/>
    </xf>
    <xf numFmtId="0" fontId="9" fillId="0" borderId="0" xfId="2"/>
    <xf numFmtId="0" fontId="0" fillId="0" borderId="0" xfId="0" pivotButton="1"/>
    <xf numFmtId="0" fontId="0" fillId="0" borderId="0" xfId="0" applyAlignment="1">
      <alignment horizontal="left"/>
    </xf>
    <xf numFmtId="0" fontId="0" fillId="0" borderId="0" xfId="0" applyNumberFormat="1"/>
    <xf numFmtId="165" fontId="0" fillId="0" borderId="0" xfId="0" applyNumberFormat="1"/>
    <xf numFmtId="0" fontId="0" fillId="0" borderId="0" xfId="0" applyNumberFormat="1" applyAlignment="1">
      <alignment horizontal="center" vertical="center"/>
    </xf>
    <xf numFmtId="0" fontId="0" fillId="0" borderId="12" xfId="0" applyBorder="1" applyAlignment="1">
      <alignment horizontal="center" vertical="center"/>
    </xf>
    <xf numFmtId="0" fontId="6" fillId="3" borderId="9" xfId="0" applyFont="1" applyFill="1" applyBorder="1" applyAlignment="1">
      <alignment horizontal="center" vertical="center"/>
    </xf>
    <xf numFmtId="0" fontId="10" fillId="8" borderId="0" xfId="0" applyFont="1" applyFill="1"/>
    <xf numFmtId="0" fontId="9" fillId="24" borderId="0" xfId="2" applyFill="1"/>
    <xf numFmtId="0" fontId="0" fillId="24" borderId="0" xfId="0" applyFill="1"/>
    <xf numFmtId="166" fontId="0" fillId="0" borderId="13" xfId="0" applyNumberFormat="1" applyBorder="1" applyAlignment="1">
      <alignment horizontal="center" vertical="center"/>
    </xf>
    <xf numFmtId="165" fontId="6" fillId="3" borderId="10" xfId="0" applyNumberFormat="1" applyFont="1" applyFill="1" applyBorder="1" applyAlignment="1">
      <alignment horizontal="center" vertical="center"/>
    </xf>
    <xf numFmtId="165" fontId="6" fillId="3" borderId="11" xfId="0" applyNumberFormat="1" applyFont="1" applyFill="1" applyBorder="1" applyAlignment="1">
      <alignment horizontal="center" vertical="center"/>
    </xf>
    <xf numFmtId="166" fontId="8" fillId="6" borderId="11" xfId="0" applyNumberFormat="1" applyFont="1" applyFill="1" applyBorder="1" applyAlignment="1">
      <alignment horizontal="center" vertical="center"/>
    </xf>
    <xf numFmtId="166" fontId="8" fillId="6" borderId="13" xfId="0" applyNumberFormat="1" applyFont="1" applyFill="1" applyBorder="1" applyAlignment="1">
      <alignment horizontal="center" vertical="center"/>
    </xf>
    <xf numFmtId="0" fontId="8" fillId="6" borderId="13" xfId="0" applyFont="1" applyFill="1" applyBorder="1" applyAlignment="1">
      <alignment horizontal="center" vertical="center"/>
    </xf>
    <xf numFmtId="0" fontId="8" fillId="6" borderId="16" xfId="0" applyFont="1" applyFill="1" applyBorder="1" applyAlignment="1">
      <alignment horizontal="center" vertical="center"/>
    </xf>
    <xf numFmtId="166" fontId="4" fillId="6" borderId="20" xfId="0" applyNumberFormat="1" applyFont="1" applyFill="1" applyBorder="1" applyAlignment="1">
      <alignment horizontal="center" vertical="center"/>
    </xf>
    <xf numFmtId="166" fontId="4" fillId="6" borderId="22" xfId="0" applyNumberFormat="1" applyFont="1" applyFill="1" applyBorder="1" applyAlignment="1">
      <alignment horizontal="center" vertical="center"/>
    </xf>
    <xf numFmtId="166" fontId="4" fillId="6" borderId="21" xfId="0" applyNumberFormat="1" applyFont="1" applyFill="1" applyBorder="1" applyAlignment="1">
      <alignment horizontal="center" vertical="center"/>
    </xf>
    <xf numFmtId="2" fontId="0" fillId="0" borderId="18" xfId="0" applyNumberFormat="1" applyBorder="1" applyAlignment="1">
      <alignment horizontal="center" vertical="center"/>
    </xf>
    <xf numFmtId="1" fontId="0" fillId="0" borderId="18" xfId="0" applyNumberFormat="1" applyBorder="1" applyAlignment="1">
      <alignment horizontal="center" vertical="center"/>
    </xf>
    <xf numFmtId="169" fontId="8" fillId="0" borderId="0" xfId="0" applyNumberFormat="1" applyFont="1" applyAlignment="1">
      <alignment horizontal="center" vertical="center"/>
    </xf>
    <xf numFmtId="170" fontId="8" fillId="0" borderId="0" xfId="0" applyNumberFormat="1" applyFont="1" applyAlignment="1">
      <alignment horizontal="center" vertical="center"/>
    </xf>
    <xf numFmtId="0" fontId="11" fillId="16" borderId="23" xfId="0" applyFont="1" applyFill="1" applyBorder="1"/>
    <xf numFmtId="0" fontId="11" fillId="16" borderId="4" xfId="0" applyFont="1" applyFill="1" applyBorder="1"/>
    <xf numFmtId="0" fontId="0" fillId="25" borderId="5" xfId="0" applyFill="1" applyBorder="1"/>
    <xf numFmtId="0" fontId="0" fillId="25" borderId="1" xfId="0" applyFill="1" applyBorder="1"/>
    <xf numFmtId="0" fontId="0" fillId="25" borderId="6" xfId="0" applyFill="1" applyBorder="1"/>
    <xf numFmtId="0" fontId="0" fillId="25" borderId="7" xfId="0" applyFill="1" applyBorder="1"/>
    <xf numFmtId="0" fontId="0" fillId="25" borderId="24" xfId="0" applyFill="1" applyBorder="1"/>
    <xf numFmtId="0" fontId="0" fillId="25" borderId="8" xfId="0" applyFill="1" applyBorder="1"/>
    <xf numFmtId="0" fontId="0" fillId="26" borderId="5" xfId="0" applyFill="1" applyBorder="1"/>
    <xf numFmtId="0" fontId="0" fillId="26" borderId="1" xfId="0" applyFill="1" applyBorder="1"/>
    <xf numFmtId="0" fontId="0" fillId="26" borderId="6" xfId="0" applyFill="1" applyBorder="1"/>
    <xf numFmtId="0" fontId="0" fillId="26" borderId="1" xfId="0" applyFill="1" applyBorder="1" applyProtection="1">
      <protection locked="0"/>
    </xf>
    <xf numFmtId="0" fontId="0" fillId="26" borderId="6" xfId="0" applyFill="1" applyBorder="1" applyProtection="1">
      <protection locked="0"/>
    </xf>
    <xf numFmtId="0" fontId="12" fillId="26" borderId="1" xfId="0" applyFont="1" applyFill="1" applyBorder="1"/>
    <xf numFmtId="0" fontId="0" fillId="26" borderId="1" xfId="0" quotePrefix="1" applyFill="1" applyBorder="1"/>
    <xf numFmtId="0" fontId="0" fillId="26" borderId="7" xfId="0" applyFill="1" applyBorder="1"/>
    <xf numFmtId="0" fontId="0" fillId="26" borderId="24" xfId="0" applyFill="1" applyBorder="1"/>
    <xf numFmtId="0" fontId="0" fillId="26" borderId="24" xfId="0" applyFill="1" applyBorder="1" applyProtection="1">
      <protection locked="0"/>
    </xf>
    <xf numFmtId="0" fontId="0" fillId="26" borderId="8" xfId="0" applyFill="1" applyBorder="1" applyProtection="1">
      <protection locked="0"/>
    </xf>
    <xf numFmtId="0" fontId="0" fillId="25" borderId="5" xfId="0" applyFill="1" applyBorder="1" applyProtection="1">
      <protection locked="0"/>
    </xf>
    <xf numFmtId="0" fontId="0" fillId="25" borderId="1" xfId="0" applyFill="1" applyBorder="1" applyProtection="1">
      <protection locked="0"/>
    </xf>
    <xf numFmtId="0" fontId="0" fillId="25" borderId="6" xfId="0" applyFill="1" applyBorder="1" applyProtection="1">
      <protection locked="0"/>
    </xf>
    <xf numFmtId="0" fontId="0" fillId="25" borderId="1" xfId="0" applyFill="1" applyBorder="1" applyAlignment="1" applyProtection="1">
      <alignment shrinkToFit="1"/>
      <protection locked="0"/>
    </xf>
    <xf numFmtId="0" fontId="0" fillId="25" borderId="7" xfId="0" applyFill="1" applyBorder="1" applyProtection="1">
      <protection locked="0"/>
    </xf>
    <xf numFmtId="0" fontId="0" fillId="25" borderId="24" xfId="0" applyFill="1" applyBorder="1" applyProtection="1">
      <protection locked="0"/>
    </xf>
    <xf numFmtId="0" fontId="0" fillId="25" borderId="8" xfId="0" applyFill="1" applyBorder="1" applyProtection="1">
      <protection locked="0"/>
    </xf>
    <xf numFmtId="171" fontId="0" fillId="0" borderId="0" xfId="0" applyNumberFormat="1"/>
    <xf numFmtId="16" fontId="0" fillId="0" borderId="0" xfId="0" applyNumberFormat="1"/>
    <xf numFmtId="0" fontId="2" fillId="3" borderId="25" xfId="0" applyFont="1" applyFill="1" applyBorder="1" applyAlignment="1">
      <alignment horizontal="center" vertical="center"/>
    </xf>
    <xf numFmtId="0" fontId="7" fillId="3" borderId="26" xfId="0" applyFont="1" applyFill="1" applyBorder="1" applyAlignment="1">
      <alignment horizontal="center"/>
    </xf>
    <xf numFmtId="0" fontId="7" fillId="3" borderId="27" xfId="0" applyFont="1" applyFill="1" applyBorder="1" applyAlignment="1">
      <alignment horizontal="center"/>
    </xf>
    <xf numFmtId="0" fontId="7" fillId="3" borderId="28" xfId="0" applyFont="1" applyFill="1" applyBorder="1" applyAlignment="1">
      <alignment horizontal="center"/>
    </xf>
    <xf numFmtId="0" fontId="6" fillId="19" borderId="17" xfId="0" applyFont="1" applyFill="1" applyBorder="1" applyAlignment="1">
      <alignment horizontal="center" vertical="center"/>
    </xf>
    <xf numFmtId="0" fontId="6" fillId="19" borderId="2" xfId="0" applyFont="1" applyFill="1" applyBorder="1" applyAlignment="1">
      <alignment horizontal="center" vertical="center"/>
    </xf>
    <xf numFmtId="1" fontId="6" fillId="19" borderId="2" xfId="0" applyNumberFormat="1" applyFont="1" applyFill="1" applyBorder="1" applyAlignment="1">
      <alignment horizontal="center" vertical="center"/>
    </xf>
    <xf numFmtId="1" fontId="6" fillId="3" borderId="2" xfId="0" applyNumberFormat="1" applyFont="1" applyFill="1" applyBorder="1" applyAlignment="1">
      <alignment horizontal="center" vertical="center"/>
    </xf>
    <xf numFmtId="49" fontId="0" fillId="0" borderId="0" xfId="0" applyNumberFormat="1"/>
    <xf numFmtId="0" fontId="4" fillId="3" borderId="0" xfId="0" applyFont="1" applyFill="1"/>
    <xf numFmtId="0" fontId="6" fillId="3" borderId="0" xfId="0" applyFont="1" applyFill="1"/>
    <xf numFmtId="0" fontId="13" fillId="3" borderId="0" xfId="0" applyFont="1" applyFill="1" applyAlignment="1">
      <alignment horizontal="center" vertical="center"/>
    </xf>
    <xf numFmtId="172" fontId="0" fillId="0" borderId="0" xfId="3" applyNumberFormat="1" applyFont="1"/>
    <xf numFmtId="0" fontId="6" fillId="3" borderId="30" xfId="0" applyFont="1" applyFill="1" applyBorder="1" applyAlignment="1">
      <alignment horizontal="center" vertical="center"/>
    </xf>
    <xf numFmtId="0" fontId="6" fillId="3" borderId="31" xfId="0" applyFont="1" applyFill="1" applyBorder="1" applyAlignment="1">
      <alignment horizontal="center" vertical="center"/>
    </xf>
    <xf numFmtId="0" fontId="6" fillId="3" borderId="32" xfId="0" applyFont="1" applyFill="1" applyBorder="1" applyAlignment="1">
      <alignment horizontal="center" vertical="center"/>
    </xf>
    <xf numFmtId="0" fontId="0" fillId="0" borderId="29" xfId="0" applyBorder="1" applyAlignment="1">
      <alignment horizontal="center" vertical="center"/>
    </xf>
    <xf numFmtId="10" fontId="0" fillId="0" borderId="29" xfId="0" applyNumberFormat="1" applyBorder="1" applyAlignment="1">
      <alignment horizontal="center" vertical="center"/>
    </xf>
    <xf numFmtId="14" fontId="0" fillId="0" borderId="29" xfId="0" applyNumberFormat="1"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10" fontId="0" fillId="0" borderId="34" xfId="0" applyNumberFormat="1"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0" fillId="0" borderId="37" xfId="0" applyBorder="1" applyAlignment="1">
      <alignment horizontal="center" vertical="center"/>
    </xf>
    <xf numFmtId="0" fontId="0" fillId="0" borderId="38" xfId="0" applyBorder="1" applyAlignment="1">
      <alignment horizontal="center" vertical="center"/>
    </xf>
    <xf numFmtId="14" fontId="0" fillId="0" borderId="39" xfId="0" applyNumberFormat="1" applyBorder="1" applyAlignment="1">
      <alignment horizontal="center" vertical="center"/>
    </xf>
    <xf numFmtId="10" fontId="0" fillId="0" borderId="39" xfId="0" applyNumberFormat="1" applyBorder="1" applyAlignment="1">
      <alignment horizontal="center" vertical="center"/>
    </xf>
    <xf numFmtId="0" fontId="0" fillId="0" borderId="39" xfId="0" applyBorder="1" applyAlignment="1">
      <alignment horizontal="center" vertical="center"/>
    </xf>
    <xf numFmtId="0" fontId="0" fillId="0" borderId="40" xfId="0" applyBorder="1" applyAlignment="1">
      <alignment horizontal="center" vertical="center"/>
    </xf>
    <xf numFmtId="0" fontId="6" fillId="3" borderId="0" xfId="0" applyFont="1" applyFill="1" applyAlignment="1">
      <alignment horizontal="center" vertical="center"/>
    </xf>
    <xf numFmtId="0" fontId="0" fillId="0" borderId="3" xfId="0" applyBorder="1" applyAlignment="1">
      <alignment horizontal="center" vertical="center"/>
    </xf>
    <xf numFmtId="0" fontId="0" fillId="0" borderId="23" xfId="0" applyBorder="1" applyAlignment="1">
      <alignment horizontal="center" vertical="center"/>
    </xf>
    <xf numFmtId="0" fontId="0" fillId="0" borderId="4" xfId="0" applyBorder="1" applyAlignment="1">
      <alignment horizontal="center" vertical="center"/>
    </xf>
    <xf numFmtId="0" fontId="0" fillId="0" borderId="24" xfId="0" applyBorder="1" applyAlignment="1">
      <alignment horizontal="center" vertical="center"/>
    </xf>
    <xf numFmtId="0" fontId="0" fillId="0" borderId="0" xfId="0" pivotButton="1" applyAlignment="1">
      <alignment horizontal="center" vertical="center"/>
    </xf>
    <xf numFmtId="9" fontId="0" fillId="0" borderId="0" xfId="1" applyFont="1"/>
    <xf numFmtId="166" fontId="0" fillId="0" borderId="0" xfId="0" applyNumberFormat="1" applyBorder="1" applyAlignment="1">
      <alignment horizontal="center" vertical="center"/>
    </xf>
    <xf numFmtId="166" fontId="0" fillId="0" borderId="15" xfId="0" applyNumberFormat="1" applyBorder="1" applyAlignment="1">
      <alignment horizontal="center" vertical="center"/>
    </xf>
    <xf numFmtId="0" fontId="0" fillId="2" borderId="0" xfId="0" applyFill="1"/>
    <xf numFmtId="9" fontId="0" fillId="0" borderId="0" xfId="1" applyFont="1" applyAlignment="1">
      <alignment horizontal="center" vertical="center"/>
    </xf>
    <xf numFmtId="0" fontId="0" fillId="0" borderId="9" xfId="0" applyBorder="1"/>
    <xf numFmtId="0" fontId="0" fillId="0" borderId="10" xfId="0" applyBorder="1"/>
    <xf numFmtId="0" fontId="0" fillId="0" borderId="11" xfId="0" applyBorder="1"/>
    <xf numFmtId="0" fontId="0" fillId="0" borderId="0" xfId="0" applyBorder="1"/>
    <xf numFmtId="0" fontId="0" fillId="0" borderId="13" xfId="0" applyBorder="1"/>
    <xf numFmtId="0" fontId="0" fillId="0" borderId="15" xfId="0" applyBorder="1"/>
    <xf numFmtId="0" fontId="0" fillId="0" borderId="16" xfId="0" applyBorder="1"/>
    <xf numFmtId="0" fontId="0" fillId="2" borderId="17" xfId="0" applyFill="1" applyBorder="1"/>
    <xf numFmtId="0" fontId="0" fillId="2" borderId="19" xfId="0" applyFill="1" applyBorder="1"/>
    <xf numFmtId="0" fontId="0" fillId="2" borderId="18" xfId="0" applyFill="1" applyBorder="1"/>
    <xf numFmtId="0" fontId="6" fillId="3" borderId="41" xfId="0" applyFont="1" applyFill="1" applyBorder="1" applyAlignment="1">
      <alignment horizontal="center" vertical="center"/>
    </xf>
    <xf numFmtId="2" fontId="0" fillId="0" borderId="0" xfId="0" applyNumberFormat="1" applyAlignment="1">
      <alignment horizontal="center" vertical="center"/>
    </xf>
    <xf numFmtId="0" fontId="0" fillId="5" borderId="42" xfId="0" applyFill="1" applyBorder="1" applyAlignment="1">
      <alignment horizontal="center" vertical="center"/>
    </xf>
    <xf numFmtId="0" fontId="0" fillId="0" borderId="42" xfId="0" applyBorder="1" applyAlignment="1">
      <alignment horizontal="center" vertical="center"/>
    </xf>
    <xf numFmtId="0" fontId="0" fillId="0" borderId="43" xfId="0" applyBorder="1" applyAlignment="1">
      <alignment horizontal="center" vertical="center"/>
    </xf>
    <xf numFmtId="0" fontId="0" fillId="5" borderId="44" xfId="0" applyFill="1" applyBorder="1" applyAlignment="1">
      <alignment horizontal="center" vertical="center"/>
    </xf>
    <xf numFmtId="0" fontId="0" fillId="0" borderId="44" xfId="0" applyBorder="1" applyAlignment="1">
      <alignment horizontal="center" vertical="center"/>
    </xf>
    <xf numFmtId="0" fontId="0" fillId="0" borderId="45" xfId="0" applyBorder="1" applyAlignment="1">
      <alignment horizontal="center" vertical="center"/>
    </xf>
    <xf numFmtId="0" fontId="0" fillId="5" borderId="46" xfId="0" applyFill="1" applyBorder="1" applyAlignment="1">
      <alignment horizontal="center" vertical="center"/>
    </xf>
    <xf numFmtId="0" fontId="0" fillId="0" borderId="46" xfId="0" applyBorder="1" applyAlignment="1">
      <alignment horizontal="center" vertical="center"/>
    </xf>
    <xf numFmtId="0" fontId="0" fillId="0" borderId="47" xfId="0" applyBorder="1" applyAlignment="1">
      <alignment horizontal="center" vertical="center"/>
    </xf>
    <xf numFmtId="0" fontId="6" fillId="3" borderId="48" xfId="0" applyFont="1" applyFill="1" applyBorder="1" applyAlignment="1">
      <alignment horizontal="center" vertical="center"/>
    </xf>
    <xf numFmtId="0" fontId="0" fillId="5" borderId="49" xfId="0" applyFill="1" applyBorder="1" applyAlignment="1">
      <alignment horizontal="center" vertical="center"/>
    </xf>
    <xf numFmtId="0" fontId="0" fillId="0" borderId="50" xfId="0" applyBorder="1" applyAlignment="1">
      <alignment horizontal="center" vertical="center"/>
    </xf>
    <xf numFmtId="0" fontId="0" fillId="5" borderId="50" xfId="0" applyFill="1" applyBorder="1" applyAlignment="1">
      <alignment horizontal="center" vertical="center"/>
    </xf>
    <xf numFmtId="0" fontId="0" fillId="0" borderId="51" xfId="0" applyBorder="1" applyAlignment="1">
      <alignment horizontal="center" vertical="center"/>
    </xf>
    <xf numFmtId="0" fontId="0" fillId="5" borderId="52" xfId="0" applyFill="1" applyBorder="1" applyAlignment="1">
      <alignment horizontal="center" vertical="center"/>
    </xf>
    <xf numFmtId="0" fontId="0" fillId="0" borderId="53" xfId="0" applyBorder="1" applyAlignment="1">
      <alignment horizontal="center" vertical="center"/>
    </xf>
    <xf numFmtId="0" fontId="0" fillId="5" borderId="53" xfId="0" applyFill="1" applyBorder="1" applyAlignment="1">
      <alignment horizontal="center" vertical="center"/>
    </xf>
    <xf numFmtId="0" fontId="0" fillId="0" borderId="54" xfId="0" applyBorder="1" applyAlignment="1">
      <alignment horizontal="center" vertical="center"/>
    </xf>
    <xf numFmtId="49" fontId="0" fillId="0" borderId="0" xfId="0" applyNumberFormat="1" applyAlignment="1">
      <alignment horizontal="center" vertical="center"/>
    </xf>
    <xf numFmtId="0" fontId="0" fillId="18" borderId="0" xfId="0" applyFill="1"/>
    <xf numFmtId="0" fontId="6" fillId="18" borderId="0" xfId="0" applyFont="1" applyFill="1" applyAlignment="1">
      <alignment horizontal="center" vertical="center"/>
    </xf>
    <xf numFmtId="0" fontId="9" fillId="24" borderId="0" xfId="2" applyFill="1" applyAlignment="1">
      <alignment horizontal="center"/>
    </xf>
    <xf numFmtId="0" fontId="0" fillId="0" borderId="0" xfId="0" applyAlignment="1">
      <alignment horizontal="center"/>
    </xf>
    <xf numFmtId="0" fontId="5" fillId="3" borderId="0" xfId="0" applyFont="1" applyFill="1" applyAlignment="1">
      <alignment horizontal="center" vertical="center"/>
    </xf>
    <xf numFmtId="0" fontId="6" fillId="28" borderId="2" xfId="0" applyFont="1" applyFill="1" applyBorder="1" applyAlignment="1">
      <alignment horizontal="center" vertical="center"/>
    </xf>
    <xf numFmtId="1" fontId="6" fillId="28" borderId="2" xfId="0" applyNumberFormat="1" applyFont="1" applyFill="1" applyBorder="1" applyAlignment="1">
      <alignment horizontal="center" vertical="center"/>
    </xf>
    <xf numFmtId="14" fontId="0" fillId="0" borderId="0" xfId="0" applyNumberFormat="1"/>
    <xf numFmtId="0" fontId="0" fillId="0" borderId="0" xfId="0" applyNumberFormat="1" applyBorder="1" applyAlignment="1">
      <alignment horizontal="center"/>
    </xf>
    <xf numFmtId="166" fontId="0" fillId="0" borderId="0" xfId="0" applyNumberFormat="1" applyBorder="1" applyAlignment="1">
      <alignment horizontal="center"/>
    </xf>
    <xf numFmtId="0" fontId="0" fillId="29" borderId="15" xfId="0" applyNumberFormat="1" applyFill="1" applyBorder="1" applyAlignment="1">
      <alignment horizontal="center"/>
    </xf>
    <xf numFmtId="0" fontId="0" fillId="0" borderId="62" xfId="0" applyBorder="1" applyAlignment="1">
      <alignment horizontal="left"/>
    </xf>
    <xf numFmtId="165" fontId="0" fillId="0" borderId="63" xfId="0" applyNumberFormat="1" applyBorder="1" applyAlignment="1">
      <alignment horizontal="center"/>
    </xf>
    <xf numFmtId="0" fontId="0" fillId="0" borderId="63" xfId="0" applyNumberFormat="1" applyBorder="1" applyAlignment="1">
      <alignment horizontal="center"/>
    </xf>
    <xf numFmtId="0" fontId="0" fillId="30" borderId="42" xfId="0" applyFill="1" applyBorder="1" applyAlignment="1">
      <alignment horizontal="left"/>
    </xf>
    <xf numFmtId="0" fontId="0" fillId="30" borderId="46" xfId="0" applyNumberFormat="1" applyFill="1" applyBorder="1" applyAlignment="1">
      <alignment horizontal="center"/>
    </xf>
    <xf numFmtId="0" fontId="0" fillId="30" borderId="61" xfId="0" applyNumberFormat="1" applyFill="1" applyBorder="1" applyAlignment="1">
      <alignment horizontal="center"/>
    </xf>
    <xf numFmtId="166" fontId="0" fillId="30" borderId="46" xfId="0" applyNumberFormat="1" applyFill="1" applyBorder="1" applyAlignment="1">
      <alignment horizontal="center"/>
    </xf>
    <xf numFmtId="165" fontId="0" fillId="30" borderId="61" xfId="0" applyNumberFormat="1" applyFill="1" applyBorder="1" applyAlignment="1">
      <alignment horizontal="center"/>
    </xf>
    <xf numFmtId="0" fontId="0" fillId="0" borderId="43" xfId="0" pivotButton="1" applyBorder="1"/>
    <xf numFmtId="0" fontId="0" fillId="0" borderId="66" xfId="0" applyBorder="1"/>
    <xf numFmtId="0" fontId="0" fillId="29" borderId="67" xfId="0" applyFill="1" applyBorder="1" applyAlignment="1">
      <alignment horizontal="center"/>
    </xf>
    <xf numFmtId="0" fontId="0" fillId="29" borderId="68" xfId="0" applyFill="1" applyBorder="1" applyAlignment="1">
      <alignment horizontal="center"/>
    </xf>
    <xf numFmtId="0" fontId="0" fillId="0" borderId="71" xfId="0" applyNumberFormat="1" applyBorder="1" applyAlignment="1">
      <alignment horizontal="center"/>
    </xf>
    <xf numFmtId="0" fontId="0" fillId="0" borderId="67" xfId="0" applyNumberFormat="1" applyBorder="1" applyAlignment="1">
      <alignment horizontal="center"/>
    </xf>
    <xf numFmtId="165" fontId="0" fillId="0" borderId="68" xfId="0" applyNumberFormat="1" applyBorder="1" applyAlignment="1">
      <alignment horizontal="center"/>
    </xf>
    <xf numFmtId="0" fontId="0" fillId="29" borderId="69" xfId="0" applyNumberFormat="1" applyFill="1" applyBorder="1" applyAlignment="1">
      <alignment horizontal="center"/>
    </xf>
    <xf numFmtId="0" fontId="0" fillId="29" borderId="24" xfId="0" applyFill="1" applyBorder="1"/>
    <xf numFmtId="0" fontId="0" fillId="29" borderId="24" xfId="0" applyFill="1" applyBorder="1" applyAlignment="1">
      <alignment horizontal="left"/>
    </xf>
    <xf numFmtId="0" fontId="0" fillId="29" borderId="71" xfId="0" applyFill="1" applyBorder="1" applyAlignment="1">
      <alignment horizontal="center" vertical="center"/>
    </xf>
    <xf numFmtId="0" fontId="3" fillId="29" borderId="42" xfId="0" applyFont="1" applyFill="1" applyBorder="1"/>
    <xf numFmtId="0" fontId="3" fillId="29" borderId="46" xfId="0" applyFont="1" applyFill="1" applyBorder="1" applyAlignment="1">
      <alignment horizontal="center" vertical="center"/>
    </xf>
    <xf numFmtId="0" fontId="3" fillId="29" borderId="46" xfId="0" applyFont="1" applyFill="1" applyBorder="1" applyAlignment="1">
      <alignment horizontal="center"/>
    </xf>
    <xf numFmtId="0" fontId="3" fillId="29" borderId="61" xfId="0" applyFont="1" applyFill="1" applyBorder="1" applyAlignment="1">
      <alignment horizontal="center"/>
    </xf>
    <xf numFmtId="0" fontId="3" fillId="29" borderId="64" xfId="0" applyFont="1" applyFill="1" applyBorder="1" applyAlignment="1">
      <alignment horizontal="left"/>
    </xf>
    <xf numFmtId="0" fontId="3" fillId="29" borderId="60" xfId="0" applyNumberFormat="1" applyFont="1" applyFill="1" applyBorder="1" applyAlignment="1">
      <alignment horizontal="center"/>
    </xf>
    <xf numFmtId="0" fontId="3" fillId="29" borderId="65" xfId="0" applyNumberFormat="1" applyFont="1" applyFill="1" applyBorder="1" applyAlignment="1">
      <alignment horizontal="center"/>
    </xf>
    <xf numFmtId="0" fontId="2" fillId="3" borderId="2" xfId="0" applyFont="1" applyFill="1" applyBorder="1" applyAlignment="1">
      <alignment horizontal="center" vertical="center"/>
    </xf>
    <xf numFmtId="2" fontId="0" fillId="0" borderId="67" xfId="0" applyNumberFormat="1" applyBorder="1" applyAlignment="1">
      <alignment horizontal="center"/>
    </xf>
    <xf numFmtId="165" fontId="0" fillId="0" borderId="67" xfId="0" applyNumberFormat="1" applyBorder="1" applyAlignment="1">
      <alignment horizontal="center"/>
    </xf>
    <xf numFmtId="0" fontId="0" fillId="29" borderId="71" xfId="0" applyFill="1" applyBorder="1" applyAlignment="1">
      <alignment horizontal="center"/>
    </xf>
    <xf numFmtId="0" fontId="0" fillId="29" borderId="68" xfId="0" applyFill="1" applyBorder="1" applyAlignment="1">
      <alignment horizontal="center" vertical="center"/>
    </xf>
    <xf numFmtId="0" fontId="0" fillId="29" borderId="72" xfId="0" applyFill="1" applyBorder="1" applyAlignment="1">
      <alignment horizontal="center"/>
    </xf>
    <xf numFmtId="166" fontId="0" fillId="0" borderId="22" xfId="0" applyNumberFormat="1" applyBorder="1" applyAlignment="1">
      <alignment horizontal="center" vertical="center"/>
    </xf>
    <xf numFmtId="165" fontId="0" fillId="29" borderId="15" xfId="0" applyNumberFormat="1" applyFill="1" applyBorder="1" applyAlignment="1">
      <alignment horizontal="center"/>
    </xf>
    <xf numFmtId="165" fontId="0" fillId="29" borderId="70" xfId="0" applyNumberFormat="1" applyFill="1" applyBorder="1" applyAlignment="1">
      <alignment horizontal="center"/>
    </xf>
    <xf numFmtId="0" fontId="6" fillId="3" borderId="9" xfId="0" applyFont="1" applyFill="1" applyBorder="1" applyAlignment="1">
      <alignment horizontal="left" vertical="center"/>
    </xf>
    <xf numFmtId="0" fontId="6" fillId="3" borderId="20" xfId="0" applyFont="1" applyFill="1" applyBorder="1" applyAlignment="1">
      <alignment horizontal="left" vertical="center"/>
    </xf>
    <xf numFmtId="0" fontId="6" fillId="3" borderId="11" xfId="0" applyFont="1" applyFill="1" applyBorder="1" applyAlignment="1">
      <alignment horizontal="left" vertical="center"/>
    </xf>
    <xf numFmtId="16" fontId="0" fillId="0" borderId="0" xfId="0" applyNumberFormat="1" applyAlignment="1">
      <alignment horizontal="center" vertical="center"/>
    </xf>
    <xf numFmtId="0" fontId="0" fillId="2" borderId="0" xfId="0" applyFill="1" applyAlignment="1">
      <alignment horizontal="center" vertical="center"/>
    </xf>
    <xf numFmtId="166" fontId="10" fillId="6" borderId="0" xfId="0" applyNumberFormat="1" applyFont="1" applyFill="1"/>
    <xf numFmtId="0" fontId="6" fillId="3" borderId="9" xfId="0" applyFont="1" applyFill="1" applyBorder="1" applyAlignment="1">
      <alignment horizontal="center" vertical="center"/>
    </xf>
    <xf numFmtId="0" fontId="6" fillId="3" borderId="10" xfId="0" applyFont="1" applyFill="1" applyBorder="1" applyAlignment="1">
      <alignment horizontal="center" vertical="center"/>
    </xf>
    <xf numFmtId="0" fontId="6" fillId="3" borderId="11" xfId="0" applyFont="1" applyFill="1" applyBorder="1" applyAlignment="1">
      <alignment horizontal="center" vertical="center"/>
    </xf>
    <xf numFmtId="0" fontId="3" fillId="8" borderId="17" xfId="0" applyFont="1" applyFill="1" applyBorder="1" applyAlignment="1">
      <alignment horizontal="center" vertical="center"/>
    </xf>
    <xf numFmtId="0" fontId="3" fillId="8" borderId="18" xfId="0" applyFont="1" applyFill="1" applyBorder="1" applyAlignment="1">
      <alignment horizontal="center" vertical="center"/>
    </xf>
    <xf numFmtId="0" fontId="3" fillId="8" borderId="17" xfId="0" applyFont="1" applyFill="1" applyBorder="1" applyAlignment="1">
      <alignment horizontal="center"/>
    </xf>
    <xf numFmtId="0" fontId="3" fillId="8" borderId="19" xfId="0" applyFont="1" applyFill="1" applyBorder="1" applyAlignment="1">
      <alignment horizontal="center"/>
    </xf>
    <xf numFmtId="0" fontId="3" fillId="8" borderId="18" xfId="0" applyFont="1" applyFill="1" applyBorder="1" applyAlignment="1">
      <alignment horizontal="center"/>
    </xf>
    <xf numFmtId="0" fontId="2" fillId="3" borderId="17" xfId="0" applyFont="1" applyFill="1" applyBorder="1" applyAlignment="1">
      <alignment horizontal="center" vertical="center"/>
    </xf>
    <xf numFmtId="0" fontId="2" fillId="3" borderId="18" xfId="0" applyFont="1" applyFill="1" applyBorder="1" applyAlignment="1">
      <alignment horizontal="center" vertical="center"/>
    </xf>
    <xf numFmtId="0" fontId="2" fillId="3" borderId="19" xfId="0" applyFont="1" applyFill="1" applyBorder="1" applyAlignment="1">
      <alignment horizontal="center" vertical="center"/>
    </xf>
    <xf numFmtId="0" fontId="6" fillId="19" borderId="17" xfId="0" applyFont="1" applyFill="1" applyBorder="1" applyAlignment="1">
      <alignment horizontal="center" vertical="center"/>
    </xf>
    <xf numFmtId="0" fontId="6" fillId="19" borderId="18" xfId="0" applyFont="1" applyFill="1" applyBorder="1" applyAlignment="1">
      <alignment horizontal="center" vertical="center"/>
    </xf>
    <xf numFmtId="0" fontId="5" fillId="28" borderId="17" xfId="0" applyFont="1" applyFill="1" applyBorder="1" applyAlignment="1">
      <alignment horizontal="center" vertical="center"/>
    </xf>
    <xf numFmtId="0" fontId="6" fillId="28" borderId="18" xfId="0" applyFont="1" applyFill="1" applyBorder="1" applyAlignment="1">
      <alignment horizontal="center" vertical="center"/>
    </xf>
    <xf numFmtId="166" fontId="0" fillId="6" borderId="11" xfId="0" applyNumberFormat="1" applyFill="1" applyBorder="1" applyAlignment="1">
      <alignment horizontal="center"/>
    </xf>
    <xf numFmtId="166" fontId="0" fillId="6" borderId="13" xfId="0" applyNumberFormat="1" applyFill="1" applyBorder="1" applyAlignment="1">
      <alignment horizontal="center"/>
    </xf>
    <xf numFmtId="166" fontId="0" fillId="6" borderId="9" xfId="0" applyNumberFormat="1" applyFill="1" applyBorder="1" applyAlignment="1">
      <alignment horizontal="center"/>
    </xf>
    <xf numFmtId="166" fontId="0" fillId="6" borderId="12" xfId="0" applyNumberFormat="1" applyFill="1" applyBorder="1" applyAlignment="1">
      <alignment horizontal="center"/>
    </xf>
    <xf numFmtId="0" fontId="0" fillId="0" borderId="17" xfId="0" quotePrefix="1" applyBorder="1" applyAlignment="1">
      <alignment horizontal="center" vertical="center"/>
    </xf>
    <xf numFmtId="0" fontId="0" fillId="0" borderId="18" xfId="0" quotePrefix="1" applyBorder="1" applyAlignment="1">
      <alignment horizontal="center" vertical="center"/>
    </xf>
    <xf numFmtId="0" fontId="3" fillId="0" borderId="20" xfId="0" applyFont="1" applyBorder="1" applyAlignment="1">
      <alignment horizontal="center" vertical="center"/>
    </xf>
    <xf numFmtId="0" fontId="3" fillId="0" borderId="22" xfId="0" applyFont="1" applyBorder="1" applyAlignment="1">
      <alignment horizontal="center" vertical="center"/>
    </xf>
    <xf numFmtId="0" fontId="3" fillId="0" borderId="21" xfId="0" applyFont="1" applyBorder="1" applyAlignment="1">
      <alignment horizontal="center" vertical="center"/>
    </xf>
    <xf numFmtId="1" fontId="2" fillId="6" borderId="17" xfId="0" applyNumberFormat="1" applyFont="1" applyFill="1" applyBorder="1" applyAlignment="1">
      <alignment horizontal="center"/>
    </xf>
    <xf numFmtId="1" fontId="2" fillId="6" borderId="18" xfId="0" applyNumberFormat="1" applyFont="1" applyFill="1" applyBorder="1" applyAlignment="1">
      <alignment horizontal="center"/>
    </xf>
    <xf numFmtId="0" fontId="4" fillId="3" borderId="0" xfId="0" applyFont="1" applyFill="1" applyAlignment="1">
      <alignment horizontal="center"/>
    </xf>
    <xf numFmtId="0" fontId="6" fillId="18" borderId="55" xfId="0" applyFont="1" applyFill="1" applyBorder="1" applyAlignment="1">
      <alignment horizontal="center" vertical="center"/>
    </xf>
    <xf numFmtId="0" fontId="6" fillId="18" borderId="56" xfId="0" applyFont="1" applyFill="1" applyBorder="1" applyAlignment="1">
      <alignment horizontal="center" vertical="center"/>
    </xf>
    <xf numFmtId="0" fontId="14" fillId="18" borderId="57" xfId="2" applyFont="1" applyFill="1" applyBorder="1" applyAlignment="1">
      <alignment horizontal="center"/>
    </xf>
    <xf numFmtId="0" fontId="14" fillId="18" borderId="58" xfId="2" applyFont="1" applyFill="1" applyBorder="1" applyAlignment="1">
      <alignment horizontal="center"/>
    </xf>
    <xf numFmtId="0" fontId="14" fillId="18" borderId="59" xfId="2" applyFont="1" applyFill="1" applyBorder="1" applyAlignment="1">
      <alignment horizontal="center"/>
    </xf>
    <xf numFmtId="0" fontId="15" fillId="27" borderId="57" xfId="2" applyFont="1" applyFill="1" applyBorder="1" applyAlignment="1">
      <alignment horizontal="center"/>
    </xf>
    <xf numFmtId="0" fontId="15" fillId="27" borderId="58" xfId="2" applyFont="1" applyFill="1" applyBorder="1" applyAlignment="1">
      <alignment horizontal="center"/>
    </xf>
    <xf numFmtId="0" fontId="15" fillId="27" borderId="59" xfId="2" applyFont="1" applyFill="1" applyBorder="1" applyAlignment="1">
      <alignment horizontal="center"/>
    </xf>
    <xf numFmtId="0" fontId="9" fillId="14" borderId="0" xfId="2" applyFill="1" applyAlignment="1">
      <alignment horizontal="center"/>
    </xf>
    <xf numFmtId="0" fontId="9" fillId="24" borderId="0" xfId="2" applyFill="1" applyAlignment="1">
      <alignment horizontal="center"/>
    </xf>
    <xf numFmtId="0" fontId="6" fillId="3" borderId="55" xfId="0" applyFont="1" applyFill="1" applyBorder="1" applyAlignment="1">
      <alignment horizontal="center" vertical="center"/>
    </xf>
    <xf numFmtId="0" fontId="6" fillId="3" borderId="56" xfId="0" applyFont="1" applyFill="1" applyBorder="1" applyAlignment="1">
      <alignment horizontal="center" vertical="center"/>
    </xf>
    <xf numFmtId="0" fontId="6" fillId="3" borderId="17" xfId="0" applyFont="1" applyFill="1" applyBorder="1" applyAlignment="1">
      <alignment horizontal="center"/>
    </xf>
    <xf numFmtId="0" fontId="6" fillId="3" borderId="19" xfId="0" applyFont="1" applyFill="1" applyBorder="1" applyAlignment="1">
      <alignment horizontal="center"/>
    </xf>
    <xf numFmtId="0" fontId="6" fillId="3" borderId="18" xfId="0" applyFont="1" applyFill="1" applyBorder="1" applyAlignment="1">
      <alignment horizontal="center"/>
    </xf>
    <xf numFmtId="0" fontId="0" fillId="24" borderId="0" xfId="0" applyFont="1" applyFill="1" applyAlignment="1">
      <alignment horizontal="center"/>
    </xf>
    <xf numFmtId="171" fontId="0" fillId="0" borderId="0" xfId="0" applyNumberFormat="1" applyAlignment="1">
      <alignment horizontal="center"/>
    </xf>
    <xf numFmtId="3" fontId="0" fillId="0" borderId="0" xfId="0" applyNumberFormat="1" applyAlignment="1">
      <alignment horizontal="center" vertical="center"/>
    </xf>
  </cellXfs>
  <cellStyles count="4">
    <cellStyle name="Comma" xfId="3" builtinId="3"/>
    <cellStyle name="Hyperlink" xfId="2" builtinId="8"/>
    <cellStyle name="Normal" xfId="0" builtinId="0"/>
    <cellStyle name="Percent" xfId="1" builtinId="5"/>
  </cellStyles>
  <dxfs count="1118">
    <dxf>
      <numFmt numFmtId="165" formatCode="0.000"/>
    </dxf>
    <dxf>
      <alignment vertical="center"/>
    </dxf>
    <dxf>
      <alignment horizontal="center"/>
    </dxf>
    <dxf>
      <alignment horizontal="center"/>
    </dxf>
    <dxf>
      <fill>
        <patternFill patternType="solid">
          <bgColor theme="9" tint="0.79998168889431442"/>
        </patternFill>
      </fill>
    </dxf>
    <dxf>
      <fill>
        <patternFill patternType="solid">
          <bgColor theme="9" tint="0.79998168889431442"/>
        </patternFill>
      </fill>
    </dxf>
    <dxf>
      <fill>
        <patternFill>
          <bgColor rgb="FFBAF0EF"/>
        </patternFill>
      </fill>
    </dxf>
    <dxf>
      <fill>
        <patternFill>
          <bgColor rgb="FFBAF0EF"/>
        </patternFill>
      </fill>
    </dxf>
    <dxf>
      <fill>
        <patternFill patternType="solid">
          <bgColor rgb="FFBAF0EF"/>
        </patternFill>
      </fill>
    </dxf>
    <dxf>
      <fill>
        <patternFill patternType="solid">
          <bgColor rgb="FFBAF0EF"/>
        </patternFill>
      </fill>
    </dxf>
    <dxf>
      <border>
        <bottom style="thin">
          <color indexed="64"/>
        </bottom>
      </border>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bottom style="thin">
          <color indexed="64"/>
        </bottom>
      </border>
    </dxf>
    <dxf>
      <border>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fill>
        <patternFill patternType="solid">
          <bgColor theme="0" tint="-4.9989318521683403E-2"/>
        </patternFill>
      </fill>
    </dxf>
    <dxf>
      <fill>
        <patternFill patternType="solid">
          <bgColor theme="0" tint="-4.9989318521683403E-2"/>
        </patternFill>
      </fill>
    </dxf>
    <dxf>
      <border>
        <top style="thin">
          <color indexed="64"/>
        </top>
        <bottom style="thin">
          <color indexed="64"/>
        </bottom>
      </border>
    </dxf>
    <dxf>
      <border>
        <top style="thin">
          <color indexed="64"/>
        </top>
        <bottom style="thin">
          <color indexed="64"/>
        </bottom>
      </border>
    </dxf>
    <dxf>
      <fill>
        <patternFill patternType="solid">
          <bgColor theme="0" tint="-4.9989318521683403E-2"/>
        </patternFill>
      </fill>
    </dxf>
    <dxf>
      <fill>
        <patternFill patternType="solid">
          <bgColor theme="0" tint="-4.9989318521683403E-2"/>
        </patternFill>
      </fill>
    </dxf>
    <dxf>
      <border>
        <top style="thin">
          <color indexed="64"/>
        </top>
        <bottom style="thin">
          <color indexed="64"/>
        </bottom>
      </border>
    </dxf>
    <dxf>
      <border>
        <top style="thin">
          <color indexed="64"/>
        </top>
        <bottom style="thin">
          <color indexed="64"/>
        </bottom>
      </border>
    </dxf>
    <dxf>
      <fill>
        <patternFill patternType="solid">
          <bgColor theme="0" tint="-4.9989318521683403E-2"/>
        </patternFill>
      </fill>
    </dxf>
    <dxf>
      <fill>
        <patternFill patternType="solid">
          <bgColor theme="0" tint="-4.9989318521683403E-2"/>
        </patternFill>
      </fill>
    </dxf>
    <dxf>
      <numFmt numFmtId="2" formatCode="0.00"/>
    </dxf>
    <dxf>
      <numFmt numFmtId="2" formatCode="0.00"/>
    </dxf>
    <dxf>
      <numFmt numFmtId="165" formatCode="0.000"/>
    </dxf>
    <dxf>
      <numFmt numFmtId="2" formatCode="0.00"/>
    </dxf>
    <dxf>
      <numFmt numFmtId="2" formatCode="0.00"/>
    </dxf>
    <dxf>
      <fill>
        <patternFill patternType="solid">
          <fgColor indexed="64"/>
          <bgColor rgb="FFBAF0EF"/>
        </patternFill>
      </fill>
      <alignment horizontal="center"/>
    </dxf>
    <dxf>
      <fill>
        <patternFill patternType="solid">
          <fgColor indexed="64"/>
          <bgColor rgb="FFBAF0EF"/>
        </patternFill>
      </fill>
      <alignment horizontal="center"/>
    </dxf>
    <dxf>
      <numFmt numFmtId="165" formatCode="0.000"/>
    </dxf>
    <dxf>
      <numFmt numFmtId="165" formatCode="0.000"/>
    </dxf>
    <dxf>
      <numFmt numFmtId="165" formatCode="0.000"/>
    </dxf>
    <dxf>
      <alignment horizontal="center"/>
    </dxf>
    <dxf>
      <alignment horizont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numFmt numFmtId="165" formatCode="0.000"/>
    </dxf>
    <dxf>
      <numFmt numFmtId="165" formatCode="0.000"/>
    </dxf>
    <dxf>
      <alignment horizontal="center"/>
    </dxf>
    <dxf>
      <alignment horizontal="center"/>
    </dxf>
    <dxf>
      <alignment horizontal="center"/>
    </dxf>
    <dxf>
      <alignment vertical="center"/>
    </dxf>
    <dxf>
      <alignment vertical="center"/>
    </dxf>
    <dxf>
      <alignment vertical="center"/>
    </dxf>
    <dxf>
      <numFmt numFmtId="165" formatCode="0.000"/>
    </dxf>
    <dxf>
      <alignment horizontal="center"/>
    </dxf>
    <dxf>
      <alignment horizontal="center"/>
    </dxf>
    <dxf>
      <alignment horizontal="center"/>
    </dxf>
    <dxf>
      <alignment vertical="center"/>
    </dxf>
    <dxf>
      <alignment vertical="center"/>
    </dxf>
    <dxf>
      <alignment vertical="center"/>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rgb="FF7030A0"/>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theme="1"/>
        </patternFill>
      </fill>
    </dxf>
    <dxf>
      <font>
        <color theme="0"/>
      </font>
      <fill>
        <patternFill>
          <bgColor theme="1"/>
        </patternFill>
      </fill>
    </dxf>
    <dxf>
      <font>
        <b/>
        <i/>
        <color theme="0"/>
      </font>
      <fill>
        <patternFill>
          <bgColor theme="1"/>
        </patternFill>
      </fill>
    </dxf>
    <dxf>
      <font>
        <b/>
        <i/>
        <color theme="0"/>
      </font>
      <fill>
        <patternFill>
          <bgColor theme="1"/>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ont>
        <b/>
        <i/>
        <color theme="0"/>
      </font>
      <fill>
        <patternFill>
          <bgColor rgb="FF7030A0"/>
        </patternFill>
      </fill>
    </dxf>
    <dxf>
      <fill>
        <patternFill>
          <bgColor rgb="FF99FFCC"/>
        </patternFill>
      </fill>
    </dxf>
    <dxf>
      <font>
        <b/>
        <i/>
        <color theme="7"/>
      </font>
      <fill>
        <patternFill>
          <bgColor theme="1"/>
        </patternFill>
      </fill>
    </dxf>
    <dxf>
      <font>
        <b/>
        <i/>
        <color theme="7"/>
      </font>
      <fill>
        <patternFill>
          <bgColor theme="1"/>
        </patternFill>
      </fill>
    </dxf>
    <dxf>
      <font>
        <b/>
        <i/>
        <color theme="7"/>
      </font>
      <fill>
        <patternFill>
          <bgColor theme="1"/>
        </patternFill>
      </fill>
    </dxf>
    <dxf>
      <font>
        <b/>
        <i/>
        <color theme="0"/>
      </font>
      <fill>
        <gradientFill degree="315">
          <stop position="0">
            <color rgb="FF37D5D1"/>
          </stop>
          <stop position="1">
            <color rgb="FFDE2E71"/>
          </stop>
        </gradientFill>
      </fill>
    </dxf>
    <dxf>
      <font>
        <color theme="0"/>
      </font>
      <fill>
        <patternFill>
          <bgColor rgb="FF37D5D1"/>
        </patternFill>
      </fill>
      <border>
        <left style="thin">
          <color auto="1"/>
        </left>
        <right style="thin">
          <color auto="1"/>
        </right>
        <top style="thin">
          <color auto="1"/>
        </top>
        <bottom style="thin">
          <color auto="1"/>
        </bottom>
        <vertical/>
        <horizontal/>
      </border>
    </dxf>
    <dxf>
      <font>
        <color theme="0"/>
      </font>
      <fill>
        <patternFill>
          <bgColor rgb="FF7030A0"/>
        </patternFill>
      </fill>
      <border>
        <left style="thin">
          <color auto="1"/>
        </left>
        <right style="thin">
          <color auto="1"/>
        </right>
        <top style="thin">
          <color auto="1"/>
        </top>
        <bottom style="thin">
          <color auto="1"/>
        </bottom>
        <vertical/>
        <horizontal/>
      </border>
    </dxf>
    <dxf>
      <fill>
        <patternFill>
          <bgColor theme="1"/>
        </patternFill>
      </fill>
    </dxf>
    <dxf>
      <numFmt numFmtId="165" formatCode="0.000"/>
    </dxf>
    <dxf>
      <numFmt numFmtId="165" formatCode="0.00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numFmt numFmtId="165" formatCode="0.000"/>
    </dxf>
    <dxf>
      <numFmt numFmtId="165" formatCode="0.000"/>
    </dxf>
    <dxf>
      <numFmt numFmtId="165" formatCode="0.000"/>
    </dxf>
    <dxf>
      <fill>
        <patternFill patternType="solid">
          <fgColor indexed="64"/>
          <bgColor rgb="FFBAF0EF"/>
        </patternFill>
      </fill>
      <alignment horizontal="center"/>
    </dxf>
    <dxf>
      <fill>
        <patternFill patternType="solid">
          <fgColor indexed="64"/>
          <bgColor rgb="FFBAF0EF"/>
        </patternFill>
      </fill>
      <alignment horizontal="center"/>
    </dxf>
    <dxf>
      <numFmt numFmtId="2" formatCode="0.00"/>
    </dxf>
    <dxf>
      <numFmt numFmtId="2" formatCode="0.00"/>
    </dxf>
    <dxf>
      <numFmt numFmtId="165" formatCode="0.000"/>
    </dxf>
    <dxf>
      <numFmt numFmtId="2" formatCode="0.00"/>
    </dxf>
    <dxf>
      <numFmt numFmtId="2" formatCode="0.00"/>
    </dxf>
    <dxf>
      <fill>
        <patternFill patternType="solid">
          <bgColor theme="0" tint="-4.9989318521683403E-2"/>
        </patternFill>
      </fill>
    </dxf>
    <dxf>
      <fill>
        <patternFill patternType="solid">
          <bgColor theme="0" tint="-4.9989318521683403E-2"/>
        </patternFill>
      </fill>
    </dxf>
    <dxf>
      <border>
        <top style="thin">
          <color indexed="64"/>
        </top>
        <bottom style="thin">
          <color indexed="64"/>
        </bottom>
      </border>
    </dxf>
    <dxf>
      <border>
        <top style="thin">
          <color indexed="64"/>
        </top>
        <bottom style="thin">
          <color indexed="64"/>
        </bottom>
      </border>
    </dxf>
    <dxf>
      <fill>
        <patternFill patternType="solid">
          <bgColor theme="0" tint="-4.9989318521683403E-2"/>
        </patternFill>
      </fill>
    </dxf>
    <dxf>
      <fill>
        <patternFill patternType="solid">
          <bgColor theme="0" tint="-4.9989318521683403E-2"/>
        </patternFill>
      </fill>
    </dxf>
    <dxf>
      <border>
        <top style="thin">
          <color indexed="64"/>
        </top>
        <bottom style="thin">
          <color indexed="64"/>
        </bottom>
      </border>
    </dxf>
    <dxf>
      <border>
        <top style="thin">
          <color indexed="64"/>
        </top>
        <bottom style="thin">
          <color indexed="64"/>
        </bottom>
      </border>
    </dxf>
    <dxf>
      <fill>
        <patternFill patternType="solid">
          <bgColor theme="0" tint="-4.9989318521683403E-2"/>
        </patternFill>
      </fill>
    </dxf>
    <dxf>
      <fill>
        <patternFill patternType="solid">
          <bgColor theme="0" tint="-4.9989318521683403E-2"/>
        </patternFill>
      </fill>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top style="thin">
          <color indexed="64"/>
        </top>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thin">
          <color indexed="64"/>
        </left>
        <right style="thin">
          <color indexed="64"/>
        </right>
        <top style="thin">
          <color indexed="64"/>
        </top>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border>
        <bottom style="thin">
          <color indexed="64"/>
        </bottom>
      </border>
    </dxf>
    <dxf>
      <fill>
        <patternFill patternType="solid">
          <bgColor rgb="FFBAF0EF"/>
        </patternFill>
      </fill>
    </dxf>
    <dxf>
      <fill>
        <patternFill patternType="solid">
          <bgColor rgb="FFBAF0EF"/>
        </patternFill>
      </fill>
    </dxf>
    <dxf>
      <fill>
        <patternFill>
          <bgColor rgb="FFBAF0EF"/>
        </patternFill>
      </fill>
    </dxf>
    <dxf>
      <fill>
        <patternFill>
          <bgColor rgb="FFBAF0EF"/>
        </patternFill>
      </fill>
    </dxf>
    <dxf>
      <fill>
        <patternFill patternType="solid">
          <bgColor theme="9" tint="0.79998168889431442"/>
        </patternFill>
      </fill>
    </dxf>
    <dxf>
      <fill>
        <patternFill patternType="solid">
          <bgColor theme="9" tint="0.79998168889431442"/>
        </patternFill>
      </fill>
    </dxf>
    <dxf>
      <alignment horizontal="center"/>
    </dxf>
    <dxf>
      <alignment horizontal="center"/>
    </dxf>
    <dxf>
      <alignment vertical="center"/>
    </dxf>
    <dxf>
      <numFmt numFmtId="165" formatCode="0.000"/>
    </dxf>
  </dxfs>
  <tableStyles count="0" defaultTableStyle="TableStyleMedium2" defaultPivotStyle="PivotStyleLight16"/>
  <colors>
    <mruColors>
      <color rgb="FF99FFCC"/>
      <color rgb="FFBAF0EF"/>
      <color rgb="FF37D5D1"/>
      <color rgb="FFDE2E71"/>
      <color rgb="FF49C3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openxmlformats.org/officeDocument/2006/relationships/connections" Target="connections.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[MLB QuickLook.xlsm]PIVOT!Batters</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PIVOT!$B$7</c:f>
              <c:strCache>
                <c:ptCount val="1"/>
                <c:pt idx="0">
                  <c:v>Bat AVG</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PIVOT!$A$8:$A$22</c:f>
              <c:strCache>
                <c:ptCount val="14"/>
                <c:pt idx="0">
                  <c:v>Yandy Diaz</c:v>
                </c:pt>
                <c:pt idx="1">
                  <c:v>Josh Lowe</c:v>
                </c:pt>
                <c:pt idx="2">
                  <c:v>Randy Arozarena</c:v>
                </c:pt>
                <c:pt idx="3">
                  <c:v>Harold Ramirez</c:v>
                </c:pt>
                <c:pt idx="4">
                  <c:v>Wander Franco</c:v>
                </c:pt>
                <c:pt idx="5">
                  <c:v>Isaac Paredes</c:v>
                </c:pt>
                <c:pt idx="6">
                  <c:v>Manuel Margot</c:v>
                </c:pt>
                <c:pt idx="7">
                  <c:v>Taylor Walls</c:v>
                </c:pt>
                <c:pt idx="8">
                  <c:v>Luke Raley</c:v>
                </c:pt>
                <c:pt idx="9">
                  <c:v>Jose Siri</c:v>
                </c:pt>
                <c:pt idx="10">
                  <c:v>Vidal Brujan</c:v>
                </c:pt>
                <c:pt idx="11">
                  <c:v>Christian Bethancourt</c:v>
                </c:pt>
                <c:pt idx="12">
                  <c:v>Francisco Mejia</c:v>
                </c:pt>
                <c:pt idx="13">
                  <c:v>Brandon Lowe</c:v>
                </c:pt>
              </c:strCache>
            </c:strRef>
          </c:cat>
          <c:val>
            <c:numRef>
              <c:f>PIVOT!$B$8:$B$22</c:f>
              <c:numCache>
                <c:formatCode>General</c:formatCode>
                <c:ptCount val="14"/>
                <c:pt idx="0">
                  <c:v>0.32200000000000001</c:v>
                </c:pt>
                <c:pt idx="1">
                  <c:v>0.307</c:v>
                </c:pt>
                <c:pt idx="2">
                  <c:v>0.30499999999999999</c:v>
                </c:pt>
                <c:pt idx="3">
                  <c:v>0.29899999999999999</c:v>
                </c:pt>
                <c:pt idx="4">
                  <c:v>0.28599999999999998</c:v>
                </c:pt>
                <c:pt idx="5">
                  <c:v>0.27300000000000002</c:v>
                </c:pt>
                <c:pt idx="6">
                  <c:v>0.254</c:v>
                </c:pt>
                <c:pt idx="7">
                  <c:v>0.252</c:v>
                </c:pt>
                <c:pt idx="8">
                  <c:v>0.252</c:v>
                </c:pt>
                <c:pt idx="9">
                  <c:v>0.25</c:v>
                </c:pt>
                <c:pt idx="10">
                  <c:v>0.25</c:v>
                </c:pt>
                <c:pt idx="11">
                  <c:v>0.24299999999999999</c:v>
                </c:pt>
                <c:pt idx="12">
                  <c:v>0.216</c:v>
                </c:pt>
                <c:pt idx="13">
                  <c:v>0.2</c:v>
                </c:pt>
              </c:numCache>
            </c:numRef>
          </c:val>
          <c:smooth val="0"/>
          <c:extLst>
            <c:ext xmlns:c16="http://schemas.microsoft.com/office/drawing/2014/chart" uri="{C3380CC4-5D6E-409C-BE32-E72D297353CC}">
              <c16:uniqueId val="{00000000-F833-46E7-B0E6-686F2351D307}"/>
            </c:ext>
          </c:extLst>
        </c:ser>
        <c:ser>
          <c:idx val="1"/>
          <c:order val="1"/>
          <c:tx>
            <c:strRef>
              <c:f>PIVOT!$C$7</c:f>
              <c:strCache>
                <c:ptCount val="1"/>
                <c:pt idx="0">
                  <c:v>On Base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PIVOT!$A$8:$A$22</c:f>
              <c:strCache>
                <c:ptCount val="14"/>
                <c:pt idx="0">
                  <c:v>Yandy Diaz</c:v>
                </c:pt>
                <c:pt idx="1">
                  <c:v>Josh Lowe</c:v>
                </c:pt>
                <c:pt idx="2">
                  <c:v>Randy Arozarena</c:v>
                </c:pt>
                <c:pt idx="3">
                  <c:v>Harold Ramirez</c:v>
                </c:pt>
                <c:pt idx="4">
                  <c:v>Wander Franco</c:v>
                </c:pt>
                <c:pt idx="5">
                  <c:v>Isaac Paredes</c:v>
                </c:pt>
                <c:pt idx="6">
                  <c:v>Manuel Margot</c:v>
                </c:pt>
                <c:pt idx="7">
                  <c:v>Taylor Walls</c:v>
                </c:pt>
                <c:pt idx="8">
                  <c:v>Luke Raley</c:v>
                </c:pt>
                <c:pt idx="9">
                  <c:v>Jose Siri</c:v>
                </c:pt>
                <c:pt idx="10">
                  <c:v>Vidal Brujan</c:v>
                </c:pt>
                <c:pt idx="11">
                  <c:v>Christian Bethancourt</c:v>
                </c:pt>
                <c:pt idx="12">
                  <c:v>Francisco Mejia</c:v>
                </c:pt>
                <c:pt idx="13">
                  <c:v>Brandon Lowe</c:v>
                </c:pt>
              </c:strCache>
            </c:strRef>
          </c:cat>
          <c:val>
            <c:numRef>
              <c:f>PIVOT!$C$8:$C$22</c:f>
              <c:numCache>
                <c:formatCode>General</c:formatCode>
                <c:ptCount val="14"/>
                <c:pt idx="0">
                  <c:v>0.42499999999999999</c:v>
                </c:pt>
                <c:pt idx="1">
                  <c:v>0.36199999999999999</c:v>
                </c:pt>
                <c:pt idx="2">
                  <c:v>0.40799999999999997</c:v>
                </c:pt>
                <c:pt idx="3">
                  <c:v>0.35199999999999998</c:v>
                </c:pt>
                <c:pt idx="4">
                  <c:v>0.34699999999999998</c:v>
                </c:pt>
                <c:pt idx="5">
                  <c:v>0.34899999999999998</c:v>
                </c:pt>
                <c:pt idx="6">
                  <c:v>0.33100000000000002</c:v>
                </c:pt>
                <c:pt idx="7">
                  <c:v>0.35299999999999998</c:v>
                </c:pt>
                <c:pt idx="8">
                  <c:v>0.32800000000000001</c:v>
                </c:pt>
                <c:pt idx="9">
                  <c:v>0.29899999999999999</c:v>
                </c:pt>
                <c:pt idx="10">
                  <c:v>0.28599999999999998</c:v>
                </c:pt>
                <c:pt idx="11">
                  <c:v>0.27400000000000002</c:v>
                </c:pt>
                <c:pt idx="12">
                  <c:v>0.26800000000000002</c:v>
                </c:pt>
                <c:pt idx="13">
                  <c:v>0.29899999999999999</c:v>
                </c:pt>
              </c:numCache>
            </c:numRef>
          </c:val>
          <c:smooth val="0"/>
          <c:extLst>
            <c:ext xmlns:c16="http://schemas.microsoft.com/office/drawing/2014/chart" uri="{C3380CC4-5D6E-409C-BE32-E72D297353CC}">
              <c16:uniqueId val="{00000001-F833-46E7-B0E6-686F2351D307}"/>
            </c:ext>
          </c:extLst>
        </c:ser>
        <c:ser>
          <c:idx val="2"/>
          <c:order val="2"/>
          <c:tx>
            <c:strRef>
              <c:f>PIVOT!$D$7</c:f>
              <c:strCache>
                <c:ptCount val="1"/>
                <c:pt idx="0">
                  <c:v>Slugger %</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PIVOT!$A$8:$A$22</c:f>
              <c:strCache>
                <c:ptCount val="14"/>
                <c:pt idx="0">
                  <c:v>Yandy Diaz</c:v>
                </c:pt>
                <c:pt idx="1">
                  <c:v>Josh Lowe</c:v>
                </c:pt>
                <c:pt idx="2">
                  <c:v>Randy Arozarena</c:v>
                </c:pt>
                <c:pt idx="3">
                  <c:v>Harold Ramirez</c:v>
                </c:pt>
                <c:pt idx="4">
                  <c:v>Wander Franco</c:v>
                </c:pt>
                <c:pt idx="5">
                  <c:v>Isaac Paredes</c:v>
                </c:pt>
                <c:pt idx="6">
                  <c:v>Manuel Margot</c:v>
                </c:pt>
                <c:pt idx="7">
                  <c:v>Taylor Walls</c:v>
                </c:pt>
                <c:pt idx="8">
                  <c:v>Luke Raley</c:v>
                </c:pt>
                <c:pt idx="9">
                  <c:v>Jose Siri</c:v>
                </c:pt>
                <c:pt idx="10">
                  <c:v>Vidal Brujan</c:v>
                </c:pt>
                <c:pt idx="11">
                  <c:v>Christian Bethancourt</c:v>
                </c:pt>
                <c:pt idx="12">
                  <c:v>Francisco Mejia</c:v>
                </c:pt>
                <c:pt idx="13">
                  <c:v>Brandon Lowe</c:v>
                </c:pt>
              </c:strCache>
            </c:strRef>
          </c:cat>
          <c:val>
            <c:numRef>
              <c:f>PIVOT!$D$8:$D$22</c:f>
              <c:numCache>
                <c:formatCode>General</c:formatCode>
                <c:ptCount val="14"/>
                <c:pt idx="0">
                  <c:v>0.59899999999999998</c:v>
                </c:pt>
                <c:pt idx="1">
                  <c:v>0.621</c:v>
                </c:pt>
                <c:pt idx="2">
                  <c:v>0.54200000000000004</c:v>
                </c:pt>
                <c:pt idx="3">
                  <c:v>0.51500000000000001</c:v>
                </c:pt>
                <c:pt idx="4">
                  <c:v>0.48</c:v>
                </c:pt>
                <c:pt idx="5">
                  <c:v>0.46800000000000003</c:v>
                </c:pt>
                <c:pt idx="6">
                  <c:v>0.36</c:v>
                </c:pt>
                <c:pt idx="7">
                  <c:v>0.51300000000000001</c:v>
                </c:pt>
                <c:pt idx="8">
                  <c:v>0.57699999999999996</c:v>
                </c:pt>
                <c:pt idx="9">
                  <c:v>0.56799999999999995</c:v>
                </c:pt>
                <c:pt idx="10">
                  <c:v>0.25</c:v>
                </c:pt>
                <c:pt idx="11">
                  <c:v>0.495</c:v>
                </c:pt>
                <c:pt idx="12">
                  <c:v>0.33800000000000002</c:v>
                </c:pt>
                <c:pt idx="13">
                  <c:v>0.41399999999999998</c:v>
                </c:pt>
              </c:numCache>
            </c:numRef>
          </c:val>
          <c:smooth val="0"/>
          <c:extLst>
            <c:ext xmlns:c16="http://schemas.microsoft.com/office/drawing/2014/chart" uri="{C3380CC4-5D6E-409C-BE32-E72D297353CC}">
              <c16:uniqueId val="{00000002-F833-46E7-B0E6-686F2351D307}"/>
            </c:ext>
          </c:extLst>
        </c:ser>
        <c:dLbls>
          <c:showLegendKey val="0"/>
          <c:showVal val="0"/>
          <c:showCatName val="0"/>
          <c:showSerName val="0"/>
          <c:showPercent val="0"/>
          <c:showBubbleSize val="0"/>
        </c:dLbls>
        <c:marker val="1"/>
        <c:smooth val="0"/>
        <c:axId val="1697093376"/>
        <c:axId val="1697094208"/>
      </c:lineChart>
      <c:catAx>
        <c:axId val="1697093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094208"/>
        <c:crosses val="autoZero"/>
        <c:auto val="1"/>
        <c:lblAlgn val="ctr"/>
        <c:lblOffset val="100"/>
        <c:noMultiLvlLbl val="0"/>
      </c:catAx>
      <c:valAx>
        <c:axId val="1697094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093376"/>
        <c:crosses val="autoZero"/>
        <c:crossBetween val="between"/>
        <c:majorUnit val="0.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[MLB QuickLook.xlsm]PIVOT!PivotTable2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PIVOT!$O$3</c:f>
              <c:strCache>
                <c:ptCount val="1"/>
                <c:pt idx="0">
                  <c:v>AB </c:v>
                </c:pt>
              </c:strCache>
            </c:strRef>
          </c:tx>
          <c:spPr>
            <a:solidFill>
              <a:schemeClr val="accent1"/>
            </a:solidFill>
            <a:ln>
              <a:noFill/>
            </a:ln>
            <a:effectLst/>
          </c:spPr>
          <c:invertIfNegative val="0"/>
          <c:cat>
            <c:strRef>
              <c:f>PIVOT!$N$4:$N$21</c:f>
              <c:strCache>
                <c:ptCount val="17"/>
                <c:pt idx="0">
                  <c:v>Willy Adames</c:v>
                </c:pt>
                <c:pt idx="1">
                  <c:v>Christian Yelich</c:v>
                </c:pt>
                <c:pt idx="2">
                  <c:v>Brian Anderson</c:v>
                </c:pt>
                <c:pt idx="3">
                  <c:v>Rowdy Tellez</c:v>
                </c:pt>
                <c:pt idx="4">
                  <c:v>Joey Wiemer</c:v>
                </c:pt>
                <c:pt idx="5">
                  <c:v>William Contreras</c:v>
                </c:pt>
                <c:pt idx="6">
                  <c:v>Brice Turang</c:v>
                </c:pt>
                <c:pt idx="7">
                  <c:v>Owen Miller</c:v>
                </c:pt>
                <c:pt idx="8">
                  <c:v>Jesse Winker</c:v>
                </c:pt>
                <c:pt idx="9">
                  <c:v>Luke Voit</c:v>
                </c:pt>
                <c:pt idx="10">
                  <c:v>Mike Brosseau</c:v>
                </c:pt>
                <c:pt idx="11">
                  <c:v>Garrett Mitchell</c:v>
                </c:pt>
                <c:pt idx="12">
                  <c:v>Tyrone Taylor</c:v>
                </c:pt>
                <c:pt idx="13">
                  <c:v>Victor Caratini</c:v>
                </c:pt>
                <c:pt idx="14">
                  <c:v>Darin Ruf</c:v>
                </c:pt>
                <c:pt idx="15">
                  <c:v>Blake Perkins</c:v>
                </c:pt>
                <c:pt idx="16">
                  <c:v>Luis Urias</c:v>
                </c:pt>
              </c:strCache>
            </c:strRef>
          </c:cat>
          <c:val>
            <c:numRef>
              <c:f>PIVOT!$O$4:$O$21</c:f>
              <c:numCache>
                <c:formatCode>General</c:formatCode>
                <c:ptCount val="17"/>
                <c:pt idx="0">
                  <c:v>181</c:v>
                </c:pt>
                <c:pt idx="1">
                  <c:v>174</c:v>
                </c:pt>
                <c:pt idx="2">
                  <c:v>161</c:v>
                </c:pt>
                <c:pt idx="3">
                  <c:v>144</c:v>
                </c:pt>
                <c:pt idx="4">
                  <c:v>140</c:v>
                </c:pt>
                <c:pt idx="5">
                  <c:v>137</c:v>
                </c:pt>
                <c:pt idx="6">
                  <c:v>135</c:v>
                </c:pt>
                <c:pt idx="7">
                  <c:v>104</c:v>
                </c:pt>
                <c:pt idx="8">
                  <c:v>99</c:v>
                </c:pt>
                <c:pt idx="9">
                  <c:v>68</c:v>
                </c:pt>
                <c:pt idx="10">
                  <c:v>62</c:v>
                </c:pt>
                <c:pt idx="11">
                  <c:v>58</c:v>
                </c:pt>
                <c:pt idx="12">
                  <c:v>56</c:v>
                </c:pt>
                <c:pt idx="13">
                  <c:v>56</c:v>
                </c:pt>
                <c:pt idx="14">
                  <c:v>36</c:v>
                </c:pt>
                <c:pt idx="15">
                  <c:v>12</c:v>
                </c:pt>
                <c:pt idx="16">
                  <c:v>4</c:v>
                </c:pt>
              </c:numCache>
            </c:numRef>
          </c:val>
          <c:extLst>
            <c:ext xmlns:c16="http://schemas.microsoft.com/office/drawing/2014/chart" uri="{C3380CC4-5D6E-409C-BE32-E72D297353CC}">
              <c16:uniqueId val="{00000000-635A-4E10-83F7-D1E1FBC670C9}"/>
            </c:ext>
          </c:extLst>
        </c:ser>
        <c:ser>
          <c:idx val="1"/>
          <c:order val="1"/>
          <c:tx>
            <c:strRef>
              <c:f>PIVOT!$P$3</c:f>
              <c:strCache>
                <c:ptCount val="1"/>
                <c:pt idx="0">
                  <c:v>GP</c:v>
                </c:pt>
              </c:strCache>
            </c:strRef>
          </c:tx>
          <c:spPr>
            <a:solidFill>
              <a:schemeClr val="accent2"/>
            </a:solidFill>
            <a:ln>
              <a:noFill/>
            </a:ln>
            <a:effectLst/>
          </c:spPr>
          <c:invertIfNegative val="0"/>
          <c:cat>
            <c:strRef>
              <c:f>PIVOT!$N$4:$N$21</c:f>
              <c:strCache>
                <c:ptCount val="17"/>
                <c:pt idx="0">
                  <c:v>Willy Adames</c:v>
                </c:pt>
                <c:pt idx="1">
                  <c:v>Christian Yelich</c:v>
                </c:pt>
                <c:pt idx="2">
                  <c:v>Brian Anderson</c:v>
                </c:pt>
                <c:pt idx="3">
                  <c:v>Rowdy Tellez</c:v>
                </c:pt>
                <c:pt idx="4">
                  <c:v>Joey Wiemer</c:v>
                </c:pt>
                <c:pt idx="5">
                  <c:v>William Contreras</c:v>
                </c:pt>
                <c:pt idx="6">
                  <c:v>Brice Turang</c:v>
                </c:pt>
                <c:pt idx="7">
                  <c:v>Owen Miller</c:v>
                </c:pt>
                <c:pt idx="8">
                  <c:v>Jesse Winker</c:v>
                </c:pt>
                <c:pt idx="9">
                  <c:v>Luke Voit</c:v>
                </c:pt>
                <c:pt idx="10">
                  <c:v>Mike Brosseau</c:v>
                </c:pt>
                <c:pt idx="11">
                  <c:v>Garrett Mitchell</c:v>
                </c:pt>
                <c:pt idx="12">
                  <c:v>Tyrone Taylor</c:v>
                </c:pt>
                <c:pt idx="13">
                  <c:v>Victor Caratini</c:v>
                </c:pt>
                <c:pt idx="14">
                  <c:v>Darin Ruf</c:v>
                </c:pt>
                <c:pt idx="15">
                  <c:v>Blake Perkins</c:v>
                </c:pt>
                <c:pt idx="16">
                  <c:v>Luis Urias</c:v>
                </c:pt>
              </c:strCache>
            </c:strRef>
          </c:cat>
          <c:val>
            <c:numRef>
              <c:f>PIVOT!$P$4:$P$21</c:f>
              <c:numCache>
                <c:formatCode>General</c:formatCode>
                <c:ptCount val="17"/>
                <c:pt idx="0">
                  <c:v>49</c:v>
                </c:pt>
                <c:pt idx="1">
                  <c:v>46</c:v>
                </c:pt>
                <c:pt idx="2">
                  <c:v>47</c:v>
                </c:pt>
                <c:pt idx="3">
                  <c:v>45</c:v>
                </c:pt>
                <c:pt idx="4">
                  <c:v>47</c:v>
                </c:pt>
                <c:pt idx="5">
                  <c:v>38</c:v>
                </c:pt>
                <c:pt idx="6">
                  <c:v>46</c:v>
                </c:pt>
                <c:pt idx="7">
                  <c:v>34</c:v>
                </c:pt>
                <c:pt idx="8">
                  <c:v>36</c:v>
                </c:pt>
                <c:pt idx="9">
                  <c:v>22</c:v>
                </c:pt>
                <c:pt idx="10">
                  <c:v>25</c:v>
                </c:pt>
                <c:pt idx="11">
                  <c:v>16</c:v>
                </c:pt>
                <c:pt idx="12">
                  <c:v>20</c:v>
                </c:pt>
                <c:pt idx="13">
                  <c:v>17</c:v>
                </c:pt>
                <c:pt idx="14">
                  <c:v>15</c:v>
                </c:pt>
                <c:pt idx="15">
                  <c:v>10</c:v>
                </c:pt>
                <c:pt idx="16">
                  <c:v>1</c:v>
                </c:pt>
              </c:numCache>
            </c:numRef>
          </c:val>
          <c:extLst>
            <c:ext xmlns:c16="http://schemas.microsoft.com/office/drawing/2014/chart" uri="{C3380CC4-5D6E-409C-BE32-E72D297353CC}">
              <c16:uniqueId val="{00000001-635A-4E10-83F7-D1E1FBC670C9}"/>
            </c:ext>
          </c:extLst>
        </c:ser>
        <c:ser>
          <c:idx val="2"/>
          <c:order val="2"/>
          <c:tx>
            <c:strRef>
              <c:f>PIVOT!$Q$3</c:f>
              <c:strCache>
                <c:ptCount val="1"/>
                <c:pt idx="0">
                  <c:v>H </c:v>
                </c:pt>
              </c:strCache>
            </c:strRef>
          </c:tx>
          <c:spPr>
            <a:solidFill>
              <a:schemeClr val="accent3"/>
            </a:solidFill>
            <a:ln>
              <a:noFill/>
            </a:ln>
            <a:effectLst/>
          </c:spPr>
          <c:invertIfNegative val="0"/>
          <c:cat>
            <c:strRef>
              <c:f>PIVOT!$N$4:$N$21</c:f>
              <c:strCache>
                <c:ptCount val="17"/>
                <c:pt idx="0">
                  <c:v>Willy Adames</c:v>
                </c:pt>
                <c:pt idx="1">
                  <c:v>Christian Yelich</c:v>
                </c:pt>
                <c:pt idx="2">
                  <c:v>Brian Anderson</c:v>
                </c:pt>
                <c:pt idx="3">
                  <c:v>Rowdy Tellez</c:v>
                </c:pt>
                <c:pt idx="4">
                  <c:v>Joey Wiemer</c:v>
                </c:pt>
                <c:pt idx="5">
                  <c:v>William Contreras</c:v>
                </c:pt>
                <c:pt idx="6">
                  <c:v>Brice Turang</c:v>
                </c:pt>
                <c:pt idx="7">
                  <c:v>Owen Miller</c:v>
                </c:pt>
                <c:pt idx="8">
                  <c:v>Jesse Winker</c:v>
                </c:pt>
                <c:pt idx="9">
                  <c:v>Luke Voit</c:v>
                </c:pt>
                <c:pt idx="10">
                  <c:v>Mike Brosseau</c:v>
                </c:pt>
                <c:pt idx="11">
                  <c:v>Garrett Mitchell</c:v>
                </c:pt>
                <c:pt idx="12">
                  <c:v>Tyrone Taylor</c:v>
                </c:pt>
                <c:pt idx="13">
                  <c:v>Victor Caratini</c:v>
                </c:pt>
                <c:pt idx="14">
                  <c:v>Darin Ruf</c:v>
                </c:pt>
                <c:pt idx="15">
                  <c:v>Blake Perkins</c:v>
                </c:pt>
                <c:pt idx="16">
                  <c:v>Luis Urias</c:v>
                </c:pt>
              </c:strCache>
            </c:strRef>
          </c:cat>
          <c:val>
            <c:numRef>
              <c:f>PIVOT!$Q$4:$Q$21</c:f>
              <c:numCache>
                <c:formatCode>General</c:formatCode>
                <c:ptCount val="17"/>
                <c:pt idx="0">
                  <c:v>37</c:v>
                </c:pt>
                <c:pt idx="1">
                  <c:v>45</c:v>
                </c:pt>
                <c:pt idx="2">
                  <c:v>39</c:v>
                </c:pt>
                <c:pt idx="3">
                  <c:v>37</c:v>
                </c:pt>
                <c:pt idx="4">
                  <c:v>28</c:v>
                </c:pt>
                <c:pt idx="5">
                  <c:v>34</c:v>
                </c:pt>
                <c:pt idx="6">
                  <c:v>31</c:v>
                </c:pt>
                <c:pt idx="7">
                  <c:v>36</c:v>
                </c:pt>
                <c:pt idx="8">
                  <c:v>22</c:v>
                </c:pt>
                <c:pt idx="9">
                  <c:v>15</c:v>
                </c:pt>
                <c:pt idx="10">
                  <c:v>14</c:v>
                </c:pt>
                <c:pt idx="11">
                  <c:v>15</c:v>
                </c:pt>
                <c:pt idx="12">
                  <c:v>10</c:v>
                </c:pt>
                <c:pt idx="13">
                  <c:v>13</c:v>
                </c:pt>
                <c:pt idx="14">
                  <c:v>10</c:v>
                </c:pt>
                <c:pt idx="15">
                  <c:v>1</c:v>
                </c:pt>
                <c:pt idx="16">
                  <c:v>0</c:v>
                </c:pt>
              </c:numCache>
            </c:numRef>
          </c:val>
          <c:extLst>
            <c:ext xmlns:c16="http://schemas.microsoft.com/office/drawing/2014/chart" uri="{C3380CC4-5D6E-409C-BE32-E72D297353CC}">
              <c16:uniqueId val="{00000002-635A-4E10-83F7-D1E1FBC670C9}"/>
            </c:ext>
          </c:extLst>
        </c:ser>
        <c:ser>
          <c:idx val="3"/>
          <c:order val="3"/>
          <c:tx>
            <c:strRef>
              <c:f>PIVOT!$R$3</c:f>
              <c:strCache>
                <c:ptCount val="1"/>
                <c:pt idx="0">
                  <c:v>RBI </c:v>
                </c:pt>
              </c:strCache>
            </c:strRef>
          </c:tx>
          <c:spPr>
            <a:solidFill>
              <a:schemeClr val="accent4"/>
            </a:solidFill>
            <a:ln>
              <a:noFill/>
            </a:ln>
            <a:effectLst/>
          </c:spPr>
          <c:invertIfNegative val="0"/>
          <c:cat>
            <c:strRef>
              <c:f>PIVOT!$N$4:$N$21</c:f>
              <c:strCache>
                <c:ptCount val="17"/>
                <c:pt idx="0">
                  <c:v>Willy Adames</c:v>
                </c:pt>
                <c:pt idx="1">
                  <c:v>Christian Yelich</c:v>
                </c:pt>
                <c:pt idx="2">
                  <c:v>Brian Anderson</c:v>
                </c:pt>
                <c:pt idx="3">
                  <c:v>Rowdy Tellez</c:v>
                </c:pt>
                <c:pt idx="4">
                  <c:v>Joey Wiemer</c:v>
                </c:pt>
                <c:pt idx="5">
                  <c:v>William Contreras</c:v>
                </c:pt>
                <c:pt idx="6">
                  <c:v>Brice Turang</c:v>
                </c:pt>
                <c:pt idx="7">
                  <c:v>Owen Miller</c:v>
                </c:pt>
                <c:pt idx="8">
                  <c:v>Jesse Winker</c:v>
                </c:pt>
                <c:pt idx="9">
                  <c:v>Luke Voit</c:v>
                </c:pt>
                <c:pt idx="10">
                  <c:v>Mike Brosseau</c:v>
                </c:pt>
                <c:pt idx="11">
                  <c:v>Garrett Mitchell</c:v>
                </c:pt>
                <c:pt idx="12">
                  <c:v>Tyrone Taylor</c:v>
                </c:pt>
                <c:pt idx="13">
                  <c:v>Victor Caratini</c:v>
                </c:pt>
                <c:pt idx="14">
                  <c:v>Darin Ruf</c:v>
                </c:pt>
                <c:pt idx="15">
                  <c:v>Blake Perkins</c:v>
                </c:pt>
                <c:pt idx="16">
                  <c:v>Luis Urias</c:v>
                </c:pt>
              </c:strCache>
            </c:strRef>
          </c:cat>
          <c:val>
            <c:numRef>
              <c:f>PIVOT!$R$4:$R$21</c:f>
              <c:numCache>
                <c:formatCode>General</c:formatCode>
                <c:ptCount val="17"/>
                <c:pt idx="0">
                  <c:v>27</c:v>
                </c:pt>
                <c:pt idx="1">
                  <c:v>24</c:v>
                </c:pt>
                <c:pt idx="2">
                  <c:v>28</c:v>
                </c:pt>
                <c:pt idx="3">
                  <c:v>26</c:v>
                </c:pt>
                <c:pt idx="4">
                  <c:v>14</c:v>
                </c:pt>
                <c:pt idx="5">
                  <c:v>13</c:v>
                </c:pt>
                <c:pt idx="6">
                  <c:v>12</c:v>
                </c:pt>
                <c:pt idx="7">
                  <c:v>11</c:v>
                </c:pt>
                <c:pt idx="8">
                  <c:v>13</c:v>
                </c:pt>
                <c:pt idx="9">
                  <c:v>4</c:v>
                </c:pt>
                <c:pt idx="10">
                  <c:v>8</c:v>
                </c:pt>
                <c:pt idx="11">
                  <c:v>6</c:v>
                </c:pt>
                <c:pt idx="12">
                  <c:v>4</c:v>
                </c:pt>
                <c:pt idx="13">
                  <c:v>6</c:v>
                </c:pt>
                <c:pt idx="14">
                  <c:v>3</c:v>
                </c:pt>
                <c:pt idx="15">
                  <c:v>0</c:v>
                </c:pt>
                <c:pt idx="16">
                  <c:v>0</c:v>
                </c:pt>
              </c:numCache>
            </c:numRef>
          </c:val>
          <c:extLst>
            <c:ext xmlns:c16="http://schemas.microsoft.com/office/drawing/2014/chart" uri="{C3380CC4-5D6E-409C-BE32-E72D297353CC}">
              <c16:uniqueId val="{00000003-635A-4E10-83F7-D1E1FBC670C9}"/>
            </c:ext>
          </c:extLst>
        </c:ser>
        <c:dLbls>
          <c:showLegendKey val="0"/>
          <c:showVal val="0"/>
          <c:showCatName val="0"/>
          <c:showSerName val="0"/>
          <c:showPercent val="0"/>
          <c:showBubbleSize val="0"/>
        </c:dLbls>
        <c:gapWidth val="219"/>
        <c:axId val="842105728"/>
        <c:axId val="842114880"/>
      </c:barChart>
      <c:catAx>
        <c:axId val="8421057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2114880"/>
        <c:crosses val="autoZero"/>
        <c:auto val="1"/>
        <c:lblAlgn val="ctr"/>
        <c:lblOffset val="100"/>
        <c:noMultiLvlLbl val="0"/>
      </c:catAx>
      <c:valAx>
        <c:axId val="8421148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2105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17</xdr:col>
      <xdr:colOff>219075</xdr:colOff>
      <xdr:row>9</xdr:row>
      <xdr:rowOff>0</xdr:rowOff>
    </xdr:from>
    <xdr:to>
      <xdr:col>20</xdr:col>
      <xdr:colOff>390525</xdr:colOff>
      <xdr:row>14</xdr:row>
      <xdr:rowOff>0</xdr:rowOff>
    </xdr:to>
    <xdr:sp macro="[0]!Refresh_Refreshables" textlink="">
      <xdr:nvSpPr>
        <xdr:cNvPr id="2" name="Rectangle: Beveled 1">
          <a:extLst>
            <a:ext uri="{FF2B5EF4-FFF2-40B4-BE49-F238E27FC236}">
              <a16:creationId xmlns:a16="http://schemas.microsoft.com/office/drawing/2014/main" id="{BADE214C-8E5D-47D9-9682-FACFB90118CF}"/>
            </a:ext>
          </a:extLst>
        </xdr:cNvPr>
        <xdr:cNvSpPr/>
      </xdr:nvSpPr>
      <xdr:spPr>
        <a:xfrm>
          <a:off x="11210925" y="1714500"/>
          <a:ext cx="1676400" cy="962025"/>
        </a:xfrm>
        <a:custGeom>
          <a:avLst/>
          <a:gdLst>
            <a:gd name="connsiteX0" fmla="*/ 187624 w 1676400"/>
            <a:gd name="connsiteY0" fmla="*/ 187624 h 962025"/>
            <a:gd name="connsiteX1" fmla="*/ 582307 w 1676400"/>
            <a:gd name="connsiteY1" fmla="*/ 187624 h 962025"/>
            <a:gd name="connsiteX2" fmla="*/ 1029036 w 1676400"/>
            <a:gd name="connsiteY2" fmla="*/ 187624 h 962025"/>
            <a:gd name="connsiteX3" fmla="*/ 1488776 w 1676400"/>
            <a:gd name="connsiteY3" fmla="*/ 187624 h 962025"/>
            <a:gd name="connsiteX4" fmla="*/ 1488776 w 1676400"/>
            <a:gd name="connsiteY4" fmla="*/ 774401 h 962025"/>
            <a:gd name="connsiteX5" fmla="*/ 1094093 w 1676400"/>
            <a:gd name="connsiteY5" fmla="*/ 774401 h 962025"/>
            <a:gd name="connsiteX6" fmla="*/ 660376 w 1676400"/>
            <a:gd name="connsiteY6" fmla="*/ 774401 h 962025"/>
            <a:gd name="connsiteX7" fmla="*/ 187624 w 1676400"/>
            <a:gd name="connsiteY7" fmla="*/ 774401 h 962025"/>
            <a:gd name="connsiteX8" fmla="*/ 187624 w 1676400"/>
            <a:gd name="connsiteY8" fmla="*/ 187624 h 962025"/>
            <a:gd name="connsiteX0" fmla="*/ 0 w 1676400"/>
            <a:gd name="connsiteY0" fmla="*/ 0 h 962025"/>
            <a:gd name="connsiteX1" fmla="*/ 558800 w 1676400"/>
            <a:gd name="connsiteY1" fmla="*/ 0 h 962025"/>
            <a:gd name="connsiteX2" fmla="*/ 1067308 w 1676400"/>
            <a:gd name="connsiteY2" fmla="*/ 0 h 962025"/>
            <a:gd name="connsiteX3" fmla="*/ 1676400 w 1676400"/>
            <a:gd name="connsiteY3" fmla="*/ 0 h 962025"/>
            <a:gd name="connsiteX4" fmla="*/ 1488776 w 1676400"/>
            <a:gd name="connsiteY4" fmla="*/ 187624 h 962025"/>
            <a:gd name="connsiteX5" fmla="*/ 1094093 w 1676400"/>
            <a:gd name="connsiteY5" fmla="*/ 187624 h 962025"/>
            <a:gd name="connsiteX6" fmla="*/ 686399 w 1676400"/>
            <a:gd name="connsiteY6" fmla="*/ 187624 h 962025"/>
            <a:gd name="connsiteX7" fmla="*/ 187624 w 1676400"/>
            <a:gd name="connsiteY7" fmla="*/ 187624 h 962025"/>
            <a:gd name="connsiteX8" fmla="*/ 0 w 1676400"/>
            <a:gd name="connsiteY8" fmla="*/ 0 h 962025"/>
            <a:gd name="connsiteX0" fmla="*/ 0 w 1676400"/>
            <a:gd name="connsiteY0" fmla="*/ 962025 h 962025"/>
            <a:gd name="connsiteX1" fmla="*/ 187624 w 1676400"/>
            <a:gd name="connsiteY1" fmla="*/ 774401 h 962025"/>
            <a:gd name="connsiteX2" fmla="*/ 608330 w 1676400"/>
            <a:gd name="connsiteY2" fmla="*/ 774401 h 962025"/>
            <a:gd name="connsiteX3" fmla="*/ 1042047 w 1676400"/>
            <a:gd name="connsiteY3" fmla="*/ 774401 h 962025"/>
            <a:gd name="connsiteX4" fmla="*/ 1488776 w 1676400"/>
            <a:gd name="connsiteY4" fmla="*/ 774401 h 962025"/>
            <a:gd name="connsiteX5" fmla="*/ 1676400 w 1676400"/>
            <a:gd name="connsiteY5" fmla="*/ 962025 h 962025"/>
            <a:gd name="connsiteX6" fmla="*/ 1084072 w 1676400"/>
            <a:gd name="connsiteY6" fmla="*/ 962025 h 962025"/>
            <a:gd name="connsiteX7" fmla="*/ 542036 w 1676400"/>
            <a:gd name="connsiteY7" fmla="*/ 962025 h 962025"/>
            <a:gd name="connsiteX8" fmla="*/ 0 w 1676400"/>
            <a:gd name="connsiteY8" fmla="*/ 962025 h 962025"/>
            <a:gd name="connsiteX0" fmla="*/ 0 w 1676400"/>
            <a:gd name="connsiteY0" fmla="*/ 0 h 962025"/>
            <a:gd name="connsiteX1" fmla="*/ 187624 w 1676400"/>
            <a:gd name="connsiteY1" fmla="*/ 187624 h 962025"/>
            <a:gd name="connsiteX2" fmla="*/ 187624 w 1676400"/>
            <a:gd name="connsiteY2" fmla="*/ 774401 h 962025"/>
            <a:gd name="connsiteX3" fmla="*/ 0 w 1676400"/>
            <a:gd name="connsiteY3" fmla="*/ 962025 h 962025"/>
            <a:gd name="connsiteX4" fmla="*/ 0 w 1676400"/>
            <a:gd name="connsiteY4" fmla="*/ 500253 h 962025"/>
            <a:gd name="connsiteX5" fmla="*/ 0 w 1676400"/>
            <a:gd name="connsiteY5" fmla="*/ 0 h 962025"/>
            <a:gd name="connsiteX0" fmla="*/ 1676400 w 1676400"/>
            <a:gd name="connsiteY0" fmla="*/ 0 h 962025"/>
            <a:gd name="connsiteX1" fmla="*/ 1676400 w 1676400"/>
            <a:gd name="connsiteY1" fmla="*/ 490633 h 962025"/>
            <a:gd name="connsiteX2" fmla="*/ 1676400 w 1676400"/>
            <a:gd name="connsiteY2" fmla="*/ 962025 h 962025"/>
            <a:gd name="connsiteX3" fmla="*/ 1488776 w 1676400"/>
            <a:gd name="connsiteY3" fmla="*/ 774401 h 962025"/>
            <a:gd name="connsiteX4" fmla="*/ 1488776 w 1676400"/>
            <a:gd name="connsiteY4" fmla="*/ 187624 h 962025"/>
            <a:gd name="connsiteX5" fmla="*/ 1676400 w 1676400"/>
            <a:gd name="connsiteY5" fmla="*/ 0 h 962025"/>
            <a:gd name="connsiteX0" fmla="*/ 0 w 1676400"/>
            <a:gd name="connsiteY0" fmla="*/ 0 h 962025"/>
            <a:gd name="connsiteX1" fmla="*/ 525272 w 1676400"/>
            <a:gd name="connsiteY1" fmla="*/ 0 h 962025"/>
            <a:gd name="connsiteX2" fmla="*/ 1100836 w 1676400"/>
            <a:gd name="connsiteY2" fmla="*/ 0 h 962025"/>
            <a:gd name="connsiteX3" fmla="*/ 1676400 w 1676400"/>
            <a:gd name="connsiteY3" fmla="*/ 0 h 962025"/>
            <a:gd name="connsiteX4" fmla="*/ 1676400 w 1676400"/>
            <a:gd name="connsiteY4" fmla="*/ 500253 h 962025"/>
            <a:gd name="connsiteX5" fmla="*/ 1676400 w 1676400"/>
            <a:gd name="connsiteY5" fmla="*/ 962025 h 962025"/>
            <a:gd name="connsiteX6" fmla="*/ 1167892 w 1676400"/>
            <a:gd name="connsiteY6" fmla="*/ 962025 h 962025"/>
            <a:gd name="connsiteX7" fmla="*/ 609092 w 1676400"/>
            <a:gd name="connsiteY7" fmla="*/ 962025 h 962025"/>
            <a:gd name="connsiteX8" fmla="*/ 0 w 1676400"/>
            <a:gd name="connsiteY8" fmla="*/ 962025 h 962025"/>
            <a:gd name="connsiteX9" fmla="*/ 0 w 1676400"/>
            <a:gd name="connsiteY9" fmla="*/ 490633 h 962025"/>
            <a:gd name="connsiteX10" fmla="*/ 0 w 1676400"/>
            <a:gd name="connsiteY10" fmla="*/ 0 h 962025"/>
            <a:gd name="connsiteX11" fmla="*/ 187624 w 1676400"/>
            <a:gd name="connsiteY11" fmla="*/ 187624 h 962025"/>
            <a:gd name="connsiteX12" fmla="*/ 634353 w 1676400"/>
            <a:gd name="connsiteY12" fmla="*/ 187624 h 962025"/>
            <a:gd name="connsiteX13" fmla="*/ 1055059 w 1676400"/>
            <a:gd name="connsiteY13" fmla="*/ 187624 h 962025"/>
            <a:gd name="connsiteX14" fmla="*/ 1488776 w 1676400"/>
            <a:gd name="connsiteY14" fmla="*/ 187624 h 962025"/>
            <a:gd name="connsiteX15" fmla="*/ 1488776 w 1676400"/>
            <a:gd name="connsiteY15" fmla="*/ 774401 h 962025"/>
            <a:gd name="connsiteX16" fmla="*/ 1029036 w 1676400"/>
            <a:gd name="connsiteY16" fmla="*/ 774401 h 962025"/>
            <a:gd name="connsiteX17" fmla="*/ 634353 w 1676400"/>
            <a:gd name="connsiteY17" fmla="*/ 774401 h 962025"/>
            <a:gd name="connsiteX18" fmla="*/ 187624 w 1676400"/>
            <a:gd name="connsiteY18" fmla="*/ 774401 h 962025"/>
            <a:gd name="connsiteX19" fmla="*/ 187624 w 1676400"/>
            <a:gd name="connsiteY19" fmla="*/ 187624 h 962025"/>
            <a:gd name="connsiteX20" fmla="*/ 0 w 1676400"/>
            <a:gd name="connsiteY20" fmla="*/ 0 h 962025"/>
            <a:gd name="connsiteX21" fmla="*/ 187624 w 1676400"/>
            <a:gd name="connsiteY21" fmla="*/ 187624 h 962025"/>
            <a:gd name="connsiteX22" fmla="*/ 0 w 1676400"/>
            <a:gd name="connsiteY22" fmla="*/ 962025 h 962025"/>
            <a:gd name="connsiteX23" fmla="*/ 187624 w 1676400"/>
            <a:gd name="connsiteY23" fmla="*/ 774401 h 962025"/>
            <a:gd name="connsiteX24" fmla="*/ 1676400 w 1676400"/>
            <a:gd name="connsiteY24" fmla="*/ 0 h 962025"/>
            <a:gd name="connsiteX25" fmla="*/ 1488776 w 1676400"/>
            <a:gd name="connsiteY25" fmla="*/ 187624 h 962025"/>
            <a:gd name="connsiteX26" fmla="*/ 1676400 w 1676400"/>
            <a:gd name="connsiteY26" fmla="*/ 962025 h 962025"/>
            <a:gd name="connsiteX27" fmla="*/ 1488776 w 1676400"/>
            <a:gd name="connsiteY27" fmla="*/ 774401 h 962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1676400" h="962025" stroke="0" extrusionOk="0">
              <a:moveTo>
                <a:pt x="187624" y="187624"/>
              </a:moveTo>
              <a:cubicBezTo>
                <a:pt x="350853" y="148414"/>
                <a:pt x="461733" y="208472"/>
                <a:pt x="582307" y="187624"/>
              </a:cubicBezTo>
              <a:cubicBezTo>
                <a:pt x="702881" y="166776"/>
                <a:pt x="865224" y="239559"/>
                <a:pt x="1029036" y="187624"/>
              </a:cubicBezTo>
              <a:cubicBezTo>
                <a:pt x="1192848" y="135689"/>
                <a:pt x="1348243" y="197629"/>
                <a:pt x="1488776" y="187624"/>
              </a:cubicBezTo>
              <a:cubicBezTo>
                <a:pt x="1506166" y="334894"/>
                <a:pt x="1435497" y="530330"/>
                <a:pt x="1488776" y="774401"/>
              </a:cubicBezTo>
              <a:cubicBezTo>
                <a:pt x="1334486" y="793669"/>
                <a:pt x="1202412" y="728788"/>
                <a:pt x="1094093" y="774401"/>
              </a:cubicBezTo>
              <a:cubicBezTo>
                <a:pt x="985774" y="820014"/>
                <a:pt x="767897" y="769167"/>
                <a:pt x="660376" y="774401"/>
              </a:cubicBezTo>
              <a:cubicBezTo>
                <a:pt x="552855" y="779635"/>
                <a:pt x="379501" y="739755"/>
                <a:pt x="187624" y="774401"/>
              </a:cubicBezTo>
              <a:cubicBezTo>
                <a:pt x="178685" y="631277"/>
                <a:pt x="221588" y="396789"/>
                <a:pt x="187624" y="187624"/>
              </a:cubicBezTo>
              <a:close/>
            </a:path>
            <a:path w="1676400" h="962025" fill="lightenLess" stroke="0" extrusionOk="0">
              <a:moveTo>
                <a:pt x="0" y="0"/>
              </a:moveTo>
              <a:cubicBezTo>
                <a:pt x="134464" y="-5324"/>
                <a:pt x="312066" y="36770"/>
                <a:pt x="558800" y="0"/>
              </a:cubicBezTo>
              <a:cubicBezTo>
                <a:pt x="805534" y="-36770"/>
                <a:pt x="841630" y="40977"/>
                <a:pt x="1067308" y="0"/>
              </a:cubicBezTo>
              <a:cubicBezTo>
                <a:pt x="1292986" y="-40977"/>
                <a:pt x="1531015" y="27681"/>
                <a:pt x="1676400" y="0"/>
              </a:cubicBezTo>
              <a:cubicBezTo>
                <a:pt x="1623194" y="83167"/>
                <a:pt x="1561195" y="101430"/>
                <a:pt x="1488776" y="187624"/>
              </a:cubicBezTo>
              <a:cubicBezTo>
                <a:pt x="1311223" y="189522"/>
                <a:pt x="1248545" y="150303"/>
                <a:pt x="1094093" y="187624"/>
              </a:cubicBezTo>
              <a:cubicBezTo>
                <a:pt x="939641" y="224945"/>
                <a:pt x="871257" y="142645"/>
                <a:pt x="686399" y="187624"/>
              </a:cubicBezTo>
              <a:cubicBezTo>
                <a:pt x="501541" y="232603"/>
                <a:pt x="421721" y="175133"/>
                <a:pt x="187624" y="187624"/>
              </a:cubicBezTo>
              <a:cubicBezTo>
                <a:pt x="114139" y="146308"/>
                <a:pt x="53812" y="23104"/>
                <a:pt x="0" y="0"/>
              </a:cubicBezTo>
              <a:close/>
            </a:path>
            <a:path w="1676400" h="962025" fill="darkenLess" stroke="0" extrusionOk="0">
              <a:moveTo>
                <a:pt x="0" y="962025"/>
              </a:moveTo>
              <a:cubicBezTo>
                <a:pt x="53016" y="872911"/>
                <a:pt x="126462" y="860987"/>
                <a:pt x="187624" y="774401"/>
              </a:cubicBezTo>
              <a:cubicBezTo>
                <a:pt x="324521" y="738365"/>
                <a:pt x="432164" y="777150"/>
                <a:pt x="608330" y="774401"/>
              </a:cubicBezTo>
              <a:cubicBezTo>
                <a:pt x="784496" y="771652"/>
                <a:pt x="849963" y="792072"/>
                <a:pt x="1042047" y="774401"/>
              </a:cubicBezTo>
              <a:cubicBezTo>
                <a:pt x="1234131" y="756730"/>
                <a:pt x="1277047" y="817140"/>
                <a:pt x="1488776" y="774401"/>
              </a:cubicBezTo>
              <a:cubicBezTo>
                <a:pt x="1565040" y="845639"/>
                <a:pt x="1578175" y="888565"/>
                <a:pt x="1676400" y="962025"/>
              </a:cubicBezTo>
              <a:cubicBezTo>
                <a:pt x="1520972" y="968736"/>
                <a:pt x="1354582" y="900110"/>
                <a:pt x="1084072" y="962025"/>
              </a:cubicBezTo>
              <a:cubicBezTo>
                <a:pt x="813562" y="1023940"/>
                <a:pt x="733252" y="915248"/>
                <a:pt x="542036" y="962025"/>
              </a:cubicBezTo>
              <a:cubicBezTo>
                <a:pt x="350820" y="1008802"/>
                <a:pt x="200831" y="917219"/>
                <a:pt x="0" y="962025"/>
              </a:cubicBezTo>
              <a:close/>
            </a:path>
            <a:path w="1676400" h="962025" fill="lighten" stroke="0" extrusionOk="0">
              <a:moveTo>
                <a:pt x="0" y="0"/>
              </a:moveTo>
              <a:cubicBezTo>
                <a:pt x="83609" y="54774"/>
                <a:pt x="117224" y="155447"/>
                <a:pt x="187624" y="187624"/>
              </a:cubicBezTo>
              <a:cubicBezTo>
                <a:pt x="222231" y="382697"/>
                <a:pt x="120203" y="518511"/>
                <a:pt x="187624" y="774401"/>
              </a:cubicBezTo>
              <a:cubicBezTo>
                <a:pt x="129124" y="846036"/>
                <a:pt x="28076" y="900360"/>
                <a:pt x="0" y="962025"/>
              </a:cubicBezTo>
              <a:cubicBezTo>
                <a:pt x="-45461" y="775228"/>
                <a:pt x="3989" y="669525"/>
                <a:pt x="0" y="500253"/>
              </a:cubicBezTo>
              <a:cubicBezTo>
                <a:pt x="-3989" y="330981"/>
                <a:pt x="14735" y="155941"/>
                <a:pt x="0" y="0"/>
              </a:cubicBezTo>
              <a:close/>
            </a:path>
            <a:path w="1676400" h="962025" fill="darken" stroke="0" extrusionOk="0">
              <a:moveTo>
                <a:pt x="1676400" y="0"/>
              </a:moveTo>
              <a:cubicBezTo>
                <a:pt x="1688357" y="180896"/>
                <a:pt x="1665642" y="298526"/>
                <a:pt x="1676400" y="490633"/>
              </a:cubicBezTo>
              <a:cubicBezTo>
                <a:pt x="1687158" y="682740"/>
                <a:pt x="1647447" y="850383"/>
                <a:pt x="1676400" y="962025"/>
              </a:cubicBezTo>
              <a:cubicBezTo>
                <a:pt x="1600252" y="925671"/>
                <a:pt x="1557810" y="829799"/>
                <a:pt x="1488776" y="774401"/>
              </a:cubicBezTo>
              <a:cubicBezTo>
                <a:pt x="1475220" y="545223"/>
                <a:pt x="1495844" y="333428"/>
                <a:pt x="1488776" y="187624"/>
              </a:cubicBezTo>
              <a:cubicBezTo>
                <a:pt x="1560584" y="113970"/>
                <a:pt x="1596088" y="104081"/>
                <a:pt x="1676400" y="0"/>
              </a:cubicBezTo>
              <a:close/>
            </a:path>
            <a:path w="1676400" h="962025" fill="none" extrusionOk="0">
              <a:moveTo>
                <a:pt x="0" y="0"/>
              </a:moveTo>
              <a:cubicBezTo>
                <a:pt x="217679" y="-37735"/>
                <a:pt x="269049" y="12801"/>
                <a:pt x="525272" y="0"/>
              </a:cubicBezTo>
              <a:cubicBezTo>
                <a:pt x="781495" y="-12801"/>
                <a:pt x="955796" y="24112"/>
                <a:pt x="1100836" y="0"/>
              </a:cubicBezTo>
              <a:cubicBezTo>
                <a:pt x="1245876" y="-24112"/>
                <a:pt x="1495770" y="62669"/>
                <a:pt x="1676400" y="0"/>
              </a:cubicBezTo>
              <a:cubicBezTo>
                <a:pt x="1687382" y="133988"/>
                <a:pt x="1666402" y="323818"/>
                <a:pt x="1676400" y="500253"/>
              </a:cubicBezTo>
              <a:cubicBezTo>
                <a:pt x="1686398" y="676688"/>
                <a:pt x="1636535" y="825405"/>
                <a:pt x="1676400" y="962025"/>
              </a:cubicBezTo>
              <a:cubicBezTo>
                <a:pt x="1433294" y="1022287"/>
                <a:pt x="1345334" y="914783"/>
                <a:pt x="1167892" y="962025"/>
              </a:cubicBezTo>
              <a:cubicBezTo>
                <a:pt x="990450" y="1009267"/>
                <a:pt x="813777" y="919387"/>
                <a:pt x="609092" y="962025"/>
              </a:cubicBezTo>
              <a:cubicBezTo>
                <a:pt x="404407" y="1004663"/>
                <a:pt x="137707" y="921249"/>
                <a:pt x="0" y="962025"/>
              </a:cubicBezTo>
              <a:cubicBezTo>
                <a:pt x="-16863" y="769178"/>
                <a:pt x="29538" y="687318"/>
                <a:pt x="0" y="490633"/>
              </a:cubicBezTo>
              <a:cubicBezTo>
                <a:pt x="-29538" y="293948"/>
                <a:pt x="44073" y="187500"/>
                <a:pt x="0" y="0"/>
              </a:cubicBezTo>
              <a:close/>
              <a:moveTo>
                <a:pt x="187624" y="187624"/>
              </a:moveTo>
              <a:cubicBezTo>
                <a:pt x="287283" y="147758"/>
                <a:pt x="512486" y="238636"/>
                <a:pt x="634353" y="187624"/>
              </a:cubicBezTo>
              <a:cubicBezTo>
                <a:pt x="756220" y="136612"/>
                <a:pt x="902886" y="203366"/>
                <a:pt x="1055059" y="187624"/>
              </a:cubicBezTo>
              <a:cubicBezTo>
                <a:pt x="1207232" y="171882"/>
                <a:pt x="1401460" y="200115"/>
                <a:pt x="1488776" y="187624"/>
              </a:cubicBezTo>
              <a:cubicBezTo>
                <a:pt x="1555630" y="396545"/>
                <a:pt x="1467947" y="607936"/>
                <a:pt x="1488776" y="774401"/>
              </a:cubicBezTo>
              <a:cubicBezTo>
                <a:pt x="1359841" y="824109"/>
                <a:pt x="1185914" y="751839"/>
                <a:pt x="1029036" y="774401"/>
              </a:cubicBezTo>
              <a:cubicBezTo>
                <a:pt x="872158" y="796963"/>
                <a:pt x="754433" y="740413"/>
                <a:pt x="634353" y="774401"/>
              </a:cubicBezTo>
              <a:cubicBezTo>
                <a:pt x="514273" y="808389"/>
                <a:pt x="305963" y="748928"/>
                <a:pt x="187624" y="774401"/>
              </a:cubicBezTo>
              <a:cubicBezTo>
                <a:pt x="181499" y="493892"/>
                <a:pt x="234893" y="381951"/>
                <a:pt x="187624" y="187624"/>
              </a:cubicBezTo>
              <a:close/>
              <a:moveTo>
                <a:pt x="0" y="0"/>
              </a:moveTo>
              <a:cubicBezTo>
                <a:pt x="73414" y="29684"/>
                <a:pt x="103529" y="114865"/>
                <a:pt x="187624" y="187624"/>
              </a:cubicBezTo>
              <a:moveTo>
                <a:pt x="0" y="962025"/>
              </a:moveTo>
              <a:cubicBezTo>
                <a:pt x="85680" y="861613"/>
                <a:pt x="109412" y="862354"/>
                <a:pt x="187624" y="774401"/>
              </a:cubicBezTo>
              <a:moveTo>
                <a:pt x="1676400" y="0"/>
              </a:moveTo>
              <a:cubicBezTo>
                <a:pt x="1640016" y="55103"/>
                <a:pt x="1527431" y="109805"/>
                <a:pt x="1488776" y="187624"/>
              </a:cubicBezTo>
              <a:moveTo>
                <a:pt x="1676400" y="962025"/>
              </a:moveTo>
              <a:cubicBezTo>
                <a:pt x="1589473" y="904722"/>
                <a:pt x="1574258" y="825793"/>
                <a:pt x="1488776" y="774401"/>
              </a:cubicBezTo>
            </a:path>
            <a:path w="1676400" h="962025" fill="none" stroke="0" extrusionOk="0">
              <a:moveTo>
                <a:pt x="0" y="0"/>
              </a:moveTo>
              <a:cubicBezTo>
                <a:pt x="144354" y="-14628"/>
                <a:pt x="361838" y="37119"/>
                <a:pt x="542036" y="0"/>
              </a:cubicBezTo>
              <a:cubicBezTo>
                <a:pt x="722234" y="-37119"/>
                <a:pt x="983771" y="43526"/>
                <a:pt x="1134364" y="0"/>
              </a:cubicBezTo>
              <a:cubicBezTo>
                <a:pt x="1284957" y="-43526"/>
                <a:pt x="1508181" y="6117"/>
                <a:pt x="1676400" y="0"/>
              </a:cubicBezTo>
              <a:cubicBezTo>
                <a:pt x="1705187" y="223219"/>
                <a:pt x="1632306" y="370619"/>
                <a:pt x="1676400" y="500253"/>
              </a:cubicBezTo>
              <a:cubicBezTo>
                <a:pt x="1720494" y="629887"/>
                <a:pt x="1671868" y="797440"/>
                <a:pt x="1676400" y="962025"/>
              </a:cubicBezTo>
              <a:cubicBezTo>
                <a:pt x="1495599" y="987501"/>
                <a:pt x="1317379" y="897875"/>
                <a:pt x="1134364" y="962025"/>
              </a:cubicBezTo>
              <a:cubicBezTo>
                <a:pt x="951349" y="1026175"/>
                <a:pt x="709563" y="934609"/>
                <a:pt x="592328" y="962025"/>
              </a:cubicBezTo>
              <a:cubicBezTo>
                <a:pt x="475093" y="989441"/>
                <a:pt x="167208" y="959529"/>
                <a:pt x="0" y="962025"/>
              </a:cubicBezTo>
              <a:cubicBezTo>
                <a:pt x="-8785" y="775655"/>
                <a:pt x="21952" y="683749"/>
                <a:pt x="0" y="500253"/>
              </a:cubicBezTo>
              <a:cubicBezTo>
                <a:pt x="-21952" y="316757"/>
                <a:pt x="55219" y="183050"/>
                <a:pt x="0" y="0"/>
              </a:cubicBezTo>
              <a:close/>
              <a:moveTo>
                <a:pt x="187624" y="187624"/>
              </a:moveTo>
              <a:cubicBezTo>
                <a:pt x="331169" y="176511"/>
                <a:pt x="541769" y="232802"/>
                <a:pt x="634353" y="187624"/>
              </a:cubicBezTo>
              <a:cubicBezTo>
                <a:pt x="726937" y="142446"/>
                <a:pt x="883241" y="216004"/>
                <a:pt x="1068070" y="187624"/>
              </a:cubicBezTo>
              <a:cubicBezTo>
                <a:pt x="1252899" y="159244"/>
                <a:pt x="1335471" y="221494"/>
                <a:pt x="1488776" y="187624"/>
              </a:cubicBezTo>
              <a:cubicBezTo>
                <a:pt x="1501951" y="380910"/>
                <a:pt x="1467885" y="498846"/>
                <a:pt x="1488776" y="774401"/>
              </a:cubicBezTo>
              <a:cubicBezTo>
                <a:pt x="1315964" y="787585"/>
                <a:pt x="1174854" y="741488"/>
                <a:pt x="1029036" y="774401"/>
              </a:cubicBezTo>
              <a:cubicBezTo>
                <a:pt x="883218" y="807314"/>
                <a:pt x="708035" y="769415"/>
                <a:pt x="621341" y="774401"/>
              </a:cubicBezTo>
              <a:cubicBezTo>
                <a:pt x="534647" y="779387"/>
                <a:pt x="316308" y="722720"/>
                <a:pt x="187624" y="774401"/>
              </a:cubicBezTo>
              <a:cubicBezTo>
                <a:pt x="144283" y="627587"/>
                <a:pt x="222919" y="367772"/>
                <a:pt x="187624" y="187624"/>
              </a:cubicBezTo>
              <a:close/>
              <a:moveTo>
                <a:pt x="0" y="0"/>
              </a:moveTo>
              <a:cubicBezTo>
                <a:pt x="99380" y="68090"/>
                <a:pt x="89597" y="102941"/>
                <a:pt x="187624" y="187624"/>
              </a:cubicBezTo>
              <a:moveTo>
                <a:pt x="0" y="962025"/>
              </a:moveTo>
              <a:cubicBezTo>
                <a:pt x="46293" y="878180"/>
                <a:pt x="147715" y="825056"/>
                <a:pt x="187624" y="774401"/>
              </a:cubicBezTo>
              <a:moveTo>
                <a:pt x="1676400" y="0"/>
              </a:moveTo>
              <a:cubicBezTo>
                <a:pt x="1602495" y="111438"/>
                <a:pt x="1558080" y="80441"/>
                <a:pt x="1488776" y="187624"/>
              </a:cubicBezTo>
              <a:moveTo>
                <a:pt x="1676400" y="962025"/>
              </a:moveTo>
              <a:cubicBezTo>
                <a:pt x="1593895" y="879995"/>
                <a:pt x="1586667" y="851054"/>
                <a:pt x="1488776" y="774401"/>
              </a:cubicBezTo>
            </a:path>
          </a:pathLst>
        </a:custGeom>
        <a:solidFill>
          <a:srgbClr val="7030A0"/>
        </a:solidFill>
        <a:ln>
          <a:solidFill>
            <a:srgbClr val="37D5D1"/>
          </a:solidFill>
          <a:extLst>
            <a:ext uri="{C807C97D-BFC1-408E-A445-0C87EB9F89A2}">
              <ask:lineSketchStyleProps xmlns:ask="http://schemas.microsoft.com/office/drawing/2018/sketchyshapes" sd="4079188520">
                <a:prstGeom prst="bevel">
                  <a:avLst>
                    <a:gd name="adj" fmla="val 19503"/>
                  </a:avLst>
                </a:prstGeom>
                <ask:type>
                  <ask:lineSketchScribble/>
                </ask:type>
              </ask:lineSketchStyleProps>
            </a:ext>
          </a:extLst>
        </a:ln>
        <a:effectLst>
          <a:glow rad="101600">
            <a:schemeClr val="tx1">
              <a:alpha val="6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a:ln>
                <a:solidFill>
                  <a:schemeClr val="bg1"/>
                </a:solidFill>
              </a:ln>
              <a:solidFill>
                <a:srgbClr val="37D5D1"/>
              </a:solidFill>
            </a:rPr>
            <a:t>REFRESH</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42</xdr:col>
      <xdr:colOff>0</xdr:colOff>
      <xdr:row>3</xdr:row>
      <xdr:rowOff>0</xdr:rowOff>
    </xdr:from>
    <xdr:to>
      <xdr:col>44</xdr:col>
      <xdr:colOff>0</xdr:colOff>
      <xdr:row>6</xdr:row>
      <xdr:rowOff>0</xdr:rowOff>
    </xdr:to>
    <xdr:sp macro="[0]!aT_Bats" textlink="">
      <xdr:nvSpPr>
        <xdr:cNvPr id="3" name="Rectangle: Beveled 2">
          <a:extLst>
            <a:ext uri="{FF2B5EF4-FFF2-40B4-BE49-F238E27FC236}">
              <a16:creationId xmlns:a16="http://schemas.microsoft.com/office/drawing/2014/main" id="{1C2BF487-DF37-44A2-8698-196698628982}"/>
            </a:ext>
          </a:extLst>
        </xdr:cNvPr>
        <xdr:cNvSpPr/>
      </xdr:nvSpPr>
      <xdr:spPr>
        <a:xfrm>
          <a:off x="15963900" y="542925"/>
          <a:ext cx="1219200" cy="542925"/>
        </a:xfrm>
        <a:custGeom>
          <a:avLst/>
          <a:gdLst>
            <a:gd name="connsiteX0" fmla="*/ 105887 w 1219200"/>
            <a:gd name="connsiteY0" fmla="*/ 105887 h 542925"/>
            <a:gd name="connsiteX1" fmla="*/ 579377 w 1219200"/>
            <a:gd name="connsiteY1" fmla="*/ 105887 h 542925"/>
            <a:gd name="connsiteX2" fmla="*/ 1113313 w 1219200"/>
            <a:gd name="connsiteY2" fmla="*/ 105887 h 542925"/>
            <a:gd name="connsiteX3" fmla="*/ 1113313 w 1219200"/>
            <a:gd name="connsiteY3" fmla="*/ 437038 h 542925"/>
            <a:gd name="connsiteX4" fmla="*/ 589451 w 1219200"/>
            <a:gd name="connsiteY4" fmla="*/ 437038 h 542925"/>
            <a:gd name="connsiteX5" fmla="*/ 105887 w 1219200"/>
            <a:gd name="connsiteY5" fmla="*/ 437038 h 542925"/>
            <a:gd name="connsiteX6" fmla="*/ 105887 w 1219200"/>
            <a:gd name="connsiteY6" fmla="*/ 105887 h 542925"/>
            <a:gd name="connsiteX0" fmla="*/ 0 w 1219200"/>
            <a:gd name="connsiteY0" fmla="*/ 0 h 542925"/>
            <a:gd name="connsiteX1" fmla="*/ 382016 w 1219200"/>
            <a:gd name="connsiteY1" fmla="*/ 0 h 542925"/>
            <a:gd name="connsiteX2" fmla="*/ 788416 w 1219200"/>
            <a:gd name="connsiteY2" fmla="*/ 0 h 542925"/>
            <a:gd name="connsiteX3" fmla="*/ 1219200 w 1219200"/>
            <a:gd name="connsiteY3" fmla="*/ 0 h 542925"/>
            <a:gd name="connsiteX4" fmla="*/ 1113313 w 1219200"/>
            <a:gd name="connsiteY4" fmla="*/ 105887 h 542925"/>
            <a:gd name="connsiteX5" fmla="*/ 619674 w 1219200"/>
            <a:gd name="connsiteY5" fmla="*/ 105887 h 542925"/>
            <a:gd name="connsiteX6" fmla="*/ 105887 w 1219200"/>
            <a:gd name="connsiteY6" fmla="*/ 105887 h 542925"/>
            <a:gd name="connsiteX7" fmla="*/ 0 w 1219200"/>
            <a:gd name="connsiteY7" fmla="*/ 0 h 542925"/>
            <a:gd name="connsiteX0" fmla="*/ 0 w 1219200"/>
            <a:gd name="connsiteY0" fmla="*/ 542925 h 542925"/>
            <a:gd name="connsiteX1" fmla="*/ 105887 w 1219200"/>
            <a:gd name="connsiteY1" fmla="*/ 437038 h 542925"/>
            <a:gd name="connsiteX2" fmla="*/ 609600 w 1219200"/>
            <a:gd name="connsiteY2" fmla="*/ 437038 h 542925"/>
            <a:gd name="connsiteX3" fmla="*/ 1113313 w 1219200"/>
            <a:gd name="connsiteY3" fmla="*/ 437038 h 542925"/>
            <a:gd name="connsiteX4" fmla="*/ 1219200 w 1219200"/>
            <a:gd name="connsiteY4" fmla="*/ 542925 h 542925"/>
            <a:gd name="connsiteX5" fmla="*/ 849376 w 1219200"/>
            <a:gd name="connsiteY5" fmla="*/ 542925 h 542925"/>
            <a:gd name="connsiteX6" fmla="*/ 442976 w 1219200"/>
            <a:gd name="connsiteY6" fmla="*/ 542925 h 542925"/>
            <a:gd name="connsiteX7" fmla="*/ 0 w 1219200"/>
            <a:gd name="connsiteY7" fmla="*/ 542925 h 542925"/>
            <a:gd name="connsiteX0" fmla="*/ 0 w 1219200"/>
            <a:gd name="connsiteY0" fmla="*/ 0 h 542925"/>
            <a:gd name="connsiteX1" fmla="*/ 105887 w 1219200"/>
            <a:gd name="connsiteY1" fmla="*/ 105887 h 542925"/>
            <a:gd name="connsiteX2" fmla="*/ 105887 w 1219200"/>
            <a:gd name="connsiteY2" fmla="*/ 437038 h 542925"/>
            <a:gd name="connsiteX3" fmla="*/ 0 w 1219200"/>
            <a:gd name="connsiteY3" fmla="*/ 542925 h 542925"/>
            <a:gd name="connsiteX4" fmla="*/ 0 w 1219200"/>
            <a:gd name="connsiteY4" fmla="*/ 0 h 542925"/>
            <a:gd name="connsiteX0" fmla="*/ 1219200 w 1219200"/>
            <a:gd name="connsiteY0" fmla="*/ 0 h 542925"/>
            <a:gd name="connsiteX1" fmla="*/ 1219200 w 1219200"/>
            <a:gd name="connsiteY1" fmla="*/ 542925 h 542925"/>
            <a:gd name="connsiteX2" fmla="*/ 1113313 w 1219200"/>
            <a:gd name="connsiteY2" fmla="*/ 437038 h 542925"/>
            <a:gd name="connsiteX3" fmla="*/ 1113313 w 1219200"/>
            <a:gd name="connsiteY3" fmla="*/ 105887 h 542925"/>
            <a:gd name="connsiteX4" fmla="*/ 1219200 w 1219200"/>
            <a:gd name="connsiteY4" fmla="*/ 0 h 542925"/>
            <a:gd name="connsiteX0" fmla="*/ 0 w 1219200"/>
            <a:gd name="connsiteY0" fmla="*/ 0 h 542925"/>
            <a:gd name="connsiteX1" fmla="*/ 406400 w 1219200"/>
            <a:gd name="connsiteY1" fmla="*/ 0 h 542925"/>
            <a:gd name="connsiteX2" fmla="*/ 837184 w 1219200"/>
            <a:gd name="connsiteY2" fmla="*/ 0 h 542925"/>
            <a:gd name="connsiteX3" fmla="*/ 1219200 w 1219200"/>
            <a:gd name="connsiteY3" fmla="*/ 0 h 542925"/>
            <a:gd name="connsiteX4" fmla="*/ 1219200 w 1219200"/>
            <a:gd name="connsiteY4" fmla="*/ 542925 h 542925"/>
            <a:gd name="connsiteX5" fmla="*/ 824992 w 1219200"/>
            <a:gd name="connsiteY5" fmla="*/ 542925 h 542925"/>
            <a:gd name="connsiteX6" fmla="*/ 442976 w 1219200"/>
            <a:gd name="connsiteY6" fmla="*/ 542925 h 542925"/>
            <a:gd name="connsiteX7" fmla="*/ 0 w 1219200"/>
            <a:gd name="connsiteY7" fmla="*/ 542925 h 542925"/>
            <a:gd name="connsiteX8" fmla="*/ 0 w 1219200"/>
            <a:gd name="connsiteY8" fmla="*/ 0 h 542925"/>
            <a:gd name="connsiteX9" fmla="*/ 105887 w 1219200"/>
            <a:gd name="connsiteY9" fmla="*/ 105887 h 542925"/>
            <a:gd name="connsiteX10" fmla="*/ 629749 w 1219200"/>
            <a:gd name="connsiteY10" fmla="*/ 105887 h 542925"/>
            <a:gd name="connsiteX11" fmla="*/ 1113313 w 1219200"/>
            <a:gd name="connsiteY11" fmla="*/ 105887 h 542925"/>
            <a:gd name="connsiteX12" fmla="*/ 1113313 w 1219200"/>
            <a:gd name="connsiteY12" fmla="*/ 437038 h 542925"/>
            <a:gd name="connsiteX13" fmla="*/ 619674 w 1219200"/>
            <a:gd name="connsiteY13" fmla="*/ 437038 h 542925"/>
            <a:gd name="connsiteX14" fmla="*/ 105887 w 1219200"/>
            <a:gd name="connsiteY14" fmla="*/ 437038 h 542925"/>
            <a:gd name="connsiteX15" fmla="*/ 105887 w 1219200"/>
            <a:gd name="connsiteY15" fmla="*/ 105887 h 542925"/>
            <a:gd name="connsiteX16" fmla="*/ 0 w 1219200"/>
            <a:gd name="connsiteY16" fmla="*/ 0 h 542925"/>
            <a:gd name="connsiteX17" fmla="*/ 105887 w 1219200"/>
            <a:gd name="connsiteY17" fmla="*/ 105887 h 542925"/>
            <a:gd name="connsiteX18" fmla="*/ 0 w 1219200"/>
            <a:gd name="connsiteY18" fmla="*/ 542925 h 542925"/>
            <a:gd name="connsiteX19" fmla="*/ 105887 w 1219200"/>
            <a:gd name="connsiteY19" fmla="*/ 437038 h 542925"/>
            <a:gd name="connsiteX20" fmla="*/ 1219200 w 1219200"/>
            <a:gd name="connsiteY20" fmla="*/ 0 h 542925"/>
            <a:gd name="connsiteX21" fmla="*/ 1113313 w 1219200"/>
            <a:gd name="connsiteY21" fmla="*/ 105887 h 542925"/>
            <a:gd name="connsiteX22" fmla="*/ 1219200 w 1219200"/>
            <a:gd name="connsiteY22" fmla="*/ 542925 h 542925"/>
            <a:gd name="connsiteX23" fmla="*/ 1113313 w 1219200"/>
            <a:gd name="connsiteY23" fmla="*/ 437038 h 542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1219200" h="542925" stroke="0" extrusionOk="0">
              <a:moveTo>
                <a:pt x="105887" y="105887"/>
              </a:moveTo>
              <a:cubicBezTo>
                <a:pt x="310522" y="62673"/>
                <a:pt x="353974" y="124656"/>
                <a:pt x="579377" y="105887"/>
              </a:cubicBezTo>
              <a:cubicBezTo>
                <a:pt x="804780" y="87118"/>
                <a:pt x="954798" y="168488"/>
                <a:pt x="1113313" y="105887"/>
              </a:cubicBezTo>
              <a:cubicBezTo>
                <a:pt x="1150781" y="251381"/>
                <a:pt x="1084216" y="337693"/>
                <a:pt x="1113313" y="437038"/>
              </a:cubicBezTo>
              <a:cubicBezTo>
                <a:pt x="997832" y="455337"/>
                <a:pt x="780334" y="427305"/>
                <a:pt x="589451" y="437038"/>
              </a:cubicBezTo>
              <a:cubicBezTo>
                <a:pt x="398568" y="446771"/>
                <a:pt x="221007" y="429737"/>
                <a:pt x="105887" y="437038"/>
              </a:cubicBezTo>
              <a:cubicBezTo>
                <a:pt x="99547" y="290042"/>
                <a:pt x="121456" y="193561"/>
                <a:pt x="105887" y="105887"/>
              </a:cubicBezTo>
              <a:close/>
            </a:path>
            <a:path w="1219200" h="542925" fill="lightenLess" stroke="0" extrusionOk="0">
              <a:moveTo>
                <a:pt x="0" y="0"/>
              </a:moveTo>
              <a:cubicBezTo>
                <a:pt x="89413" y="-5860"/>
                <a:pt x="197677" y="16688"/>
                <a:pt x="382016" y="0"/>
              </a:cubicBezTo>
              <a:cubicBezTo>
                <a:pt x="566355" y="-16688"/>
                <a:pt x="651900" y="26743"/>
                <a:pt x="788416" y="0"/>
              </a:cubicBezTo>
              <a:cubicBezTo>
                <a:pt x="924932" y="-26743"/>
                <a:pt x="1087738" y="13361"/>
                <a:pt x="1219200" y="0"/>
              </a:cubicBezTo>
              <a:cubicBezTo>
                <a:pt x="1175089" y="51336"/>
                <a:pt x="1131711" y="71884"/>
                <a:pt x="1113313" y="105887"/>
              </a:cubicBezTo>
              <a:cubicBezTo>
                <a:pt x="946365" y="119397"/>
                <a:pt x="825341" y="97993"/>
                <a:pt x="619674" y="105887"/>
              </a:cubicBezTo>
              <a:cubicBezTo>
                <a:pt x="414007" y="113781"/>
                <a:pt x="288997" y="79859"/>
                <a:pt x="105887" y="105887"/>
              </a:cubicBezTo>
              <a:cubicBezTo>
                <a:pt x="66912" y="70691"/>
                <a:pt x="36447" y="29728"/>
                <a:pt x="0" y="0"/>
              </a:cubicBezTo>
              <a:close/>
            </a:path>
            <a:path w="1219200" h="542925" fill="darkenLess" stroke="0" extrusionOk="0">
              <a:moveTo>
                <a:pt x="0" y="542925"/>
              </a:moveTo>
              <a:cubicBezTo>
                <a:pt x="22701" y="495838"/>
                <a:pt x="70982" y="490707"/>
                <a:pt x="105887" y="437038"/>
              </a:cubicBezTo>
              <a:cubicBezTo>
                <a:pt x="209534" y="393844"/>
                <a:pt x="484716" y="448956"/>
                <a:pt x="609600" y="437038"/>
              </a:cubicBezTo>
              <a:cubicBezTo>
                <a:pt x="734484" y="425120"/>
                <a:pt x="870717" y="470232"/>
                <a:pt x="1113313" y="437038"/>
              </a:cubicBezTo>
              <a:cubicBezTo>
                <a:pt x="1164441" y="483684"/>
                <a:pt x="1170247" y="507059"/>
                <a:pt x="1219200" y="542925"/>
              </a:cubicBezTo>
              <a:cubicBezTo>
                <a:pt x="1143988" y="582225"/>
                <a:pt x="982830" y="537695"/>
                <a:pt x="849376" y="542925"/>
              </a:cubicBezTo>
              <a:cubicBezTo>
                <a:pt x="715922" y="548155"/>
                <a:pt x="590132" y="494335"/>
                <a:pt x="442976" y="542925"/>
              </a:cubicBezTo>
              <a:cubicBezTo>
                <a:pt x="295820" y="591515"/>
                <a:pt x="203377" y="492279"/>
                <a:pt x="0" y="542925"/>
              </a:cubicBezTo>
              <a:close/>
            </a:path>
            <a:path w="1219200" h="542925" fill="lighten" stroke="0" extrusionOk="0">
              <a:moveTo>
                <a:pt x="0" y="0"/>
              </a:moveTo>
              <a:cubicBezTo>
                <a:pt x="35192" y="14142"/>
                <a:pt x="69116" y="93736"/>
                <a:pt x="105887" y="105887"/>
              </a:cubicBezTo>
              <a:cubicBezTo>
                <a:pt x="121398" y="207195"/>
                <a:pt x="99190" y="294288"/>
                <a:pt x="105887" y="437038"/>
              </a:cubicBezTo>
              <a:cubicBezTo>
                <a:pt x="69413" y="492172"/>
                <a:pt x="39831" y="502158"/>
                <a:pt x="0" y="542925"/>
              </a:cubicBezTo>
              <a:cubicBezTo>
                <a:pt x="-17095" y="347427"/>
                <a:pt x="33579" y="140680"/>
                <a:pt x="0" y="0"/>
              </a:cubicBezTo>
              <a:close/>
            </a:path>
            <a:path w="1219200" h="542925" fill="darken" stroke="0" extrusionOk="0">
              <a:moveTo>
                <a:pt x="1219200" y="0"/>
              </a:moveTo>
              <a:cubicBezTo>
                <a:pt x="1257804" y="110179"/>
                <a:pt x="1179440" y="289149"/>
                <a:pt x="1219200" y="542925"/>
              </a:cubicBezTo>
              <a:cubicBezTo>
                <a:pt x="1168589" y="516470"/>
                <a:pt x="1146845" y="465722"/>
                <a:pt x="1113313" y="437038"/>
              </a:cubicBezTo>
              <a:cubicBezTo>
                <a:pt x="1074276" y="287883"/>
                <a:pt x="1117792" y="220286"/>
                <a:pt x="1113313" y="105887"/>
              </a:cubicBezTo>
              <a:cubicBezTo>
                <a:pt x="1148988" y="62222"/>
                <a:pt x="1197273" y="46477"/>
                <a:pt x="1219200" y="0"/>
              </a:cubicBezTo>
              <a:close/>
            </a:path>
            <a:path w="1219200" h="542925" fill="none" extrusionOk="0">
              <a:moveTo>
                <a:pt x="0" y="0"/>
              </a:moveTo>
              <a:cubicBezTo>
                <a:pt x="91470" y="-22542"/>
                <a:pt x="259094" y="1344"/>
                <a:pt x="406400" y="0"/>
              </a:cubicBezTo>
              <a:cubicBezTo>
                <a:pt x="553706" y="-1344"/>
                <a:pt x="722654" y="38754"/>
                <a:pt x="837184" y="0"/>
              </a:cubicBezTo>
              <a:cubicBezTo>
                <a:pt x="951714" y="-38754"/>
                <a:pt x="1109870" y="13314"/>
                <a:pt x="1219200" y="0"/>
              </a:cubicBezTo>
              <a:cubicBezTo>
                <a:pt x="1255608" y="190005"/>
                <a:pt x="1187003" y="272330"/>
                <a:pt x="1219200" y="542925"/>
              </a:cubicBezTo>
              <a:cubicBezTo>
                <a:pt x="1070081" y="582327"/>
                <a:pt x="906996" y="512410"/>
                <a:pt x="824992" y="542925"/>
              </a:cubicBezTo>
              <a:cubicBezTo>
                <a:pt x="742988" y="573440"/>
                <a:pt x="577850" y="510295"/>
                <a:pt x="442976" y="542925"/>
              </a:cubicBezTo>
              <a:cubicBezTo>
                <a:pt x="308102" y="575555"/>
                <a:pt x="182069" y="515932"/>
                <a:pt x="0" y="542925"/>
              </a:cubicBezTo>
              <a:cubicBezTo>
                <a:pt x="-53643" y="314182"/>
                <a:pt x="34322" y="197905"/>
                <a:pt x="0" y="0"/>
              </a:cubicBezTo>
              <a:close/>
              <a:moveTo>
                <a:pt x="105887" y="105887"/>
              </a:moveTo>
              <a:cubicBezTo>
                <a:pt x="343958" y="68154"/>
                <a:pt x="400863" y="129650"/>
                <a:pt x="629749" y="105887"/>
              </a:cubicBezTo>
              <a:cubicBezTo>
                <a:pt x="858635" y="82124"/>
                <a:pt x="985097" y="156962"/>
                <a:pt x="1113313" y="105887"/>
              </a:cubicBezTo>
              <a:cubicBezTo>
                <a:pt x="1149355" y="222476"/>
                <a:pt x="1109137" y="299659"/>
                <a:pt x="1113313" y="437038"/>
              </a:cubicBezTo>
              <a:cubicBezTo>
                <a:pt x="985967" y="477205"/>
                <a:pt x="750902" y="429699"/>
                <a:pt x="619674" y="437038"/>
              </a:cubicBezTo>
              <a:cubicBezTo>
                <a:pt x="488446" y="444377"/>
                <a:pt x="226542" y="428443"/>
                <a:pt x="105887" y="437038"/>
              </a:cubicBezTo>
              <a:cubicBezTo>
                <a:pt x="66889" y="330426"/>
                <a:pt x="124232" y="237161"/>
                <a:pt x="105887" y="105887"/>
              </a:cubicBezTo>
              <a:close/>
              <a:moveTo>
                <a:pt x="0" y="0"/>
              </a:moveTo>
              <a:cubicBezTo>
                <a:pt x="41703" y="38127"/>
                <a:pt x="49412" y="73836"/>
                <a:pt x="105887" y="105887"/>
              </a:cubicBezTo>
              <a:moveTo>
                <a:pt x="0" y="542925"/>
              </a:moveTo>
              <a:cubicBezTo>
                <a:pt x="43997" y="496396"/>
                <a:pt x="67599" y="494764"/>
                <a:pt x="105887" y="437038"/>
              </a:cubicBezTo>
              <a:moveTo>
                <a:pt x="1219200" y="0"/>
              </a:moveTo>
              <a:cubicBezTo>
                <a:pt x="1187010" y="35332"/>
                <a:pt x="1127476" y="70278"/>
                <a:pt x="1113313" y="105887"/>
              </a:cubicBezTo>
              <a:moveTo>
                <a:pt x="1219200" y="542925"/>
              </a:moveTo>
              <a:cubicBezTo>
                <a:pt x="1174369" y="507193"/>
                <a:pt x="1147719" y="459962"/>
                <a:pt x="1113313" y="437038"/>
              </a:cubicBezTo>
            </a:path>
            <a:path w="1219200" h="542925" fill="none" stroke="0" extrusionOk="0">
              <a:moveTo>
                <a:pt x="0" y="0"/>
              </a:moveTo>
              <a:cubicBezTo>
                <a:pt x="143682" y="-45409"/>
                <a:pt x="231415" y="24225"/>
                <a:pt x="418592" y="0"/>
              </a:cubicBezTo>
              <a:cubicBezTo>
                <a:pt x="605769" y="-24225"/>
                <a:pt x="727944" y="5332"/>
                <a:pt x="812800" y="0"/>
              </a:cubicBezTo>
              <a:cubicBezTo>
                <a:pt x="897656" y="-5332"/>
                <a:pt x="1115241" y="4483"/>
                <a:pt x="1219200" y="0"/>
              </a:cubicBezTo>
              <a:cubicBezTo>
                <a:pt x="1246648" y="176384"/>
                <a:pt x="1164786" y="357228"/>
                <a:pt x="1219200" y="542925"/>
              </a:cubicBezTo>
              <a:cubicBezTo>
                <a:pt x="1075877" y="588021"/>
                <a:pt x="989492" y="533900"/>
                <a:pt x="824992" y="542925"/>
              </a:cubicBezTo>
              <a:cubicBezTo>
                <a:pt x="660492" y="551950"/>
                <a:pt x="569081" y="531861"/>
                <a:pt x="455168" y="542925"/>
              </a:cubicBezTo>
              <a:cubicBezTo>
                <a:pt x="341255" y="553989"/>
                <a:pt x="203858" y="512642"/>
                <a:pt x="0" y="542925"/>
              </a:cubicBezTo>
              <a:cubicBezTo>
                <a:pt x="-6400" y="275241"/>
                <a:pt x="12727" y="203761"/>
                <a:pt x="0" y="0"/>
              </a:cubicBezTo>
              <a:close/>
              <a:moveTo>
                <a:pt x="105887" y="105887"/>
              </a:moveTo>
              <a:cubicBezTo>
                <a:pt x="294354" y="70763"/>
                <a:pt x="392530" y="131883"/>
                <a:pt x="599526" y="105887"/>
              </a:cubicBezTo>
              <a:cubicBezTo>
                <a:pt x="806522" y="79891"/>
                <a:pt x="881447" y="113623"/>
                <a:pt x="1113313" y="105887"/>
              </a:cubicBezTo>
              <a:cubicBezTo>
                <a:pt x="1139522" y="218465"/>
                <a:pt x="1097452" y="370581"/>
                <a:pt x="1113313" y="437038"/>
              </a:cubicBezTo>
              <a:cubicBezTo>
                <a:pt x="961539" y="484300"/>
                <a:pt x="707401" y="397668"/>
                <a:pt x="599526" y="437038"/>
              </a:cubicBezTo>
              <a:cubicBezTo>
                <a:pt x="491651" y="476408"/>
                <a:pt x="345762" y="432243"/>
                <a:pt x="105887" y="437038"/>
              </a:cubicBezTo>
              <a:cubicBezTo>
                <a:pt x="78364" y="343608"/>
                <a:pt x="125130" y="197656"/>
                <a:pt x="105887" y="105887"/>
              </a:cubicBezTo>
              <a:close/>
              <a:moveTo>
                <a:pt x="0" y="0"/>
              </a:moveTo>
              <a:cubicBezTo>
                <a:pt x="60411" y="36142"/>
                <a:pt x="64132" y="76913"/>
                <a:pt x="105887" y="105887"/>
              </a:cubicBezTo>
              <a:moveTo>
                <a:pt x="0" y="542925"/>
              </a:moveTo>
              <a:cubicBezTo>
                <a:pt x="11599" y="506350"/>
                <a:pt x="70427" y="473214"/>
                <a:pt x="105887" y="437038"/>
              </a:cubicBezTo>
              <a:moveTo>
                <a:pt x="1219200" y="0"/>
              </a:moveTo>
              <a:cubicBezTo>
                <a:pt x="1182010" y="55927"/>
                <a:pt x="1136479" y="69943"/>
                <a:pt x="1113313" y="105887"/>
              </a:cubicBezTo>
              <a:moveTo>
                <a:pt x="1219200" y="542925"/>
              </a:moveTo>
              <a:cubicBezTo>
                <a:pt x="1169281" y="513767"/>
                <a:pt x="1154176" y="453522"/>
                <a:pt x="1113313" y="437038"/>
              </a:cubicBezTo>
            </a:path>
          </a:pathLst>
        </a:custGeom>
        <a:solidFill>
          <a:srgbClr val="DE2E71"/>
        </a:solidFill>
        <a:ln>
          <a:solidFill>
            <a:schemeClr val="bg1"/>
          </a:solidFill>
          <a:extLst>
            <a:ext uri="{C807C97D-BFC1-408E-A445-0C87EB9F89A2}">
              <ask:lineSketchStyleProps xmlns:ask="http://schemas.microsoft.com/office/drawing/2018/sketchyshapes" sd="4079188520">
                <a:prstGeom prst="bevel">
                  <a:avLst>
                    <a:gd name="adj" fmla="val 19503"/>
                  </a:avLst>
                </a:prstGeom>
                <ask:type>
                  <ask:lineSketchScribble/>
                </ask:type>
              </ask:lineSketchStyleProps>
            </a:ext>
          </a:extLst>
        </a:ln>
        <a:effectLst>
          <a:glow rad="101600">
            <a:schemeClr val="tx1">
              <a:alpha val="6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1" baseline="0"/>
            <a:t>atBATS</a:t>
          </a:r>
          <a:endParaRPr lang="en-US" sz="1050" b="1" i="1"/>
        </a:p>
      </xdr:txBody>
    </xdr:sp>
    <xdr:clientData/>
  </xdr:twoCellAnchor>
  <xdr:twoCellAnchor>
    <xdr:from>
      <xdr:col>42</xdr:col>
      <xdr:colOff>0</xdr:colOff>
      <xdr:row>9</xdr:row>
      <xdr:rowOff>0</xdr:rowOff>
    </xdr:from>
    <xdr:to>
      <xdr:col>44</xdr:col>
      <xdr:colOff>0</xdr:colOff>
      <xdr:row>12</xdr:row>
      <xdr:rowOff>0</xdr:rowOff>
    </xdr:to>
    <xdr:sp macro="[0]!aT_Bats" textlink="">
      <xdr:nvSpPr>
        <xdr:cNvPr id="4" name="Rectangle: Beveled 3">
          <a:extLst>
            <a:ext uri="{FF2B5EF4-FFF2-40B4-BE49-F238E27FC236}">
              <a16:creationId xmlns:a16="http://schemas.microsoft.com/office/drawing/2014/main" id="{8C0C844C-0B88-4960-9A34-C582480EBF89}"/>
            </a:ext>
          </a:extLst>
        </xdr:cNvPr>
        <xdr:cNvSpPr/>
      </xdr:nvSpPr>
      <xdr:spPr>
        <a:xfrm>
          <a:off x="15963900" y="1628775"/>
          <a:ext cx="1219200" cy="542925"/>
        </a:xfrm>
        <a:custGeom>
          <a:avLst/>
          <a:gdLst>
            <a:gd name="connsiteX0" fmla="*/ 105887 w 1219200"/>
            <a:gd name="connsiteY0" fmla="*/ 105887 h 542925"/>
            <a:gd name="connsiteX1" fmla="*/ 579377 w 1219200"/>
            <a:gd name="connsiteY1" fmla="*/ 105887 h 542925"/>
            <a:gd name="connsiteX2" fmla="*/ 1113313 w 1219200"/>
            <a:gd name="connsiteY2" fmla="*/ 105887 h 542925"/>
            <a:gd name="connsiteX3" fmla="*/ 1113313 w 1219200"/>
            <a:gd name="connsiteY3" fmla="*/ 437038 h 542925"/>
            <a:gd name="connsiteX4" fmla="*/ 589451 w 1219200"/>
            <a:gd name="connsiteY4" fmla="*/ 437038 h 542925"/>
            <a:gd name="connsiteX5" fmla="*/ 105887 w 1219200"/>
            <a:gd name="connsiteY5" fmla="*/ 437038 h 542925"/>
            <a:gd name="connsiteX6" fmla="*/ 105887 w 1219200"/>
            <a:gd name="connsiteY6" fmla="*/ 105887 h 542925"/>
            <a:gd name="connsiteX0" fmla="*/ 0 w 1219200"/>
            <a:gd name="connsiteY0" fmla="*/ 0 h 542925"/>
            <a:gd name="connsiteX1" fmla="*/ 382016 w 1219200"/>
            <a:gd name="connsiteY1" fmla="*/ 0 h 542925"/>
            <a:gd name="connsiteX2" fmla="*/ 788416 w 1219200"/>
            <a:gd name="connsiteY2" fmla="*/ 0 h 542925"/>
            <a:gd name="connsiteX3" fmla="*/ 1219200 w 1219200"/>
            <a:gd name="connsiteY3" fmla="*/ 0 h 542925"/>
            <a:gd name="connsiteX4" fmla="*/ 1113313 w 1219200"/>
            <a:gd name="connsiteY4" fmla="*/ 105887 h 542925"/>
            <a:gd name="connsiteX5" fmla="*/ 619674 w 1219200"/>
            <a:gd name="connsiteY5" fmla="*/ 105887 h 542925"/>
            <a:gd name="connsiteX6" fmla="*/ 105887 w 1219200"/>
            <a:gd name="connsiteY6" fmla="*/ 105887 h 542925"/>
            <a:gd name="connsiteX7" fmla="*/ 0 w 1219200"/>
            <a:gd name="connsiteY7" fmla="*/ 0 h 542925"/>
            <a:gd name="connsiteX0" fmla="*/ 0 w 1219200"/>
            <a:gd name="connsiteY0" fmla="*/ 542925 h 542925"/>
            <a:gd name="connsiteX1" fmla="*/ 105887 w 1219200"/>
            <a:gd name="connsiteY1" fmla="*/ 437038 h 542925"/>
            <a:gd name="connsiteX2" fmla="*/ 609600 w 1219200"/>
            <a:gd name="connsiteY2" fmla="*/ 437038 h 542925"/>
            <a:gd name="connsiteX3" fmla="*/ 1113313 w 1219200"/>
            <a:gd name="connsiteY3" fmla="*/ 437038 h 542925"/>
            <a:gd name="connsiteX4" fmla="*/ 1219200 w 1219200"/>
            <a:gd name="connsiteY4" fmla="*/ 542925 h 542925"/>
            <a:gd name="connsiteX5" fmla="*/ 849376 w 1219200"/>
            <a:gd name="connsiteY5" fmla="*/ 542925 h 542925"/>
            <a:gd name="connsiteX6" fmla="*/ 442976 w 1219200"/>
            <a:gd name="connsiteY6" fmla="*/ 542925 h 542925"/>
            <a:gd name="connsiteX7" fmla="*/ 0 w 1219200"/>
            <a:gd name="connsiteY7" fmla="*/ 542925 h 542925"/>
            <a:gd name="connsiteX0" fmla="*/ 0 w 1219200"/>
            <a:gd name="connsiteY0" fmla="*/ 0 h 542925"/>
            <a:gd name="connsiteX1" fmla="*/ 105887 w 1219200"/>
            <a:gd name="connsiteY1" fmla="*/ 105887 h 542925"/>
            <a:gd name="connsiteX2" fmla="*/ 105887 w 1219200"/>
            <a:gd name="connsiteY2" fmla="*/ 437038 h 542925"/>
            <a:gd name="connsiteX3" fmla="*/ 0 w 1219200"/>
            <a:gd name="connsiteY3" fmla="*/ 542925 h 542925"/>
            <a:gd name="connsiteX4" fmla="*/ 0 w 1219200"/>
            <a:gd name="connsiteY4" fmla="*/ 0 h 542925"/>
            <a:gd name="connsiteX0" fmla="*/ 1219200 w 1219200"/>
            <a:gd name="connsiteY0" fmla="*/ 0 h 542925"/>
            <a:gd name="connsiteX1" fmla="*/ 1219200 w 1219200"/>
            <a:gd name="connsiteY1" fmla="*/ 542925 h 542925"/>
            <a:gd name="connsiteX2" fmla="*/ 1113313 w 1219200"/>
            <a:gd name="connsiteY2" fmla="*/ 437038 h 542925"/>
            <a:gd name="connsiteX3" fmla="*/ 1113313 w 1219200"/>
            <a:gd name="connsiteY3" fmla="*/ 105887 h 542925"/>
            <a:gd name="connsiteX4" fmla="*/ 1219200 w 1219200"/>
            <a:gd name="connsiteY4" fmla="*/ 0 h 542925"/>
            <a:gd name="connsiteX0" fmla="*/ 0 w 1219200"/>
            <a:gd name="connsiteY0" fmla="*/ 0 h 542925"/>
            <a:gd name="connsiteX1" fmla="*/ 406400 w 1219200"/>
            <a:gd name="connsiteY1" fmla="*/ 0 h 542925"/>
            <a:gd name="connsiteX2" fmla="*/ 837184 w 1219200"/>
            <a:gd name="connsiteY2" fmla="*/ 0 h 542925"/>
            <a:gd name="connsiteX3" fmla="*/ 1219200 w 1219200"/>
            <a:gd name="connsiteY3" fmla="*/ 0 h 542925"/>
            <a:gd name="connsiteX4" fmla="*/ 1219200 w 1219200"/>
            <a:gd name="connsiteY4" fmla="*/ 542925 h 542925"/>
            <a:gd name="connsiteX5" fmla="*/ 824992 w 1219200"/>
            <a:gd name="connsiteY5" fmla="*/ 542925 h 542925"/>
            <a:gd name="connsiteX6" fmla="*/ 442976 w 1219200"/>
            <a:gd name="connsiteY6" fmla="*/ 542925 h 542925"/>
            <a:gd name="connsiteX7" fmla="*/ 0 w 1219200"/>
            <a:gd name="connsiteY7" fmla="*/ 542925 h 542925"/>
            <a:gd name="connsiteX8" fmla="*/ 0 w 1219200"/>
            <a:gd name="connsiteY8" fmla="*/ 0 h 542925"/>
            <a:gd name="connsiteX9" fmla="*/ 105887 w 1219200"/>
            <a:gd name="connsiteY9" fmla="*/ 105887 h 542925"/>
            <a:gd name="connsiteX10" fmla="*/ 629749 w 1219200"/>
            <a:gd name="connsiteY10" fmla="*/ 105887 h 542925"/>
            <a:gd name="connsiteX11" fmla="*/ 1113313 w 1219200"/>
            <a:gd name="connsiteY11" fmla="*/ 105887 h 542925"/>
            <a:gd name="connsiteX12" fmla="*/ 1113313 w 1219200"/>
            <a:gd name="connsiteY12" fmla="*/ 437038 h 542925"/>
            <a:gd name="connsiteX13" fmla="*/ 619674 w 1219200"/>
            <a:gd name="connsiteY13" fmla="*/ 437038 h 542925"/>
            <a:gd name="connsiteX14" fmla="*/ 105887 w 1219200"/>
            <a:gd name="connsiteY14" fmla="*/ 437038 h 542925"/>
            <a:gd name="connsiteX15" fmla="*/ 105887 w 1219200"/>
            <a:gd name="connsiteY15" fmla="*/ 105887 h 542925"/>
            <a:gd name="connsiteX16" fmla="*/ 0 w 1219200"/>
            <a:gd name="connsiteY16" fmla="*/ 0 h 542925"/>
            <a:gd name="connsiteX17" fmla="*/ 105887 w 1219200"/>
            <a:gd name="connsiteY17" fmla="*/ 105887 h 542925"/>
            <a:gd name="connsiteX18" fmla="*/ 0 w 1219200"/>
            <a:gd name="connsiteY18" fmla="*/ 542925 h 542925"/>
            <a:gd name="connsiteX19" fmla="*/ 105887 w 1219200"/>
            <a:gd name="connsiteY19" fmla="*/ 437038 h 542925"/>
            <a:gd name="connsiteX20" fmla="*/ 1219200 w 1219200"/>
            <a:gd name="connsiteY20" fmla="*/ 0 h 542925"/>
            <a:gd name="connsiteX21" fmla="*/ 1113313 w 1219200"/>
            <a:gd name="connsiteY21" fmla="*/ 105887 h 542925"/>
            <a:gd name="connsiteX22" fmla="*/ 1219200 w 1219200"/>
            <a:gd name="connsiteY22" fmla="*/ 542925 h 542925"/>
            <a:gd name="connsiteX23" fmla="*/ 1113313 w 1219200"/>
            <a:gd name="connsiteY23" fmla="*/ 437038 h 542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1219200" h="542925" stroke="0" extrusionOk="0">
              <a:moveTo>
                <a:pt x="105887" y="105887"/>
              </a:moveTo>
              <a:cubicBezTo>
                <a:pt x="310522" y="62673"/>
                <a:pt x="353974" y="124656"/>
                <a:pt x="579377" y="105887"/>
              </a:cubicBezTo>
              <a:cubicBezTo>
                <a:pt x="804780" y="87118"/>
                <a:pt x="954798" y="168488"/>
                <a:pt x="1113313" y="105887"/>
              </a:cubicBezTo>
              <a:cubicBezTo>
                <a:pt x="1150781" y="251381"/>
                <a:pt x="1084216" y="337693"/>
                <a:pt x="1113313" y="437038"/>
              </a:cubicBezTo>
              <a:cubicBezTo>
                <a:pt x="997832" y="455337"/>
                <a:pt x="780334" y="427305"/>
                <a:pt x="589451" y="437038"/>
              </a:cubicBezTo>
              <a:cubicBezTo>
                <a:pt x="398568" y="446771"/>
                <a:pt x="221007" y="429737"/>
                <a:pt x="105887" y="437038"/>
              </a:cubicBezTo>
              <a:cubicBezTo>
                <a:pt x="99547" y="290042"/>
                <a:pt x="121456" y="193561"/>
                <a:pt x="105887" y="105887"/>
              </a:cubicBezTo>
              <a:close/>
            </a:path>
            <a:path w="1219200" h="542925" fill="lightenLess" stroke="0" extrusionOk="0">
              <a:moveTo>
                <a:pt x="0" y="0"/>
              </a:moveTo>
              <a:cubicBezTo>
                <a:pt x="89413" y="-5860"/>
                <a:pt x="197677" y="16688"/>
                <a:pt x="382016" y="0"/>
              </a:cubicBezTo>
              <a:cubicBezTo>
                <a:pt x="566355" y="-16688"/>
                <a:pt x="651900" y="26743"/>
                <a:pt x="788416" y="0"/>
              </a:cubicBezTo>
              <a:cubicBezTo>
                <a:pt x="924932" y="-26743"/>
                <a:pt x="1087738" y="13361"/>
                <a:pt x="1219200" y="0"/>
              </a:cubicBezTo>
              <a:cubicBezTo>
                <a:pt x="1175089" y="51336"/>
                <a:pt x="1131711" y="71884"/>
                <a:pt x="1113313" y="105887"/>
              </a:cubicBezTo>
              <a:cubicBezTo>
                <a:pt x="946365" y="119397"/>
                <a:pt x="825341" y="97993"/>
                <a:pt x="619674" y="105887"/>
              </a:cubicBezTo>
              <a:cubicBezTo>
                <a:pt x="414007" y="113781"/>
                <a:pt x="288997" y="79859"/>
                <a:pt x="105887" y="105887"/>
              </a:cubicBezTo>
              <a:cubicBezTo>
                <a:pt x="66912" y="70691"/>
                <a:pt x="36447" y="29728"/>
                <a:pt x="0" y="0"/>
              </a:cubicBezTo>
              <a:close/>
            </a:path>
            <a:path w="1219200" h="542925" fill="darkenLess" stroke="0" extrusionOk="0">
              <a:moveTo>
                <a:pt x="0" y="542925"/>
              </a:moveTo>
              <a:cubicBezTo>
                <a:pt x="22701" y="495838"/>
                <a:pt x="70982" y="490707"/>
                <a:pt x="105887" y="437038"/>
              </a:cubicBezTo>
              <a:cubicBezTo>
                <a:pt x="209534" y="393844"/>
                <a:pt x="484716" y="448956"/>
                <a:pt x="609600" y="437038"/>
              </a:cubicBezTo>
              <a:cubicBezTo>
                <a:pt x="734484" y="425120"/>
                <a:pt x="870717" y="470232"/>
                <a:pt x="1113313" y="437038"/>
              </a:cubicBezTo>
              <a:cubicBezTo>
                <a:pt x="1164441" y="483684"/>
                <a:pt x="1170247" y="507059"/>
                <a:pt x="1219200" y="542925"/>
              </a:cubicBezTo>
              <a:cubicBezTo>
                <a:pt x="1143988" y="582225"/>
                <a:pt x="982830" y="537695"/>
                <a:pt x="849376" y="542925"/>
              </a:cubicBezTo>
              <a:cubicBezTo>
                <a:pt x="715922" y="548155"/>
                <a:pt x="590132" y="494335"/>
                <a:pt x="442976" y="542925"/>
              </a:cubicBezTo>
              <a:cubicBezTo>
                <a:pt x="295820" y="591515"/>
                <a:pt x="203377" y="492279"/>
                <a:pt x="0" y="542925"/>
              </a:cubicBezTo>
              <a:close/>
            </a:path>
            <a:path w="1219200" h="542925" fill="lighten" stroke="0" extrusionOk="0">
              <a:moveTo>
                <a:pt x="0" y="0"/>
              </a:moveTo>
              <a:cubicBezTo>
                <a:pt x="35192" y="14142"/>
                <a:pt x="69116" y="93736"/>
                <a:pt x="105887" y="105887"/>
              </a:cubicBezTo>
              <a:cubicBezTo>
                <a:pt x="121398" y="207195"/>
                <a:pt x="99190" y="294288"/>
                <a:pt x="105887" y="437038"/>
              </a:cubicBezTo>
              <a:cubicBezTo>
                <a:pt x="69413" y="492172"/>
                <a:pt x="39831" y="502158"/>
                <a:pt x="0" y="542925"/>
              </a:cubicBezTo>
              <a:cubicBezTo>
                <a:pt x="-17095" y="347427"/>
                <a:pt x="33579" y="140680"/>
                <a:pt x="0" y="0"/>
              </a:cubicBezTo>
              <a:close/>
            </a:path>
            <a:path w="1219200" h="542925" fill="darken" stroke="0" extrusionOk="0">
              <a:moveTo>
                <a:pt x="1219200" y="0"/>
              </a:moveTo>
              <a:cubicBezTo>
                <a:pt x="1257804" y="110179"/>
                <a:pt x="1179440" y="289149"/>
                <a:pt x="1219200" y="542925"/>
              </a:cubicBezTo>
              <a:cubicBezTo>
                <a:pt x="1168589" y="516470"/>
                <a:pt x="1146845" y="465722"/>
                <a:pt x="1113313" y="437038"/>
              </a:cubicBezTo>
              <a:cubicBezTo>
                <a:pt x="1074276" y="287883"/>
                <a:pt x="1117792" y="220286"/>
                <a:pt x="1113313" y="105887"/>
              </a:cubicBezTo>
              <a:cubicBezTo>
                <a:pt x="1148988" y="62222"/>
                <a:pt x="1197273" y="46477"/>
                <a:pt x="1219200" y="0"/>
              </a:cubicBezTo>
              <a:close/>
            </a:path>
            <a:path w="1219200" h="542925" fill="none" extrusionOk="0">
              <a:moveTo>
                <a:pt x="0" y="0"/>
              </a:moveTo>
              <a:cubicBezTo>
                <a:pt x="91470" y="-22542"/>
                <a:pt x="259094" y="1344"/>
                <a:pt x="406400" y="0"/>
              </a:cubicBezTo>
              <a:cubicBezTo>
                <a:pt x="553706" y="-1344"/>
                <a:pt x="722654" y="38754"/>
                <a:pt x="837184" y="0"/>
              </a:cubicBezTo>
              <a:cubicBezTo>
                <a:pt x="951714" y="-38754"/>
                <a:pt x="1109870" y="13314"/>
                <a:pt x="1219200" y="0"/>
              </a:cubicBezTo>
              <a:cubicBezTo>
                <a:pt x="1255608" y="190005"/>
                <a:pt x="1187003" y="272330"/>
                <a:pt x="1219200" y="542925"/>
              </a:cubicBezTo>
              <a:cubicBezTo>
                <a:pt x="1070081" y="582327"/>
                <a:pt x="906996" y="512410"/>
                <a:pt x="824992" y="542925"/>
              </a:cubicBezTo>
              <a:cubicBezTo>
                <a:pt x="742988" y="573440"/>
                <a:pt x="577850" y="510295"/>
                <a:pt x="442976" y="542925"/>
              </a:cubicBezTo>
              <a:cubicBezTo>
                <a:pt x="308102" y="575555"/>
                <a:pt x="182069" y="515932"/>
                <a:pt x="0" y="542925"/>
              </a:cubicBezTo>
              <a:cubicBezTo>
                <a:pt x="-53643" y="314182"/>
                <a:pt x="34322" y="197905"/>
                <a:pt x="0" y="0"/>
              </a:cubicBezTo>
              <a:close/>
              <a:moveTo>
                <a:pt x="105887" y="105887"/>
              </a:moveTo>
              <a:cubicBezTo>
                <a:pt x="343958" y="68154"/>
                <a:pt x="400863" y="129650"/>
                <a:pt x="629749" y="105887"/>
              </a:cubicBezTo>
              <a:cubicBezTo>
                <a:pt x="858635" y="82124"/>
                <a:pt x="985097" y="156962"/>
                <a:pt x="1113313" y="105887"/>
              </a:cubicBezTo>
              <a:cubicBezTo>
                <a:pt x="1149355" y="222476"/>
                <a:pt x="1109137" y="299659"/>
                <a:pt x="1113313" y="437038"/>
              </a:cubicBezTo>
              <a:cubicBezTo>
                <a:pt x="985967" y="477205"/>
                <a:pt x="750902" y="429699"/>
                <a:pt x="619674" y="437038"/>
              </a:cubicBezTo>
              <a:cubicBezTo>
                <a:pt x="488446" y="444377"/>
                <a:pt x="226542" y="428443"/>
                <a:pt x="105887" y="437038"/>
              </a:cubicBezTo>
              <a:cubicBezTo>
                <a:pt x="66889" y="330426"/>
                <a:pt x="124232" y="237161"/>
                <a:pt x="105887" y="105887"/>
              </a:cubicBezTo>
              <a:close/>
              <a:moveTo>
                <a:pt x="0" y="0"/>
              </a:moveTo>
              <a:cubicBezTo>
                <a:pt x="41703" y="38127"/>
                <a:pt x="49412" y="73836"/>
                <a:pt x="105887" y="105887"/>
              </a:cubicBezTo>
              <a:moveTo>
                <a:pt x="0" y="542925"/>
              </a:moveTo>
              <a:cubicBezTo>
                <a:pt x="43997" y="496396"/>
                <a:pt x="67599" y="494764"/>
                <a:pt x="105887" y="437038"/>
              </a:cubicBezTo>
              <a:moveTo>
                <a:pt x="1219200" y="0"/>
              </a:moveTo>
              <a:cubicBezTo>
                <a:pt x="1187010" y="35332"/>
                <a:pt x="1127476" y="70278"/>
                <a:pt x="1113313" y="105887"/>
              </a:cubicBezTo>
              <a:moveTo>
                <a:pt x="1219200" y="542925"/>
              </a:moveTo>
              <a:cubicBezTo>
                <a:pt x="1174369" y="507193"/>
                <a:pt x="1147719" y="459962"/>
                <a:pt x="1113313" y="437038"/>
              </a:cubicBezTo>
            </a:path>
            <a:path w="1219200" h="542925" fill="none" stroke="0" extrusionOk="0">
              <a:moveTo>
                <a:pt x="0" y="0"/>
              </a:moveTo>
              <a:cubicBezTo>
                <a:pt x="143682" y="-45409"/>
                <a:pt x="231415" y="24225"/>
                <a:pt x="418592" y="0"/>
              </a:cubicBezTo>
              <a:cubicBezTo>
                <a:pt x="605769" y="-24225"/>
                <a:pt x="727944" y="5332"/>
                <a:pt x="812800" y="0"/>
              </a:cubicBezTo>
              <a:cubicBezTo>
                <a:pt x="897656" y="-5332"/>
                <a:pt x="1115241" y="4483"/>
                <a:pt x="1219200" y="0"/>
              </a:cubicBezTo>
              <a:cubicBezTo>
                <a:pt x="1246648" y="176384"/>
                <a:pt x="1164786" y="357228"/>
                <a:pt x="1219200" y="542925"/>
              </a:cubicBezTo>
              <a:cubicBezTo>
                <a:pt x="1075877" y="588021"/>
                <a:pt x="989492" y="533900"/>
                <a:pt x="824992" y="542925"/>
              </a:cubicBezTo>
              <a:cubicBezTo>
                <a:pt x="660492" y="551950"/>
                <a:pt x="569081" y="531861"/>
                <a:pt x="455168" y="542925"/>
              </a:cubicBezTo>
              <a:cubicBezTo>
                <a:pt x="341255" y="553989"/>
                <a:pt x="203858" y="512642"/>
                <a:pt x="0" y="542925"/>
              </a:cubicBezTo>
              <a:cubicBezTo>
                <a:pt x="-6400" y="275241"/>
                <a:pt x="12727" y="203761"/>
                <a:pt x="0" y="0"/>
              </a:cubicBezTo>
              <a:close/>
              <a:moveTo>
                <a:pt x="105887" y="105887"/>
              </a:moveTo>
              <a:cubicBezTo>
                <a:pt x="294354" y="70763"/>
                <a:pt x="392530" y="131883"/>
                <a:pt x="599526" y="105887"/>
              </a:cubicBezTo>
              <a:cubicBezTo>
                <a:pt x="806522" y="79891"/>
                <a:pt x="881447" y="113623"/>
                <a:pt x="1113313" y="105887"/>
              </a:cubicBezTo>
              <a:cubicBezTo>
                <a:pt x="1139522" y="218465"/>
                <a:pt x="1097452" y="370581"/>
                <a:pt x="1113313" y="437038"/>
              </a:cubicBezTo>
              <a:cubicBezTo>
                <a:pt x="961539" y="484300"/>
                <a:pt x="707401" y="397668"/>
                <a:pt x="599526" y="437038"/>
              </a:cubicBezTo>
              <a:cubicBezTo>
                <a:pt x="491651" y="476408"/>
                <a:pt x="345762" y="432243"/>
                <a:pt x="105887" y="437038"/>
              </a:cubicBezTo>
              <a:cubicBezTo>
                <a:pt x="78364" y="343608"/>
                <a:pt x="125130" y="197656"/>
                <a:pt x="105887" y="105887"/>
              </a:cubicBezTo>
              <a:close/>
              <a:moveTo>
                <a:pt x="0" y="0"/>
              </a:moveTo>
              <a:cubicBezTo>
                <a:pt x="60411" y="36142"/>
                <a:pt x="64132" y="76913"/>
                <a:pt x="105887" y="105887"/>
              </a:cubicBezTo>
              <a:moveTo>
                <a:pt x="0" y="542925"/>
              </a:moveTo>
              <a:cubicBezTo>
                <a:pt x="11599" y="506350"/>
                <a:pt x="70427" y="473214"/>
                <a:pt x="105887" y="437038"/>
              </a:cubicBezTo>
              <a:moveTo>
                <a:pt x="1219200" y="0"/>
              </a:moveTo>
              <a:cubicBezTo>
                <a:pt x="1182010" y="55927"/>
                <a:pt x="1136479" y="69943"/>
                <a:pt x="1113313" y="105887"/>
              </a:cubicBezTo>
              <a:moveTo>
                <a:pt x="1219200" y="542925"/>
              </a:moveTo>
              <a:cubicBezTo>
                <a:pt x="1169281" y="513767"/>
                <a:pt x="1154176" y="453522"/>
                <a:pt x="1113313" y="437038"/>
              </a:cubicBezTo>
            </a:path>
          </a:pathLst>
        </a:custGeom>
        <a:solidFill>
          <a:srgbClr val="49C38F"/>
        </a:solidFill>
        <a:ln>
          <a:solidFill>
            <a:schemeClr val="bg1"/>
          </a:solidFill>
          <a:extLst>
            <a:ext uri="{C807C97D-BFC1-408E-A445-0C87EB9F89A2}">
              <ask:lineSketchStyleProps xmlns:ask="http://schemas.microsoft.com/office/drawing/2018/sketchyshapes" sd="4079188520">
                <a:prstGeom prst="bevel">
                  <a:avLst>
                    <a:gd name="adj" fmla="val 19503"/>
                  </a:avLst>
                </a:prstGeom>
                <ask:type>
                  <ask:lineSketchScribble/>
                </ask:type>
              </ask:lineSketchStyleProps>
            </a:ext>
          </a:extLst>
        </a:ln>
        <a:effectLst>
          <a:glow rad="101600">
            <a:schemeClr val="tx1">
              <a:alpha val="6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i="1"/>
            <a:t>FORMAT TEAM</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39</xdr:col>
      <xdr:colOff>0</xdr:colOff>
      <xdr:row>1</xdr:row>
      <xdr:rowOff>0</xdr:rowOff>
    </xdr:from>
    <xdr:to>
      <xdr:col>41</xdr:col>
      <xdr:colOff>0</xdr:colOff>
      <xdr:row>5</xdr:row>
      <xdr:rowOff>0</xdr:rowOff>
    </xdr:to>
    <xdr:sp macro="[0]!Clean_Data" textlink="">
      <xdr:nvSpPr>
        <xdr:cNvPr id="2" name="Rectangle: Beveled 1">
          <a:extLst>
            <a:ext uri="{FF2B5EF4-FFF2-40B4-BE49-F238E27FC236}">
              <a16:creationId xmlns:a16="http://schemas.microsoft.com/office/drawing/2014/main" id="{52645201-0BE0-49BC-83AF-B66F9BD16178}"/>
            </a:ext>
          </a:extLst>
        </xdr:cNvPr>
        <xdr:cNvSpPr/>
      </xdr:nvSpPr>
      <xdr:spPr>
        <a:xfrm>
          <a:off x="17324917" y="190500"/>
          <a:ext cx="1227666" cy="719667"/>
        </a:xfrm>
        <a:custGeom>
          <a:avLst/>
          <a:gdLst>
            <a:gd name="connsiteX0" fmla="*/ 140357 w 1227666"/>
            <a:gd name="connsiteY0" fmla="*/ 140357 h 719667"/>
            <a:gd name="connsiteX1" fmla="*/ 585424 w 1227666"/>
            <a:gd name="connsiteY1" fmla="*/ 140357 h 719667"/>
            <a:gd name="connsiteX2" fmla="*/ 1087309 w 1227666"/>
            <a:gd name="connsiteY2" fmla="*/ 140357 h 719667"/>
            <a:gd name="connsiteX3" fmla="*/ 1087309 w 1227666"/>
            <a:gd name="connsiteY3" fmla="*/ 579310 h 719667"/>
            <a:gd name="connsiteX4" fmla="*/ 594894 w 1227666"/>
            <a:gd name="connsiteY4" fmla="*/ 579310 h 719667"/>
            <a:gd name="connsiteX5" fmla="*/ 140357 w 1227666"/>
            <a:gd name="connsiteY5" fmla="*/ 579310 h 719667"/>
            <a:gd name="connsiteX6" fmla="*/ 140357 w 1227666"/>
            <a:gd name="connsiteY6" fmla="*/ 140357 h 719667"/>
            <a:gd name="connsiteX0" fmla="*/ 0 w 1227666"/>
            <a:gd name="connsiteY0" fmla="*/ 0 h 719667"/>
            <a:gd name="connsiteX1" fmla="*/ 384669 w 1227666"/>
            <a:gd name="connsiteY1" fmla="*/ 0 h 719667"/>
            <a:gd name="connsiteX2" fmla="*/ 793891 w 1227666"/>
            <a:gd name="connsiteY2" fmla="*/ 0 h 719667"/>
            <a:gd name="connsiteX3" fmla="*/ 1227666 w 1227666"/>
            <a:gd name="connsiteY3" fmla="*/ 0 h 719667"/>
            <a:gd name="connsiteX4" fmla="*/ 1087309 w 1227666"/>
            <a:gd name="connsiteY4" fmla="*/ 140357 h 719667"/>
            <a:gd name="connsiteX5" fmla="*/ 623303 w 1227666"/>
            <a:gd name="connsiteY5" fmla="*/ 140357 h 719667"/>
            <a:gd name="connsiteX6" fmla="*/ 140357 w 1227666"/>
            <a:gd name="connsiteY6" fmla="*/ 140357 h 719667"/>
            <a:gd name="connsiteX7" fmla="*/ 0 w 1227666"/>
            <a:gd name="connsiteY7" fmla="*/ 0 h 719667"/>
            <a:gd name="connsiteX0" fmla="*/ 0 w 1227666"/>
            <a:gd name="connsiteY0" fmla="*/ 719667 h 719667"/>
            <a:gd name="connsiteX1" fmla="*/ 140357 w 1227666"/>
            <a:gd name="connsiteY1" fmla="*/ 579310 h 719667"/>
            <a:gd name="connsiteX2" fmla="*/ 613833 w 1227666"/>
            <a:gd name="connsiteY2" fmla="*/ 579310 h 719667"/>
            <a:gd name="connsiteX3" fmla="*/ 1087309 w 1227666"/>
            <a:gd name="connsiteY3" fmla="*/ 579310 h 719667"/>
            <a:gd name="connsiteX4" fmla="*/ 1227666 w 1227666"/>
            <a:gd name="connsiteY4" fmla="*/ 719667 h 719667"/>
            <a:gd name="connsiteX5" fmla="*/ 855274 w 1227666"/>
            <a:gd name="connsiteY5" fmla="*/ 719667 h 719667"/>
            <a:gd name="connsiteX6" fmla="*/ 446052 w 1227666"/>
            <a:gd name="connsiteY6" fmla="*/ 719667 h 719667"/>
            <a:gd name="connsiteX7" fmla="*/ 0 w 1227666"/>
            <a:gd name="connsiteY7" fmla="*/ 719667 h 719667"/>
            <a:gd name="connsiteX0" fmla="*/ 0 w 1227666"/>
            <a:gd name="connsiteY0" fmla="*/ 0 h 719667"/>
            <a:gd name="connsiteX1" fmla="*/ 140357 w 1227666"/>
            <a:gd name="connsiteY1" fmla="*/ 140357 h 719667"/>
            <a:gd name="connsiteX2" fmla="*/ 140357 w 1227666"/>
            <a:gd name="connsiteY2" fmla="*/ 579310 h 719667"/>
            <a:gd name="connsiteX3" fmla="*/ 0 w 1227666"/>
            <a:gd name="connsiteY3" fmla="*/ 719667 h 719667"/>
            <a:gd name="connsiteX4" fmla="*/ 0 w 1227666"/>
            <a:gd name="connsiteY4" fmla="*/ 345440 h 719667"/>
            <a:gd name="connsiteX5" fmla="*/ 0 w 1227666"/>
            <a:gd name="connsiteY5" fmla="*/ 0 h 719667"/>
            <a:gd name="connsiteX0" fmla="*/ 1227666 w 1227666"/>
            <a:gd name="connsiteY0" fmla="*/ 0 h 719667"/>
            <a:gd name="connsiteX1" fmla="*/ 1227666 w 1227666"/>
            <a:gd name="connsiteY1" fmla="*/ 338243 h 719667"/>
            <a:gd name="connsiteX2" fmla="*/ 1227666 w 1227666"/>
            <a:gd name="connsiteY2" fmla="*/ 719667 h 719667"/>
            <a:gd name="connsiteX3" fmla="*/ 1087309 w 1227666"/>
            <a:gd name="connsiteY3" fmla="*/ 579310 h 719667"/>
            <a:gd name="connsiteX4" fmla="*/ 1087309 w 1227666"/>
            <a:gd name="connsiteY4" fmla="*/ 140357 h 719667"/>
            <a:gd name="connsiteX5" fmla="*/ 1227666 w 1227666"/>
            <a:gd name="connsiteY5" fmla="*/ 0 h 719667"/>
            <a:gd name="connsiteX0" fmla="*/ 0 w 1227666"/>
            <a:gd name="connsiteY0" fmla="*/ 0 h 719667"/>
            <a:gd name="connsiteX1" fmla="*/ 409222 w 1227666"/>
            <a:gd name="connsiteY1" fmla="*/ 0 h 719667"/>
            <a:gd name="connsiteX2" fmla="*/ 818444 w 1227666"/>
            <a:gd name="connsiteY2" fmla="*/ 0 h 719667"/>
            <a:gd name="connsiteX3" fmla="*/ 1227666 w 1227666"/>
            <a:gd name="connsiteY3" fmla="*/ 0 h 719667"/>
            <a:gd name="connsiteX4" fmla="*/ 1227666 w 1227666"/>
            <a:gd name="connsiteY4" fmla="*/ 374227 h 719667"/>
            <a:gd name="connsiteX5" fmla="*/ 1227666 w 1227666"/>
            <a:gd name="connsiteY5" fmla="*/ 719667 h 719667"/>
            <a:gd name="connsiteX6" fmla="*/ 793891 w 1227666"/>
            <a:gd name="connsiteY6" fmla="*/ 719667 h 719667"/>
            <a:gd name="connsiteX7" fmla="*/ 384669 w 1227666"/>
            <a:gd name="connsiteY7" fmla="*/ 719667 h 719667"/>
            <a:gd name="connsiteX8" fmla="*/ 0 w 1227666"/>
            <a:gd name="connsiteY8" fmla="*/ 719667 h 719667"/>
            <a:gd name="connsiteX9" fmla="*/ 0 w 1227666"/>
            <a:gd name="connsiteY9" fmla="*/ 367030 h 719667"/>
            <a:gd name="connsiteX10" fmla="*/ 0 w 1227666"/>
            <a:gd name="connsiteY10" fmla="*/ 0 h 719667"/>
            <a:gd name="connsiteX11" fmla="*/ 140357 w 1227666"/>
            <a:gd name="connsiteY11" fmla="*/ 140357 h 719667"/>
            <a:gd name="connsiteX12" fmla="*/ 613833 w 1227666"/>
            <a:gd name="connsiteY12" fmla="*/ 140357 h 719667"/>
            <a:gd name="connsiteX13" fmla="*/ 1087309 w 1227666"/>
            <a:gd name="connsiteY13" fmla="*/ 140357 h 719667"/>
            <a:gd name="connsiteX14" fmla="*/ 1087309 w 1227666"/>
            <a:gd name="connsiteY14" fmla="*/ 579310 h 719667"/>
            <a:gd name="connsiteX15" fmla="*/ 604363 w 1227666"/>
            <a:gd name="connsiteY15" fmla="*/ 579310 h 719667"/>
            <a:gd name="connsiteX16" fmla="*/ 140357 w 1227666"/>
            <a:gd name="connsiteY16" fmla="*/ 579310 h 719667"/>
            <a:gd name="connsiteX17" fmla="*/ 140357 w 1227666"/>
            <a:gd name="connsiteY17" fmla="*/ 140357 h 719667"/>
            <a:gd name="connsiteX18" fmla="*/ 0 w 1227666"/>
            <a:gd name="connsiteY18" fmla="*/ 0 h 719667"/>
            <a:gd name="connsiteX19" fmla="*/ 140357 w 1227666"/>
            <a:gd name="connsiteY19" fmla="*/ 140357 h 719667"/>
            <a:gd name="connsiteX20" fmla="*/ 0 w 1227666"/>
            <a:gd name="connsiteY20" fmla="*/ 719667 h 719667"/>
            <a:gd name="connsiteX21" fmla="*/ 140357 w 1227666"/>
            <a:gd name="connsiteY21" fmla="*/ 579310 h 719667"/>
            <a:gd name="connsiteX22" fmla="*/ 1227666 w 1227666"/>
            <a:gd name="connsiteY22" fmla="*/ 0 h 719667"/>
            <a:gd name="connsiteX23" fmla="*/ 1087309 w 1227666"/>
            <a:gd name="connsiteY23" fmla="*/ 140357 h 719667"/>
            <a:gd name="connsiteX24" fmla="*/ 1227666 w 1227666"/>
            <a:gd name="connsiteY24" fmla="*/ 719667 h 719667"/>
            <a:gd name="connsiteX25" fmla="*/ 1087309 w 1227666"/>
            <a:gd name="connsiteY25" fmla="*/ 579310 h 71966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227666" h="719667" stroke="0" extrusionOk="0">
              <a:moveTo>
                <a:pt x="140357" y="140357"/>
              </a:moveTo>
              <a:cubicBezTo>
                <a:pt x="344499" y="121131"/>
                <a:pt x="406043" y="149192"/>
                <a:pt x="585424" y="140357"/>
              </a:cubicBezTo>
              <a:cubicBezTo>
                <a:pt x="764805" y="131522"/>
                <a:pt x="842393" y="155310"/>
                <a:pt x="1087309" y="140357"/>
              </a:cubicBezTo>
              <a:cubicBezTo>
                <a:pt x="1130076" y="271667"/>
                <a:pt x="1051906" y="469359"/>
                <a:pt x="1087309" y="579310"/>
              </a:cubicBezTo>
              <a:cubicBezTo>
                <a:pt x="963258" y="615947"/>
                <a:pt x="758519" y="557985"/>
                <a:pt x="594894" y="579310"/>
              </a:cubicBezTo>
              <a:cubicBezTo>
                <a:pt x="431269" y="600635"/>
                <a:pt x="258569" y="559490"/>
                <a:pt x="140357" y="579310"/>
              </a:cubicBezTo>
              <a:cubicBezTo>
                <a:pt x="95865" y="431880"/>
                <a:pt x="192781" y="229516"/>
                <a:pt x="140357" y="140357"/>
              </a:cubicBezTo>
              <a:close/>
            </a:path>
            <a:path w="1227666" h="719667" fill="lightenLess" stroke="0" extrusionOk="0">
              <a:moveTo>
                <a:pt x="0" y="0"/>
              </a:moveTo>
              <a:cubicBezTo>
                <a:pt x="172448" y="-11442"/>
                <a:pt x="266549" y="10435"/>
                <a:pt x="384669" y="0"/>
              </a:cubicBezTo>
              <a:cubicBezTo>
                <a:pt x="502789" y="-10435"/>
                <a:pt x="598599" y="1282"/>
                <a:pt x="793891" y="0"/>
              </a:cubicBezTo>
              <a:cubicBezTo>
                <a:pt x="989183" y="-1282"/>
                <a:pt x="1094267" y="4868"/>
                <a:pt x="1227666" y="0"/>
              </a:cubicBezTo>
              <a:cubicBezTo>
                <a:pt x="1191382" y="66523"/>
                <a:pt x="1143296" y="62645"/>
                <a:pt x="1087309" y="140357"/>
              </a:cubicBezTo>
              <a:cubicBezTo>
                <a:pt x="870331" y="186676"/>
                <a:pt x="829542" y="105883"/>
                <a:pt x="623303" y="140357"/>
              </a:cubicBezTo>
              <a:cubicBezTo>
                <a:pt x="417064" y="174831"/>
                <a:pt x="277684" y="114710"/>
                <a:pt x="140357" y="140357"/>
              </a:cubicBezTo>
              <a:cubicBezTo>
                <a:pt x="100995" y="107217"/>
                <a:pt x="71922" y="42619"/>
                <a:pt x="0" y="0"/>
              </a:cubicBezTo>
              <a:close/>
            </a:path>
            <a:path w="1227666" h="719667" fill="darkenLess" stroke="0" extrusionOk="0">
              <a:moveTo>
                <a:pt x="0" y="719667"/>
              </a:moveTo>
              <a:cubicBezTo>
                <a:pt x="46765" y="663849"/>
                <a:pt x="102460" y="643343"/>
                <a:pt x="140357" y="579310"/>
              </a:cubicBezTo>
              <a:cubicBezTo>
                <a:pt x="288218" y="552190"/>
                <a:pt x="380385" y="583629"/>
                <a:pt x="613833" y="579310"/>
              </a:cubicBezTo>
              <a:cubicBezTo>
                <a:pt x="847281" y="574991"/>
                <a:pt x="927931" y="616656"/>
                <a:pt x="1087309" y="579310"/>
              </a:cubicBezTo>
              <a:cubicBezTo>
                <a:pt x="1168788" y="631813"/>
                <a:pt x="1188128" y="687079"/>
                <a:pt x="1227666" y="719667"/>
              </a:cubicBezTo>
              <a:cubicBezTo>
                <a:pt x="1152537" y="734273"/>
                <a:pt x="961635" y="702080"/>
                <a:pt x="855274" y="719667"/>
              </a:cubicBezTo>
              <a:cubicBezTo>
                <a:pt x="748913" y="737254"/>
                <a:pt x="572364" y="709825"/>
                <a:pt x="446052" y="719667"/>
              </a:cubicBezTo>
              <a:cubicBezTo>
                <a:pt x="319740" y="729509"/>
                <a:pt x="126774" y="702915"/>
                <a:pt x="0" y="719667"/>
              </a:cubicBezTo>
              <a:close/>
            </a:path>
            <a:path w="1227666" h="719667" fill="lighten" stroke="0" extrusionOk="0">
              <a:moveTo>
                <a:pt x="0" y="0"/>
              </a:moveTo>
              <a:cubicBezTo>
                <a:pt x="50562" y="22573"/>
                <a:pt x="70561" y="87870"/>
                <a:pt x="140357" y="140357"/>
              </a:cubicBezTo>
              <a:cubicBezTo>
                <a:pt x="153703" y="238411"/>
                <a:pt x="128533" y="364033"/>
                <a:pt x="140357" y="579310"/>
              </a:cubicBezTo>
              <a:cubicBezTo>
                <a:pt x="85954" y="649450"/>
                <a:pt x="55183" y="634637"/>
                <a:pt x="0" y="719667"/>
              </a:cubicBezTo>
              <a:cubicBezTo>
                <a:pt x="-7663" y="619627"/>
                <a:pt x="42745" y="469882"/>
                <a:pt x="0" y="345440"/>
              </a:cubicBezTo>
              <a:cubicBezTo>
                <a:pt x="-42745" y="220998"/>
                <a:pt x="4601" y="97030"/>
                <a:pt x="0" y="0"/>
              </a:cubicBezTo>
              <a:close/>
            </a:path>
            <a:path w="1227666" h="719667" fill="darken" stroke="0" extrusionOk="0">
              <a:moveTo>
                <a:pt x="1227666" y="0"/>
              </a:moveTo>
              <a:cubicBezTo>
                <a:pt x="1246582" y="67658"/>
                <a:pt x="1221256" y="206038"/>
                <a:pt x="1227666" y="338243"/>
              </a:cubicBezTo>
              <a:cubicBezTo>
                <a:pt x="1234076" y="470448"/>
                <a:pt x="1221222" y="565592"/>
                <a:pt x="1227666" y="719667"/>
              </a:cubicBezTo>
              <a:cubicBezTo>
                <a:pt x="1151875" y="670229"/>
                <a:pt x="1120799" y="602680"/>
                <a:pt x="1087309" y="579310"/>
              </a:cubicBezTo>
              <a:cubicBezTo>
                <a:pt x="1069332" y="410148"/>
                <a:pt x="1102481" y="233174"/>
                <a:pt x="1087309" y="140357"/>
              </a:cubicBezTo>
              <a:cubicBezTo>
                <a:pt x="1131966" y="94010"/>
                <a:pt x="1180447" y="66553"/>
                <a:pt x="1227666" y="0"/>
              </a:cubicBezTo>
              <a:close/>
            </a:path>
            <a:path w="1227666" h="719667" fill="none" extrusionOk="0">
              <a:moveTo>
                <a:pt x="0" y="0"/>
              </a:moveTo>
              <a:cubicBezTo>
                <a:pt x="193224" y="-32849"/>
                <a:pt x="222079" y="25056"/>
                <a:pt x="409222" y="0"/>
              </a:cubicBezTo>
              <a:cubicBezTo>
                <a:pt x="596365" y="-25056"/>
                <a:pt x="712060" y="20137"/>
                <a:pt x="818444" y="0"/>
              </a:cubicBezTo>
              <a:cubicBezTo>
                <a:pt x="924828" y="-20137"/>
                <a:pt x="1144178" y="29094"/>
                <a:pt x="1227666" y="0"/>
              </a:cubicBezTo>
              <a:cubicBezTo>
                <a:pt x="1249599" y="169234"/>
                <a:pt x="1191163" y="216405"/>
                <a:pt x="1227666" y="374227"/>
              </a:cubicBezTo>
              <a:cubicBezTo>
                <a:pt x="1264169" y="532049"/>
                <a:pt x="1204569" y="600062"/>
                <a:pt x="1227666" y="719667"/>
              </a:cubicBezTo>
              <a:cubicBezTo>
                <a:pt x="1017802" y="732984"/>
                <a:pt x="959259" y="671864"/>
                <a:pt x="793891" y="719667"/>
              </a:cubicBezTo>
              <a:cubicBezTo>
                <a:pt x="628523" y="767470"/>
                <a:pt x="539106" y="699566"/>
                <a:pt x="384669" y="719667"/>
              </a:cubicBezTo>
              <a:cubicBezTo>
                <a:pt x="230232" y="739768"/>
                <a:pt x="163075" y="708533"/>
                <a:pt x="0" y="719667"/>
              </a:cubicBezTo>
              <a:cubicBezTo>
                <a:pt x="-11968" y="579329"/>
                <a:pt x="16476" y="459616"/>
                <a:pt x="0" y="367030"/>
              </a:cubicBezTo>
              <a:cubicBezTo>
                <a:pt x="-16476" y="274444"/>
                <a:pt x="39578" y="156848"/>
                <a:pt x="0" y="0"/>
              </a:cubicBezTo>
              <a:close/>
              <a:moveTo>
                <a:pt x="140357" y="140357"/>
              </a:moveTo>
              <a:cubicBezTo>
                <a:pt x="289108" y="113468"/>
                <a:pt x="408189" y="173839"/>
                <a:pt x="613833" y="140357"/>
              </a:cubicBezTo>
              <a:cubicBezTo>
                <a:pt x="819477" y="106875"/>
                <a:pt x="953558" y="194430"/>
                <a:pt x="1087309" y="140357"/>
              </a:cubicBezTo>
              <a:cubicBezTo>
                <a:pt x="1134755" y="293339"/>
                <a:pt x="1084580" y="390350"/>
                <a:pt x="1087309" y="579310"/>
              </a:cubicBezTo>
              <a:cubicBezTo>
                <a:pt x="932872" y="581247"/>
                <a:pt x="831487" y="544539"/>
                <a:pt x="604363" y="579310"/>
              </a:cubicBezTo>
              <a:cubicBezTo>
                <a:pt x="377239" y="614081"/>
                <a:pt x="307764" y="544339"/>
                <a:pt x="140357" y="579310"/>
              </a:cubicBezTo>
              <a:cubicBezTo>
                <a:pt x="121550" y="360450"/>
                <a:pt x="145022" y="340691"/>
                <a:pt x="140357" y="140357"/>
              </a:cubicBezTo>
              <a:close/>
              <a:moveTo>
                <a:pt x="0" y="0"/>
              </a:moveTo>
              <a:cubicBezTo>
                <a:pt x="37183" y="26172"/>
                <a:pt x="82794" y="109476"/>
                <a:pt x="140357" y="140357"/>
              </a:cubicBezTo>
              <a:moveTo>
                <a:pt x="0" y="719667"/>
              </a:moveTo>
              <a:cubicBezTo>
                <a:pt x="43064" y="646605"/>
                <a:pt x="105547" y="621519"/>
                <a:pt x="140357" y="579310"/>
              </a:cubicBezTo>
              <a:moveTo>
                <a:pt x="1227666" y="0"/>
              </a:moveTo>
              <a:cubicBezTo>
                <a:pt x="1197053" y="43515"/>
                <a:pt x="1127385" y="94742"/>
                <a:pt x="1087309" y="140357"/>
              </a:cubicBezTo>
              <a:moveTo>
                <a:pt x="1227666" y="719667"/>
              </a:moveTo>
              <a:cubicBezTo>
                <a:pt x="1169075" y="691765"/>
                <a:pt x="1156282" y="634534"/>
                <a:pt x="1087309" y="579310"/>
              </a:cubicBezTo>
            </a:path>
            <a:path w="1227666" h="719667" fill="none" stroke="0" extrusionOk="0">
              <a:moveTo>
                <a:pt x="0" y="0"/>
              </a:moveTo>
              <a:cubicBezTo>
                <a:pt x="187886" y="-18863"/>
                <a:pt x="259260" y="25134"/>
                <a:pt x="421499" y="0"/>
              </a:cubicBezTo>
              <a:cubicBezTo>
                <a:pt x="583738" y="-25134"/>
                <a:pt x="698028" y="2418"/>
                <a:pt x="806167" y="0"/>
              </a:cubicBezTo>
              <a:cubicBezTo>
                <a:pt x="914306" y="-2418"/>
                <a:pt x="1107638" y="37060"/>
                <a:pt x="1227666" y="0"/>
              </a:cubicBezTo>
              <a:cubicBezTo>
                <a:pt x="1268152" y="157455"/>
                <a:pt x="1224070" y="218350"/>
                <a:pt x="1227666" y="345440"/>
              </a:cubicBezTo>
              <a:cubicBezTo>
                <a:pt x="1231262" y="472530"/>
                <a:pt x="1215569" y="556132"/>
                <a:pt x="1227666" y="719667"/>
              </a:cubicBezTo>
              <a:cubicBezTo>
                <a:pt x="1039501" y="740664"/>
                <a:pt x="993071" y="684606"/>
                <a:pt x="842997" y="719667"/>
              </a:cubicBezTo>
              <a:cubicBezTo>
                <a:pt x="692923" y="754728"/>
                <a:pt x="543946" y="679563"/>
                <a:pt x="433775" y="719667"/>
              </a:cubicBezTo>
              <a:cubicBezTo>
                <a:pt x="323604" y="759771"/>
                <a:pt x="170171" y="710869"/>
                <a:pt x="0" y="719667"/>
              </a:cubicBezTo>
              <a:cubicBezTo>
                <a:pt x="-19603" y="588117"/>
                <a:pt x="10545" y="474151"/>
                <a:pt x="0" y="374227"/>
              </a:cubicBezTo>
              <a:cubicBezTo>
                <a:pt x="-10545" y="274303"/>
                <a:pt x="26504" y="151850"/>
                <a:pt x="0" y="0"/>
              </a:cubicBezTo>
              <a:close/>
              <a:moveTo>
                <a:pt x="140357" y="140357"/>
              </a:moveTo>
              <a:cubicBezTo>
                <a:pt x="345870" y="92945"/>
                <a:pt x="424135" y="144113"/>
                <a:pt x="604363" y="140357"/>
              </a:cubicBezTo>
              <a:cubicBezTo>
                <a:pt x="784591" y="136601"/>
                <a:pt x="915229" y="164611"/>
                <a:pt x="1087309" y="140357"/>
              </a:cubicBezTo>
              <a:cubicBezTo>
                <a:pt x="1115762" y="229507"/>
                <a:pt x="1078264" y="423032"/>
                <a:pt x="1087309" y="579310"/>
              </a:cubicBezTo>
              <a:cubicBezTo>
                <a:pt x="910720" y="632640"/>
                <a:pt x="834341" y="567379"/>
                <a:pt x="623303" y="579310"/>
              </a:cubicBezTo>
              <a:cubicBezTo>
                <a:pt x="412265" y="591241"/>
                <a:pt x="330809" y="565274"/>
                <a:pt x="140357" y="579310"/>
              </a:cubicBezTo>
              <a:cubicBezTo>
                <a:pt x="90685" y="364298"/>
                <a:pt x="163455" y="255526"/>
                <a:pt x="140357" y="140357"/>
              </a:cubicBezTo>
              <a:close/>
              <a:moveTo>
                <a:pt x="0" y="0"/>
              </a:moveTo>
              <a:cubicBezTo>
                <a:pt x="64146" y="60813"/>
                <a:pt x="108310" y="110046"/>
                <a:pt x="140357" y="140357"/>
              </a:cubicBezTo>
              <a:moveTo>
                <a:pt x="0" y="719667"/>
              </a:moveTo>
              <a:cubicBezTo>
                <a:pt x="20383" y="668082"/>
                <a:pt x="99691" y="635696"/>
                <a:pt x="140357" y="579310"/>
              </a:cubicBezTo>
              <a:moveTo>
                <a:pt x="1227666" y="0"/>
              </a:moveTo>
              <a:cubicBezTo>
                <a:pt x="1190063" y="56670"/>
                <a:pt x="1116416" y="78153"/>
                <a:pt x="1087309" y="140357"/>
              </a:cubicBezTo>
              <a:moveTo>
                <a:pt x="1227666" y="719667"/>
              </a:moveTo>
              <a:cubicBezTo>
                <a:pt x="1171120" y="693645"/>
                <a:pt x="1157199" y="638159"/>
                <a:pt x="1087309" y="579310"/>
              </a:cubicBezTo>
            </a:path>
          </a:pathLst>
        </a:custGeom>
        <a:solidFill>
          <a:srgbClr val="37D5D1"/>
        </a:solidFill>
        <a:ln>
          <a:extLst>
            <a:ext uri="{C807C97D-BFC1-408E-A445-0C87EB9F89A2}">
              <ask:lineSketchStyleProps xmlns:ask="http://schemas.microsoft.com/office/drawing/2018/sketchyshapes" sd="4079188520">
                <a:prstGeom prst="bevel">
                  <a:avLst>
                    <a:gd name="adj" fmla="val 19503"/>
                  </a:avLst>
                </a:prstGeom>
                <ask:type>
                  <ask:lineSketchScribble/>
                </ask:type>
              </ask:lineSketchStyleProps>
            </a:ext>
          </a:extLst>
        </a:ln>
        <a:effectLst>
          <a:glow rad="101600">
            <a:schemeClr val="tx1">
              <a:alpha val="6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1"/>
            <a:t>CLEAN</a:t>
          </a:r>
          <a:r>
            <a:rPr lang="en-US" sz="1050" b="1" i="1" baseline="0"/>
            <a:t> DATA</a:t>
          </a:r>
          <a:endParaRPr lang="en-US" sz="1050" b="1"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24</xdr:col>
      <xdr:colOff>200025</xdr:colOff>
      <xdr:row>1</xdr:row>
      <xdr:rowOff>133350</xdr:rowOff>
    </xdr:from>
    <xdr:to>
      <xdr:col>26</xdr:col>
      <xdr:colOff>200025</xdr:colOff>
      <xdr:row>4</xdr:row>
      <xdr:rowOff>133350</xdr:rowOff>
    </xdr:to>
    <xdr:sp macro="[0]!TeamLastGame" textlink="">
      <xdr:nvSpPr>
        <xdr:cNvPr id="2" name="Rectangle: Beveled 1">
          <a:extLst>
            <a:ext uri="{FF2B5EF4-FFF2-40B4-BE49-F238E27FC236}">
              <a16:creationId xmlns:a16="http://schemas.microsoft.com/office/drawing/2014/main" id="{7E61DBAE-3BD5-46D3-9B2A-DC88AA0CC9F5}"/>
            </a:ext>
          </a:extLst>
        </xdr:cNvPr>
        <xdr:cNvSpPr/>
      </xdr:nvSpPr>
      <xdr:spPr>
        <a:xfrm>
          <a:off x="14830425" y="314325"/>
          <a:ext cx="1219200" cy="542925"/>
        </a:xfrm>
        <a:custGeom>
          <a:avLst/>
          <a:gdLst>
            <a:gd name="connsiteX0" fmla="*/ 105887 w 1219200"/>
            <a:gd name="connsiteY0" fmla="*/ 105887 h 542925"/>
            <a:gd name="connsiteX1" fmla="*/ 579377 w 1219200"/>
            <a:gd name="connsiteY1" fmla="*/ 105887 h 542925"/>
            <a:gd name="connsiteX2" fmla="*/ 1113313 w 1219200"/>
            <a:gd name="connsiteY2" fmla="*/ 105887 h 542925"/>
            <a:gd name="connsiteX3" fmla="*/ 1113313 w 1219200"/>
            <a:gd name="connsiteY3" fmla="*/ 437038 h 542925"/>
            <a:gd name="connsiteX4" fmla="*/ 589451 w 1219200"/>
            <a:gd name="connsiteY4" fmla="*/ 437038 h 542925"/>
            <a:gd name="connsiteX5" fmla="*/ 105887 w 1219200"/>
            <a:gd name="connsiteY5" fmla="*/ 437038 h 542925"/>
            <a:gd name="connsiteX6" fmla="*/ 105887 w 1219200"/>
            <a:gd name="connsiteY6" fmla="*/ 105887 h 542925"/>
            <a:gd name="connsiteX0" fmla="*/ 0 w 1219200"/>
            <a:gd name="connsiteY0" fmla="*/ 0 h 542925"/>
            <a:gd name="connsiteX1" fmla="*/ 382016 w 1219200"/>
            <a:gd name="connsiteY1" fmla="*/ 0 h 542925"/>
            <a:gd name="connsiteX2" fmla="*/ 788416 w 1219200"/>
            <a:gd name="connsiteY2" fmla="*/ 0 h 542925"/>
            <a:gd name="connsiteX3" fmla="*/ 1219200 w 1219200"/>
            <a:gd name="connsiteY3" fmla="*/ 0 h 542925"/>
            <a:gd name="connsiteX4" fmla="*/ 1113313 w 1219200"/>
            <a:gd name="connsiteY4" fmla="*/ 105887 h 542925"/>
            <a:gd name="connsiteX5" fmla="*/ 619674 w 1219200"/>
            <a:gd name="connsiteY5" fmla="*/ 105887 h 542925"/>
            <a:gd name="connsiteX6" fmla="*/ 105887 w 1219200"/>
            <a:gd name="connsiteY6" fmla="*/ 105887 h 542925"/>
            <a:gd name="connsiteX7" fmla="*/ 0 w 1219200"/>
            <a:gd name="connsiteY7" fmla="*/ 0 h 542925"/>
            <a:gd name="connsiteX0" fmla="*/ 0 w 1219200"/>
            <a:gd name="connsiteY0" fmla="*/ 542925 h 542925"/>
            <a:gd name="connsiteX1" fmla="*/ 105887 w 1219200"/>
            <a:gd name="connsiteY1" fmla="*/ 437038 h 542925"/>
            <a:gd name="connsiteX2" fmla="*/ 609600 w 1219200"/>
            <a:gd name="connsiteY2" fmla="*/ 437038 h 542925"/>
            <a:gd name="connsiteX3" fmla="*/ 1113313 w 1219200"/>
            <a:gd name="connsiteY3" fmla="*/ 437038 h 542925"/>
            <a:gd name="connsiteX4" fmla="*/ 1219200 w 1219200"/>
            <a:gd name="connsiteY4" fmla="*/ 542925 h 542925"/>
            <a:gd name="connsiteX5" fmla="*/ 849376 w 1219200"/>
            <a:gd name="connsiteY5" fmla="*/ 542925 h 542925"/>
            <a:gd name="connsiteX6" fmla="*/ 442976 w 1219200"/>
            <a:gd name="connsiteY6" fmla="*/ 542925 h 542925"/>
            <a:gd name="connsiteX7" fmla="*/ 0 w 1219200"/>
            <a:gd name="connsiteY7" fmla="*/ 542925 h 542925"/>
            <a:gd name="connsiteX0" fmla="*/ 0 w 1219200"/>
            <a:gd name="connsiteY0" fmla="*/ 0 h 542925"/>
            <a:gd name="connsiteX1" fmla="*/ 105887 w 1219200"/>
            <a:gd name="connsiteY1" fmla="*/ 105887 h 542925"/>
            <a:gd name="connsiteX2" fmla="*/ 105887 w 1219200"/>
            <a:gd name="connsiteY2" fmla="*/ 437038 h 542925"/>
            <a:gd name="connsiteX3" fmla="*/ 0 w 1219200"/>
            <a:gd name="connsiteY3" fmla="*/ 542925 h 542925"/>
            <a:gd name="connsiteX4" fmla="*/ 0 w 1219200"/>
            <a:gd name="connsiteY4" fmla="*/ 0 h 542925"/>
            <a:gd name="connsiteX0" fmla="*/ 1219200 w 1219200"/>
            <a:gd name="connsiteY0" fmla="*/ 0 h 542925"/>
            <a:gd name="connsiteX1" fmla="*/ 1219200 w 1219200"/>
            <a:gd name="connsiteY1" fmla="*/ 542925 h 542925"/>
            <a:gd name="connsiteX2" fmla="*/ 1113313 w 1219200"/>
            <a:gd name="connsiteY2" fmla="*/ 437038 h 542925"/>
            <a:gd name="connsiteX3" fmla="*/ 1113313 w 1219200"/>
            <a:gd name="connsiteY3" fmla="*/ 105887 h 542925"/>
            <a:gd name="connsiteX4" fmla="*/ 1219200 w 1219200"/>
            <a:gd name="connsiteY4" fmla="*/ 0 h 542925"/>
            <a:gd name="connsiteX0" fmla="*/ 0 w 1219200"/>
            <a:gd name="connsiteY0" fmla="*/ 0 h 542925"/>
            <a:gd name="connsiteX1" fmla="*/ 406400 w 1219200"/>
            <a:gd name="connsiteY1" fmla="*/ 0 h 542925"/>
            <a:gd name="connsiteX2" fmla="*/ 837184 w 1219200"/>
            <a:gd name="connsiteY2" fmla="*/ 0 h 542925"/>
            <a:gd name="connsiteX3" fmla="*/ 1219200 w 1219200"/>
            <a:gd name="connsiteY3" fmla="*/ 0 h 542925"/>
            <a:gd name="connsiteX4" fmla="*/ 1219200 w 1219200"/>
            <a:gd name="connsiteY4" fmla="*/ 542925 h 542925"/>
            <a:gd name="connsiteX5" fmla="*/ 824992 w 1219200"/>
            <a:gd name="connsiteY5" fmla="*/ 542925 h 542925"/>
            <a:gd name="connsiteX6" fmla="*/ 442976 w 1219200"/>
            <a:gd name="connsiteY6" fmla="*/ 542925 h 542925"/>
            <a:gd name="connsiteX7" fmla="*/ 0 w 1219200"/>
            <a:gd name="connsiteY7" fmla="*/ 542925 h 542925"/>
            <a:gd name="connsiteX8" fmla="*/ 0 w 1219200"/>
            <a:gd name="connsiteY8" fmla="*/ 0 h 542925"/>
            <a:gd name="connsiteX9" fmla="*/ 105887 w 1219200"/>
            <a:gd name="connsiteY9" fmla="*/ 105887 h 542925"/>
            <a:gd name="connsiteX10" fmla="*/ 629749 w 1219200"/>
            <a:gd name="connsiteY10" fmla="*/ 105887 h 542925"/>
            <a:gd name="connsiteX11" fmla="*/ 1113313 w 1219200"/>
            <a:gd name="connsiteY11" fmla="*/ 105887 h 542925"/>
            <a:gd name="connsiteX12" fmla="*/ 1113313 w 1219200"/>
            <a:gd name="connsiteY12" fmla="*/ 437038 h 542925"/>
            <a:gd name="connsiteX13" fmla="*/ 619674 w 1219200"/>
            <a:gd name="connsiteY13" fmla="*/ 437038 h 542925"/>
            <a:gd name="connsiteX14" fmla="*/ 105887 w 1219200"/>
            <a:gd name="connsiteY14" fmla="*/ 437038 h 542925"/>
            <a:gd name="connsiteX15" fmla="*/ 105887 w 1219200"/>
            <a:gd name="connsiteY15" fmla="*/ 105887 h 542925"/>
            <a:gd name="connsiteX16" fmla="*/ 0 w 1219200"/>
            <a:gd name="connsiteY16" fmla="*/ 0 h 542925"/>
            <a:gd name="connsiteX17" fmla="*/ 105887 w 1219200"/>
            <a:gd name="connsiteY17" fmla="*/ 105887 h 542925"/>
            <a:gd name="connsiteX18" fmla="*/ 0 w 1219200"/>
            <a:gd name="connsiteY18" fmla="*/ 542925 h 542925"/>
            <a:gd name="connsiteX19" fmla="*/ 105887 w 1219200"/>
            <a:gd name="connsiteY19" fmla="*/ 437038 h 542925"/>
            <a:gd name="connsiteX20" fmla="*/ 1219200 w 1219200"/>
            <a:gd name="connsiteY20" fmla="*/ 0 h 542925"/>
            <a:gd name="connsiteX21" fmla="*/ 1113313 w 1219200"/>
            <a:gd name="connsiteY21" fmla="*/ 105887 h 542925"/>
            <a:gd name="connsiteX22" fmla="*/ 1219200 w 1219200"/>
            <a:gd name="connsiteY22" fmla="*/ 542925 h 542925"/>
            <a:gd name="connsiteX23" fmla="*/ 1113313 w 1219200"/>
            <a:gd name="connsiteY23" fmla="*/ 437038 h 542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1219200" h="542925" stroke="0" extrusionOk="0">
              <a:moveTo>
                <a:pt x="105887" y="105887"/>
              </a:moveTo>
              <a:cubicBezTo>
                <a:pt x="310522" y="62673"/>
                <a:pt x="353974" y="124656"/>
                <a:pt x="579377" y="105887"/>
              </a:cubicBezTo>
              <a:cubicBezTo>
                <a:pt x="804780" y="87118"/>
                <a:pt x="954798" y="168488"/>
                <a:pt x="1113313" y="105887"/>
              </a:cubicBezTo>
              <a:cubicBezTo>
                <a:pt x="1150781" y="251381"/>
                <a:pt x="1084216" y="337693"/>
                <a:pt x="1113313" y="437038"/>
              </a:cubicBezTo>
              <a:cubicBezTo>
                <a:pt x="997832" y="455337"/>
                <a:pt x="780334" y="427305"/>
                <a:pt x="589451" y="437038"/>
              </a:cubicBezTo>
              <a:cubicBezTo>
                <a:pt x="398568" y="446771"/>
                <a:pt x="221007" y="429737"/>
                <a:pt x="105887" y="437038"/>
              </a:cubicBezTo>
              <a:cubicBezTo>
                <a:pt x="99547" y="290042"/>
                <a:pt x="121456" y="193561"/>
                <a:pt x="105887" y="105887"/>
              </a:cubicBezTo>
              <a:close/>
            </a:path>
            <a:path w="1219200" h="542925" fill="lightenLess" stroke="0" extrusionOk="0">
              <a:moveTo>
                <a:pt x="0" y="0"/>
              </a:moveTo>
              <a:cubicBezTo>
                <a:pt x="89413" y="-5860"/>
                <a:pt x="197677" y="16688"/>
                <a:pt x="382016" y="0"/>
              </a:cubicBezTo>
              <a:cubicBezTo>
                <a:pt x="566355" y="-16688"/>
                <a:pt x="651900" y="26743"/>
                <a:pt x="788416" y="0"/>
              </a:cubicBezTo>
              <a:cubicBezTo>
                <a:pt x="924932" y="-26743"/>
                <a:pt x="1087738" y="13361"/>
                <a:pt x="1219200" y="0"/>
              </a:cubicBezTo>
              <a:cubicBezTo>
                <a:pt x="1175089" y="51336"/>
                <a:pt x="1131711" y="71884"/>
                <a:pt x="1113313" y="105887"/>
              </a:cubicBezTo>
              <a:cubicBezTo>
                <a:pt x="946365" y="119397"/>
                <a:pt x="825341" y="97993"/>
                <a:pt x="619674" y="105887"/>
              </a:cubicBezTo>
              <a:cubicBezTo>
                <a:pt x="414007" y="113781"/>
                <a:pt x="288997" y="79859"/>
                <a:pt x="105887" y="105887"/>
              </a:cubicBezTo>
              <a:cubicBezTo>
                <a:pt x="66912" y="70691"/>
                <a:pt x="36447" y="29728"/>
                <a:pt x="0" y="0"/>
              </a:cubicBezTo>
              <a:close/>
            </a:path>
            <a:path w="1219200" h="542925" fill="darkenLess" stroke="0" extrusionOk="0">
              <a:moveTo>
                <a:pt x="0" y="542925"/>
              </a:moveTo>
              <a:cubicBezTo>
                <a:pt x="22701" y="495838"/>
                <a:pt x="70982" y="490707"/>
                <a:pt x="105887" y="437038"/>
              </a:cubicBezTo>
              <a:cubicBezTo>
                <a:pt x="209534" y="393844"/>
                <a:pt x="484716" y="448956"/>
                <a:pt x="609600" y="437038"/>
              </a:cubicBezTo>
              <a:cubicBezTo>
                <a:pt x="734484" y="425120"/>
                <a:pt x="870717" y="470232"/>
                <a:pt x="1113313" y="437038"/>
              </a:cubicBezTo>
              <a:cubicBezTo>
                <a:pt x="1164441" y="483684"/>
                <a:pt x="1170247" y="507059"/>
                <a:pt x="1219200" y="542925"/>
              </a:cubicBezTo>
              <a:cubicBezTo>
                <a:pt x="1143988" y="582225"/>
                <a:pt x="982830" y="537695"/>
                <a:pt x="849376" y="542925"/>
              </a:cubicBezTo>
              <a:cubicBezTo>
                <a:pt x="715922" y="548155"/>
                <a:pt x="590132" y="494335"/>
                <a:pt x="442976" y="542925"/>
              </a:cubicBezTo>
              <a:cubicBezTo>
                <a:pt x="295820" y="591515"/>
                <a:pt x="203377" y="492279"/>
                <a:pt x="0" y="542925"/>
              </a:cubicBezTo>
              <a:close/>
            </a:path>
            <a:path w="1219200" h="542925" fill="lighten" stroke="0" extrusionOk="0">
              <a:moveTo>
                <a:pt x="0" y="0"/>
              </a:moveTo>
              <a:cubicBezTo>
                <a:pt x="35192" y="14142"/>
                <a:pt x="69116" y="93736"/>
                <a:pt x="105887" y="105887"/>
              </a:cubicBezTo>
              <a:cubicBezTo>
                <a:pt x="121398" y="207195"/>
                <a:pt x="99190" y="294288"/>
                <a:pt x="105887" y="437038"/>
              </a:cubicBezTo>
              <a:cubicBezTo>
                <a:pt x="69413" y="492172"/>
                <a:pt x="39831" y="502158"/>
                <a:pt x="0" y="542925"/>
              </a:cubicBezTo>
              <a:cubicBezTo>
                <a:pt x="-17095" y="347427"/>
                <a:pt x="33579" y="140680"/>
                <a:pt x="0" y="0"/>
              </a:cubicBezTo>
              <a:close/>
            </a:path>
            <a:path w="1219200" h="542925" fill="darken" stroke="0" extrusionOk="0">
              <a:moveTo>
                <a:pt x="1219200" y="0"/>
              </a:moveTo>
              <a:cubicBezTo>
                <a:pt x="1257804" y="110179"/>
                <a:pt x="1179440" y="289149"/>
                <a:pt x="1219200" y="542925"/>
              </a:cubicBezTo>
              <a:cubicBezTo>
                <a:pt x="1168589" y="516470"/>
                <a:pt x="1146845" y="465722"/>
                <a:pt x="1113313" y="437038"/>
              </a:cubicBezTo>
              <a:cubicBezTo>
                <a:pt x="1074276" y="287883"/>
                <a:pt x="1117792" y="220286"/>
                <a:pt x="1113313" y="105887"/>
              </a:cubicBezTo>
              <a:cubicBezTo>
                <a:pt x="1148988" y="62222"/>
                <a:pt x="1197273" y="46477"/>
                <a:pt x="1219200" y="0"/>
              </a:cubicBezTo>
              <a:close/>
            </a:path>
            <a:path w="1219200" h="542925" fill="none" extrusionOk="0">
              <a:moveTo>
                <a:pt x="0" y="0"/>
              </a:moveTo>
              <a:cubicBezTo>
                <a:pt x="91470" y="-22542"/>
                <a:pt x="259094" y="1344"/>
                <a:pt x="406400" y="0"/>
              </a:cubicBezTo>
              <a:cubicBezTo>
                <a:pt x="553706" y="-1344"/>
                <a:pt x="722654" y="38754"/>
                <a:pt x="837184" y="0"/>
              </a:cubicBezTo>
              <a:cubicBezTo>
                <a:pt x="951714" y="-38754"/>
                <a:pt x="1109870" y="13314"/>
                <a:pt x="1219200" y="0"/>
              </a:cubicBezTo>
              <a:cubicBezTo>
                <a:pt x="1255608" y="190005"/>
                <a:pt x="1187003" y="272330"/>
                <a:pt x="1219200" y="542925"/>
              </a:cubicBezTo>
              <a:cubicBezTo>
                <a:pt x="1070081" y="582327"/>
                <a:pt x="906996" y="512410"/>
                <a:pt x="824992" y="542925"/>
              </a:cubicBezTo>
              <a:cubicBezTo>
                <a:pt x="742988" y="573440"/>
                <a:pt x="577850" y="510295"/>
                <a:pt x="442976" y="542925"/>
              </a:cubicBezTo>
              <a:cubicBezTo>
                <a:pt x="308102" y="575555"/>
                <a:pt x="182069" y="515932"/>
                <a:pt x="0" y="542925"/>
              </a:cubicBezTo>
              <a:cubicBezTo>
                <a:pt x="-53643" y="314182"/>
                <a:pt x="34322" y="197905"/>
                <a:pt x="0" y="0"/>
              </a:cubicBezTo>
              <a:close/>
              <a:moveTo>
                <a:pt x="105887" y="105887"/>
              </a:moveTo>
              <a:cubicBezTo>
                <a:pt x="343958" y="68154"/>
                <a:pt x="400863" y="129650"/>
                <a:pt x="629749" y="105887"/>
              </a:cubicBezTo>
              <a:cubicBezTo>
                <a:pt x="858635" y="82124"/>
                <a:pt x="985097" y="156962"/>
                <a:pt x="1113313" y="105887"/>
              </a:cubicBezTo>
              <a:cubicBezTo>
                <a:pt x="1149355" y="222476"/>
                <a:pt x="1109137" y="299659"/>
                <a:pt x="1113313" y="437038"/>
              </a:cubicBezTo>
              <a:cubicBezTo>
                <a:pt x="985967" y="477205"/>
                <a:pt x="750902" y="429699"/>
                <a:pt x="619674" y="437038"/>
              </a:cubicBezTo>
              <a:cubicBezTo>
                <a:pt x="488446" y="444377"/>
                <a:pt x="226542" y="428443"/>
                <a:pt x="105887" y="437038"/>
              </a:cubicBezTo>
              <a:cubicBezTo>
                <a:pt x="66889" y="330426"/>
                <a:pt x="124232" y="237161"/>
                <a:pt x="105887" y="105887"/>
              </a:cubicBezTo>
              <a:close/>
              <a:moveTo>
                <a:pt x="0" y="0"/>
              </a:moveTo>
              <a:cubicBezTo>
                <a:pt x="41703" y="38127"/>
                <a:pt x="49412" y="73836"/>
                <a:pt x="105887" y="105887"/>
              </a:cubicBezTo>
              <a:moveTo>
                <a:pt x="0" y="542925"/>
              </a:moveTo>
              <a:cubicBezTo>
                <a:pt x="43997" y="496396"/>
                <a:pt x="67599" y="494764"/>
                <a:pt x="105887" y="437038"/>
              </a:cubicBezTo>
              <a:moveTo>
                <a:pt x="1219200" y="0"/>
              </a:moveTo>
              <a:cubicBezTo>
                <a:pt x="1187010" y="35332"/>
                <a:pt x="1127476" y="70278"/>
                <a:pt x="1113313" y="105887"/>
              </a:cubicBezTo>
              <a:moveTo>
                <a:pt x="1219200" y="542925"/>
              </a:moveTo>
              <a:cubicBezTo>
                <a:pt x="1174369" y="507193"/>
                <a:pt x="1147719" y="459962"/>
                <a:pt x="1113313" y="437038"/>
              </a:cubicBezTo>
            </a:path>
            <a:path w="1219200" h="542925" fill="none" stroke="0" extrusionOk="0">
              <a:moveTo>
                <a:pt x="0" y="0"/>
              </a:moveTo>
              <a:cubicBezTo>
                <a:pt x="143682" y="-45409"/>
                <a:pt x="231415" y="24225"/>
                <a:pt x="418592" y="0"/>
              </a:cubicBezTo>
              <a:cubicBezTo>
                <a:pt x="605769" y="-24225"/>
                <a:pt x="727944" y="5332"/>
                <a:pt x="812800" y="0"/>
              </a:cubicBezTo>
              <a:cubicBezTo>
                <a:pt x="897656" y="-5332"/>
                <a:pt x="1115241" y="4483"/>
                <a:pt x="1219200" y="0"/>
              </a:cubicBezTo>
              <a:cubicBezTo>
                <a:pt x="1246648" y="176384"/>
                <a:pt x="1164786" y="357228"/>
                <a:pt x="1219200" y="542925"/>
              </a:cubicBezTo>
              <a:cubicBezTo>
                <a:pt x="1075877" y="588021"/>
                <a:pt x="989492" y="533900"/>
                <a:pt x="824992" y="542925"/>
              </a:cubicBezTo>
              <a:cubicBezTo>
                <a:pt x="660492" y="551950"/>
                <a:pt x="569081" y="531861"/>
                <a:pt x="455168" y="542925"/>
              </a:cubicBezTo>
              <a:cubicBezTo>
                <a:pt x="341255" y="553989"/>
                <a:pt x="203858" y="512642"/>
                <a:pt x="0" y="542925"/>
              </a:cubicBezTo>
              <a:cubicBezTo>
                <a:pt x="-6400" y="275241"/>
                <a:pt x="12727" y="203761"/>
                <a:pt x="0" y="0"/>
              </a:cubicBezTo>
              <a:close/>
              <a:moveTo>
                <a:pt x="105887" y="105887"/>
              </a:moveTo>
              <a:cubicBezTo>
                <a:pt x="294354" y="70763"/>
                <a:pt x="392530" y="131883"/>
                <a:pt x="599526" y="105887"/>
              </a:cubicBezTo>
              <a:cubicBezTo>
                <a:pt x="806522" y="79891"/>
                <a:pt x="881447" y="113623"/>
                <a:pt x="1113313" y="105887"/>
              </a:cubicBezTo>
              <a:cubicBezTo>
                <a:pt x="1139522" y="218465"/>
                <a:pt x="1097452" y="370581"/>
                <a:pt x="1113313" y="437038"/>
              </a:cubicBezTo>
              <a:cubicBezTo>
                <a:pt x="961539" y="484300"/>
                <a:pt x="707401" y="397668"/>
                <a:pt x="599526" y="437038"/>
              </a:cubicBezTo>
              <a:cubicBezTo>
                <a:pt x="491651" y="476408"/>
                <a:pt x="345762" y="432243"/>
                <a:pt x="105887" y="437038"/>
              </a:cubicBezTo>
              <a:cubicBezTo>
                <a:pt x="78364" y="343608"/>
                <a:pt x="125130" y="197656"/>
                <a:pt x="105887" y="105887"/>
              </a:cubicBezTo>
              <a:close/>
              <a:moveTo>
                <a:pt x="0" y="0"/>
              </a:moveTo>
              <a:cubicBezTo>
                <a:pt x="60411" y="36142"/>
                <a:pt x="64132" y="76913"/>
                <a:pt x="105887" y="105887"/>
              </a:cubicBezTo>
              <a:moveTo>
                <a:pt x="0" y="542925"/>
              </a:moveTo>
              <a:cubicBezTo>
                <a:pt x="11599" y="506350"/>
                <a:pt x="70427" y="473214"/>
                <a:pt x="105887" y="437038"/>
              </a:cubicBezTo>
              <a:moveTo>
                <a:pt x="1219200" y="0"/>
              </a:moveTo>
              <a:cubicBezTo>
                <a:pt x="1182010" y="55927"/>
                <a:pt x="1136479" y="69943"/>
                <a:pt x="1113313" y="105887"/>
              </a:cubicBezTo>
              <a:moveTo>
                <a:pt x="1219200" y="542925"/>
              </a:moveTo>
              <a:cubicBezTo>
                <a:pt x="1169281" y="513767"/>
                <a:pt x="1154176" y="453522"/>
                <a:pt x="1113313" y="437038"/>
              </a:cubicBezTo>
            </a:path>
          </a:pathLst>
        </a:custGeom>
        <a:solidFill>
          <a:srgbClr val="49C38F"/>
        </a:solidFill>
        <a:ln>
          <a:solidFill>
            <a:schemeClr val="bg1"/>
          </a:solidFill>
          <a:extLst>
            <a:ext uri="{C807C97D-BFC1-408E-A445-0C87EB9F89A2}">
              <ask:lineSketchStyleProps xmlns:ask="http://schemas.microsoft.com/office/drawing/2018/sketchyshapes" sd="4079188520">
                <a:prstGeom prst="bevel">
                  <a:avLst>
                    <a:gd name="adj" fmla="val 19503"/>
                  </a:avLst>
                </a:prstGeom>
                <ask:type>
                  <ask:lineSketchScribble/>
                </ask:type>
              </ask:lineSketchStyleProps>
            </a:ext>
          </a:extLst>
        </a:ln>
        <a:effectLst>
          <a:glow rad="101600">
            <a:schemeClr val="tx1">
              <a:alpha val="6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i="1"/>
            <a:t>FORMAT TEAM</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16</xdr:col>
      <xdr:colOff>199178</xdr:colOff>
      <xdr:row>29</xdr:row>
      <xdr:rowOff>0</xdr:rowOff>
    </xdr:from>
    <xdr:to>
      <xdr:col>17</xdr:col>
      <xdr:colOff>0</xdr:colOff>
      <xdr:row>29</xdr:row>
      <xdr:rowOff>0</xdr:rowOff>
    </xdr:to>
    <xdr:sp macro="[0]!Hitting_Streaks" textlink="">
      <xdr:nvSpPr>
        <xdr:cNvPr id="2" name="Rectangle: Beveled 1">
          <a:extLst>
            <a:ext uri="{FF2B5EF4-FFF2-40B4-BE49-F238E27FC236}">
              <a16:creationId xmlns:a16="http://schemas.microsoft.com/office/drawing/2014/main" id="{10C36BDA-2748-4F2C-90CC-7B423D03DDAA}"/>
            </a:ext>
          </a:extLst>
        </xdr:cNvPr>
        <xdr:cNvSpPr/>
      </xdr:nvSpPr>
      <xdr:spPr>
        <a:xfrm>
          <a:off x="10000403" y="5800725"/>
          <a:ext cx="1229572" cy="715857"/>
        </a:xfrm>
        <a:custGeom>
          <a:avLst/>
          <a:gdLst>
            <a:gd name="connsiteX0" fmla="*/ 139614 w 1229572"/>
            <a:gd name="connsiteY0" fmla="*/ 139614 h 715857"/>
            <a:gd name="connsiteX1" fmla="*/ 586276 w 1229572"/>
            <a:gd name="connsiteY1" fmla="*/ 139614 h 715857"/>
            <a:gd name="connsiteX2" fmla="*/ 1089958 w 1229572"/>
            <a:gd name="connsiteY2" fmla="*/ 139614 h 715857"/>
            <a:gd name="connsiteX3" fmla="*/ 1089958 w 1229572"/>
            <a:gd name="connsiteY3" fmla="*/ 576243 h 715857"/>
            <a:gd name="connsiteX4" fmla="*/ 595779 w 1229572"/>
            <a:gd name="connsiteY4" fmla="*/ 576243 h 715857"/>
            <a:gd name="connsiteX5" fmla="*/ 139614 w 1229572"/>
            <a:gd name="connsiteY5" fmla="*/ 576243 h 715857"/>
            <a:gd name="connsiteX6" fmla="*/ 139614 w 1229572"/>
            <a:gd name="connsiteY6" fmla="*/ 139614 h 715857"/>
            <a:gd name="connsiteX0" fmla="*/ 0 w 1229572"/>
            <a:gd name="connsiteY0" fmla="*/ 0 h 715857"/>
            <a:gd name="connsiteX1" fmla="*/ 385266 w 1229572"/>
            <a:gd name="connsiteY1" fmla="*/ 0 h 715857"/>
            <a:gd name="connsiteX2" fmla="*/ 795123 w 1229572"/>
            <a:gd name="connsiteY2" fmla="*/ 0 h 715857"/>
            <a:gd name="connsiteX3" fmla="*/ 1229572 w 1229572"/>
            <a:gd name="connsiteY3" fmla="*/ 0 h 715857"/>
            <a:gd name="connsiteX4" fmla="*/ 1089958 w 1229572"/>
            <a:gd name="connsiteY4" fmla="*/ 139614 h 715857"/>
            <a:gd name="connsiteX5" fmla="*/ 624289 w 1229572"/>
            <a:gd name="connsiteY5" fmla="*/ 139614 h 715857"/>
            <a:gd name="connsiteX6" fmla="*/ 139614 w 1229572"/>
            <a:gd name="connsiteY6" fmla="*/ 139614 h 715857"/>
            <a:gd name="connsiteX7" fmla="*/ 0 w 1229572"/>
            <a:gd name="connsiteY7" fmla="*/ 0 h 715857"/>
            <a:gd name="connsiteX0" fmla="*/ 0 w 1229572"/>
            <a:gd name="connsiteY0" fmla="*/ 715857 h 715857"/>
            <a:gd name="connsiteX1" fmla="*/ 139614 w 1229572"/>
            <a:gd name="connsiteY1" fmla="*/ 576243 h 715857"/>
            <a:gd name="connsiteX2" fmla="*/ 614786 w 1229572"/>
            <a:gd name="connsiteY2" fmla="*/ 576243 h 715857"/>
            <a:gd name="connsiteX3" fmla="*/ 1089958 w 1229572"/>
            <a:gd name="connsiteY3" fmla="*/ 576243 h 715857"/>
            <a:gd name="connsiteX4" fmla="*/ 1229572 w 1229572"/>
            <a:gd name="connsiteY4" fmla="*/ 715857 h 715857"/>
            <a:gd name="connsiteX5" fmla="*/ 856602 w 1229572"/>
            <a:gd name="connsiteY5" fmla="*/ 715857 h 715857"/>
            <a:gd name="connsiteX6" fmla="*/ 446744 w 1229572"/>
            <a:gd name="connsiteY6" fmla="*/ 715857 h 715857"/>
            <a:gd name="connsiteX7" fmla="*/ 0 w 1229572"/>
            <a:gd name="connsiteY7" fmla="*/ 715857 h 715857"/>
            <a:gd name="connsiteX0" fmla="*/ 0 w 1229572"/>
            <a:gd name="connsiteY0" fmla="*/ 0 h 715857"/>
            <a:gd name="connsiteX1" fmla="*/ 139614 w 1229572"/>
            <a:gd name="connsiteY1" fmla="*/ 139614 h 715857"/>
            <a:gd name="connsiteX2" fmla="*/ 139614 w 1229572"/>
            <a:gd name="connsiteY2" fmla="*/ 576243 h 715857"/>
            <a:gd name="connsiteX3" fmla="*/ 0 w 1229572"/>
            <a:gd name="connsiteY3" fmla="*/ 715857 h 715857"/>
            <a:gd name="connsiteX4" fmla="*/ 0 w 1229572"/>
            <a:gd name="connsiteY4" fmla="*/ 343611 h 715857"/>
            <a:gd name="connsiteX5" fmla="*/ 0 w 1229572"/>
            <a:gd name="connsiteY5" fmla="*/ 0 h 715857"/>
            <a:gd name="connsiteX0" fmla="*/ 1229572 w 1229572"/>
            <a:gd name="connsiteY0" fmla="*/ 0 h 715857"/>
            <a:gd name="connsiteX1" fmla="*/ 1229572 w 1229572"/>
            <a:gd name="connsiteY1" fmla="*/ 336453 h 715857"/>
            <a:gd name="connsiteX2" fmla="*/ 1229572 w 1229572"/>
            <a:gd name="connsiteY2" fmla="*/ 715857 h 715857"/>
            <a:gd name="connsiteX3" fmla="*/ 1089958 w 1229572"/>
            <a:gd name="connsiteY3" fmla="*/ 576243 h 715857"/>
            <a:gd name="connsiteX4" fmla="*/ 1089958 w 1229572"/>
            <a:gd name="connsiteY4" fmla="*/ 139614 h 715857"/>
            <a:gd name="connsiteX5" fmla="*/ 1229572 w 1229572"/>
            <a:gd name="connsiteY5" fmla="*/ 0 h 715857"/>
            <a:gd name="connsiteX0" fmla="*/ 0 w 1229572"/>
            <a:gd name="connsiteY0" fmla="*/ 0 h 715857"/>
            <a:gd name="connsiteX1" fmla="*/ 409857 w 1229572"/>
            <a:gd name="connsiteY1" fmla="*/ 0 h 715857"/>
            <a:gd name="connsiteX2" fmla="*/ 819715 w 1229572"/>
            <a:gd name="connsiteY2" fmla="*/ 0 h 715857"/>
            <a:gd name="connsiteX3" fmla="*/ 1229572 w 1229572"/>
            <a:gd name="connsiteY3" fmla="*/ 0 h 715857"/>
            <a:gd name="connsiteX4" fmla="*/ 1229572 w 1229572"/>
            <a:gd name="connsiteY4" fmla="*/ 372246 h 715857"/>
            <a:gd name="connsiteX5" fmla="*/ 1229572 w 1229572"/>
            <a:gd name="connsiteY5" fmla="*/ 715857 h 715857"/>
            <a:gd name="connsiteX6" fmla="*/ 795123 w 1229572"/>
            <a:gd name="connsiteY6" fmla="*/ 715857 h 715857"/>
            <a:gd name="connsiteX7" fmla="*/ 385266 w 1229572"/>
            <a:gd name="connsiteY7" fmla="*/ 715857 h 715857"/>
            <a:gd name="connsiteX8" fmla="*/ 0 w 1229572"/>
            <a:gd name="connsiteY8" fmla="*/ 715857 h 715857"/>
            <a:gd name="connsiteX9" fmla="*/ 0 w 1229572"/>
            <a:gd name="connsiteY9" fmla="*/ 365087 h 715857"/>
            <a:gd name="connsiteX10" fmla="*/ 0 w 1229572"/>
            <a:gd name="connsiteY10" fmla="*/ 0 h 715857"/>
            <a:gd name="connsiteX11" fmla="*/ 139614 w 1229572"/>
            <a:gd name="connsiteY11" fmla="*/ 139614 h 715857"/>
            <a:gd name="connsiteX12" fmla="*/ 614786 w 1229572"/>
            <a:gd name="connsiteY12" fmla="*/ 139614 h 715857"/>
            <a:gd name="connsiteX13" fmla="*/ 1089958 w 1229572"/>
            <a:gd name="connsiteY13" fmla="*/ 139614 h 715857"/>
            <a:gd name="connsiteX14" fmla="*/ 1089958 w 1229572"/>
            <a:gd name="connsiteY14" fmla="*/ 576243 h 715857"/>
            <a:gd name="connsiteX15" fmla="*/ 605283 w 1229572"/>
            <a:gd name="connsiteY15" fmla="*/ 576243 h 715857"/>
            <a:gd name="connsiteX16" fmla="*/ 139614 w 1229572"/>
            <a:gd name="connsiteY16" fmla="*/ 576243 h 715857"/>
            <a:gd name="connsiteX17" fmla="*/ 139614 w 1229572"/>
            <a:gd name="connsiteY17" fmla="*/ 139614 h 715857"/>
            <a:gd name="connsiteX18" fmla="*/ 0 w 1229572"/>
            <a:gd name="connsiteY18" fmla="*/ 0 h 715857"/>
            <a:gd name="connsiteX19" fmla="*/ 139614 w 1229572"/>
            <a:gd name="connsiteY19" fmla="*/ 139614 h 715857"/>
            <a:gd name="connsiteX20" fmla="*/ 0 w 1229572"/>
            <a:gd name="connsiteY20" fmla="*/ 715857 h 715857"/>
            <a:gd name="connsiteX21" fmla="*/ 139614 w 1229572"/>
            <a:gd name="connsiteY21" fmla="*/ 576243 h 715857"/>
            <a:gd name="connsiteX22" fmla="*/ 1229572 w 1229572"/>
            <a:gd name="connsiteY22" fmla="*/ 0 h 715857"/>
            <a:gd name="connsiteX23" fmla="*/ 1089958 w 1229572"/>
            <a:gd name="connsiteY23" fmla="*/ 139614 h 715857"/>
            <a:gd name="connsiteX24" fmla="*/ 1229572 w 1229572"/>
            <a:gd name="connsiteY24" fmla="*/ 715857 h 715857"/>
            <a:gd name="connsiteX25" fmla="*/ 1089958 w 1229572"/>
            <a:gd name="connsiteY25" fmla="*/ 576243 h 71585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229572" h="715857" stroke="0" extrusionOk="0">
              <a:moveTo>
                <a:pt x="139614" y="139614"/>
              </a:moveTo>
              <a:cubicBezTo>
                <a:pt x="295020" y="124728"/>
                <a:pt x="474145" y="143097"/>
                <a:pt x="586276" y="139614"/>
              </a:cubicBezTo>
              <a:cubicBezTo>
                <a:pt x="698407" y="136131"/>
                <a:pt x="942559" y="152763"/>
                <a:pt x="1089958" y="139614"/>
              </a:cubicBezTo>
              <a:cubicBezTo>
                <a:pt x="1131955" y="336867"/>
                <a:pt x="1059891" y="373396"/>
                <a:pt x="1089958" y="576243"/>
              </a:cubicBezTo>
              <a:cubicBezTo>
                <a:pt x="907217" y="605105"/>
                <a:pt x="799138" y="528076"/>
                <a:pt x="595779" y="576243"/>
              </a:cubicBezTo>
              <a:cubicBezTo>
                <a:pt x="392420" y="624410"/>
                <a:pt x="363712" y="543534"/>
                <a:pt x="139614" y="576243"/>
              </a:cubicBezTo>
              <a:cubicBezTo>
                <a:pt x="138981" y="452218"/>
                <a:pt x="175689" y="352676"/>
                <a:pt x="139614" y="139614"/>
              </a:cubicBezTo>
              <a:close/>
            </a:path>
            <a:path w="1229572" h="715857" fill="lightenLess" stroke="0" extrusionOk="0">
              <a:moveTo>
                <a:pt x="0" y="0"/>
              </a:moveTo>
              <a:cubicBezTo>
                <a:pt x="93787" y="-45735"/>
                <a:pt x="253424" y="21467"/>
                <a:pt x="385266" y="0"/>
              </a:cubicBezTo>
              <a:cubicBezTo>
                <a:pt x="517108" y="-21467"/>
                <a:pt x="594175" y="40065"/>
                <a:pt x="795123" y="0"/>
              </a:cubicBezTo>
              <a:cubicBezTo>
                <a:pt x="996071" y="-40065"/>
                <a:pt x="1081431" y="15218"/>
                <a:pt x="1229572" y="0"/>
              </a:cubicBezTo>
              <a:cubicBezTo>
                <a:pt x="1187974" y="51389"/>
                <a:pt x="1103829" y="92915"/>
                <a:pt x="1089958" y="139614"/>
              </a:cubicBezTo>
              <a:cubicBezTo>
                <a:pt x="977546" y="183248"/>
                <a:pt x="774320" y="99785"/>
                <a:pt x="624289" y="139614"/>
              </a:cubicBezTo>
              <a:cubicBezTo>
                <a:pt x="474258" y="179443"/>
                <a:pt x="317330" y="110076"/>
                <a:pt x="139614" y="139614"/>
              </a:cubicBezTo>
              <a:cubicBezTo>
                <a:pt x="63284" y="92300"/>
                <a:pt x="40045" y="24993"/>
                <a:pt x="0" y="0"/>
              </a:cubicBezTo>
              <a:close/>
            </a:path>
            <a:path w="1229572" h="715857" fill="darkenLess" stroke="0" extrusionOk="0">
              <a:moveTo>
                <a:pt x="0" y="715857"/>
              </a:moveTo>
              <a:cubicBezTo>
                <a:pt x="66389" y="647578"/>
                <a:pt x="93355" y="627361"/>
                <a:pt x="139614" y="576243"/>
              </a:cubicBezTo>
              <a:cubicBezTo>
                <a:pt x="337416" y="519904"/>
                <a:pt x="508424" y="617386"/>
                <a:pt x="614786" y="576243"/>
              </a:cubicBezTo>
              <a:cubicBezTo>
                <a:pt x="721148" y="535100"/>
                <a:pt x="989885" y="629712"/>
                <a:pt x="1089958" y="576243"/>
              </a:cubicBezTo>
              <a:cubicBezTo>
                <a:pt x="1161222" y="640830"/>
                <a:pt x="1147320" y="663231"/>
                <a:pt x="1229572" y="715857"/>
              </a:cubicBezTo>
              <a:cubicBezTo>
                <a:pt x="1139129" y="738749"/>
                <a:pt x="954062" y="698468"/>
                <a:pt x="856602" y="715857"/>
              </a:cubicBezTo>
              <a:cubicBezTo>
                <a:pt x="759142" y="733246"/>
                <a:pt x="585550" y="712167"/>
                <a:pt x="446744" y="715857"/>
              </a:cubicBezTo>
              <a:cubicBezTo>
                <a:pt x="307938" y="719547"/>
                <a:pt x="131137" y="695589"/>
                <a:pt x="0" y="715857"/>
              </a:cubicBezTo>
              <a:close/>
            </a:path>
            <a:path w="1229572" h="715857" fill="lighten" stroke="0" extrusionOk="0">
              <a:moveTo>
                <a:pt x="0" y="0"/>
              </a:moveTo>
              <a:cubicBezTo>
                <a:pt x="42724" y="24656"/>
                <a:pt x="90935" y="123332"/>
                <a:pt x="139614" y="139614"/>
              </a:cubicBezTo>
              <a:cubicBezTo>
                <a:pt x="182159" y="350633"/>
                <a:pt x="137697" y="483511"/>
                <a:pt x="139614" y="576243"/>
              </a:cubicBezTo>
              <a:cubicBezTo>
                <a:pt x="111836" y="617758"/>
                <a:pt x="50517" y="650540"/>
                <a:pt x="0" y="715857"/>
              </a:cubicBezTo>
              <a:cubicBezTo>
                <a:pt x="-27367" y="532781"/>
                <a:pt x="29532" y="463174"/>
                <a:pt x="0" y="343611"/>
              </a:cubicBezTo>
              <a:cubicBezTo>
                <a:pt x="-29532" y="224048"/>
                <a:pt x="19721" y="69043"/>
                <a:pt x="0" y="0"/>
              </a:cubicBezTo>
              <a:close/>
            </a:path>
            <a:path w="1229572" h="715857" fill="darken" stroke="0" extrusionOk="0">
              <a:moveTo>
                <a:pt x="1229572" y="0"/>
              </a:moveTo>
              <a:cubicBezTo>
                <a:pt x="1248909" y="123124"/>
                <a:pt x="1197461" y="193952"/>
                <a:pt x="1229572" y="336453"/>
              </a:cubicBezTo>
              <a:cubicBezTo>
                <a:pt x="1261683" y="478954"/>
                <a:pt x="1195530" y="558241"/>
                <a:pt x="1229572" y="715857"/>
              </a:cubicBezTo>
              <a:cubicBezTo>
                <a:pt x="1179608" y="696999"/>
                <a:pt x="1164077" y="638316"/>
                <a:pt x="1089958" y="576243"/>
              </a:cubicBezTo>
              <a:cubicBezTo>
                <a:pt x="1044219" y="450251"/>
                <a:pt x="1092567" y="341918"/>
                <a:pt x="1089958" y="139614"/>
              </a:cubicBezTo>
              <a:cubicBezTo>
                <a:pt x="1124616" y="101592"/>
                <a:pt x="1205551" y="54257"/>
                <a:pt x="1229572" y="0"/>
              </a:cubicBezTo>
              <a:close/>
            </a:path>
            <a:path w="1229572" h="715857" fill="none" extrusionOk="0">
              <a:moveTo>
                <a:pt x="0" y="0"/>
              </a:moveTo>
              <a:cubicBezTo>
                <a:pt x="154439" y="-41783"/>
                <a:pt x="306663" y="41920"/>
                <a:pt x="409857" y="0"/>
              </a:cubicBezTo>
              <a:cubicBezTo>
                <a:pt x="513051" y="-41920"/>
                <a:pt x="720333" y="25979"/>
                <a:pt x="819715" y="0"/>
              </a:cubicBezTo>
              <a:cubicBezTo>
                <a:pt x="919097" y="-25979"/>
                <a:pt x="1092461" y="9510"/>
                <a:pt x="1229572" y="0"/>
              </a:cubicBezTo>
              <a:cubicBezTo>
                <a:pt x="1245953" y="184210"/>
                <a:pt x="1207699" y="206443"/>
                <a:pt x="1229572" y="372246"/>
              </a:cubicBezTo>
              <a:cubicBezTo>
                <a:pt x="1251445" y="538049"/>
                <a:pt x="1211455" y="552297"/>
                <a:pt x="1229572" y="715857"/>
              </a:cubicBezTo>
              <a:cubicBezTo>
                <a:pt x="1065188" y="759606"/>
                <a:pt x="926205" y="709398"/>
                <a:pt x="795123" y="715857"/>
              </a:cubicBezTo>
              <a:cubicBezTo>
                <a:pt x="664041" y="722316"/>
                <a:pt x="517126" y="702522"/>
                <a:pt x="385266" y="715857"/>
              </a:cubicBezTo>
              <a:cubicBezTo>
                <a:pt x="253406" y="729192"/>
                <a:pt x="167012" y="673889"/>
                <a:pt x="0" y="715857"/>
              </a:cubicBezTo>
              <a:cubicBezTo>
                <a:pt x="-3459" y="633326"/>
                <a:pt x="17801" y="530426"/>
                <a:pt x="0" y="365087"/>
              </a:cubicBezTo>
              <a:cubicBezTo>
                <a:pt x="-17801" y="199748"/>
                <a:pt x="41433" y="157646"/>
                <a:pt x="0" y="0"/>
              </a:cubicBezTo>
              <a:close/>
              <a:moveTo>
                <a:pt x="139614" y="139614"/>
              </a:moveTo>
              <a:cubicBezTo>
                <a:pt x="276495" y="137101"/>
                <a:pt x="420883" y="194911"/>
                <a:pt x="614786" y="139614"/>
              </a:cubicBezTo>
              <a:cubicBezTo>
                <a:pt x="808689" y="84317"/>
                <a:pt x="974365" y="145515"/>
                <a:pt x="1089958" y="139614"/>
              </a:cubicBezTo>
              <a:cubicBezTo>
                <a:pt x="1117967" y="271300"/>
                <a:pt x="1039145" y="462172"/>
                <a:pt x="1089958" y="576243"/>
              </a:cubicBezTo>
              <a:cubicBezTo>
                <a:pt x="933468" y="581428"/>
                <a:pt x="744682" y="529986"/>
                <a:pt x="605283" y="576243"/>
              </a:cubicBezTo>
              <a:cubicBezTo>
                <a:pt x="465885" y="622500"/>
                <a:pt x="309847" y="531912"/>
                <a:pt x="139614" y="576243"/>
              </a:cubicBezTo>
              <a:cubicBezTo>
                <a:pt x="112903" y="445634"/>
                <a:pt x="171212" y="245351"/>
                <a:pt x="139614" y="139614"/>
              </a:cubicBezTo>
              <a:close/>
              <a:moveTo>
                <a:pt x="0" y="0"/>
              </a:moveTo>
              <a:cubicBezTo>
                <a:pt x="63291" y="37743"/>
                <a:pt x="93262" y="107321"/>
                <a:pt x="139614" y="139614"/>
              </a:cubicBezTo>
              <a:moveTo>
                <a:pt x="0" y="715857"/>
              </a:moveTo>
              <a:cubicBezTo>
                <a:pt x="26536" y="685590"/>
                <a:pt x="98105" y="634871"/>
                <a:pt x="139614" y="576243"/>
              </a:cubicBezTo>
              <a:moveTo>
                <a:pt x="1229572" y="0"/>
              </a:moveTo>
              <a:cubicBezTo>
                <a:pt x="1199170" y="60088"/>
                <a:pt x="1129939" y="91948"/>
                <a:pt x="1089958" y="139614"/>
              </a:cubicBezTo>
              <a:moveTo>
                <a:pt x="1229572" y="715857"/>
              </a:moveTo>
              <a:cubicBezTo>
                <a:pt x="1176198" y="689477"/>
                <a:pt x="1136651" y="620158"/>
                <a:pt x="1089958" y="576243"/>
              </a:cubicBezTo>
            </a:path>
            <a:path w="1229572" h="715857" fill="none" stroke="0" extrusionOk="0">
              <a:moveTo>
                <a:pt x="0" y="0"/>
              </a:moveTo>
              <a:cubicBezTo>
                <a:pt x="202724" y="-23285"/>
                <a:pt x="256347" y="21824"/>
                <a:pt x="422153" y="0"/>
              </a:cubicBezTo>
              <a:cubicBezTo>
                <a:pt x="587959" y="-21824"/>
                <a:pt x="699708" y="21601"/>
                <a:pt x="807419" y="0"/>
              </a:cubicBezTo>
              <a:cubicBezTo>
                <a:pt x="915130" y="-21601"/>
                <a:pt x="1140902" y="38664"/>
                <a:pt x="1229572" y="0"/>
              </a:cubicBezTo>
              <a:cubicBezTo>
                <a:pt x="1265995" y="94819"/>
                <a:pt x="1201088" y="267730"/>
                <a:pt x="1229572" y="343611"/>
              </a:cubicBezTo>
              <a:cubicBezTo>
                <a:pt x="1258056" y="419492"/>
                <a:pt x="1188008" y="625569"/>
                <a:pt x="1229572" y="715857"/>
              </a:cubicBezTo>
              <a:cubicBezTo>
                <a:pt x="1100041" y="737925"/>
                <a:pt x="982178" y="686236"/>
                <a:pt x="844306" y="715857"/>
              </a:cubicBezTo>
              <a:cubicBezTo>
                <a:pt x="706434" y="745478"/>
                <a:pt x="562999" y="691612"/>
                <a:pt x="434449" y="715857"/>
              </a:cubicBezTo>
              <a:cubicBezTo>
                <a:pt x="305899" y="740102"/>
                <a:pt x="214470" y="710854"/>
                <a:pt x="0" y="715857"/>
              </a:cubicBezTo>
              <a:cubicBezTo>
                <a:pt x="-39270" y="598688"/>
                <a:pt x="26149" y="488563"/>
                <a:pt x="0" y="372246"/>
              </a:cubicBezTo>
              <a:cubicBezTo>
                <a:pt x="-26149" y="255929"/>
                <a:pt x="41542" y="108721"/>
                <a:pt x="0" y="0"/>
              </a:cubicBezTo>
              <a:close/>
              <a:moveTo>
                <a:pt x="139614" y="139614"/>
              </a:moveTo>
              <a:cubicBezTo>
                <a:pt x="300753" y="132994"/>
                <a:pt x="465375" y="150632"/>
                <a:pt x="605283" y="139614"/>
              </a:cubicBezTo>
              <a:cubicBezTo>
                <a:pt x="745191" y="128596"/>
                <a:pt x="868089" y="144012"/>
                <a:pt x="1089958" y="139614"/>
              </a:cubicBezTo>
              <a:cubicBezTo>
                <a:pt x="1112418" y="345221"/>
                <a:pt x="1060274" y="383204"/>
                <a:pt x="1089958" y="576243"/>
              </a:cubicBezTo>
              <a:cubicBezTo>
                <a:pt x="872125" y="590297"/>
                <a:pt x="809780" y="535879"/>
                <a:pt x="624289" y="576243"/>
              </a:cubicBezTo>
              <a:cubicBezTo>
                <a:pt x="438798" y="616607"/>
                <a:pt x="345054" y="570783"/>
                <a:pt x="139614" y="576243"/>
              </a:cubicBezTo>
              <a:cubicBezTo>
                <a:pt x="129153" y="368367"/>
                <a:pt x="165319" y="254636"/>
                <a:pt x="139614" y="139614"/>
              </a:cubicBezTo>
              <a:close/>
              <a:moveTo>
                <a:pt x="0" y="0"/>
              </a:moveTo>
              <a:cubicBezTo>
                <a:pt x="35966" y="25486"/>
                <a:pt x="63641" y="89350"/>
                <a:pt x="139614" y="139614"/>
              </a:cubicBezTo>
              <a:moveTo>
                <a:pt x="0" y="715857"/>
              </a:moveTo>
              <a:cubicBezTo>
                <a:pt x="63145" y="641349"/>
                <a:pt x="88967" y="651676"/>
                <a:pt x="139614" y="576243"/>
              </a:cubicBezTo>
              <a:moveTo>
                <a:pt x="1229572" y="0"/>
              </a:moveTo>
              <a:cubicBezTo>
                <a:pt x="1189206" y="65769"/>
                <a:pt x="1118336" y="100381"/>
                <a:pt x="1089958" y="139614"/>
              </a:cubicBezTo>
              <a:moveTo>
                <a:pt x="1229572" y="715857"/>
              </a:moveTo>
              <a:cubicBezTo>
                <a:pt x="1192531" y="693672"/>
                <a:pt x="1137415" y="619008"/>
                <a:pt x="1089958" y="576243"/>
              </a:cubicBezTo>
            </a:path>
          </a:pathLst>
        </a:custGeom>
        <a:solidFill>
          <a:srgbClr val="37D5D1"/>
        </a:solidFill>
        <a:ln>
          <a:extLst>
            <a:ext uri="{C807C97D-BFC1-408E-A445-0C87EB9F89A2}">
              <ask:lineSketchStyleProps xmlns:ask="http://schemas.microsoft.com/office/drawing/2018/sketchyshapes" sd="4079188520">
                <a:prstGeom prst="bevel">
                  <a:avLst>
                    <a:gd name="adj" fmla="val 19503"/>
                  </a:avLst>
                </a:prstGeom>
                <ask:type>
                  <ask:lineSketchScribble/>
                </ask:type>
              </ask:lineSketchStyleProps>
            </a:ext>
          </a:extLst>
        </a:ln>
        <a:effectLst>
          <a:glow rad="101600">
            <a:schemeClr val="tx1">
              <a:alpha val="6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1"/>
            <a:t>CLEAN</a:t>
          </a:r>
          <a:r>
            <a:rPr lang="en-US" sz="1050" b="1" i="1" baseline="0"/>
            <a:t> DATA</a:t>
          </a:r>
          <a:endParaRPr lang="en-US" sz="1050" b="1" i="1"/>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3</xdr:col>
      <xdr:colOff>624627</xdr:colOff>
      <xdr:row>1</xdr:row>
      <xdr:rowOff>0</xdr:rowOff>
    </xdr:from>
    <xdr:to>
      <xdr:col>11</xdr:col>
      <xdr:colOff>472229</xdr:colOff>
      <xdr:row>22</xdr:row>
      <xdr:rowOff>0</xdr:rowOff>
    </xdr:to>
    <xdr:graphicFrame macro="">
      <xdr:nvGraphicFramePr>
        <xdr:cNvPr id="2" name="Chart 1">
          <a:extLst>
            <a:ext uri="{FF2B5EF4-FFF2-40B4-BE49-F238E27FC236}">
              <a16:creationId xmlns:a16="http://schemas.microsoft.com/office/drawing/2014/main" id="{BD63A132-F18E-47A9-8B42-2CC64EB3C5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117056</xdr:colOff>
      <xdr:row>12</xdr:row>
      <xdr:rowOff>3493</xdr:rowOff>
    </xdr:from>
    <xdr:to>
      <xdr:col>10</xdr:col>
      <xdr:colOff>802855</xdr:colOff>
      <xdr:row>12</xdr:row>
      <xdr:rowOff>3493</xdr:rowOff>
    </xdr:to>
    <xdr:cxnSp macro="">
      <xdr:nvCxnSpPr>
        <xdr:cNvPr id="5" name="Straight Connector 4">
          <a:extLst>
            <a:ext uri="{FF2B5EF4-FFF2-40B4-BE49-F238E27FC236}">
              <a16:creationId xmlns:a16="http://schemas.microsoft.com/office/drawing/2014/main" id="{A149BC13-7BC8-432E-A407-030140695EC6}"/>
            </a:ext>
          </a:extLst>
        </xdr:cNvPr>
        <xdr:cNvCxnSpPr/>
      </xdr:nvCxnSpPr>
      <xdr:spPr>
        <a:xfrm>
          <a:off x="3895306" y="2162493"/>
          <a:ext cx="3363382" cy="0"/>
        </a:xfrm>
        <a:prstGeom prst="line">
          <a:avLst/>
        </a:prstGeom>
        <a:ln w="15875">
          <a:solidFill>
            <a:srgbClr val="FF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16934</xdr:colOff>
      <xdr:row>0</xdr:row>
      <xdr:rowOff>135466</xdr:rowOff>
    </xdr:from>
    <xdr:to>
      <xdr:col>26</xdr:col>
      <xdr:colOff>0</xdr:colOff>
      <xdr:row>20</xdr:row>
      <xdr:rowOff>186266</xdr:rowOff>
    </xdr:to>
    <xdr:graphicFrame macro="">
      <xdr:nvGraphicFramePr>
        <xdr:cNvPr id="7" name="Chart 6">
          <a:extLst>
            <a:ext uri="{FF2B5EF4-FFF2-40B4-BE49-F238E27FC236}">
              <a16:creationId xmlns:a16="http://schemas.microsoft.com/office/drawing/2014/main" id="{BADFEA2C-0604-4138-A2BA-3A12F437FF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ter, Tion" refreshedDate="45071.654855787034" createdVersion="7" refreshedVersion="7" minRefreshableVersion="3" recordCount="30" xr:uid="{FD56DA34-0123-4AAA-AFCD-B8A3F407449B}">
  <cacheSource type="worksheet">
    <worksheetSource ref="A33:AD63" sheet="Record"/>
  </cacheSource>
  <cacheFields count="30">
    <cacheField name="TEAM" numFmtId="0">
      <sharedItems count="30">
        <s v="Baltimore Orioles"/>
        <s v="Boston Red Sox"/>
        <s v="Chicago White Sox"/>
        <s v="Cleveland Guardians"/>
        <s v="Detroit Tigers"/>
        <s v="Houston Astros"/>
        <s v="Kansas City Royals"/>
        <s v="Los Angeles Angels"/>
        <s v="Minnesota Twins"/>
        <s v="New York Yankees"/>
        <s v="Oakland Athletics"/>
        <s v="Seattle Mariners"/>
        <s v="Tampa Bay Rays"/>
        <s v="Texas Rangers"/>
        <s v="Toronto Blue Jays"/>
        <s v="Arizona Diamondbacks"/>
        <s v="Atlanta Braves"/>
        <s v="Chicago Cubs"/>
        <s v="Cincinnati Reds"/>
        <s v="Colorado Rockies"/>
        <s v="Los Angeles Dodgers"/>
        <s v="Miami Marlins"/>
        <s v="Milwaukee Brewers"/>
        <s v="New York Mets"/>
        <s v="Philadelphia Phillies"/>
        <s v="Pittsburgh Pirates"/>
        <s v="San Diego Padres"/>
        <s v="San Francisco Giants"/>
        <s v="St. Louis Cardinals"/>
        <s v="Washington Nationals"/>
      </sharedItems>
    </cacheField>
    <cacheField name="SEASON" numFmtId="0">
      <sharedItems containsSemiMixedTypes="0" containsString="0" containsNumber="1" containsInteger="1" minValue="2023" maxValue="2023"/>
    </cacheField>
    <cacheField name="G" numFmtId="0">
      <sharedItems containsSemiMixedTypes="0" containsString="0" containsNumber="1" containsInteger="1" minValue="22" maxValue="29"/>
    </cacheField>
    <cacheField name="REC" numFmtId="49">
      <sharedItems/>
    </cacheField>
    <cacheField name="W%" numFmtId="0">
      <sharedItems containsSemiMixedTypes="0" containsString="0" containsNumber="1" minValue="0.192" maxValue="0.70799999999999996"/>
    </cacheField>
    <cacheField name="W" numFmtId="0">
      <sharedItems containsSemiMixedTypes="0" containsString="0" containsNumber="1" containsInteger="1" minValue="5" maxValue="17"/>
    </cacheField>
    <cacheField name="L" numFmtId="0">
      <sharedItems containsSemiMixedTypes="0" containsString="0" containsNumber="1" containsInteger="1" minValue="7" maxValue="21"/>
    </cacheField>
    <cacheField name="AB" numFmtId="0">
      <sharedItems containsSemiMixedTypes="0" containsString="0" containsNumber="1" containsInteger="1" minValue="716" maxValue="1005"/>
    </cacheField>
    <cacheField name="R" numFmtId="0">
      <sharedItems containsSemiMixedTypes="0" containsString="0" containsNumber="1" containsInteger="1" minValue="83" maxValue="154"/>
    </cacheField>
    <cacheField name="H" numFmtId="0">
      <sharedItems containsSemiMixedTypes="0" containsString="0" containsNumber="1" containsInteger="1" minValue="147" maxValue="271"/>
    </cacheField>
    <cacheField name="2B" numFmtId="0">
      <sharedItems containsSemiMixedTypes="0" containsString="0" containsNumber="1" containsInteger="1" minValue="29" maxValue="57"/>
    </cacheField>
    <cacheField name="3B" numFmtId="0">
      <sharedItems containsSemiMixedTypes="0" containsString="0" containsNumber="1" containsInteger="1" minValue="0" maxValue="7"/>
    </cacheField>
    <cacheField name="HR" numFmtId="0">
      <sharedItems containsSemiMixedTypes="0" containsString="0" containsNumber="1" containsInteger="1" minValue="13" maxValue="49"/>
    </cacheField>
    <cacheField name="RBI" numFmtId="0">
      <sharedItems containsSemiMixedTypes="0" containsString="0" containsNumber="1" containsInteger="1" minValue="79" maxValue="149"/>
    </cacheField>
    <cacheField name="SH" numFmtId="0">
      <sharedItems containsSemiMixedTypes="0" containsString="0" containsNumber="1" containsInteger="1" minValue="0" maxValue="8"/>
    </cacheField>
    <cacheField name="SF" numFmtId="0">
      <sharedItems containsSemiMixedTypes="0" containsString="0" containsNumber="1" containsInteger="1" minValue="2" maxValue="12"/>
    </cacheField>
    <cacheField name="SB" numFmtId="0">
      <sharedItems containsSemiMixedTypes="0" containsString="0" containsNumber="1" containsInteger="1" minValue="8" maxValue="30"/>
    </cacheField>
    <cacheField name="CS" numFmtId="0">
      <sharedItems containsSemiMixedTypes="0" containsString="0" containsNumber="1" containsInteger="1" minValue="1" maxValue="8"/>
    </cacheField>
    <cacheField name="BB" numFmtId="0">
      <sharedItems containsSemiMixedTypes="0" containsString="0" containsNumber="1" containsInteger="1" minValue="56" maxValue="118"/>
    </cacheField>
    <cacheField name="IBB" numFmtId="0">
      <sharedItems containsSemiMixedTypes="0" containsString="0" containsNumber="1" containsInteger="1" minValue="0" maxValue="4"/>
    </cacheField>
    <cacheField name="HBP" numFmtId="0">
      <sharedItems containsSemiMixedTypes="0" containsString="0" containsNumber="1" containsInteger="1" minValue="4" maxValue="17"/>
    </cacheField>
    <cacheField name="SO" numFmtId="0">
      <sharedItems containsSemiMixedTypes="0" containsString="0" containsNumber="1" containsInteger="1" minValue="170" maxValue="254"/>
    </cacheField>
    <cacheField name="GIDP" numFmtId="0">
      <sharedItems containsSemiMixedTypes="0" containsString="0" containsNumber="1" containsInteger="1" minValue="11" maxValue="27"/>
    </cacheField>
    <cacheField name="PA" numFmtId="0">
      <sharedItems containsSemiMixedTypes="0" containsString="0" containsNumber="1" containsInteger="1" minValue="826" maxValue="1110"/>
    </cacheField>
    <cacheField name="TB" numFmtId="0">
      <sharedItems containsSemiMixedTypes="0" containsString="0" containsNumber="1" containsInteger="1" minValue="260" maxValue="445"/>
    </cacheField>
    <cacheField name="XBH" numFmtId="0">
      <sharedItems containsSemiMixedTypes="0" containsString="0" containsNumber="1" containsInteger="1" minValue="51" maxValue="99"/>
    </cacheField>
    <cacheField name="AVG" numFmtId="0">
      <sharedItems containsSemiMixedTypes="0" containsString="0" containsNumber="1" minValue="0.20499999999999999" maxValue="0.28299999999999997"/>
    </cacheField>
    <cacheField name="OBP" numFmtId="0">
      <sharedItems containsSemiMixedTypes="0" containsString="0" containsNumber="1" minValue="0.27600000000000002" maxValue="0.34899999999999998"/>
    </cacheField>
    <cacheField name="SLG" numFmtId="0">
      <sharedItems containsSemiMixedTypes="0" containsString="0" containsNumber="1" minValue="0.34499999999999997" maxValue="0.50900000000000001"/>
    </cacheField>
    <cacheField name="OPS" numFmtId="0">
      <sharedItems containsSemiMixedTypes="0" containsString="0" containsNumber="1" minValue="0.63100000000000001" maxValue="0.8579999999999999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ter, Tion" refreshedDate="45071.654856018518" createdVersion="7" refreshedVersion="7" minRefreshableVersion="3" recordCount="30" xr:uid="{56149956-7868-4D46-AB53-09C27FD50F88}">
  <cacheSource type="worksheet">
    <worksheetSource ref="A1:AD31" sheet="Record"/>
  </cacheSource>
  <cacheFields count="30">
    <cacheField name="TEAM" numFmtId="0">
      <sharedItems count="30">
        <s v="Arizona Diamondbacks"/>
        <s v="Atlanta Braves"/>
        <s v="Chicago Cubs"/>
        <s v="Cincinnati Reds"/>
        <s v="Colorado Rockies"/>
        <s v="Los Angeles Dodgers"/>
        <s v="Miami Marlins"/>
        <s v="Milwaukee Brewers"/>
        <s v="New York Mets"/>
        <s v="Philadelphia Phillies"/>
        <s v="Pittsburgh Pirates"/>
        <s v="San Diego Padres"/>
        <s v="San Francisco Giants"/>
        <s v="St. Louis Cardinals"/>
        <s v="Washington Nationals"/>
        <s v="Baltimore Orioles"/>
        <s v="Boston Red Sox"/>
        <s v="Chicago White Sox"/>
        <s v="Cleveland Guardians"/>
        <s v="Detroit Tigers"/>
        <s v="Houston Astros"/>
        <s v="Kansas City Royals"/>
        <s v="Los Angeles Angels"/>
        <s v="Minnesota Twins"/>
        <s v="New York Yankees"/>
        <s v="Oakland Athletics"/>
        <s v="Seattle Mariners"/>
        <s v="Tampa Bay Rays"/>
        <s v="Texas Rangers"/>
        <s v="Toronto Blue Jays"/>
      </sharedItems>
    </cacheField>
    <cacheField name="SEASON" numFmtId="0">
      <sharedItems containsSemiMixedTypes="0" containsString="0" containsNumber="1" containsInteger="1" minValue="2023" maxValue="2023"/>
    </cacheField>
    <cacheField name="G" numFmtId="0">
      <sharedItems containsSemiMixedTypes="0" containsString="0" containsNumber="1" containsInteger="1" minValue="20" maxValue="28"/>
    </cacheField>
    <cacheField name="REC" numFmtId="49">
      <sharedItems/>
    </cacheField>
    <cacheField name="W%" numFmtId="0">
      <sharedItems containsSemiMixedTypes="0" containsString="0" containsNumber="1" minValue="0.2" maxValue="0.82099999999999995"/>
    </cacheField>
    <cacheField name="W" numFmtId="0">
      <sharedItems containsSemiMixedTypes="0" containsString="0" containsNumber="1" containsInteger="1" minValue="5" maxValue="23"/>
    </cacheField>
    <cacheField name="L" numFmtId="0">
      <sharedItems containsSemiMixedTypes="0" containsString="0" containsNumber="1" containsInteger="1" minValue="5" maxValue="20"/>
    </cacheField>
    <cacheField name="AB" numFmtId="0">
      <sharedItems containsSemiMixedTypes="0" containsString="0" containsNumber="1" containsInteger="1" minValue="671" maxValue="915"/>
    </cacheField>
    <cacheField name="R" numFmtId="0">
      <sharedItems containsSemiMixedTypes="0" containsString="0" containsNumber="1" containsInteger="1" minValue="66" maxValue="163"/>
    </cacheField>
    <cacheField name="H" numFmtId="0">
      <sharedItems containsSemiMixedTypes="0" containsString="0" containsNumber="1" containsInteger="1" minValue="158" maxValue="270"/>
    </cacheField>
    <cacheField name="2B" numFmtId="0">
      <sharedItems containsSemiMixedTypes="0" containsString="0" containsNumber="1" containsInteger="1" minValue="25" maxValue="67"/>
    </cacheField>
    <cacheField name="3B" numFmtId="0">
      <sharedItems containsSemiMixedTypes="0" containsString="0" containsNumber="1" containsInteger="1" minValue="0" maxValue="9"/>
    </cacheField>
    <cacheField name="HR" numFmtId="0">
      <sharedItems containsSemiMixedTypes="0" containsString="0" containsNumber="1" containsInteger="1" minValue="12" maxValue="51"/>
    </cacheField>
    <cacheField name="RBI" numFmtId="0">
      <sharedItems containsSemiMixedTypes="0" containsString="0" containsNumber="1" containsInteger="1" minValue="60" maxValue="158"/>
    </cacheField>
    <cacheField name="SH" numFmtId="0">
      <sharedItems containsSemiMixedTypes="0" containsString="0" containsNumber="1" containsInteger="1" minValue="0" maxValue="8"/>
    </cacheField>
    <cacheField name="SF" numFmtId="0">
      <sharedItems containsSemiMixedTypes="0" containsString="0" containsNumber="1" containsInteger="1" minValue="2" maxValue="11"/>
    </cacheField>
    <cacheField name="SB" numFmtId="0">
      <sharedItems containsSemiMixedTypes="0" containsString="0" containsNumber="1" containsInteger="1" minValue="6" maxValue="30"/>
    </cacheField>
    <cacheField name="CS" numFmtId="0">
      <sharedItems containsSemiMixedTypes="0" containsString="0" containsNumber="1" containsInteger="1" minValue="0" maxValue="11"/>
    </cacheField>
    <cacheField name="BB" numFmtId="0">
      <sharedItems containsSemiMixedTypes="0" containsString="0" containsNumber="1" containsInteger="1" minValue="56" maxValue="111"/>
    </cacheField>
    <cacheField name="IBB" numFmtId="0">
      <sharedItems containsSemiMixedTypes="0" containsString="0" containsNumber="1" containsInteger="1" minValue="0" maxValue="11"/>
    </cacheField>
    <cacheField name="HBP" numFmtId="0">
      <sharedItems containsSemiMixedTypes="0" containsString="0" containsNumber="1" containsInteger="1" minValue="4" maxValue="21"/>
    </cacheField>
    <cacheField name="SO" numFmtId="0">
      <sharedItems containsSemiMixedTypes="0" containsString="0" containsNumber="1" containsInteger="1" minValue="166" maxValue="250"/>
    </cacheField>
    <cacheField name="GIDP" numFmtId="0">
      <sharedItems containsSemiMixedTypes="0" containsString="0" containsNumber="1" containsInteger="1" minValue="8" maxValue="25"/>
    </cacheField>
    <cacheField name="PA" numFmtId="0">
      <sharedItems containsSemiMixedTypes="0" containsString="0" containsNumber="1" containsInteger="1" minValue="741" maxValue="1036"/>
    </cacheField>
    <cacheField name="TB" numFmtId="0">
      <sharedItems containsSemiMixedTypes="0" containsString="0" containsNumber="1" containsInteger="1" minValue="244" maxValue="443"/>
    </cacheField>
    <cacheField name="XBH" numFmtId="0">
      <sharedItems containsSemiMixedTypes="0" containsString="0" containsNumber="1" containsInteger="1" minValue="51" maxValue="108"/>
    </cacheField>
    <cacheField name="AVG" numFmtId="0">
      <sharedItems containsSemiMixedTypes="0" containsString="0" containsNumber="1" minValue="0.21199999999999999" maxValue="0.29599999999999999"/>
    </cacheField>
    <cacheField name="OBP" numFmtId="0">
      <sharedItems containsSemiMixedTypes="0" containsString="0" containsNumber="1" minValue="0.29099999999999998" maxValue="0.36099999999999999"/>
    </cacheField>
    <cacheField name="SLG" numFmtId="0">
      <sharedItems containsSemiMixedTypes="0" containsString="0" containsNumber="1" minValue="0.33600000000000002" maxValue="0.499"/>
    </cacheField>
    <cacheField name="OPS" numFmtId="0">
      <sharedItems containsSemiMixedTypes="0" containsString="0" containsNumber="1" minValue="0.627" maxValue="0.85199999999999998"/>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ter, Tion" refreshedDate="45071.654856250003" createdVersion="7" refreshedVersion="7" minRefreshableVersion="3" recordCount="1106" xr:uid="{DADB3C9D-2375-45E5-A2CE-F86676B340D2}">
  <cacheSource type="worksheet">
    <worksheetSource ref="A1:H1048576" sheet="WAR"/>
  </cacheSource>
  <cacheFields count="8">
    <cacheField name="#" numFmtId="0">
      <sharedItems containsString="0" containsBlank="1" containsNumber="1" containsInteger="1" minValue="1" maxValue="1105"/>
    </cacheField>
    <cacheField name="Name" numFmtId="0">
      <sharedItems containsBlank="1"/>
    </cacheField>
    <cacheField name="Team" numFmtId="0">
      <sharedItems containsBlank="1" count="32">
        <s v="ARI"/>
        <s v="ATL"/>
        <s v="TEX"/>
        <s v="TBR"/>
        <s v="LAA"/>
        <s v="TOR"/>
        <s v="LAD"/>
        <s v="MIN"/>
        <s v="NYY"/>
        <s v="CHW"/>
        <s v="STL"/>
        <s v="HOU"/>
        <s v="SFG"/>
        <s v="SDP"/>
        <s v="BAL"/>
        <s v="SEA"/>
        <s v="PIT"/>
        <s v="CHC"/>
        <s v="PHI"/>
        <s v="DET"/>
        <s v="NYM"/>
        <s v="BOS"/>
        <s v="OAK"/>
        <s v="COL"/>
        <s v="CLE"/>
        <s v="CIN"/>
        <s v="MIL"/>
        <s v="WSN"/>
        <s v="MIA"/>
        <s v="KCR"/>
        <s v="- - -"/>
        <m/>
      </sharedItems>
    </cacheField>
    <cacheField name="PA" numFmtId="0">
      <sharedItems containsString="0" containsBlank="1" containsNumber="1" containsInteger="1" minValue="1" maxValue="233"/>
    </cacheField>
    <cacheField name="IP" numFmtId="0">
      <sharedItems containsString="0" containsBlank="1" containsNumber="1" minValue="0.1" maxValue="69.099999999999994"/>
    </cacheField>
    <cacheField name="Bat WAR" numFmtId="0">
      <sharedItems containsString="0" containsBlank="1" containsNumber="1" minValue="-1" maxValue="2.5"/>
    </cacheField>
    <cacheField name="Pit WAR" numFmtId="0">
      <sharedItems containsString="0" containsBlank="1" containsNumber="1" minValue="-0.8" maxValue="2.8"/>
    </cacheField>
    <cacheField name="Total WAR" numFmtId="0">
      <sharedItems containsString="0" containsBlank="1" containsNumber="1" minValue="-1" maxValue="2.8"/>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ter, Tion" refreshedDate="45071.65485648148" createdVersion="7" refreshedVersion="7" minRefreshableVersion="3" recordCount="513" xr:uid="{D261065C-14F5-48AA-A878-85D2328276F0}">
  <cacheSource type="worksheet">
    <worksheetSource ref="B1:U1048576" sheet="Hittas"/>
  </cacheSource>
  <cacheFields count="20">
    <cacheField name="Name" numFmtId="0">
      <sharedItems containsBlank="1" count="512">
        <s v="Ronald Acuna Jr."/>
        <s v="Adolis Garcia"/>
        <s v="Marcus Semien"/>
        <s v="Freddie Freeman"/>
        <s v="Randy Arozarena"/>
        <s v="Pete Alonso"/>
        <s v="Josh Lowe"/>
        <s v="Yordan Alvarez"/>
        <s v="Aaron Judge"/>
        <s v="Cedric Mullins"/>
        <s v="Shohei Ohtani"/>
        <s v="Bo Bichette"/>
        <s v="Nolan Gorman"/>
        <s v="Paul Goldschmidt"/>
        <s v="Wander Franco"/>
        <s v="Matt Olson"/>
        <s v="Yandy Diaz"/>
        <s v="Luis Robert Jr."/>
        <s v="Rafael Devers"/>
        <s v="Esteury Ruiz"/>
        <s v="Josh Jung"/>
        <s v="Anthony Rizzo"/>
        <s v="Sean Murphy"/>
        <s v="Corbin Carroll"/>
        <s v="Mookie Betts"/>
        <s v="Thairo Estrada"/>
        <s v="Christian Yelich"/>
        <s v="Mike Trout"/>
        <s v="Ryan Mountcastle"/>
        <s v="Vladimir Guerrero Jr."/>
        <s v="Max Muncy"/>
        <s v="Jarred Kelenic"/>
        <s v="Lourdes Gurriel Jr."/>
        <s v="Jorge Soler"/>
        <s v="Gleyber Torres"/>
        <s v="Lane Thomas"/>
        <s v="Christian Walker"/>
        <s v="Nico Hoerner"/>
        <s v="Salvador Perez"/>
        <s v="Jonathan India"/>
        <s v="Nolan Arenado"/>
        <s v="Jorge Mateo"/>
        <s v="Nathaniel Lowe"/>
        <s v="Jonah Heim"/>
        <s v="Bryan Reynolds"/>
        <s v="Will Smith"/>
        <s v="Byron Buxton"/>
        <s v="Bobby Witt Jr."/>
        <s v="Masataka Yoshida"/>
        <s v="Cody Bellinger"/>
        <s v="Brent Rooker"/>
        <s v="Kyle Tucker"/>
        <s v="James Outman"/>
        <s v="Matt Chapman"/>
        <s v="Hunter Renfroe"/>
        <s v="Nick Castellanos"/>
        <s v="Tommy Edman"/>
        <s v="Alex Verdugo"/>
        <s v="Juan Soto"/>
        <s v="Whit Merrifield"/>
        <s v="Francisco Lindor"/>
        <s v="George Springer"/>
        <s v="Isaac Paredes"/>
        <s v="Ozzie Albies"/>
        <s v="Julio Rodriguez"/>
        <s v="Elias Diaz"/>
        <s v="Taylor Walls"/>
        <s v="Jose Ramirez"/>
        <s v="Adam Frazier"/>
        <s v="Rowdy Tellez"/>
        <s v="Geraldo Perdomo"/>
        <s v="Jake Fraley"/>
        <s v="Alec Bohm"/>
        <s v="J.D. Martinez"/>
        <s v="Patrick Wisdom"/>
        <s v="Ketel Marte"/>
        <s v="Adley Rutschman"/>
        <s v="Ezequiel Duran"/>
        <s v="Riley Greene"/>
        <s v="Brandon Nimmo"/>
        <s v="Xander Bogaerts"/>
        <s v="Michael Conforto"/>
        <s v="Anthony Santander"/>
        <s v="Andrew McCutchen"/>
        <s v="Austin Riley"/>
        <s v="Anthony Volpe"/>
        <s v="Vinnie Pasquantino"/>
        <s v="Jeremy Pena"/>
        <s v="Brian Anderson"/>
        <s v="Jazz Chisholm Jr."/>
        <s v="Paul DeJong"/>
        <s v="J.D. Davis"/>
        <s v="Bryson Stott"/>
        <s v="Willy Adames"/>
        <s v="Austin Hays"/>
        <s v="Luke Raley"/>
        <s v="Cal Raleigh"/>
        <s v="Harold Ramirez"/>
        <s v="Teoscar Hernandez"/>
        <s v="Spencer Steer"/>
        <s v="Dansby Swanson"/>
        <s v="Daulton Varsho"/>
        <s v="Lars Nootbaar"/>
        <s v="Luis Arraez"/>
        <s v="Ji Hwan Bae"/>
        <s v="CJ Abrams"/>
        <s v="Bryan De La Cruz"/>
        <s v="Justin Turner"/>
        <s v="Christopher Morel"/>
        <s v="Willson Contreras"/>
        <s v="Jose Siri"/>
        <s v="Joey Gallo"/>
        <s v="Jarren Duran"/>
        <s v="Kevin Kiermaier"/>
        <s v="Jake Burger"/>
        <s v="Kyle Schwarber"/>
        <s v="Brandon Lowe"/>
        <s v="Nick Senzel"/>
        <s v="Andrew Vaughn"/>
        <s v="Josh Naylor"/>
        <s v="Alex Bregman"/>
        <s v="Ian Happ"/>
        <s v="Robbie Grossman"/>
        <s v="J.T. Realmuto"/>
        <s v="Trea Turner"/>
        <s v="Yan Gomes"/>
        <s v="Ty France"/>
        <s v="Owen Miller"/>
        <s v="Steven Kwan"/>
        <s v="Leody Taveras"/>
        <s v="LaMonte Wade Jr."/>
        <s v="Brandon Drury"/>
        <s v="Connor Joe"/>
        <s v="Jack Suwinski"/>
        <s v="Seiya Suzuki"/>
        <s v="TJ Friedl"/>
        <s v="Miguel Vargas"/>
        <s v="Brandon Marsh"/>
        <s v="Joey Meneses"/>
        <s v="Mauricio Dubon"/>
        <s v="Charlie Blackmon"/>
        <s v="Fernando Tatis Jr."/>
        <s v="Jeimer Candelario"/>
        <s v="Gio Urshela"/>
        <s v="Danny Jansen"/>
        <s v="Eugenio Suarez"/>
        <s v="Starling Marte"/>
        <s v="Christian Bethancourt"/>
        <s v="Jurickson Profar"/>
        <s v="Anthony Rendon"/>
        <s v="Javier Baez"/>
        <s v="Jon Berti"/>
        <s v="Kris Bryant"/>
        <s v="Carlos Santana"/>
        <s v="Luis Garcia"/>
        <s v="Marcell Ozuna"/>
        <s v="Trevor Larnach"/>
        <s v="Josh Rojas"/>
        <s v="J.P. Crawford"/>
        <s v="Andrew Benintendi"/>
        <s v="Taylor Ward"/>
        <s v="Shea Langeliers"/>
        <s v="Ha-Seong Kim"/>
        <s v="DJ LeMahieu"/>
        <s v="Chris Taylor"/>
        <s v="Jeff McNeil"/>
        <s v="Ke’Bryan Hayes"/>
        <s v="Gabriel Moreno"/>
        <s v="Michael A. Taylor"/>
        <s v="C.J. Cron"/>
        <s v="Brenton Doyle"/>
        <s v="Enrique Hernandez"/>
        <s v="Manny Machado"/>
        <s v="Harrison Bader"/>
        <s v="Ryan Noda"/>
        <s v="Brendan Donovan"/>
        <s v="Ryan McMahon"/>
        <s v="Zach McKinstry"/>
        <s v="Blake Sabol"/>
        <s v="Tyler Stephenson"/>
        <s v="Andres Gimenez"/>
        <s v="Corey Julks"/>
        <s v="Yasmani Grandal"/>
        <s v="Orlando Arcia"/>
        <s v="Matt Vierling"/>
        <s v="Rodolfo Castro"/>
        <s v="Mike Yastrzemski"/>
        <s v="MJ Melendez"/>
        <s v="Zach Neto"/>
        <s v="Adam Duvall"/>
        <s v="Amed Rosario"/>
        <s v="Spencer Torkelson"/>
        <s v="Connor Wong"/>
        <s v="Edward Olivares"/>
        <s v="Manuel Margot"/>
        <s v="Jake Cronenworth"/>
        <s v="Alex Call"/>
        <s v="Eddie Rosario"/>
        <s v="Corey Seager"/>
        <s v="Gavin Sheets"/>
        <s v="Carlos Correa"/>
        <s v="Francisco Alvarez"/>
        <s v="Gunnar Henderson"/>
        <s v="Brice Turang"/>
        <s v="Wilmer Flores"/>
        <s v="Trey Mancini"/>
        <s v="Joey Wiemer"/>
        <s v="William Contreras"/>
        <s v="Ezequiel Tovar"/>
        <s v="Dominic Smith"/>
        <s v="Jose Caballero"/>
        <s v="Joc Pederson"/>
        <s v="Max Kepler"/>
        <s v="Kevin Pillar"/>
        <s v="Victor Robles"/>
        <s v="Kyle Farmer"/>
        <s v="Myles Straw"/>
        <s v="Pavin Smith"/>
        <s v="Jorge Polanco"/>
        <s v="Jake Meyers"/>
        <s v="Jason Heyward"/>
        <s v="Oswaldo Cabrera"/>
        <s v="Mark Canha"/>
        <s v="Matt Thaiss"/>
        <s v="Bryce Harper"/>
        <s v="Keibert Ruiz"/>
        <s v="Travis Jankowski"/>
        <s v="Ramon Urias"/>
        <s v="Eloy Jimenez"/>
        <s v="Luis Rengifo"/>
        <s v="Rob Refsnyder"/>
        <s v="Kevin Newman"/>
        <s v="Nick Pratto"/>
        <s v="Triston Casas"/>
        <s v="Willi Castro"/>
        <s v="Yuli Gurriel"/>
        <s v="Jesus Sanchez"/>
        <s v="Eric Haase"/>
        <s v="Mickey Moniak"/>
        <s v="Logan O’Hoppe"/>
        <s v="Matt Carpenter"/>
        <s v="Carlos Perez"/>
        <s v="Dominic Fletcher"/>
        <s v="Evan Longoria"/>
        <s v="Edmundo Sosa"/>
        <s v="Stuart Fairchild"/>
        <s v="Ramon Laureano"/>
        <s v="Nelson Cruz"/>
        <s v="Akil Baddoo"/>
        <s v="Jace Peterson"/>
        <s v="Sam Hilliard"/>
        <s v="Raimel Tapia"/>
        <s v="Alec Burleson"/>
        <s v="Michael Massey"/>
        <s v="Garrett Cooper"/>
        <s v="Enmanuel Valdez"/>
        <s v="Randal Grichuk"/>
        <s v="Tim Anderson"/>
        <s v="Eduardo Escobar"/>
        <s v="Jason Delay"/>
        <s v="Casey Schmitt"/>
        <s v="Brett Baty"/>
        <s v="Jordan Walker"/>
        <s v="Jose Trevino"/>
        <s v="Brandon Belt"/>
        <s v="Jake Rogers"/>
        <s v="Giancarlo Stanton"/>
        <s v="Will Brennan"/>
        <s v="Josh Bell"/>
        <s v="David Peralta"/>
        <s v="Emmanuel Rivera"/>
        <s v="Stone Garrett"/>
        <s v="Kody Clemens"/>
        <s v="Andrew Knizner"/>
        <s v="Yoan Moncada"/>
        <s v="Christian Arroyo"/>
        <s v="Tucupita Marcano"/>
        <s v="Alejandro Kirk"/>
        <s v="Nick Maton"/>
        <s v="Dylan Carlson"/>
        <s v="Mike Moustakas"/>
        <s v="Trent Grisham"/>
        <s v="Chas McCormick"/>
        <s v="Luke Maile"/>
        <s v="Isiah Kiner-Falefa"/>
        <s v="Jose Barrero"/>
        <s v="Hanser Alberto"/>
        <s v="Jose Miranda"/>
        <s v="Elvis Andrus"/>
        <s v="Harold Castro"/>
        <s v="Jesus Aguilar"/>
        <s v="Alek Thomas"/>
        <s v="Nick Ahmed"/>
        <s v="Ryan Jeffers"/>
        <s v="Nick Madrigal"/>
        <s v="Daniel Vogelbach"/>
        <s v="Garrett Hampson"/>
        <s v="Garrett Mitchell"/>
        <s v="Maikel Garcia"/>
        <s v="Christian Vazquez"/>
        <s v="Chad Wallach"/>
        <s v="Nick Fortes"/>
        <s v="Martin Maldonado"/>
        <s v="AJ Pollock"/>
        <s v="Ryan McKenna"/>
        <s v="Eric Hosmer"/>
        <s v="Reese McGuire"/>
        <s v="Kyle Higashioka"/>
        <s v="Wil Myers"/>
        <s v="Francisco Mejia"/>
        <s v="Tommy Pham"/>
        <s v="Brandon Crawford"/>
        <s v="Alex Kirilloff"/>
        <s v="Kerry Carpenter"/>
        <s v="Freddy Fermin"/>
        <s v="Josh H. Smith"/>
        <s v="Rougned Odor"/>
        <s v="Mitch Haniger"/>
        <s v="Jose Abreu"/>
        <s v="Matt McLain"/>
        <s v="Tyler O’Neill"/>
        <s v="Nelson Velazquez"/>
        <s v="Ryan O’Hearn"/>
        <s v="Riley Adams"/>
        <s v="Trayce Thompson"/>
        <s v="Matt Duffy"/>
        <s v="Jose Herrera"/>
        <s v="Jordan Diaz"/>
        <s v="Jesse Winker"/>
        <s v="David Villar"/>
        <s v="Travis d’Arnaud"/>
        <s v="Franchy Cordero"/>
        <s v="Mike Brosseau"/>
        <s v="Oneil Cruz"/>
        <s v="Victor Caratini"/>
        <s v="Ildemaro Vargas"/>
        <s v="Willie Calhoun"/>
        <s v="Yonathan Daza"/>
        <s v="Mike Zunino"/>
        <s v="Alan Trejo"/>
        <s v="Hunter Dozier"/>
        <s v="Oscar Mercado"/>
        <s v="Kyle Isbel"/>
        <s v="JJ Bleday"/>
        <s v="Santiago Espinal"/>
        <s v="Jake Cave"/>
        <s v="Taylor Trammell"/>
        <s v="Avisail Garcia"/>
        <s v="Edouard Julien"/>
        <s v="James McCann"/>
        <s v="Kevin Smith"/>
        <s v="Oscar Colas"/>
        <s v="Zack Short"/>
        <s v="Donovan Solano"/>
        <s v="Mitch Garver"/>
        <s v="Matt Mervis"/>
        <s v="Terrin Vavra"/>
        <s v="Jason Vosler"/>
        <s v="Nick Gordon"/>
        <s v="Yainer Diaz"/>
        <s v="Yu Chang"/>
        <s v="Cavan Biggio"/>
        <s v="Henry Ramos"/>
        <s v="Jose Azocar"/>
        <s v="Elehuris Montero"/>
        <s v="Jake Lamb"/>
        <s v="Conner Capel"/>
        <s v="Bubba Thompson"/>
        <s v="Seby Zavala"/>
        <s v="Joey Bart"/>
        <s v="Vaughn Grissom"/>
        <s v="Nicky Lopez"/>
        <s v="Tyrone Taylor"/>
        <s v="Gabriel Arias"/>
        <s v="Jake Bauers"/>
        <s v="Brett Sullivan"/>
        <s v="Cristian Pache"/>
        <s v="Romy Gonzalez"/>
        <s v="Michael Harris II"/>
        <s v="Austin Slater"/>
        <s v="Juan Yepez"/>
        <s v="Luis Campusano"/>
        <s v="Tom Murphy"/>
        <s v="Franmil Reyes"/>
        <s v="Patrick Bailey"/>
        <s v="Aaron Hicks"/>
        <s v="Andy Ibanez"/>
        <s v="Austin Wynns"/>
        <s v="Mark Mathias"/>
        <s v="Austin Hedges"/>
        <s v="Tony Kemp"/>
        <s v="Jean Segura"/>
        <s v="Luke Voit"/>
        <s v="Luis Guillorme"/>
        <s v="Aledmys Diaz"/>
        <s v="Corey Dickerson"/>
        <s v="Michael Perez"/>
        <s v="Miguel Andujar"/>
        <s v="Kyle Garlick"/>
        <s v="Luis Torrens"/>
        <s v="Brad Miller"/>
        <s v="Omar Narvaez"/>
        <s v="Garrett Stubbs"/>
        <s v="Jonathan Davis"/>
        <s v="Sam Haggerty"/>
        <s v="Joey Ortiz"/>
        <s v="Adam Haseley"/>
        <s v="Vidal Brujan"/>
        <s v="Tim Locastro"/>
        <s v="Ben Rortvedt"/>
        <s v="Michael Busch"/>
        <s v="Pablo Reyes"/>
        <s v="Xavier Edwards"/>
        <s v="Oswald Peraza"/>
        <s v="Brett Phillips"/>
        <s v="Clint Frazier"/>
        <s v="Jake McCarthy"/>
        <s v="Josh Harrison"/>
        <s v="Sandy Leon"/>
        <s v="Peyton Burdick"/>
        <s v="Seth Brown"/>
        <s v="Miguel Rojas"/>
        <s v="Miguel Amaya"/>
        <s v="Nick Allen"/>
        <s v="David Hensley"/>
        <s v="Darin Ruf"/>
        <s v="Oscar Gonzalez"/>
        <s v="Tyler Heineman"/>
        <s v="Mike Tauchman"/>
        <s v="Bryce Johnson"/>
        <s v="Kolten Wong"/>
        <s v="Billy Hamilton"/>
        <s v="Greg Allen"/>
        <s v="Brett Wisely"/>
        <s v="Gary Sanchez"/>
        <s v="Tyler Wade"/>
        <s v="Nathan Lukes"/>
        <s v="Sam Huff"/>
        <s v="Jacob Stallings"/>
        <s v="Josh Palacios"/>
        <s v="Mark Vientos"/>
        <s v="Tyler Freeman"/>
        <s v="Jackie Bradley Jr."/>
        <s v="Cesar Salazar"/>
        <s v="Austin Nola"/>
        <s v="Canaan Smith-Njigba"/>
        <s v="David Fry"/>
        <s v="Ji Man Choi"/>
        <s v="Chris Okey"/>
        <s v="Anthony Bemboom"/>
        <s v="Michael Chavis"/>
        <s v="Bo Naylor"/>
        <s v="Tres Barrera"/>
        <s v="Miles Mastrobuoni"/>
        <s v="Chadwick Tromp"/>
        <s v="Tucker Barnhart"/>
        <s v="Jonathan Schoop"/>
        <s v="Joey Wendle"/>
        <s v="Roberto Perez"/>
        <s v="Kyle Lewis"/>
        <s v="David Dahl"/>
        <s v="Drew Maggi"/>
        <s v="Edwin Rios"/>
        <s v="Josh Donaldson"/>
        <s v="Brandon Dixon"/>
        <s v="Tyler Nevin"/>
        <s v="Tommy La Stella"/>
        <s v="Livan Soto"/>
        <s v="Jose Altuve"/>
        <s v="Matt Wallner"/>
        <s v="Matt Beaty"/>
        <s v="Bobby Dalbec"/>
        <s v="Brian Serven"/>
        <s v="Austin Meadows"/>
        <s v="Jake Alu"/>
        <s v="Ernie Clement"/>
        <s v="Darick Hall"/>
        <s v="Michael Toglia"/>
        <s v="Matt Reynolds"/>
        <s v="Tomas Nido"/>
        <s v="Curt Casali"/>
        <s v="Jake Marisnick"/>
        <s v="Brayan Rocchio"/>
        <s v="Yonny Hernandez"/>
        <s v="Jeter Downs"/>
        <s v="Luke Williams"/>
        <s v="Heliot Ramos"/>
        <s v="Austin Barnes"/>
        <s v="Taylor Motter"/>
        <s v="Dalton Guthrie"/>
        <s v="Meibrys Viloria"/>
        <s v="Jordan Luplow"/>
        <s v="Luis Urias"/>
        <s v="Braden Shewmake"/>
        <s v="Jared Walsh"/>
        <s v="Ryan Kreidler"/>
        <s v="Cam Gallagher"/>
        <s v="Cooper Hummel"/>
        <s v="Blake Perkins"/>
        <s v="David Fletcher"/>
        <s v="Adam Engel"/>
        <s v="Cal Stevenson"/>
        <s v="Rylan Bannon"/>
        <s v="Chris Owings"/>
        <s v="Lenyn Sosa"/>
        <s v="Eli White"/>
        <s v="Miguel Cabrera"/>
        <s v="Ehire Adrianza"/>
        <s v="Kyle Stowers"/>
        <s v="Will Benson"/>
        <s v="Nate Eaton"/>
        <m/>
      </sharedItems>
    </cacheField>
    <cacheField name="Team" numFmtId="0">
      <sharedItems containsBlank="1" count="32">
        <s v="ATL"/>
        <s v="TEX"/>
        <s v="LAD"/>
        <s v="TB"/>
        <s v="NYM"/>
        <s v="HOU"/>
        <s v="NYY"/>
        <s v="BAL"/>
        <s v="LAA"/>
        <s v="TOR"/>
        <s v="STL"/>
        <s v="CHW"/>
        <s v="BOS"/>
        <s v="OAK"/>
        <s v="ARI"/>
        <s v="SF"/>
        <s v="MIL"/>
        <s v="SEA"/>
        <s v="MIA"/>
        <s v="WSH"/>
        <s v="CHC"/>
        <s v="KC"/>
        <s v="CIN"/>
        <s v="PIT"/>
        <s v="MIN"/>
        <s v="PHI"/>
        <s v="SD"/>
        <s v="COL"/>
        <s v="CLE"/>
        <s v="DET"/>
        <s v="FA"/>
        <m/>
      </sharedItems>
    </cacheField>
    <cacheField name="ESPN" numFmtId="0">
      <sharedItems containsBlank="1"/>
    </cacheField>
    <cacheField name="Y!" numFmtId="0">
      <sharedItems containsBlank="1"/>
    </cacheField>
    <cacheField name="$" numFmtId="0">
      <sharedItems containsString="0" containsBlank="1" containsNumber="1" minValue="-30.7" maxValue="53.3"/>
    </cacheField>
    <cacheField name="G" numFmtId="0">
      <sharedItems containsString="0" containsBlank="1" containsNumber="1" containsInteger="1" minValue="1" maxValue="51"/>
    </cacheField>
    <cacheField name="PA" numFmtId="0">
      <sharedItems containsString="0" containsBlank="1" containsNumber="1" containsInteger="1" minValue="1" maxValue="233"/>
    </cacheField>
    <cacheField name="AB" numFmtId="0">
      <sharedItems containsString="0" containsBlank="1" containsNumber="1" containsInteger="1" minValue="0" maxValue="214" count="202">
        <n v="191"/>
        <n v="181"/>
        <n v="201"/>
        <n v="203"/>
        <n v="177"/>
        <n v="186"/>
        <n v="140"/>
        <n v="155"/>
        <n v="143"/>
        <n v="182"/>
        <n v="189"/>
        <n v="214"/>
        <n v="152"/>
        <n v="192"/>
        <n v="196"/>
        <n v="184"/>
        <n v="183"/>
        <n v="193"/>
        <n v="200"/>
        <n v="142"/>
        <n v="161"/>
        <n v="188"/>
        <n v="174"/>
        <n v="202"/>
        <n v="157"/>
        <n v="173"/>
        <n v="167"/>
        <n v="179"/>
        <n v="175"/>
        <n v="197"/>
        <n v="134"/>
        <n v="154"/>
        <n v="120"/>
        <n v="164"/>
        <n v="207"/>
        <n v="144"/>
        <n v="149"/>
        <n v="163"/>
        <n v="190"/>
        <n v="187"/>
        <n v="171"/>
        <n v="160"/>
        <n v="194"/>
        <n v="115"/>
        <n v="108"/>
        <n v="133"/>
        <n v="138"/>
        <n v="141"/>
        <n v="178"/>
        <n v="136"/>
        <n v="180"/>
        <n v="151"/>
        <n v="86"/>
        <n v="147"/>
        <n v="159"/>
        <n v="111"/>
        <n v="145"/>
        <n v="176"/>
        <n v="185"/>
        <n v="170"/>
        <n v="129"/>
        <n v="156"/>
        <n v="165"/>
        <n v="53"/>
        <n v="88"/>
        <n v="114"/>
        <n v="104"/>
        <n v="204"/>
        <n v="96"/>
        <n v="125"/>
        <n v="166"/>
        <n v="132"/>
        <n v="128"/>
        <n v="130"/>
        <n v="158"/>
        <n v="124"/>
        <n v="121"/>
        <n v="107"/>
        <n v="168"/>
        <n v="103"/>
        <n v="123"/>
        <n v="71"/>
        <n v="73"/>
        <n v="110"/>
        <n v="102"/>
        <n v="122"/>
        <n v="150"/>
        <n v="119"/>
        <n v="169"/>
        <n v="33"/>
        <n v="135"/>
        <n v="66"/>
        <n v="106"/>
        <n v="87"/>
        <n v="137"/>
        <n v="60"/>
        <n v="81"/>
        <n v="99"/>
        <n v="78"/>
        <n v="89"/>
        <n v="84"/>
        <n v="100"/>
        <n v="95"/>
        <n v="92"/>
        <n v="79"/>
        <n v="68"/>
        <n v="97"/>
        <n v="109"/>
        <n v="127"/>
        <n v="69"/>
        <n v="31"/>
        <n v="75"/>
        <n v="113"/>
        <n v="131"/>
        <n v="82"/>
        <n v="64"/>
        <n v="58"/>
        <n v="52"/>
        <n v="62"/>
        <n v="83"/>
        <n v="57"/>
        <n v="70"/>
        <n v="80"/>
        <n v="74"/>
        <n v="126"/>
        <n v="47"/>
        <n v="90"/>
        <n v="101"/>
        <n v="61"/>
        <n v="93"/>
        <n v="49"/>
        <n v="94"/>
        <n v="51"/>
        <n v="72"/>
        <n v="36"/>
        <n v="63"/>
        <n v="85"/>
        <n v="32"/>
        <n v="29"/>
        <n v="30"/>
        <n v="65"/>
        <n v="44"/>
        <n v="55"/>
        <n v="56"/>
        <n v="20"/>
        <n v="91"/>
        <n v="54"/>
        <n v="35"/>
        <n v="39"/>
        <n v="76"/>
        <n v="25"/>
        <n v="19"/>
        <n v="42"/>
        <n v="40"/>
        <n v="50"/>
        <n v="21"/>
        <n v="59"/>
        <n v="13"/>
        <n v="27"/>
        <n v="7"/>
        <n v="15"/>
        <n v="14"/>
        <n v="4"/>
        <n v="37"/>
        <n v="5"/>
        <n v="10"/>
        <n v="77"/>
        <n v="9"/>
        <n v="11"/>
        <n v="34"/>
        <n v="2"/>
        <n v="1"/>
        <n v="6"/>
        <n v="18"/>
        <n v="12"/>
        <n v="28"/>
        <n v="16"/>
        <n v="22"/>
        <n v="23"/>
        <n v="3"/>
        <n v="43"/>
        <n v="26"/>
        <m/>
        <n v="0" u="1"/>
        <n v="38" u="1"/>
        <n v="112" u="1"/>
        <n v="146" u="1"/>
        <n v="116" u="1"/>
        <n v="46" u="1"/>
        <n v="48" u="1"/>
        <n v="17" u="1"/>
        <n v="98" u="1"/>
        <n v="139" u="1"/>
        <n v="8" u="1"/>
        <n v="24" u="1"/>
        <n v="41" u="1"/>
        <n v="118" u="1"/>
        <n v="45" u="1"/>
        <n v="105" u="1"/>
        <n v="67" u="1"/>
        <n v="148" u="1"/>
        <n v="117" u="1"/>
      </sharedItems>
    </cacheField>
    <cacheField name="R" numFmtId="0">
      <sharedItems containsString="0" containsBlank="1" containsNumber="1" containsInteger="1" minValue="0" maxValue="46"/>
    </cacheField>
    <cacheField name="H" numFmtId="0">
      <sharedItems containsString="0" containsBlank="1" containsNumber="1" containsInteger="1" minValue="0" maxValue="70"/>
    </cacheField>
    <cacheField name="HR" numFmtId="0">
      <sharedItems containsString="0" containsBlank="1" containsNumber="1" containsInteger="1" minValue="0" maxValue="18" count="18">
        <n v="11"/>
        <n v="14"/>
        <n v="8"/>
        <n v="9"/>
        <n v="18"/>
        <n v="12"/>
        <n v="13"/>
        <n v="7"/>
        <n v="1"/>
        <n v="10"/>
        <n v="6"/>
        <n v="15"/>
        <n v="3"/>
        <n v="5"/>
        <n v="2"/>
        <n v="4"/>
        <n v="0"/>
        <m/>
      </sharedItems>
    </cacheField>
    <cacheField name="RBI" numFmtId="0">
      <sharedItems containsString="0" containsBlank="1" containsNumber="1" containsInteger="1" minValue="0" maxValue="49" count="45">
        <n v="27"/>
        <n v="49"/>
        <n v="40"/>
        <n v="31"/>
        <n v="37"/>
        <n v="43"/>
        <n v="34"/>
        <n v="46"/>
        <n v="33"/>
        <n v="39"/>
        <n v="30"/>
        <n v="25"/>
        <n v="36"/>
        <n v="29"/>
        <n v="44"/>
        <n v="22"/>
        <n v="17"/>
        <n v="24"/>
        <n v="35"/>
        <n v="28"/>
        <n v="18"/>
        <n v="23"/>
        <n v="20"/>
        <n v="32"/>
        <n v="26"/>
        <n v="21"/>
        <n v="19"/>
        <n v="16"/>
        <n v="12"/>
        <n v="15"/>
        <n v="14"/>
        <n v="13"/>
        <n v="11"/>
        <n v="9"/>
        <n v="10"/>
        <n v="8"/>
        <n v="6"/>
        <n v="7"/>
        <n v="5"/>
        <n v="4"/>
        <n v="3"/>
        <n v="1"/>
        <n v="2"/>
        <n v="0"/>
        <m/>
      </sharedItems>
    </cacheField>
    <cacheField name="SB" numFmtId="0">
      <sharedItems containsString="0" containsBlank="1" containsNumber="1" containsInteger="1" minValue="0" maxValue="26"/>
    </cacheField>
    <cacheField name="CS" numFmtId="0">
      <sharedItems containsString="0" containsBlank="1" containsNumber="1" containsInteger="1" minValue="0" maxValue="3"/>
    </cacheField>
    <cacheField name="BB" numFmtId="0">
      <sharedItems containsString="0" containsBlank="1" containsNumber="1" containsInteger="1" minValue="0" maxValue="44"/>
    </cacheField>
    <cacheField name="SO" numFmtId="0">
      <sharedItems containsString="0" containsBlank="1" containsNumber="1" containsInteger="1" minValue="0" maxValue="71"/>
    </cacheField>
    <cacheField name="AVG" numFmtId="0">
      <sharedItems containsString="0" containsBlank="1" containsNumber="1" minValue="0" maxValue="0.999"/>
    </cacheField>
    <cacheField name="OBP" numFmtId="0">
      <sharedItems containsString="0" containsBlank="1" containsNumber="1" minValue="0" maxValue="0.999"/>
    </cacheField>
    <cacheField name="SLG" numFmtId="0">
      <sharedItems containsString="0" containsBlank="1" containsNumber="1" minValue="0" maxValue="0.999"/>
    </cacheField>
    <cacheField name="OPS" numFmtId="0">
      <sharedItems containsString="0" containsBlank="1" containsNumber="1" minValue="0" maxValue="4"/>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ter, Tion" refreshedDate="45071.654856712965" createdVersion="7" refreshedVersion="7" minRefreshableVersion="3" recordCount="83" xr:uid="{7810F1F2-822A-4345-B38F-2F5BCC53B89D}">
  <cacheSource type="worksheet">
    <worksheetSource ref="A1:E1048576" sheet="FIP"/>
  </cacheSource>
  <cacheFields count="5">
    <cacheField name="Rank" numFmtId="0">
      <sharedItems containsString="0" containsBlank="1" containsNumber="1" containsInteger="1" minValue="1" maxValue="72"/>
    </cacheField>
    <cacheField name="Player" numFmtId="0">
      <sharedItems containsBlank="1"/>
    </cacheField>
    <cacheField name="Team" numFmtId="0">
      <sharedItems containsBlank="1" count="31">
        <s v="Minnesota Twins"/>
        <s v="Arizona Diamondbacks"/>
        <s v="Atlanta Braves"/>
        <s v="Texas Rangers"/>
        <s v="Toronto Blue Jays"/>
        <s v="Pittsburgh Pirates"/>
        <s v="Seattle Mariners"/>
        <s v="Philadelphia Phillies"/>
        <s v="Houston Astros"/>
        <s v="Chicago Cubs"/>
        <s v="Detroit Tigers"/>
        <s v="Los Angeles Dodgers"/>
        <s v="Tampa Bay Rays"/>
        <s v="San Francisco Giants"/>
        <s v="New York Yankees"/>
        <s v="San Diego Padres"/>
        <s v="Miami Marlins"/>
        <s v="Chicago White Sox"/>
        <s v="Cleveland Guardians"/>
        <s v="Cincinnati Reds"/>
        <s v="Los Angeles Angels"/>
        <s v="Boston Red Sox"/>
        <s v="St. Louis Cardinals"/>
        <s v="Milwaukee Brewers"/>
        <s v="Baltimore Orioles"/>
        <s v="Washington Nationals"/>
        <s v="Colorado Rockies"/>
        <s v="Kansas City Royals"/>
        <s v="New York Mets"/>
        <m/>
        <s v="Oakland Athletics" u="1"/>
      </sharedItems>
    </cacheField>
    <cacheField name="Pos" numFmtId="0">
      <sharedItems containsBlank="1"/>
    </cacheField>
    <cacheField name="Value" numFmtId="0">
      <sharedItems containsString="0" containsBlank="1" containsNumber="1" minValue="1.93" maxValue="6.18"/>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ter, Tion" refreshedDate="45071.654856944442" createdVersion="7" refreshedVersion="7" minRefreshableVersion="3" recordCount="592" xr:uid="{A1D2EB04-F20F-459A-88E4-6B2FF4C8EB06}">
  <cacheSource type="worksheet">
    <worksheetSource ref="B1:AA1048576" sheet="Pitchas"/>
  </cacheSource>
  <cacheFields count="26">
    <cacheField name="Name" numFmtId="0">
      <sharedItems containsBlank="1" count="591">
        <s v="Shane McClanahan"/>
        <s v="Joe Ryan"/>
        <s v="Nathan Eovaldi"/>
        <s v="Mitch Keller"/>
        <s v="Shohei Ohtani"/>
        <s v="Zac Gallen"/>
        <s v="Felix Bautista"/>
        <s v="Justin Steele"/>
        <s v="Spencer Strider"/>
        <s v="Clayton Kershaw"/>
        <s v="Framber Valdez"/>
        <s v="Eduardo Rodriguez"/>
        <s v="Cristian Javier"/>
        <s v="Gerrit Cole"/>
        <s v="Drew Smyly"/>
        <s v="Zach Eflin"/>
        <s v="Sonny Gray"/>
        <s v="George Kirby"/>
        <s v="Merrill Kelly"/>
        <s v="Chris Bassitt"/>
        <s v="Bryce Miller"/>
        <s v="Camilo Doval"/>
        <s v="Alex Lange"/>
        <s v="Luis Castillo"/>
        <s v="Tyler Wells"/>
        <s v="Yennier Cano"/>
        <s v="Carlos Estevez"/>
        <s v="Alexis Diaz"/>
        <s v="Marcus Stroman"/>
        <s v="Josh Hader"/>
        <s v="Drew Rasmussen"/>
        <s v="David Bednar"/>
        <s v="Kevin Gausman"/>
        <s v="Dane Dunning"/>
        <s v="Devin Williams"/>
        <s v="Dustin May"/>
        <s v="Logan Webb"/>
        <s v="Matt Strahm"/>
        <s v="David Robertson"/>
        <s v="Paul Sewald"/>
        <s v="Bryce Elder"/>
        <s v="Jordan Romano"/>
        <s v="Alex Cobb"/>
        <s v="Bryan Abreu"/>
        <s v="Michael Wacha"/>
        <s v="Jacob deGrom"/>
        <s v="Emmanuel Clase"/>
        <s v="Hunter Brown"/>
        <s v="Julio Urias"/>
        <s v="Jon Gray"/>
        <s v="Lucas Giolito"/>
        <s v="Logan Gilbert"/>
        <s v="Anthony DeSclafani"/>
        <s v="Pablo Lopez"/>
        <s v="Aaron Nola"/>
        <s v="Hector Neris"/>
        <s v="Domingo German"/>
        <s v="Yu Darvish"/>
        <s v="Jeffrey Springs"/>
        <s v="Bailey Ober"/>
        <s v="Vince Velasquez"/>
        <s v="Evan Phillips"/>
        <s v="Freddy Peralta"/>
        <s v="Josiah Gray"/>
        <s v="Matt Moore"/>
        <s v="Charlie Morton"/>
        <s v="Miguel Castro"/>
        <s v="Chris Sale"/>
        <s v="Andrew Chafin"/>
        <s v="Corbin Burnes"/>
        <s v="Shane Bieber"/>
        <s v="Jose Berrios"/>
        <s v="Tony Gonsolin"/>
        <s v="A.J. Puk"/>
        <s v="Zack Wheeler"/>
        <s v="Brent Suter"/>
        <s v="Ryan Helsley"/>
        <s v="Nick Martinez"/>
        <s v="Jaime Barria"/>
        <s v="Dylan Floro"/>
        <s v="Caleb Ferguson"/>
        <s v="Martin Perez"/>
        <s v="Michael Kopech"/>
        <s v="Andrew Heaney"/>
        <s v="Will Smith"/>
        <s v="Kyle Freeland"/>
        <s v="Jhoan Duran"/>
        <s v="Max Fried"/>
        <s v="Josh Winckowski"/>
        <s v="Jesus Luzardo"/>
        <s v="Yusei Kikuchi"/>
        <s v="Kodai Senga"/>
        <s v="Hunter Harvey"/>
        <s v="Michael King"/>
        <s v="Jose Alvarado"/>
        <s v="Mark Leiter Jr."/>
        <s v="Taj Bradley"/>
        <s v="Kyle Gibson"/>
        <s v="Rich Hill"/>
        <s v="Joel Payamps"/>
        <s v="Phil Maton"/>
        <s v="Patrick Sandoval"/>
        <s v="Kyle Nelson"/>
        <s v="Ben Lively"/>
        <s v="Mike Baumann"/>
        <s v="Max Scherzer"/>
        <s v="Wade Miley"/>
        <s v="Tanner Scott"/>
        <s v="Ian Gibaut"/>
        <s v="Craig Kimbrel"/>
        <s v="Wandy Peralta"/>
        <s v="Justin Verlander"/>
        <s v="Dauri Moreta"/>
        <s v="Ryan Pressly"/>
        <s v="Yonny Chirinos"/>
        <s v="Nestor Cortes"/>
        <s v="Tylor Megill"/>
        <s v="Giovanny Gallegos"/>
        <s v="Bryan Baker"/>
        <s v="Michael Tonkin"/>
        <s v="Trevor Stephan"/>
        <s v="MacKenzie Gore"/>
        <s v="Andrew Nardi"/>
        <s v="Drew Smith"/>
        <s v="Ian Hamilton"/>
        <s v="Derek Law"/>
        <s v="Clay Holmes"/>
        <s v="Kenley Jansen"/>
        <s v="Scott Alexander"/>
        <s v="Brusdar Graterol"/>
        <s v="Dean Kremer"/>
        <s v="Drew VerHagen"/>
        <s v="Tyler Mahle"/>
        <s v="Nick Anderson"/>
        <s v="Dylan Cease"/>
        <s v="Seth Lugo"/>
        <s v="Tanner Houck"/>
        <s v="Eli Morgan"/>
        <s v="Kutter Crawford"/>
        <s v="Jimmy Cordero"/>
        <s v="Brayan Bello"/>
        <s v="Scott Barlow"/>
        <s v="Brandon Woodruff"/>
        <s v="Jason Adam"/>
        <s v="Kendall Graveman"/>
        <s v="Louie Varland"/>
        <s v="Ron Marinaccio"/>
        <s v="Luis Garcia"/>
        <s v="Jorge Lopez"/>
        <s v="Michael Lorenzen"/>
        <s v="Adbert Alzolay"/>
        <s v="Erik Swanson"/>
        <s v="Jake Bird"/>
        <s v="Joe Kelly"/>
        <s v="Chris Devenski"/>
        <s v="Nick Sandlin"/>
        <s v="Bryse Wilson"/>
        <s v="Sandy Alcantara"/>
        <s v="Edward Cabrera"/>
        <s v="Kyle Finnegan"/>
        <s v="Tanner Bibee"/>
        <s v="Colin Poche"/>
        <s v="Enyel De Los Santos"/>
        <s v="Justin Lawrence"/>
        <s v="Trevor Williams"/>
        <s v="Andrew Vasquez"/>
        <s v="Jason Foley"/>
        <s v="John Brebbia"/>
        <s v="Griffin Canning"/>
        <s v="Matt Brash"/>
        <s v="Shelby Miller"/>
        <s v="Aroldis Chapman"/>
        <s v="Steven Okert"/>
        <s v="German Marquez"/>
        <s v="Carlos Hernandez"/>
        <s v="Brad Hand"/>
        <s v="Adrian Houser"/>
        <s v="Will Vest"/>
        <s v="Connor Brogdon"/>
        <s v="Danny Coulombe"/>
        <s v="Mason Miller"/>
        <s v="A.J. Minter"/>
        <s v="J.P. France"/>
        <s v="Tim Mayza"/>
        <s v="Mike Clevinger"/>
        <s v="Aaron Civale"/>
        <s v="Eric Lauer"/>
        <s v="Jose Cuas"/>
        <s v="Chase Anderson"/>
        <s v="Zack Greinke"/>
        <s v="Logan Allen"/>
        <s v="Trevor Rogers"/>
        <s v="Roansy Contreras"/>
        <s v="Kyle Bradish"/>
        <s v="Eury Perez"/>
        <s v="Pierce Johnson"/>
        <s v="Jordan Montgomery"/>
        <s v="Easton McGee"/>
        <s v="Tyler Rogers"/>
        <s v="Bobby Miller"/>
        <s v="Zach Jackson"/>
        <s v="Kevin Herget"/>
        <s v="Patrick Corbin"/>
        <s v="Peter Strzelecki"/>
        <s v="Matt Barnes"/>
        <s v="Brent Honeywell"/>
        <s v="JP Sears"/>
        <s v="Tom Cosgrove"/>
        <s v="Kevin Kelly"/>
        <s v="Jose Cisnero"/>
        <s v="Johan Oviedo"/>
        <s v="Ryan Weathers"/>
        <s v="Tyler Holton"/>
        <s v="Matthew Liberatore"/>
        <s v="Victor Gonzalez"/>
        <s v="Braxton Garrett"/>
        <s v="Chris Stratton"/>
        <s v="Tayler Saucedo"/>
        <s v="Mason Thompson"/>
        <s v="Andrew Wantz"/>
        <s v="Steven Wilson"/>
        <s v="Matthew Boyd"/>
        <s v="Jesse Chavez"/>
        <s v="Brooks Raley"/>
        <s v="Pete Fairbanks"/>
        <s v="Hayden Wesneski"/>
        <s v="James Paxton"/>
        <s v="Chase Silseth"/>
        <s v="Penn Murfee"/>
        <s v="Brock Burke"/>
        <s v="Alex Faedo"/>
        <s v="Alex Young"/>
        <s v="Brock Stewart"/>
        <s v="Josh Fleming"/>
        <s v="Colin Rea"/>
        <s v="Buck Farmer"/>
        <s v="Emilio Pagan"/>
        <s v="Gabe Speier"/>
        <s v="Taijuan Walker"/>
        <s v="Nick Pivetta"/>
        <s v="John Schreiber"/>
        <s v="Carl Edwards Jr."/>
        <s v="Jeff Brigham"/>
        <s v="Jack Flaherty"/>
        <s v="Scott McGough"/>
        <s v="Gregory Soto"/>
        <s v="Lance Lynn"/>
        <s v="Marco Gonzales"/>
        <s v="Brandon Bielak"/>
        <s v="Joey Lucchesi"/>
        <s v="Matt Manning"/>
        <s v="Tyson Miller"/>
        <s v="Collin McHugh"/>
        <s v="Dylan Lee"/>
        <s v="Joe Mantiply"/>
        <s v="Luis Severino"/>
        <s v="Taylor Clarke"/>
        <s v="Tommy Henry"/>
        <s v="Hunter Greene"/>
        <s v="Adam Ottavino"/>
        <s v="James Karinchak"/>
        <s v="Hunter Gaddis"/>
        <s v="Raisel Iglesias"/>
        <s v="Austin Cox"/>
        <s v="Garrett Cleavinger"/>
        <s v="Jhony Brito"/>
        <s v="Jose Hernandez"/>
        <s v="Brandon Williamson"/>
        <s v="Drey Jameson"/>
        <s v="Lucas Sims"/>
        <s v="Cal Quantrill"/>
        <s v="Kris Bubic"/>
        <s v="Nate Pearson"/>
        <s v="Jose De Leon"/>
        <s v="Konnor Pilkington"/>
        <s v="Reid Detmers"/>
        <s v="Albert Abreu"/>
        <s v="Jose Urquidy"/>
        <s v="Gregory Santos"/>
        <s v="Miles Mikolas"/>
        <s v="Keynan Middleton"/>
        <s v="Kevin Ginkel"/>
        <s v="JT Chargois"/>
        <s v="Mike Mayers"/>
        <s v="Trevor Gott"/>
        <s v="Keegan Thompson"/>
        <s v="Alex Wood"/>
        <s v="Andre Pallante"/>
        <s v="Peter Lambert"/>
        <s v="Josh Walker"/>
        <s v="Antonio Senzatela"/>
        <s v="Ryne Stanek"/>
        <s v="Jared Shuster"/>
        <s v="Daniel Bard"/>
        <s v="Bryan Hoeing"/>
        <s v="Xzavion Curry"/>
        <s v="Luis L. Ortiz"/>
        <s v="Justin Topa"/>
        <s v="Garrett Whitlock"/>
        <s v="Justin Bruihl"/>
        <s v="Tim Hill"/>
        <s v="Colin Holderman"/>
        <s v="Richard Lovelady"/>
        <s v="Jeremiah Estrada"/>
        <s v="Yohan Ramirez"/>
        <s v="Jonathan Heasley"/>
        <s v="Austin Voth"/>
        <s v="Kirby Yates"/>
        <s v="Austin Gomber"/>
        <s v="Eduardo Salazar"/>
        <s v="Jake Irvin"/>
        <s v="Josh Staumont"/>
        <s v="Chris Martin"/>
        <s v="Ryne Nelson"/>
        <s v="Ryan Walker"/>
        <s v="Griffin Jax"/>
        <s v="Trevor Kelley"/>
        <s v="Clarke Schmidt"/>
        <s v="Caleb Thielbar"/>
        <s v="Jalen Beeks"/>
        <s v="Brent Headrick"/>
        <s v="Michael Rucker"/>
        <s v="Cole Ragans"/>
        <s v="Nick Lodolo"/>
        <s v="Justin Garza"/>
        <s v="Dylan Dodd"/>
        <s v="Adam Wainwright"/>
        <s v="Josh Sborz"/>
        <s v="Ryan Yarbrough"/>
        <s v="Jose Butto"/>
        <s v="Jakob Junis"/>
        <s v="Jose Quijada"/>
        <s v="Danny Young"/>
        <s v="Jeff Lindgren"/>
        <s v="Peyton Battenfield"/>
        <s v="Blake Snell"/>
        <s v="Sean Manaea"/>
        <s v="Braden Bristo"/>
        <s v="Grayson Rodriguez"/>
        <s v="Brad Keller"/>
        <s v="Noah Syndergaard"/>
        <s v="Tyler Anderson"/>
        <s v="Zach Davies"/>
        <s v="Jeff Hoffman"/>
        <s v="Seth Martinez"/>
        <s v="Graham Ashcraft"/>
        <s v="Josh Winder"/>
        <s v="Luis Medina"/>
        <s v="Packy Naughton"/>
        <s v="Brennan Bernardino"/>
        <s v="Max Castillo"/>
        <s v="Robbie Ray"/>
        <s v="Joe Musgrove"/>
        <s v="Austin Warren"/>
        <s v="Ryan Weber"/>
        <s v="Taylor Rogers"/>
        <s v="Jimmy Lambert"/>
        <s v="Simeon Woods Richardson"/>
        <s v="Noah Davis"/>
        <s v="Corey Kluber"/>
        <s v="Huascar Brazoban"/>
        <s v="Luke Weaver"/>
        <s v="Cody Bradford"/>
        <s v="Johnny Cueto"/>
        <s v="Domingo Tapia"/>
        <s v="Austin Pruitt"/>
        <s v="Mason Englert"/>
        <s v="Erasmo Ramirez"/>
        <s v="Joe Jimenez"/>
        <s v="Reynaldo Lopez"/>
        <s v="Genesis Cabrera"/>
        <s v="Ryan Feltner"/>
        <s v="Chasen Shreve"/>
        <s v="Cole Sands"/>
        <s v="Zack Thompson"/>
        <s v="Zack Weiss"/>
        <s v="Drew Carlton"/>
        <s v="Andres Munoz"/>
        <s v="Edwin Uceta"/>
        <s v="Jovani Moran"/>
        <s v="Dennis Santana"/>
        <s v="Zach Pop"/>
        <s v="Luis F. Ortiz"/>
        <s v="Garrett Acton"/>
        <s v="Kyle Wright"/>
        <s v="Deivi Garcia"/>
        <s v="Sam Long"/>
        <s v="Seranthony Dominguez"/>
        <s v="Tim Herrin"/>
        <s v="Bailey Falter"/>
        <s v="Trevor Richards"/>
        <s v="Ryan Tepera"/>
        <s v="Casey Legumina"/>
        <s v="Tanner Banks"/>
        <s v="Jackson Kowar"/>
        <s v="Elvis Peguero"/>
        <s v="Lucas Luetge"/>
        <s v="Dylan Covey"/>
        <s v="Nick Ramirez"/>
        <s v="Nick Mears"/>
        <s v="Tommy Milone"/>
        <s v="Trey Wingenter"/>
        <s v="Tyler Cyr"/>
        <s v="Jesse Scholtens"/>
        <s v="Tyler Alexander"/>
        <s v="Jacob Webb"/>
        <s v="Connor Seabold"/>
        <s v="Guillermo Zuniga"/>
        <s v="Jonathan Loaisiga"/>
        <s v="Devin Smeltzer"/>
        <s v="Jordan Weems"/>
        <s v="Adam Cimber"/>
        <s v="JoJo Romero"/>
        <s v="Brandon Hughes"/>
        <s v="Heath Hembree"/>
        <s v="Phil Bickford"/>
        <s v="Ray Kerr"/>
        <s v="Jose Leclerc"/>
        <s v="Jimmy Yacabonis"/>
        <s v="Trevor Megill"/>
        <s v="Jake Woodford"/>
        <s v="Hoby Milner"/>
        <s v="Ryan Sherriff"/>
        <s v="Levi Stoudt"/>
        <s v="Andrew Bellatti"/>
        <s v="Matt Carasiti"/>
        <s v="Thomas Hatch"/>
        <s v="Duane Underwood Jr."/>
        <s v="Sam Moll"/>
        <s v="Jay Jackson"/>
        <s v="Fernando Cruz"/>
        <s v="George Soriano"/>
        <s v="Parker Mushinski"/>
        <s v="Anthony Misiewicz"/>
        <s v="Cory Abbott"/>
        <s v="Josh Taylor"/>
        <s v="Jordan Hicks"/>
        <s v="Colten Brewer"/>
        <s v="Julian Merryweather"/>
        <s v="Cionel Perez"/>
        <s v="Juan Then"/>
        <s v="Brad Boxberger"/>
        <s v="Robert Stephenson"/>
        <s v="Austin Adams"/>
        <s v="Ryan Thompson"/>
        <s v="Karl Kauffmann"/>
        <s v="Andres Machado"/>
        <s v="Rob Zastryzny"/>
        <s v="Tucker Davidson"/>
        <s v="Darren McCaughan"/>
        <s v="John Curtiss"/>
        <s v="Zach Muckenhirn"/>
        <s v="Keegan Akin"/>
        <s v="Richard Bleier"/>
        <s v="Chad Smith"/>
        <s v="Thaddeus Ward"/>
        <s v="Dany Jimenez"/>
        <s v="DL Hall"/>
        <s v="Yimi Garcia"/>
        <s v="Silvino Bracho"/>
        <s v="Ranger Suarez"/>
        <s v="Jonathan Hernandez"/>
        <s v="Sam Hentges"/>
        <s v="Matt Gage"/>
        <s v="Chi Chi Gonzalez"/>
        <s v="Garrett Crochet"/>
        <s v="Brandon Pfaadt"/>
        <s v="Javier Assad"/>
        <s v="Stephen Nogosek"/>
        <s v="Zack Kelly"/>
        <s v="Alex Claudio"/>
        <s v="Cole Sulser"/>
        <s v="Zach Neal"/>
        <s v="Kenta Maeda"/>
        <s v="Joe Barlow"/>
        <s v="Amir Garrett"/>
        <s v="Jimmy Herget"/>
        <s v="Yerry Rodriguez"/>
        <s v="Cristopher Sanchez"/>
        <s v="Michael Grove"/>
        <s v="Cody Bolton"/>
        <s v="Alex Colome"/>
        <s v="Jake Cousins"/>
        <s v="Wil Crowe"/>
        <s v="Bennett Sousa"/>
        <s v="Denyi Reyes"/>
        <s v="Carlos Vargas"/>
        <s v="Wander Suero"/>
        <s v="Dereck Rodriguez"/>
        <s v="Brady Singer"/>
        <s v="John King"/>
        <s v="Spencer Patton"/>
        <s v="Anthony Bass"/>
        <s v="Ian Kennedy"/>
        <s v="Nicholas Padilla"/>
        <s v="Alek Manoah"/>
        <s v="Mychal Givens"/>
        <s v="Yency Almonte"/>
        <s v="Jose Rodriguez"/>
        <s v="Matt Bush"/>
        <s v="Javy Guerra"/>
        <s v="J.B. Bukauskas"/>
        <s v="Erich Uelmen"/>
        <s v="Tristan Beck"/>
        <s v="Nick Burdi"/>
        <s v="Spencer Turnbull"/>
        <s v="Gavin Stone"/>
        <s v="Trevor May"/>
        <s v="Carlos Carrasco"/>
        <s v="Ronel Blanco"/>
        <s v="Alan Busenitz"/>
        <s v="Kaleb Ort"/>
        <s v="Zach Plesac"/>
        <s v="Chris Flexen"/>
        <s v="Ryan Brasier"/>
        <s v="Cole Irvin"/>
        <s v="Daniel Castano"/>
        <s v="Diego Castillo"/>
        <s v="Riley Pint"/>
        <s v="Sammy Peralta"/>
        <s v="Greg Weissert"/>
        <s v="Reyes Moronta"/>
        <s v="Nick Wittgren"/>
        <s v="Jorge Alcala"/>
        <s v="Joely Rodriguez"/>
        <s v="James Naile"/>
        <s v="Janson Junk"/>
        <s v="Ross Stripling"/>
        <s v="Dominic Leone"/>
        <s v="Zack Burdi"/>
        <s v="Garrett Hill"/>
        <s v="Michael Fulmer"/>
        <s v="Anthony Banda"/>
        <s v="Reiss Knehr"/>
        <s v="Rafael Montero"/>
        <s v="Reiver Sanmartin"/>
        <s v="Matt Festa"/>
        <s v="Jordan Lyles"/>
        <s v="Joey Wentz"/>
        <s v="Joel Kuhnel"/>
        <s v="Tommy Hunter"/>
        <s v="Jameson Taillon"/>
        <s v="Cooper Criswell"/>
        <s v="Andre Jackson"/>
        <s v="Aaron Bummer"/>
        <s v="Calvin Faucher"/>
        <s v="Fernando Abad"/>
        <s v="Connor Overton"/>
        <s v="David Peterson"/>
        <s v="Jeurys Familia"/>
        <s v="Zack Littell"/>
        <s v="Adrian Martinez"/>
        <s v="Logan Gillaspie"/>
        <s v="Cole Waites"/>
        <s v="Johan Quezada"/>
        <s v="Steven Matz"/>
        <s v="Taylor Hearn"/>
        <s v="Rico Garcia"/>
        <s v="Jose Ruiz"/>
        <s v="Chad Kuhl"/>
        <s v="Sean Nolin"/>
        <s v="Yunior Marte"/>
        <s v="Jake Diekman"/>
        <s v="James Kaprielian"/>
        <s v="Jake Reed"/>
        <s v="Hobie Harris"/>
        <s v="Luis Frias"/>
        <s v="McKinley Moore"/>
        <s v="Hogan Harris"/>
        <s v="Aaron Loup"/>
        <s v="Caleb Kilian"/>
        <s v="Domingo Acevedo"/>
        <s v="Jose Suarez"/>
        <s v="Chase De Jong"/>
        <s v="Drew Rucinski"/>
        <s v="Sean Hjelle"/>
        <s v="Madison Bumgarner"/>
        <s v="Jose Urena"/>
        <s v="Alex Vesia"/>
        <s v="Ty Blach"/>
        <s v="Dylan Coleman"/>
        <s v="Dinelson Lamet"/>
        <s v="Nabil Crismatt"/>
        <s v="Gus Varland"/>
        <s v="Luis Cessa"/>
        <s v="Ken Waldichuk"/>
        <s v="Adam Oller"/>
        <s v="Shintaro Fujinami"/>
        <s v="Kyle Muller"/>
        <s v="Peter Solomon"/>
        <m/>
      </sharedItems>
    </cacheField>
    <cacheField name="Team" numFmtId="0">
      <sharedItems containsBlank="1" count="32">
        <s v="TB"/>
        <s v="MIN"/>
        <s v="TEX"/>
        <s v="PIT"/>
        <s v="LAA"/>
        <s v="ARI"/>
        <s v="BAL"/>
        <s v="CHC"/>
        <s v="ATL"/>
        <s v="LAD"/>
        <s v="HOU"/>
        <s v="DET"/>
        <s v="NYY"/>
        <s v="SEA"/>
        <s v="TOR"/>
        <s v="SF"/>
        <s v="CIN"/>
        <s v="SD"/>
        <s v="MIL"/>
        <s v="PHI"/>
        <s v="NYM"/>
        <s v="CLE"/>
        <s v="CHW"/>
        <s v="WSH"/>
        <s v="BOS"/>
        <s v="MIA"/>
        <s v="COL"/>
        <s v="STL"/>
        <s v="KC"/>
        <s v="OAK"/>
        <s v="FA"/>
        <m/>
      </sharedItems>
    </cacheField>
    <cacheField name="ESPN" numFmtId="0">
      <sharedItems containsBlank="1"/>
    </cacheField>
    <cacheField name="Y!" numFmtId="0">
      <sharedItems containsBlank="1"/>
    </cacheField>
    <cacheField name="$" numFmtId="0">
      <sharedItems containsString="0" containsBlank="1" containsNumber="1" minValue="-36.200000000000003" maxValue="34.1"/>
    </cacheField>
    <cacheField name="G" numFmtId="0">
      <sharedItems containsString="0" containsBlank="1" containsNumber="1" containsInteger="1" minValue="1" maxValue="25"/>
    </cacheField>
    <cacheField name="GS" numFmtId="0">
      <sharedItems containsString="0" containsBlank="1" containsNumber="1" containsInteger="1" minValue="0" maxValue="11"/>
    </cacheField>
    <cacheField name="QS" numFmtId="0">
      <sharedItems containsString="0" containsBlank="1" containsNumber="1" containsInteger="1" minValue="0" maxValue="9"/>
    </cacheField>
    <cacheField name="W" numFmtId="0">
      <sharedItems containsString="0" containsBlank="1" containsNumber="1" containsInteger="1" minValue="0" maxValue="8"/>
    </cacheField>
    <cacheField name="L" numFmtId="0">
      <sharedItems containsString="0" containsBlank="1" containsNumber="1" containsInteger="1" minValue="0" maxValue="8"/>
    </cacheField>
    <cacheField name="SV" numFmtId="0">
      <sharedItems containsString="0" containsBlank="1" containsNumber="1" containsInteger="1" minValue="0" maxValue="16"/>
    </cacheField>
    <cacheField name="HLD" numFmtId="0">
      <sharedItems containsString="0" containsBlank="1" containsNumber="1" containsInteger="1" minValue="0" maxValue="12"/>
    </cacheField>
    <cacheField name="IP" numFmtId="0">
      <sharedItems containsString="0" containsBlank="1" containsNumber="1" minValue="0.3" maxValue="69.3"/>
    </cacheField>
    <cacheField name="H" numFmtId="0">
      <sharedItems containsString="0" containsBlank="1" containsNumber="1" containsInteger="1" minValue="0" maxValue="69"/>
    </cacheField>
    <cacheField name="ER" numFmtId="0">
      <sharedItems containsString="0" containsBlank="1" containsNumber="1" containsInteger="1" minValue="0" maxValue="45"/>
    </cacheField>
    <cacheField name="HR" numFmtId="0">
      <sharedItems containsString="0" containsBlank="1" containsNumber="1" containsInteger="1" minValue="0" maxValue="14"/>
    </cacheField>
    <cacheField name="K" numFmtId="0">
      <sharedItems containsString="0" containsBlank="1" containsNumber="1" containsInteger="1" minValue="0" maxValue="97"/>
    </cacheField>
    <cacheField name="BB" numFmtId="0">
      <sharedItems containsString="0" containsBlank="1" containsNumber="1" containsInteger="1" minValue="0" maxValue="40"/>
    </cacheField>
    <cacheField name="ERA" numFmtId="0">
      <sharedItems containsString="0" containsBlank="1" containsNumber="1" minValue="0" maxValue="162"/>
    </cacheField>
    <cacheField name="FIP" numFmtId="0">
      <sharedItems containsString="0" containsBlank="1" containsNumber="1" minValue="-0.72" maxValue="32.28"/>
    </cacheField>
    <cacheField name="WHIP" numFmtId="0">
      <sharedItems containsString="0" containsBlank="1" containsNumber="1" minValue="0" maxValue="18.02"/>
    </cacheField>
    <cacheField name="BABIP" numFmtId="0">
      <sharedItems containsString="0" containsBlank="1" containsNumber="1" minValue="0" maxValue="0.999"/>
    </cacheField>
    <cacheField name="Own%" numFmtId="0">
      <sharedItems containsString="0" containsBlank="1" containsNumber="1" containsInteger="1" minValue="0" maxValue="100"/>
    </cacheField>
    <cacheField name="K/BB" numFmtId="0">
      <sharedItems containsBlank="1" containsMixedTypes="1" containsNumber="1" minValue="0" maxValue="24"/>
    </cacheField>
    <cacheField name="K/GP" numFmtId="0">
      <sharedItems containsBlank="1" containsMixedTypes="1" containsNumber="1" minValue="0" maxValue="29"/>
    </cacheField>
    <cacheField name="sWin %" numFmtId="0">
      <sharedItems containsBlank="1" containsMixedTypes="1" containsNumber="1" minValue="0" maxValue="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n v="2023"/>
    <n v="26"/>
    <s v="17-9"/>
    <n v="0.65400000000000003"/>
    <n v="17"/>
    <n v="9"/>
    <n v="922"/>
    <n v="154"/>
    <n v="233"/>
    <n v="50"/>
    <n v="4"/>
    <n v="36"/>
    <n v="149"/>
    <n v="4"/>
    <n v="5"/>
    <n v="30"/>
    <n v="7"/>
    <n v="118"/>
    <n v="2"/>
    <n v="8"/>
    <n v="231"/>
    <n v="24"/>
    <n v="1057"/>
    <n v="399"/>
    <n v="90"/>
    <n v="0.253"/>
    <n v="0.34100000000000003"/>
    <n v="0.433"/>
    <n v="0.77400000000000002"/>
  </r>
  <r>
    <x v="1"/>
    <n v="2023"/>
    <n v="24"/>
    <s v="11-13"/>
    <n v="0.45800000000000002"/>
    <n v="11"/>
    <n v="13"/>
    <n v="792"/>
    <n v="106"/>
    <n v="177"/>
    <n v="41"/>
    <n v="0"/>
    <n v="26"/>
    <n v="105"/>
    <n v="2"/>
    <n v="6"/>
    <n v="13"/>
    <n v="4"/>
    <n v="79"/>
    <n v="2"/>
    <n v="10"/>
    <n v="201"/>
    <n v="19"/>
    <n v="889"/>
    <n v="296"/>
    <n v="67"/>
    <n v="0.223"/>
    <n v="0.3"/>
    <n v="0.374"/>
    <n v="0.67400000000000004"/>
  </r>
  <r>
    <x v="2"/>
    <n v="2023"/>
    <n v="26"/>
    <s v="9-17"/>
    <n v="0.34599999999999997"/>
    <n v="9"/>
    <n v="17"/>
    <n v="890"/>
    <n v="105"/>
    <n v="199"/>
    <n v="49"/>
    <n v="1"/>
    <n v="26"/>
    <n v="102"/>
    <n v="1"/>
    <n v="5"/>
    <n v="15"/>
    <n v="1"/>
    <n v="64"/>
    <n v="1"/>
    <n v="14"/>
    <n v="228"/>
    <n v="12"/>
    <n v="974"/>
    <n v="328"/>
    <n v="76"/>
    <n v="0.224"/>
    <n v="0.28499999999999998"/>
    <n v="0.36899999999999999"/>
    <n v="0.65300000000000002"/>
  </r>
  <r>
    <x v="3"/>
    <n v="2023"/>
    <n v="25"/>
    <s v="11-14"/>
    <n v="0.44"/>
    <n v="11"/>
    <n v="14"/>
    <n v="859"/>
    <n v="103"/>
    <n v="198"/>
    <n v="36"/>
    <n v="4"/>
    <n v="18"/>
    <n v="95"/>
    <n v="3"/>
    <n v="6"/>
    <n v="26"/>
    <n v="6"/>
    <n v="80"/>
    <n v="4"/>
    <n v="10"/>
    <n v="182"/>
    <n v="18"/>
    <n v="958"/>
    <n v="296"/>
    <n v="58"/>
    <n v="0.23100000000000001"/>
    <n v="0.30199999999999999"/>
    <n v="0.34499999999999997"/>
    <n v="0.64600000000000002"/>
  </r>
  <r>
    <x v="4"/>
    <n v="2023"/>
    <n v="27"/>
    <s v="12-15"/>
    <n v="0.44400000000000001"/>
    <n v="12"/>
    <n v="15"/>
    <n v="936"/>
    <n v="97"/>
    <n v="211"/>
    <n v="42"/>
    <n v="1"/>
    <n v="23"/>
    <n v="96"/>
    <n v="1"/>
    <n v="3"/>
    <n v="17"/>
    <n v="6"/>
    <n v="93"/>
    <n v="4"/>
    <n v="7"/>
    <n v="253"/>
    <n v="15"/>
    <n v="1040"/>
    <n v="324"/>
    <n v="66"/>
    <n v="0.22500000000000001"/>
    <n v="0.29899999999999999"/>
    <n v="0.34599999999999997"/>
    <n v="0.64500000000000002"/>
  </r>
  <r>
    <x v="5"/>
    <n v="2023"/>
    <n v="24"/>
    <s v="14-10"/>
    <n v="0.58299999999999996"/>
    <n v="14"/>
    <n v="10"/>
    <n v="825"/>
    <n v="104"/>
    <n v="203"/>
    <n v="42"/>
    <n v="3"/>
    <n v="24"/>
    <n v="102"/>
    <n v="3"/>
    <n v="7"/>
    <n v="13"/>
    <n v="7"/>
    <n v="70"/>
    <n v="2"/>
    <n v="9"/>
    <n v="200"/>
    <n v="19"/>
    <n v="914"/>
    <n v="323"/>
    <n v="69"/>
    <n v="0.246"/>
    <n v="0.31"/>
    <n v="0.39200000000000002"/>
    <n v="0.70099999999999996"/>
  </r>
  <r>
    <x v="6"/>
    <n v="2023"/>
    <n v="25"/>
    <s v="8-17"/>
    <n v="0.32"/>
    <n v="8"/>
    <n v="17"/>
    <n v="837"/>
    <n v="86"/>
    <n v="185"/>
    <n v="41"/>
    <n v="4"/>
    <n v="21"/>
    <n v="80"/>
    <n v="2"/>
    <n v="5"/>
    <n v="17"/>
    <n v="5"/>
    <n v="56"/>
    <n v="3"/>
    <n v="10"/>
    <n v="242"/>
    <n v="13"/>
    <n v="910"/>
    <n v="297"/>
    <n v="66"/>
    <n v="0.221"/>
    <n v="0.27600000000000002"/>
    <n v="0.35499999999999998"/>
    <n v="0.63100000000000001"/>
  </r>
  <r>
    <x v="7"/>
    <n v="2023"/>
    <n v="26"/>
    <s v="13-13"/>
    <n v="0.5"/>
    <n v="13"/>
    <n v="13"/>
    <n v="905"/>
    <n v="123"/>
    <n v="236"/>
    <n v="35"/>
    <n v="1"/>
    <n v="27"/>
    <n v="123"/>
    <n v="0"/>
    <n v="12"/>
    <n v="11"/>
    <n v="5"/>
    <n v="79"/>
    <n v="1"/>
    <n v="16"/>
    <n v="223"/>
    <n v="21"/>
    <n v="1012"/>
    <n v="354"/>
    <n v="63"/>
    <n v="0.26100000000000001"/>
    <n v="0.32700000000000001"/>
    <n v="0.39100000000000001"/>
    <n v="0.71799999999999997"/>
  </r>
  <r>
    <x v="8"/>
    <n v="2023"/>
    <n v="25"/>
    <s v="11-14"/>
    <n v="0.44"/>
    <n v="11"/>
    <n v="14"/>
    <n v="857"/>
    <n v="105"/>
    <n v="183"/>
    <n v="33"/>
    <n v="3"/>
    <n v="32"/>
    <n v="100"/>
    <n v="3"/>
    <n v="5"/>
    <n v="12"/>
    <n v="3"/>
    <n v="87"/>
    <n v="2"/>
    <n v="13"/>
    <n v="254"/>
    <n v="17"/>
    <n v="965"/>
    <n v="318"/>
    <n v="68"/>
    <n v="0.214"/>
    <n v="0.29399999999999998"/>
    <n v="0.371"/>
    <n v="0.66500000000000004"/>
  </r>
  <r>
    <x v="9"/>
    <n v="2023"/>
    <n v="23"/>
    <s v="13-10"/>
    <n v="0.56499999999999995"/>
    <n v="13"/>
    <n v="10"/>
    <n v="782"/>
    <n v="103"/>
    <n v="185"/>
    <n v="37"/>
    <n v="4"/>
    <n v="27"/>
    <n v="98"/>
    <n v="1"/>
    <n v="6"/>
    <n v="10"/>
    <n v="6"/>
    <n v="74"/>
    <n v="2"/>
    <n v="6"/>
    <n v="195"/>
    <n v="17"/>
    <n v="869"/>
    <n v="311"/>
    <n v="68"/>
    <n v="0.23699999999999999"/>
    <n v="0.30499999999999999"/>
    <n v="0.39800000000000002"/>
    <n v="0.70299999999999996"/>
  </r>
  <r>
    <x v="10"/>
    <n v="2023"/>
    <n v="26"/>
    <s v="5-21"/>
    <n v="0.192"/>
    <n v="5"/>
    <n v="21"/>
    <n v="875"/>
    <n v="99"/>
    <n v="207"/>
    <n v="36"/>
    <n v="3"/>
    <n v="29"/>
    <n v="95"/>
    <n v="3"/>
    <n v="5"/>
    <n v="25"/>
    <n v="5"/>
    <n v="78"/>
    <n v="3"/>
    <n v="16"/>
    <n v="241"/>
    <n v="19"/>
    <n v="977"/>
    <n v="336"/>
    <n v="68"/>
    <n v="0.23699999999999999"/>
    <n v="0.309"/>
    <n v="0.38400000000000001"/>
    <n v="0.69299999999999995"/>
  </r>
  <r>
    <x v="11"/>
    <n v="2023"/>
    <n v="24"/>
    <s v="12-12"/>
    <n v="0.5"/>
    <n v="12"/>
    <n v="12"/>
    <n v="836"/>
    <n v="111"/>
    <n v="191"/>
    <n v="38"/>
    <n v="2"/>
    <n v="30"/>
    <n v="107"/>
    <n v="1"/>
    <n v="7"/>
    <n v="17"/>
    <n v="8"/>
    <n v="89"/>
    <n v="1"/>
    <n v="8"/>
    <n v="246"/>
    <n v="13"/>
    <n v="941"/>
    <n v="323"/>
    <n v="70"/>
    <n v="0.22800000000000001"/>
    <n v="0.30599999999999999"/>
    <n v="0.38600000000000001"/>
    <n v="0.69299999999999995"/>
  </r>
  <r>
    <x v="12"/>
    <n v="2023"/>
    <n v="23"/>
    <s v="13-10"/>
    <n v="0.56499999999999995"/>
    <n v="13"/>
    <n v="10"/>
    <n v="831"/>
    <n v="145"/>
    <n v="235"/>
    <n v="38"/>
    <n v="3"/>
    <n v="48"/>
    <n v="140"/>
    <n v="0"/>
    <n v="9"/>
    <n v="29"/>
    <n v="6"/>
    <n v="77"/>
    <n v="0"/>
    <n v="12"/>
    <n v="199"/>
    <n v="18"/>
    <n v="929"/>
    <n v="423"/>
    <n v="89"/>
    <n v="0.28299999999999997"/>
    <n v="0.34899999999999998"/>
    <n v="0.50900000000000001"/>
    <n v="0.85799999999999998"/>
  </r>
  <r>
    <x v="13"/>
    <n v="2023"/>
    <n v="25"/>
    <s v="15-10"/>
    <n v="0.6"/>
    <n v="15"/>
    <n v="10"/>
    <n v="889"/>
    <n v="147"/>
    <n v="228"/>
    <n v="50"/>
    <n v="5"/>
    <n v="25"/>
    <n v="140"/>
    <n v="3"/>
    <n v="11"/>
    <n v="21"/>
    <n v="3"/>
    <n v="83"/>
    <n v="3"/>
    <n v="14"/>
    <n v="244"/>
    <n v="13"/>
    <n v="1000"/>
    <n v="363"/>
    <n v="80"/>
    <n v="0.25600000000000001"/>
    <n v="0.32600000000000001"/>
    <n v="0.40799999999999997"/>
    <n v="0.73399999999999999"/>
  </r>
  <r>
    <x v="14"/>
    <n v="2023"/>
    <n v="28"/>
    <s v="13-15"/>
    <n v="0.46400000000000002"/>
    <n v="13"/>
    <n v="15"/>
    <n v="1005"/>
    <n v="147"/>
    <n v="271"/>
    <n v="57"/>
    <n v="3"/>
    <n v="37"/>
    <n v="134"/>
    <n v="1"/>
    <n v="5"/>
    <n v="18"/>
    <n v="6"/>
    <n v="89"/>
    <n v="1"/>
    <n v="10"/>
    <n v="239"/>
    <n v="18"/>
    <n v="1110"/>
    <n v="445"/>
    <n v="97"/>
    <n v="0.27"/>
    <n v="0.33400000000000002"/>
    <n v="0.443"/>
    <n v="0.77600000000000002"/>
  </r>
  <r>
    <x v="15"/>
    <n v="2023"/>
    <n v="26"/>
    <s v="15-11"/>
    <n v="0.57699999999999996"/>
    <n v="15"/>
    <n v="11"/>
    <n v="901"/>
    <n v="134"/>
    <n v="222"/>
    <n v="54"/>
    <n v="2"/>
    <n v="34"/>
    <n v="129"/>
    <n v="5"/>
    <n v="11"/>
    <n v="21"/>
    <n v="4"/>
    <n v="79"/>
    <n v="2"/>
    <n v="9"/>
    <n v="214"/>
    <n v="21"/>
    <n v="1005"/>
    <n v="382"/>
    <n v="90"/>
    <n v="0.246"/>
    <n v="0.31"/>
    <n v="0.42399999999999999"/>
    <n v="0.73399999999999999"/>
  </r>
  <r>
    <x v="16"/>
    <n v="2023"/>
    <n v="24"/>
    <s v="17-7"/>
    <n v="0.70799999999999996"/>
    <n v="17"/>
    <n v="7"/>
    <n v="822"/>
    <n v="137"/>
    <n v="216"/>
    <n v="43"/>
    <n v="1"/>
    <n v="49"/>
    <n v="133"/>
    <n v="0"/>
    <n v="5"/>
    <n v="14"/>
    <n v="3"/>
    <n v="83"/>
    <n v="1"/>
    <n v="13"/>
    <n v="200"/>
    <n v="25"/>
    <n v="923"/>
    <n v="408"/>
    <n v="93"/>
    <n v="0.26300000000000001"/>
    <n v="0.33800000000000002"/>
    <n v="0.496"/>
    <n v="0.83399999999999996"/>
  </r>
  <r>
    <x v="17"/>
    <n v="2023"/>
    <n v="24"/>
    <s v="9-15"/>
    <n v="0.375"/>
    <n v="9"/>
    <n v="15"/>
    <n v="841"/>
    <n v="114"/>
    <n v="223"/>
    <n v="43"/>
    <n v="4"/>
    <n v="32"/>
    <n v="109"/>
    <n v="0"/>
    <n v="11"/>
    <n v="23"/>
    <n v="6"/>
    <n v="97"/>
    <n v="2"/>
    <n v="7"/>
    <n v="238"/>
    <n v="12"/>
    <n v="956"/>
    <n v="370"/>
    <n v="79"/>
    <n v="0.26500000000000001"/>
    <n v="0.34200000000000003"/>
    <n v="0.44"/>
    <n v="0.78200000000000003"/>
  </r>
  <r>
    <x v="18"/>
    <n v="2023"/>
    <n v="22"/>
    <s v="7-15"/>
    <n v="0.318"/>
    <n v="7"/>
    <n v="15"/>
    <n v="749"/>
    <n v="85"/>
    <n v="184"/>
    <n v="38"/>
    <n v="1"/>
    <n v="13"/>
    <n v="81"/>
    <n v="4"/>
    <n v="5"/>
    <n v="18"/>
    <n v="6"/>
    <n v="79"/>
    <n v="2"/>
    <n v="8"/>
    <n v="205"/>
    <n v="14"/>
    <n v="845"/>
    <n v="263"/>
    <n v="52"/>
    <n v="0.246"/>
    <n v="0.32200000000000001"/>
    <n v="0.35099999999999998"/>
    <n v="0.67300000000000004"/>
  </r>
  <r>
    <x v="19"/>
    <n v="2023"/>
    <n v="25"/>
    <s v="9-16"/>
    <n v="0.36"/>
    <n v="9"/>
    <n v="16"/>
    <n v="845"/>
    <n v="95"/>
    <n v="198"/>
    <n v="44"/>
    <n v="1"/>
    <n v="17"/>
    <n v="90"/>
    <n v="2"/>
    <n v="8"/>
    <n v="10"/>
    <n v="1"/>
    <n v="73"/>
    <n v="0"/>
    <n v="8"/>
    <n v="230"/>
    <n v="18"/>
    <n v="936"/>
    <n v="295"/>
    <n v="62"/>
    <n v="0.23400000000000001"/>
    <n v="0.29899999999999999"/>
    <n v="0.34899999999999998"/>
    <n v="0.64800000000000002"/>
  </r>
  <r>
    <x v="20"/>
    <n v="2023"/>
    <n v="27"/>
    <s v="14-13"/>
    <n v="0.51900000000000002"/>
    <n v="14"/>
    <n v="13"/>
    <n v="919"/>
    <n v="142"/>
    <n v="205"/>
    <n v="49"/>
    <n v="7"/>
    <n v="43"/>
    <n v="138"/>
    <n v="0"/>
    <n v="11"/>
    <n v="12"/>
    <n v="2"/>
    <n v="110"/>
    <n v="2"/>
    <n v="11"/>
    <n v="240"/>
    <n v="11"/>
    <n v="1051"/>
    <n v="397"/>
    <n v="99"/>
    <n v="0.223"/>
    <n v="0.31"/>
    <n v="0.432"/>
    <n v="0.74199999999999999"/>
  </r>
  <r>
    <x v="21"/>
    <n v="2023"/>
    <n v="25"/>
    <s v="11-14"/>
    <n v="0.44"/>
    <n v="11"/>
    <n v="14"/>
    <n v="868"/>
    <n v="99"/>
    <n v="215"/>
    <n v="40"/>
    <n v="4"/>
    <n v="28"/>
    <n v="95"/>
    <n v="8"/>
    <n v="6"/>
    <n v="21"/>
    <n v="4"/>
    <n v="68"/>
    <n v="2"/>
    <n v="4"/>
    <n v="207"/>
    <n v="24"/>
    <n v="954"/>
    <n v="347"/>
    <n v="72"/>
    <n v="0.248"/>
    <n v="0.30299999999999999"/>
    <n v="0.4"/>
    <n v="0.70299999999999996"/>
  </r>
  <r>
    <x v="22"/>
    <n v="2023"/>
    <n v="25"/>
    <s v="12-13"/>
    <n v="0.48"/>
    <n v="12"/>
    <n v="13"/>
    <n v="847"/>
    <n v="94"/>
    <n v="204"/>
    <n v="31"/>
    <n v="2"/>
    <n v="23"/>
    <n v="90"/>
    <n v="0"/>
    <n v="8"/>
    <n v="22"/>
    <n v="7"/>
    <n v="85"/>
    <n v="2"/>
    <n v="6"/>
    <n v="237"/>
    <n v="27"/>
    <n v="946"/>
    <n v="308"/>
    <n v="56"/>
    <n v="0.24099999999999999"/>
    <n v="0.312"/>
    <n v="0.36399999999999999"/>
    <n v="0.67500000000000004"/>
  </r>
  <r>
    <x v="23"/>
    <n v="2023"/>
    <n v="29"/>
    <s v="13-16"/>
    <n v="0.44800000000000001"/>
    <n v="13"/>
    <n v="16"/>
    <n v="979"/>
    <n v="118"/>
    <n v="235"/>
    <n v="43"/>
    <n v="0"/>
    <n v="29"/>
    <n v="111"/>
    <n v="1"/>
    <n v="9"/>
    <n v="16"/>
    <n v="6"/>
    <n v="98"/>
    <n v="1"/>
    <n v="17"/>
    <n v="191"/>
    <n v="20"/>
    <n v="1104"/>
    <n v="365"/>
    <n v="72"/>
    <n v="0.24"/>
    <n v="0.317"/>
    <n v="0.373"/>
    <n v="0.69"/>
  </r>
  <r>
    <x v="24"/>
    <n v="2023"/>
    <n v="25"/>
    <s v="9-16"/>
    <n v="0.36"/>
    <n v="9"/>
    <n v="16"/>
    <n v="874"/>
    <n v="100"/>
    <n v="225"/>
    <n v="54"/>
    <n v="6"/>
    <n v="24"/>
    <n v="94"/>
    <n v="1"/>
    <n v="6"/>
    <n v="15"/>
    <n v="3"/>
    <n v="74"/>
    <n v="1"/>
    <n v="8"/>
    <n v="234"/>
    <n v="17"/>
    <n v="963"/>
    <n v="363"/>
    <n v="84"/>
    <n v="0.25700000000000001"/>
    <n v="0.31900000000000001"/>
    <n v="0.41499999999999998"/>
    <n v="0.73399999999999999"/>
  </r>
  <r>
    <x v="25"/>
    <n v="2023"/>
    <n v="24"/>
    <s v="13-11"/>
    <n v="0.54200000000000004"/>
    <n v="13"/>
    <n v="11"/>
    <n v="828"/>
    <n v="114"/>
    <n v="205"/>
    <n v="48"/>
    <n v="6"/>
    <n v="25"/>
    <n v="108"/>
    <n v="5"/>
    <n v="11"/>
    <n v="23"/>
    <n v="8"/>
    <n v="91"/>
    <n v="1"/>
    <n v="9"/>
    <n v="213"/>
    <n v="16"/>
    <n v="944"/>
    <n v="340"/>
    <n v="79"/>
    <n v="0.248"/>
    <n v="0.32500000000000001"/>
    <n v="0.41099999999999998"/>
    <n v="0.73499999999999999"/>
  </r>
  <r>
    <x v="26"/>
    <n v="2023"/>
    <n v="22"/>
    <s v="10-12"/>
    <n v="0.45500000000000002"/>
    <n v="10"/>
    <n v="12"/>
    <n v="716"/>
    <n v="83"/>
    <n v="147"/>
    <n v="34"/>
    <n v="2"/>
    <n v="25"/>
    <n v="79"/>
    <n v="5"/>
    <n v="6"/>
    <n v="20"/>
    <n v="3"/>
    <n v="92"/>
    <n v="2"/>
    <n v="7"/>
    <n v="206"/>
    <n v="17"/>
    <n v="826"/>
    <n v="260"/>
    <n v="61"/>
    <n v="0.20499999999999999"/>
    <n v="0.3"/>
    <n v="0.36299999999999999"/>
    <n v="0.66300000000000003"/>
  </r>
  <r>
    <x v="27"/>
    <n v="2023"/>
    <n v="23"/>
    <s v="9-14"/>
    <n v="0.39100000000000001"/>
    <n v="9"/>
    <n v="14"/>
    <n v="813"/>
    <n v="106"/>
    <n v="193"/>
    <n v="43"/>
    <n v="0"/>
    <n v="39"/>
    <n v="106"/>
    <n v="3"/>
    <n v="2"/>
    <n v="8"/>
    <n v="6"/>
    <n v="88"/>
    <n v="0"/>
    <n v="15"/>
    <n v="245"/>
    <n v="12"/>
    <n v="921"/>
    <n v="353"/>
    <n v="82"/>
    <n v="0.23699999999999999"/>
    <n v="0.32200000000000001"/>
    <n v="0.434"/>
    <n v="0.75700000000000001"/>
  </r>
  <r>
    <x v="28"/>
    <n v="2023"/>
    <n v="26"/>
    <s v="12-14"/>
    <n v="0.46200000000000002"/>
    <n v="12"/>
    <n v="14"/>
    <n v="891"/>
    <n v="111"/>
    <n v="220"/>
    <n v="44"/>
    <n v="4"/>
    <n v="32"/>
    <n v="106"/>
    <n v="3"/>
    <n v="4"/>
    <n v="16"/>
    <n v="6"/>
    <n v="89"/>
    <n v="3"/>
    <n v="6"/>
    <n v="223"/>
    <n v="21"/>
    <n v="993"/>
    <n v="368"/>
    <n v="80"/>
    <n v="0.247"/>
    <n v="0.318"/>
    <n v="0.41299999999999998"/>
    <n v="0.73099999999999998"/>
  </r>
  <r>
    <x v="29"/>
    <n v="2023"/>
    <n v="22"/>
    <s v="10-12"/>
    <n v="0.45500000000000002"/>
    <n v="10"/>
    <n v="12"/>
    <n v="768"/>
    <n v="106"/>
    <n v="204"/>
    <n v="29"/>
    <n v="4"/>
    <n v="18"/>
    <n v="101"/>
    <n v="5"/>
    <n v="4"/>
    <n v="9"/>
    <n v="4"/>
    <n v="68"/>
    <n v="0"/>
    <n v="11"/>
    <n v="170"/>
    <n v="20"/>
    <n v="856"/>
    <n v="295"/>
    <n v="51"/>
    <n v="0.26600000000000001"/>
    <n v="0.33300000000000002"/>
    <n v="0.38400000000000001"/>
    <n v="0.7169999999999999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n v="2023"/>
    <n v="24"/>
    <s v="14-10"/>
    <n v="0.58299999999999996"/>
    <n v="14"/>
    <n v="10"/>
    <n v="806"/>
    <n v="123"/>
    <n v="229"/>
    <n v="50"/>
    <n v="9"/>
    <n v="22"/>
    <n v="114"/>
    <n v="6"/>
    <n v="5"/>
    <n v="20"/>
    <n v="4"/>
    <n v="79"/>
    <n v="2"/>
    <n v="7"/>
    <n v="175"/>
    <n v="16"/>
    <n v="903"/>
    <n v="363"/>
    <n v="81"/>
    <n v="0.28399999999999997"/>
    <n v="0.35099999999999998"/>
    <n v="0.45"/>
    <n v="0.80200000000000005"/>
  </r>
  <r>
    <x v="1"/>
    <n v="2023"/>
    <n v="25"/>
    <s v="13-12"/>
    <n v="0.52"/>
    <n v="13"/>
    <n v="12"/>
    <n v="834"/>
    <n v="114"/>
    <n v="205"/>
    <n v="45"/>
    <n v="2"/>
    <n v="31"/>
    <n v="109"/>
    <n v="0"/>
    <n v="3"/>
    <n v="18"/>
    <n v="2"/>
    <n v="89"/>
    <n v="5"/>
    <n v="8"/>
    <n v="232"/>
    <n v="20"/>
    <n v="934"/>
    <n v="347"/>
    <n v="78"/>
    <n v="0.246"/>
    <n v="0.32300000000000001"/>
    <n v="0.41599999999999998"/>
    <n v="0.73899999999999999"/>
  </r>
  <r>
    <x v="2"/>
    <n v="2023"/>
    <n v="24"/>
    <s v="13-11"/>
    <n v="0.54200000000000004"/>
    <n v="13"/>
    <n v="11"/>
    <n v="811"/>
    <n v="117"/>
    <n v="209"/>
    <n v="36"/>
    <n v="2"/>
    <n v="30"/>
    <n v="114"/>
    <n v="2"/>
    <n v="2"/>
    <n v="17"/>
    <n v="6"/>
    <n v="88"/>
    <n v="2"/>
    <n v="9"/>
    <n v="204"/>
    <n v="17"/>
    <n v="912"/>
    <n v="339"/>
    <n v="68"/>
    <n v="0.25800000000000001"/>
    <n v="0.33600000000000002"/>
    <n v="0.41799999999999998"/>
    <n v="0.754"/>
  </r>
  <r>
    <x v="3"/>
    <n v="2023"/>
    <n v="28"/>
    <s v="14-14"/>
    <n v="0.5"/>
    <n v="14"/>
    <n v="14"/>
    <n v="915"/>
    <n v="132"/>
    <n v="228"/>
    <n v="48"/>
    <n v="6"/>
    <n v="25"/>
    <n v="128"/>
    <n v="4"/>
    <n v="8"/>
    <n v="20"/>
    <n v="10"/>
    <n v="94"/>
    <n v="1"/>
    <n v="15"/>
    <n v="250"/>
    <n v="15"/>
    <n v="1036"/>
    <n v="363"/>
    <n v="79"/>
    <n v="0.249"/>
    <n v="0.32700000000000001"/>
    <n v="0.39700000000000002"/>
    <n v="0.72299999999999998"/>
  </r>
  <r>
    <x v="4"/>
    <n v="2023"/>
    <n v="25"/>
    <s v="12-13"/>
    <n v="0.48"/>
    <n v="12"/>
    <n v="13"/>
    <n v="836"/>
    <n v="125"/>
    <n v="229"/>
    <n v="64"/>
    <n v="4"/>
    <n v="22"/>
    <n v="120"/>
    <n v="1"/>
    <n v="11"/>
    <n v="6"/>
    <n v="4"/>
    <n v="68"/>
    <n v="2"/>
    <n v="6"/>
    <n v="197"/>
    <n v="23"/>
    <n v="922"/>
    <n v="367"/>
    <n v="90"/>
    <n v="0.27400000000000002"/>
    <n v="0.32900000000000001"/>
    <n v="0.439"/>
    <n v="0.76800000000000002"/>
  </r>
  <r>
    <x v="5"/>
    <n v="2023"/>
    <n v="24"/>
    <s v="17-7"/>
    <n v="0.70799999999999996"/>
    <n v="17"/>
    <n v="7"/>
    <n v="787"/>
    <n v="137"/>
    <n v="198"/>
    <n v="48"/>
    <n v="4"/>
    <n v="39"/>
    <n v="134"/>
    <n v="0"/>
    <n v="9"/>
    <n v="15"/>
    <n v="6"/>
    <n v="110"/>
    <n v="6"/>
    <n v="7"/>
    <n v="217"/>
    <n v="8"/>
    <n v="913"/>
    <n v="371"/>
    <n v="91"/>
    <n v="0.252"/>
    <n v="0.34499999999999997"/>
    <n v="0.47099999999999997"/>
    <n v="0.81599999999999995"/>
  </r>
  <r>
    <x v="6"/>
    <n v="2023"/>
    <n v="25"/>
    <s v="14-11"/>
    <n v="0.56000000000000005"/>
    <n v="14"/>
    <n v="11"/>
    <n v="814"/>
    <n v="82"/>
    <n v="213"/>
    <n v="38"/>
    <n v="3"/>
    <n v="19"/>
    <n v="76"/>
    <n v="1"/>
    <n v="3"/>
    <n v="21"/>
    <n v="6"/>
    <n v="56"/>
    <n v="6"/>
    <n v="10"/>
    <n v="211"/>
    <n v="25"/>
    <n v="884"/>
    <n v="314"/>
    <n v="60"/>
    <n v="0.26200000000000001"/>
    <n v="0.316"/>
    <n v="0.38600000000000001"/>
    <n v="0.70199999999999996"/>
  </r>
  <r>
    <x v="7"/>
    <n v="2023"/>
    <n v="24"/>
    <s v="15-9"/>
    <n v="0.625"/>
    <n v="15"/>
    <n v="9"/>
    <n v="757"/>
    <n v="111"/>
    <n v="177"/>
    <n v="30"/>
    <n v="0"/>
    <n v="39"/>
    <n v="106"/>
    <n v="2"/>
    <n v="3"/>
    <n v="16"/>
    <n v="2"/>
    <n v="78"/>
    <n v="1"/>
    <n v="7"/>
    <n v="212"/>
    <n v="17"/>
    <n v="847"/>
    <n v="324"/>
    <n v="69"/>
    <n v="0.23400000000000001"/>
    <n v="0.31"/>
    <n v="0.42799999999999999"/>
    <n v="0.73799999999999999"/>
  </r>
  <r>
    <x v="8"/>
    <n v="2023"/>
    <n v="21"/>
    <s v="12-9"/>
    <n v="0.57099999999999995"/>
    <n v="12"/>
    <n v="9"/>
    <n v="671"/>
    <n v="93"/>
    <n v="162"/>
    <n v="25"/>
    <n v="3"/>
    <n v="27"/>
    <n v="92"/>
    <n v="3"/>
    <n v="6"/>
    <n v="16"/>
    <n v="0"/>
    <n v="76"/>
    <n v="1"/>
    <n v="11"/>
    <n v="181"/>
    <n v="10"/>
    <n v="767"/>
    <n v="274"/>
    <n v="55"/>
    <n v="0.24099999999999999"/>
    <n v="0.32600000000000001"/>
    <n v="0.40799999999999997"/>
    <n v="0.73399999999999999"/>
  </r>
  <r>
    <x v="9"/>
    <n v="2023"/>
    <n v="24"/>
    <s v="14-10"/>
    <n v="0.58299999999999996"/>
    <n v="14"/>
    <n v="10"/>
    <n v="802"/>
    <n v="110"/>
    <n v="207"/>
    <n v="39"/>
    <n v="4"/>
    <n v="27"/>
    <n v="107"/>
    <n v="2"/>
    <n v="5"/>
    <n v="16"/>
    <n v="6"/>
    <n v="74"/>
    <n v="6"/>
    <n v="7"/>
    <n v="206"/>
    <n v="12"/>
    <n v="890"/>
    <n v="335"/>
    <n v="70"/>
    <n v="0.25800000000000001"/>
    <n v="0.32400000000000001"/>
    <n v="0.41799999999999998"/>
    <n v="0.74199999999999999"/>
  </r>
  <r>
    <x v="10"/>
    <n v="2023"/>
    <n v="25"/>
    <s v="12-13"/>
    <n v="0.48"/>
    <n v="12"/>
    <n v="13"/>
    <n v="788"/>
    <n v="98"/>
    <n v="189"/>
    <n v="45"/>
    <n v="4"/>
    <n v="18"/>
    <n v="94"/>
    <n v="4"/>
    <n v="6"/>
    <n v="30"/>
    <n v="11"/>
    <n v="90"/>
    <n v="0"/>
    <n v="8"/>
    <n v="193"/>
    <n v="15"/>
    <n v="896"/>
    <n v="296"/>
    <n v="67"/>
    <n v="0.24"/>
    <n v="0.32200000000000001"/>
    <n v="0.376"/>
    <n v="0.69699999999999995"/>
  </r>
  <r>
    <x v="11"/>
    <n v="2023"/>
    <n v="27"/>
    <s v="12-15"/>
    <n v="0.44400000000000001"/>
    <n v="12"/>
    <n v="15"/>
    <n v="877"/>
    <n v="109"/>
    <n v="208"/>
    <n v="48"/>
    <n v="2"/>
    <n v="31"/>
    <n v="103"/>
    <n v="2"/>
    <n v="5"/>
    <n v="9"/>
    <n v="5"/>
    <n v="111"/>
    <n v="3"/>
    <n v="6"/>
    <n v="228"/>
    <n v="21"/>
    <n v="1001"/>
    <n v="353"/>
    <n v="81"/>
    <n v="0.23699999999999999"/>
    <n v="0.32500000000000001"/>
    <n v="0.40300000000000002"/>
    <n v="0.72799999999999998"/>
  </r>
  <r>
    <x v="12"/>
    <n v="2023"/>
    <n v="26"/>
    <s v="15-11"/>
    <n v="0.57699999999999996"/>
    <n v="15"/>
    <n v="11"/>
    <n v="842"/>
    <n v="104"/>
    <n v="205"/>
    <n v="30"/>
    <n v="3"/>
    <n v="28"/>
    <n v="101"/>
    <n v="1"/>
    <n v="7"/>
    <n v="18"/>
    <n v="2"/>
    <n v="74"/>
    <n v="2"/>
    <n v="9"/>
    <n v="234"/>
    <n v="16"/>
    <n v="933"/>
    <n v="325"/>
    <n v="61"/>
    <n v="0.24299999999999999"/>
    <n v="0.309"/>
    <n v="0.38600000000000001"/>
    <n v="0.69499999999999995"/>
  </r>
  <r>
    <x v="13"/>
    <n v="2023"/>
    <n v="26"/>
    <s v="11-15"/>
    <n v="0.42299999999999999"/>
    <n v="11"/>
    <n v="15"/>
    <n v="904"/>
    <n v="152"/>
    <n v="248"/>
    <n v="50"/>
    <n v="1"/>
    <n v="40"/>
    <n v="148"/>
    <n v="1"/>
    <n v="5"/>
    <n v="26"/>
    <n v="3"/>
    <n v="99"/>
    <n v="7"/>
    <n v="9"/>
    <n v="208"/>
    <n v="17"/>
    <n v="1018"/>
    <n v="420"/>
    <n v="91"/>
    <n v="0.27400000000000002"/>
    <n v="0.35"/>
    <n v="0.46500000000000002"/>
    <n v="0.81499999999999995"/>
  </r>
  <r>
    <x v="14"/>
    <n v="2023"/>
    <n v="27"/>
    <s v="11-16"/>
    <n v="0.40699999999999997"/>
    <n v="11"/>
    <n v="16"/>
    <n v="896"/>
    <n v="96"/>
    <n v="235"/>
    <n v="47"/>
    <n v="3"/>
    <n v="18"/>
    <n v="92"/>
    <n v="3"/>
    <n v="6"/>
    <n v="17"/>
    <n v="4"/>
    <n v="61"/>
    <n v="0"/>
    <n v="12"/>
    <n v="178"/>
    <n v="23"/>
    <n v="978"/>
    <n v="342"/>
    <n v="68"/>
    <n v="0.26200000000000001"/>
    <n v="0.316"/>
    <n v="0.38200000000000001"/>
    <n v="0.69799999999999995"/>
  </r>
  <r>
    <x v="15"/>
    <n v="2023"/>
    <n v="23"/>
    <s v="15-8"/>
    <n v="0.65200000000000002"/>
    <n v="15"/>
    <n v="8"/>
    <n v="737"/>
    <n v="100"/>
    <n v="187"/>
    <n v="37"/>
    <n v="4"/>
    <n v="26"/>
    <n v="97"/>
    <n v="5"/>
    <n v="11"/>
    <n v="13"/>
    <n v="2"/>
    <n v="66"/>
    <n v="3"/>
    <n v="5"/>
    <n v="168"/>
    <n v="16"/>
    <n v="824"/>
    <n v="310"/>
    <n v="67"/>
    <n v="0.254"/>
    <n v="0.315"/>
    <n v="0.42099999999999999"/>
    <n v="0.73599999999999999"/>
  </r>
  <r>
    <x v="16"/>
    <n v="2023"/>
    <n v="26"/>
    <s v="15-11"/>
    <n v="0.57699999999999996"/>
    <n v="15"/>
    <n v="11"/>
    <n v="913"/>
    <n v="156"/>
    <n v="270"/>
    <n v="67"/>
    <n v="3"/>
    <n v="33"/>
    <n v="147"/>
    <n v="2"/>
    <n v="5"/>
    <n v="17"/>
    <n v="1"/>
    <n v="82"/>
    <n v="1"/>
    <n v="14"/>
    <n v="186"/>
    <n v="24"/>
    <n v="1016"/>
    <n v="442"/>
    <n v="103"/>
    <n v="0.29599999999999999"/>
    <n v="0.36099999999999999"/>
    <n v="0.48399999999999999"/>
    <n v="0.84499999999999997"/>
  </r>
  <r>
    <x v="17"/>
    <n v="2023"/>
    <n v="25"/>
    <s v="12-13"/>
    <n v="0.48"/>
    <n v="12"/>
    <n v="13"/>
    <n v="844"/>
    <n v="108"/>
    <n v="215"/>
    <n v="41"/>
    <n v="3"/>
    <n v="26"/>
    <n v="107"/>
    <n v="4"/>
    <n v="5"/>
    <n v="14"/>
    <n v="4"/>
    <n v="63"/>
    <n v="7"/>
    <n v="8"/>
    <n v="196"/>
    <n v="21"/>
    <n v="924"/>
    <n v="340"/>
    <n v="70"/>
    <n v="0.255"/>
    <n v="0.311"/>
    <n v="0.40300000000000002"/>
    <n v="0.71399999999999997"/>
  </r>
  <r>
    <x v="18"/>
    <n v="2023"/>
    <n v="24"/>
    <s v="10-14"/>
    <n v="0.41699999999999998"/>
    <n v="10"/>
    <n v="14"/>
    <n v="757"/>
    <n v="66"/>
    <n v="165"/>
    <n v="41"/>
    <n v="6"/>
    <n v="12"/>
    <n v="60"/>
    <n v="1"/>
    <n v="9"/>
    <n v="20"/>
    <n v="2"/>
    <n v="78"/>
    <n v="11"/>
    <n v="4"/>
    <n v="169"/>
    <n v="16"/>
    <n v="849"/>
    <n v="254"/>
    <n v="59"/>
    <n v="0.218"/>
    <n v="0.29099999999999998"/>
    <n v="0.33600000000000002"/>
    <n v="0.627"/>
  </r>
  <r>
    <x v="19"/>
    <n v="2023"/>
    <n v="20"/>
    <s v="10-10"/>
    <n v="0.5"/>
    <n v="10"/>
    <n v="10"/>
    <n v="671"/>
    <n v="75"/>
    <n v="158"/>
    <n v="33"/>
    <n v="1"/>
    <n v="17"/>
    <n v="71"/>
    <n v="1"/>
    <n v="4"/>
    <n v="8"/>
    <n v="2"/>
    <n v="58"/>
    <n v="0"/>
    <n v="7"/>
    <n v="173"/>
    <n v="15"/>
    <n v="741"/>
    <n v="244"/>
    <n v="51"/>
    <n v="0.23499999999999999"/>
    <n v="0.30099999999999999"/>
    <n v="0.36399999999999999"/>
    <n v="0.66500000000000004"/>
  </r>
  <r>
    <x v="20"/>
    <n v="2023"/>
    <n v="25"/>
    <s v="14-11"/>
    <n v="0.56000000000000005"/>
    <n v="14"/>
    <n v="11"/>
    <n v="812"/>
    <n v="109"/>
    <n v="196"/>
    <n v="40"/>
    <n v="1"/>
    <n v="21"/>
    <n v="102"/>
    <n v="0"/>
    <n v="6"/>
    <n v="15"/>
    <n v="2"/>
    <n v="83"/>
    <n v="3"/>
    <n v="14"/>
    <n v="193"/>
    <n v="16"/>
    <n v="915"/>
    <n v="301"/>
    <n v="62"/>
    <n v="0.24099999999999999"/>
    <n v="0.32"/>
    <n v="0.371"/>
    <n v="0.69099999999999995"/>
  </r>
  <r>
    <x v="21"/>
    <n v="2023"/>
    <n v="26"/>
    <s v="7-19"/>
    <n v="0.26900000000000002"/>
    <n v="7"/>
    <n v="19"/>
    <n v="866"/>
    <n v="112"/>
    <n v="205"/>
    <n v="45"/>
    <n v="8"/>
    <n v="28"/>
    <n v="110"/>
    <n v="1"/>
    <n v="11"/>
    <n v="17"/>
    <n v="2"/>
    <n v="81"/>
    <n v="3"/>
    <n v="12"/>
    <n v="214"/>
    <n v="13"/>
    <n v="971"/>
    <n v="350"/>
    <n v="81"/>
    <n v="0.23699999999999999"/>
    <n v="0.307"/>
    <n v="0.40400000000000003"/>
    <n v="0.71099999999999997"/>
  </r>
  <r>
    <x v="22"/>
    <n v="2023"/>
    <n v="25"/>
    <s v="15-10"/>
    <n v="0.6"/>
    <n v="15"/>
    <n v="10"/>
    <n v="826"/>
    <n v="129"/>
    <n v="214"/>
    <n v="40"/>
    <n v="4"/>
    <n v="40"/>
    <n v="125"/>
    <n v="0"/>
    <n v="8"/>
    <n v="11"/>
    <n v="3"/>
    <n v="75"/>
    <n v="2"/>
    <n v="12"/>
    <n v="214"/>
    <n v="21"/>
    <n v="921"/>
    <n v="382"/>
    <n v="84"/>
    <n v="0.25900000000000001"/>
    <n v="0.32700000000000001"/>
    <n v="0.46200000000000002"/>
    <n v="0.78900000000000003"/>
  </r>
  <r>
    <x v="23"/>
    <n v="2023"/>
    <n v="25"/>
    <s v="15-10"/>
    <n v="0.6"/>
    <n v="15"/>
    <n v="10"/>
    <n v="828"/>
    <n v="125"/>
    <n v="204"/>
    <n v="47"/>
    <n v="4"/>
    <n v="36"/>
    <n v="117"/>
    <n v="2"/>
    <n v="4"/>
    <n v="9"/>
    <n v="3"/>
    <n v="85"/>
    <n v="3"/>
    <n v="15"/>
    <n v="242"/>
    <n v="16"/>
    <n v="934"/>
    <n v="367"/>
    <n v="87"/>
    <n v="0.246"/>
    <n v="0.32600000000000001"/>
    <n v="0.443"/>
    <n v="0.76900000000000002"/>
  </r>
  <r>
    <x v="24"/>
    <n v="2023"/>
    <n v="28"/>
    <s v="17-11"/>
    <n v="0.60699999999999998"/>
    <n v="17"/>
    <n v="11"/>
    <n v="899"/>
    <n v="135"/>
    <n v="213"/>
    <n v="25"/>
    <n v="4"/>
    <n v="51"/>
    <n v="132"/>
    <n v="1"/>
    <n v="8"/>
    <n v="27"/>
    <n v="7"/>
    <n v="96"/>
    <n v="3"/>
    <n v="10"/>
    <n v="232"/>
    <n v="15"/>
    <n v="1014"/>
    <n v="399"/>
    <n v="80"/>
    <n v="0.23699999999999999"/>
    <n v="0.315"/>
    <n v="0.44400000000000001"/>
    <n v="0.75900000000000001"/>
  </r>
  <r>
    <x v="25"/>
    <n v="2023"/>
    <n v="25"/>
    <s v="5-20"/>
    <n v="0.2"/>
    <n v="5"/>
    <n v="20"/>
    <n v="831"/>
    <n v="82"/>
    <n v="176"/>
    <n v="31"/>
    <n v="3"/>
    <n v="24"/>
    <n v="80"/>
    <n v="8"/>
    <n v="3"/>
    <n v="24"/>
    <n v="6"/>
    <n v="88"/>
    <n v="4"/>
    <n v="12"/>
    <n v="240"/>
    <n v="17"/>
    <n v="942"/>
    <n v="285"/>
    <n v="58"/>
    <n v="0.21199999999999999"/>
    <n v="0.29599999999999999"/>
    <n v="0.34300000000000003"/>
    <n v="0.63800000000000001"/>
  </r>
  <r>
    <x v="26"/>
    <n v="2023"/>
    <n v="25"/>
    <s v="13-12"/>
    <n v="0.52"/>
    <n v="13"/>
    <n v="12"/>
    <n v="806"/>
    <n v="111"/>
    <n v="187"/>
    <n v="43"/>
    <n v="2"/>
    <n v="23"/>
    <n v="106"/>
    <n v="0"/>
    <n v="4"/>
    <n v="13"/>
    <n v="4"/>
    <n v="79"/>
    <n v="0"/>
    <n v="20"/>
    <n v="228"/>
    <n v="19"/>
    <n v="909"/>
    <n v="303"/>
    <n v="68"/>
    <n v="0.23200000000000001"/>
    <n v="0.315"/>
    <n v="0.376"/>
    <n v="0.69099999999999995"/>
  </r>
  <r>
    <x v="27"/>
    <n v="2023"/>
    <n v="28"/>
    <s v="23-5"/>
    <n v="0.82099999999999995"/>
    <n v="23"/>
    <n v="5"/>
    <n v="896"/>
    <n v="159"/>
    <n v="233"/>
    <n v="55"/>
    <n v="4"/>
    <n v="49"/>
    <n v="152"/>
    <n v="2"/>
    <n v="5"/>
    <n v="26"/>
    <n v="10"/>
    <n v="96"/>
    <n v="1"/>
    <n v="21"/>
    <n v="226"/>
    <n v="15"/>
    <n v="1020"/>
    <n v="443"/>
    <n v="108"/>
    <n v="0.26"/>
    <n v="0.34399999999999997"/>
    <n v="0.49399999999999999"/>
    <n v="0.83799999999999997"/>
  </r>
  <r>
    <x v="28"/>
    <n v="2023"/>
    <n v="24"/>
    <s v="16-8"/>
    <n v="0.66700000000000004"/>
    <n v="16"/>
    <n v="8"/>
    <n v="808"/>
    <n v="163"/>
    <n v="230"/>
    <n v="48"/>
    <n v="1"/>
    <n v="41"/>
    <n v="158"/>
    <n v="2"/>
    <n v="9"/>
    <n v="10"/>
    <n v="6"/>
    <n v="81"/>
    <n v="0"/>
    <n v="9"/>
    <n v="198"/>
    <n v="13"/>
    <n v="909"/>
    <n v="403"/>
    <n v="90"/>
    <n v="0.28499999999999998"/>
    <n v="0.35299999999999998"/>
    <n v="0.499"/>
    <n v="0.85199999999999998"/>
  </r>
  <r>
    <x v="29"/>
    <n v="2023"/>
    <n v="22"/>
    <s v="13-9"/>
    <n v="0.59099999999999997"/>
    <n v="13"/>
    <n v="9"/>
    <n v="750"/>
    <n v="94"/>
    <n v="195"/>
    <n v="38"/>
    <n v="1"/>
    <n v="20"/>
    <n v="92"/>
    <n v="1"/>
    <n v="5"/>
    <n v="24"/>
    <n v="4"/>
    <n v="77"/>
    <n v="3"/>
    <n v="7"/>
    <n v="166"/>
    <n v="19"/>
    <n v="840"/>
    <n v="295"/>
    <n v="59"/>
    <n v="0.26"/>
    <n v="0.33300000000000002"/>
    <n v="0.39300000000000002"/>
    <n v="0.72599999999999998"/>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06">
  <r>
    <n v="1"/>
    <s v="Zac Gallen"/>
    <x v="0"/>
    <m/>
    <n v="66.2"/>
    <n v="0"/>
    <n v="2.8"/>
    <n v="2.8"/>
  </r>
  <r>
    <n v="2"/>
    <s v="Ronald Acuña Jr."/>
    <x v="1"/>
    <n v="222"/>
    <m/>
    <n v="2.5"/>
    <m/>
    <n v="2.5"/>
  </r>
  <r>
    <n v="3"/>
    <s v="Sean Murphy"/>
    <x v="1"/>
    <n v="171"/>
    <m/>
    <n v="2.5"/>
    <m/>
    <n v="2.5"/>
  </r>
  <r>
    <n v="4"/>
    <s v="Marcus Semien"/>
    <x v="2"/>
    <n v="229"/>
    <m/>
    <n v="2.5"/>
    <m/>
    <n v="2.5"/>
  </r>
  <r>
    <n v="5"/>
    <s v="Nathan Eovaldi"/>
    <x v="2"/>
    <m/>
    <n v="69.099999999999994"/>
    <n v="0"/>
    <n v="2.4"/>
    <n v="2.4"/>
  </r>
  <r>
    <n v="6"/>
    <s v="Wander Franco"/>
    <x v="3"/>
    <n v="216"/>
    <m/>
    <n v="2.2999999999999998"/>
    <m/>
    <n v="2.2999999999999998"/>
  </r>
  <r>
    <n v="7"/>
    <s v="Shohei Ohtani"/>
    <x v="4"/>
    <n v="217"/>
    <n v="59"/>
    <n v="1.2"/>
    <n v="1.1000000000000001"/>
    <n v="2.2999999999999998"/>
  </r>
  <r>
    <n v="8"/>
    <s v="Kevin Gausman"/>
    <x v="5"/>
    <m/>
    <n v="63"/>
    <n v="0"/>
    <n v="2.2999999999999998"/>
    <n v="2.2999999999999998"/>
  </r>
  <r>
    <n v="9"/>
    <s v="Freddie Freeman"/>
    <x v="6"/>
    <n v="233"/>
    <m/>
    <n v="2.2999999999999998"/>
    <m/>
    <n v="2.2999999999999998"/>
  </r>
  <r>
    <n v="10"/>
    <s v="Sonny Gray"/>
    <x v="7"/>
    <m/>
    <n v="54.1"/>
    <n v="0"/>
    <n v="2.2000000000000002"/>
    <n v="2.2000000000000002"/>
  </r>
  <r>
    <n v="11"/>
    <s v="Aaron Judge"/>
    <x v="8"/>
    <n v="175"/>
    <m/>
    <n v="2.2000000000000002"/>
    <m/>
    <n v="2.2000000000000002"/>
  </r>
  <r>
    <n v="12"/>
    <s v="Randy Arozarena"/>
    <x v="3"/>
    <n v="213"/>
    <m/>
    <n v="2.1"/>
    <m/>
    <n v="2.1"/>
  </r>
  <r>
    <n v="13"/>
    <s v="Bo Bichette"/>
    <x v="5"/>
    <n v="227"/>
    <m/>
    <n v="2.1"/>
    <m/>
    <n v="2.1"/>
  </r>
  <r>
    <n v="14"/>
    <s v="Matt Chapman"/>
    <x v="5"/>
    <n v="211"/>
    <m/>
    <n v="2.1"/>
    <m/>
    <n v="2.1"/>
  </r>
  <r>
    <n v="15"/>
    <s v="Joe Ryan"/>
    <x v="7"/>
    <m/>
    <n v="61"/>
    <n v="0"/>
    <n v="2.1"/>
    <n v="2.1"/>
  </r>
  <r>
    <n v="16"/>
    <s v="Luis Robert Jr."/>
    <x v="9"/>
    <n v="201"/>
    <m/>
    <n v="2.1"/>
    <m/>
    <n v="2.1"/>
  </r>
  <r>
    <n v="17"/>
    <s v="Paul Goldschmidt"/>
    <x v="10"/>
    <n v="227"/>
    <m/>
    <n v="2.1"/>
    <m/>
    <n v="2.1"/>
  </r>
  <r>
    <n v="18"/>
    <s v="Yandy Díaz"/>
    <x v="3"/>
    <n v="181"/>
    <m/>
    <n v="2.1"/>
    <m/>
    <n v="2.1"/>
  </r>
  <r>
    <n v="19"/>
    <s v="Mookie Betts"/>
    <x v="6"/>
    <n v="217"/>
    <m/>
    <n v="2.1"/>
    <m/>
    <n v="2.1"/>
  </r>
  <r>
    <n v="20"/>
    <s v="Yordan Alvarez"/>
    <x v="11"/>
    <n v="186"/>
    <m/>
    <n v="2"/>
    <m/>
    <n v="2"/>
  </r>
  <r>
    <n v="21"/>
    <s v="Thairo Estrada"/>
    <x v="12"/>
    <n v="201"/>
    <m/>
    <n v="2"/>
    <m/>
    <n v="2"/>
  </r>
  <r>
    <n v="22"/>
    <s v="Xander Bogaerts"/>
    <x v="13"/>
    <n v="208"/>
    <m/>
    <n v="2"/>
    <m/>
    <n v="2"/>
  </r>
  <r>
    <n v="23"/>
    <s v="Spencer Strider"/>
    <x v="1"/>
    <m/>
    <n v="57.2"/>
    <n v="0"/>
    <n v="2"/>
    <n v="2"/>
  </r>
  <r>
    <n v="24"/>
    <s v="Geraldo Perdomo"/>
    <x v="0"/>
    <n v="130"/>
    <m/>
    <n v="2"/>
    <m/>
    <n v="2"/>
  </r>
  <r>
    <n v="25"/>
    <s v="Cedric Mullins"/>
    <x v="14"/>
    <n v="208"/>
    <m/>
    <n v="1.9"/>
    <m/>
    <n v="1.9"/>
  </r>
  <r>
    <n v="26"/>
    <s v="Josh Lowe"/>
    <x v="3"/>
    <n v="152"/>
    <m/>
    <n v="1.9"/>
    <m/>
    <n v="1.9"/>
  </r>
  <r>
    <n v="27"/>
    <s v="Nolan Gorman"/>
    <x v="10"/>
    <n v="176"/>
    <m/>
    <n v="1.9"/>
    <m/>
    <n v="1.9"/>
  </r>
  <r>
    <n v="28"/>
    <s v="George Kirby"/>
    <x v="15"/>
    <m/>
    <n v="58.1"/>
    <n v="0"/>
    <n v="1.9"/>
    <n v="1.9"/>
  </r>
  <r>
    <n v="29"/>
    <s v="Mike Trout"/>
    <x v="4"/>
    <n v="209"/>
    <m/>
    <n v="1.9"/>
    <m/>
    <n v="1.9"/>
  </r>
  <r>
    <n v="30"/>
    <s v="Framber Valdez"/>
    <x v="11"/>
    <m/>
    <n v="66"/>
    <n v="0"/>
    <n v="1.9"/>
    <n v="1.9"/>
  </r>
  <r>
    <n v="31"/>
    <s v="Mitch Keller"/>
    <x v="16"/>
    <m/>
    <n v="62.2"/>
    <n v="0"/>
    <n v="1.8"/>
    <n v="1.8"/>
  </r>
  <r>
    <n v="32"/>
    <s v="Dansby Swanson"/>
    <x v="17"/>
    <n v="215"/>
    <m/>
    <n v="1.8"/>
    <m/>
    <n v="1.8"/>
  </r>
  <r>
    <n v="33"/>
    <s v="Zack Wheeler"/>
    <x v="18"/>
    <m/>
    <n v="57"/>
    <n v="0"/>
    <n v="1.8"/>
    <n v="1.8"/>
  </r>
  <r>
    <n v="34"/>
    <s v="Anthony Rizzo"/>
    <x v="8"/>
    <n v="214"/>
    <m/>
    <n v="1.8"/>
    <m/>
    <n v="1.8"/>
  </r>
  <r>
    <n v="35"/>
    <s v="Justin Steele"/>
    <x v="17"/>
    <m/>
    <n v="61.1"/>
    <n v="0"/>
    <n v="1.8"/>
    <n v="1.8"/>
  </r>
  <r>
    <n v="36"/>
    <s v="Juan Soto"/>
    <x v="13"/>
    <n v="215"/>
    <m/>
    <n v="1.7"/>
    <m/>
    <n v="1.7"/>
  </r>
  <r>
    <n v="37"/>
    <s v="Will Smith"/>
    <x v="6"/>
    <n v="148"/>
    <m/>
    <n v="1.7"/>
    <m/>
    <n v="1.7"/>
  </r>
  <r>
    <n v="38"/>
    <s v="Jonah Heim"/>
    <x v="2"/>
    <n v="169"/>
    <m/>
    <n v="1.7"/>
    <m/>
    <n v="1.7"/>
  </r>
  <r>
    <n v="39"/>
    <s v="Corbin Carroll"/>
    <x v="0"/>
    <n v="188"/>
    <m/>
    <n v="1.7"/>
    <m/>
    <n v="1.7"/>
  </r>
  <r>
    <n v="40"/>
    <s v="Logan Gilbert"/>
    <x v="15"/>
    <m/>
    <n v="52"/>
    <n v="0"/>
    <n v="1.7"/>
    <n v="1.7"/>
  </r>
  <r>
    <n v="41"/>
    <s v="Eduardo Rodriguez"/>
    <x v="19"/>
    <m/>
    <n v="61.2"/>
    <n v="0"/>
    <n v="1.6"/>
    <n v="1.6"/>
  </r>
  <r>
    <n v="42"/>
    <s v="Nico Hoerner"/>
    <x v="17"/>
    <n v="187"/>
    <m/>
    <n v="1.6"/>
    <m/>
    <n v="1.6"/>
  </r>
  <r>
    <n v="43"/>
    <s v="Adolis García"/>
    <x v="2"/>
    <n v="206"/>
    <m/>
    <n v="1.6"/>
    <m/>
    <n v="1.6"/>
  </r>
  <r>
    <n v="44"/>
    <s v="Brandon Nimmo"/>
    <x v="20"/>
    <n v="220"/>
    <m/>
    <n v="1.6"/>
    <m/>
    <n v="1.6"/>
  </r>
  <r>
    <n v="45"/>
    <s v="Luis Castillo"/>
    <x v="15"/>
    <m/>
    <n v="57.2"/>
    <n v="0"/>
    <n v="1.6"/>
    <n v="1.6"/>
  </r>
  <r>
    <n v="46"/>
    <s v="Clayton Kershaw"/>
    <x v="6"/>
    <m/>
    <n v="57.1"/>
    <n v="0"/>
    <n v="1.6"/>
    <n v="1.6"/>
  </r>
  <r>
    <n v="47"/>
    <s v="Alex Verdugo"/>
    <x v="21"/>
    <n v="209"/>
    <m/>
    <n v="1.5"/>
    <m/>
    <n v="1.5"/>
  </r>
  <r>
    <n v="48"/>
    <s v="Francisco Lindor"/>
    <x v="20"/>
    <n v="217"/>
    <m/>
    <n v="1.5"/>
    <m/>
    <n v="1.5"/>
  </r>
  <r>
    <n v="49"/>
    <s v="Jarred Kelenic"/>
    <x v="15"/>
    <n v="188"/>
    <m/>
    <n v="1.5"/>
    <m/>
    <n v="1.5"/>
  </r>
  <r>
    <n v="50"/>
    <s v="Riley Greene"/>
    <x v="19"/>
    <n v="199"/>
    <m/>
    <n v="1.5"/>
    <m/>
    <n v="1.5"/>
  </r>
  <r>
    <n v="51"/>
    <s v="Gerrit Cole"/>
    <x v="8"/>
    <m/>
    <n v="67.2"/>
    <n v="0"/>
    <n v="1.5"/>
    <n v="1.5"/>
  </r>
  <r>
    <n v="52"/>
    <s v="Yennier Cano"/>
    <x v="14"/>
    <m/>
    <n v="25.2"/>
    <n v="0"/>
    <n v="1.5"/>
    <n v="1.5"/>
  </r>
  <r>
    <n v="53"/>
    <s v="Adley Rutschman"/>
    <x v="14"/>
    <n v="220"/>
    <m/>
    <n v="1.4"/>
    <m/>
    <n v="1.4"/>
  </r>
  <r>
    <n v="54"/>
    <s v="Jacob deGrom"/>
    <x v="2"/>
    <m/>
    <n v="30.1"/>
    <n v="0"/>
    <n v="1.4"/>
    <n v="1.4"/>
  </r>
  <r>
    <n v="55"/>
    <s v="Brent Rooker"/>
    <x v="22"/>
    <n v="178"/>
    <m/>
    <n v="1.4"/>
    <m/>
    <n v="1.4"/>
  </r>
  <r>
    <n v="56"/>
    <s v="Cody Bellinger"/>
    <x v="17"/>
    <n v="163"/>
    <m/>
    <n v="1.4"/>
    <m/>
    <n v="1.4"/>
  </r>
  <r>
    <n v="57"/>
    <s v="James Outman"/>
    <x v="6"/>
    <n v="186"/>
    <m/>
    <n v="1.4"/>
    <m/>
    <n v="1.4"/>
  </r>
  <r>
    <n v="58"/>
    <s v="Nathaniel Lowe"/>
    <x v="2"/>
    <n v="219"/>
    <m/>
    <n v="1.4"/>
    <m/>
    <n v="1.4"/>
  </r>
  <r>
    <n v="59"/>
    <s v="Bryce Miller"/>
    <x v="15"/>
    <m/>
    <n v="31.1"/>
    <n v="0"/>
    <n v="1.4"/>
    <n v="1.4"/>
  </r>
  <r>
    <n v="60"/>
    <s v="Elias Díaz"/>
    <x v="23"/>
    <n v="159"/>
    <m/>
    <n v="1.4"/>
    <m/>
    <n v="1.4"/>
  </r>
  <r>
    <n v="61"/>
    <s v="Kevin Kiermaier"/>
    <x v="5"/>
    <n v="147"/>
    <m/>
    <n v="1.4"/>
    <m/>
    <n v="1.4"/>
  </r>
  <r>
    <n v="62"/>
    <s v="Paul DeJong"/>
    <x v="10"/>
    <n v="97"/>
    <m/>
    <n v="1.4"/>
    <m/>
    <n v="1.4"/>
  </r>
  <r>
    <n v="63"/>
    <s v="Drew Rasmussen"/>
    <x v="3"/>
    <m/>
    <n v="44.2"/>
    <n v="0"/>
    <n v="1.4"/>
    <n v="1.4"/>
  </r>
  <r>
    <n v="64"/>
    <s v="Lars Nootbaar"/>
    <x v="10"/>
    <n v="164"/>
    <m/>
    <n v="1.4"/>
    <m/>
    <n v="1.4"/>
  </r>
  <r>
    <n v="65"/>
    <s v="Isaac Paredes"/>
    <x v="3"/>
    <n v="172"/>
    <m/>
    <n v="1.4"/>
    <m/>
    <n v="1.4"/>
  </r>
  <r>
    <n v="66"/>
    <s v="Shane McClanahan"/>
    <x v="3"/>
    <m/>
    <n v="64"/>
    <n v="0"/>
    <n v="1.4"/>
    <n v="1.4"/>
  </r>
  <r>
    <n v="67"/>
    <s v="Hunter Brown"/>
    <x v="11"/>
    <m/>
    <n v="50.2"/>
    <n v="0"/>
    <n v="1.4"/>
    <n v="1.4"/>
  </r>
  <r>
    <n v="68"/>
    <s v="José Ramírez"/>
    <x v="24"/>
    <n v="201"/>
    <m/>
    <n v="1.3"/>
    <m/>
    <n v="1.3"/>
  </r>
  <r>
    <n v="69"/>
    <s v="LaMonte Wade Jr."/>
    <x v="12"/>
    <n v="176"/>
    <m/>
    <n v="1.3"/>
    <m/>
    <n v="1.3"/>
  </r>
  <r>
    <n v="70"/>
    <s v="Matt Olson"/>
    <x v="1"/>
    <n v="221"/>
    <m/>
    <n v="1.3"/>
    <m/>
    <n v="1.3"/>
  </r>
  <r>
    <n v="71"/>
    <s v="TJ Friedl"/>
    <x v="25"/>
    <n v="143"/>
    <m/>
    <n v="1.3"/>
    <m/>
    <n v="1.3"/>
  </r>
  <r>
    <n v="72"/>
    <s v="Owen Miller"/>
    <x v="26"/>
    <n v="109"/>
    <m/>
    <n v="1.3"/>
    <m/>
    <n v="1.3"/>
  </r>
  <r>
    <n v="73"/>
    <s v="Taylor Walls"/>
    <x v="3"/>
    <n v="133"/>
    <m/>
    <n v="1.3"/>
    <m/>
    <n v="1.3"/>
  </r>
  <r>
    <n v="74"/>
    <s v="Drew Smyly"/>
    <x v="17"/>
    <m/>
    <n v="55.1"/>
    <n v="0"/>
    <n v="1.3"/>
    <n v="1.3"/>
  </r>
  <r>
    <n v="75"/>
    <s v="Ian Happ"/>
    <x v="17"/>
    <n v="208"/>
    <m/>
    <n v="1.3"/>
    <m/>
    <n v="1.3"/>
  </r>
  <r>
    <n v="76"/>
    <s v="Cal Raleigh"/>
    <x v="15"/>
    <n v="164"/>
    <m/>
    <n v="1.3"/>
    <m/>
    <n v="1.3"/>
  </r>
  <r>
    <n v="77"/>
    <s v="Pete Alonso"/>
    <x v="20"/>
    <n v="212"/>
    <m/>
    <n v="1.3"/>
    <m/>
    <n v="1.3"/>
  </r>
  <r>
    <n v="78"/>
    <s v="Luke Raley"/>
    <x v="3"/>
    <n v="125"/>
    <n v="2.2000000000000002"/>
    <n v="1.4"/>
    <n v="-0.1"/>
    <n v="1.3"/>
  </r>
  <r>
    <n v="79"/>
    <s v="Cristian Javier"/>
    <x v="11"/>
    <m/>
    <n v="58.2"/>
    <n v="0"/>
    <n v="1.3"/>
    <n v="1.3"/>
  </r>
  <r>
    <n v="80"/>
    <s v="Christian Yelich"/>
    <x v="26"/>
    <n v="195"/>
    <m/>
    <n v="1.3"/>
    <m/>
    <n v="1.3"/>
  </r>
  <r>
    <n v="81"/>
    <s v="Lourdes Gurriel Jr."/>
    <x v="0"/>
    <n v="183"/>
    <m/>
    <n v="1.3"/>
    <m/>
    <n v="1.3"/>
  </r>
  <r>
    <n v="82"/>
    <s v="Brandon Marsh"/>
    <x v="18"/>
    <n v="160"/>
    <m/>
    <n v="1.3"/>
    <m/>
    <n v="1.3"/>
  </r>
  <r>
    <n v="83"/>
    <s v="Matt Strahm"/>
    <x v="18"/>
    <m/>
    <n v="35"/>
    <n v="0"/>
    <n v="1.2"/>
    <n v="1.2"/>
  </r>
  <r>
    <n v="84"/>
    <s v="Jonathan India"/>
    <x v="25"/>
    <n v="215"/>
    <m/>
    <n v="1.2"/>
    <m/>
    <n v="1.2"/>
  </r>
  <r>
    <n v="85"/>
    <s v="Michael Wacha"/>
    <x v="13"/>
    <m/>
    <n v="50.1"/>
    <n v="0"/>
    <n v="1.2"/>
    <n v="1.2"/>
  </r>
  <r>
    <n v="86"/>
    <s v="Jeimer Candelario"/>
    <x v="27"/>
    <n v="200"/>
    <m/>
    <n v="1.2"/>
    <m/>
    <n v="1.2"/>
  </r>
  <r>
    <n v="87"/>
    <s v="Luis Arraez"/>
    <x v="28"/>
    <n v="187"/>
    <m/>
    <n v="1.2"/>
    <m/>
    <n v="1.2"/>
  </r>
  <r>
    <n v="88"/>
    <s v="Aaron Nola"/>
    <x v="18"/>
    <m/>
    <n v="62.2"/>
    <n v="0"/>
    <n v="1.2"/>
    <n v="1.2"/>
  </r>
  <r>
    <n v="89"/>
    <s v="Lucas Giolito"/>
    <x v="9"/>
    <m/>
    <n v="59.2"/>
    <n v="0"/>
    <n v="1.2"/>
    <n v="1.2"/>
  </r>
  <r>
    <n v="90"/>
    <s v="J.D. Davis"/>
    <x v="12"/>
    <n v="170"/>
    <m/>
    <n v="1.2"/>
    <m/>
    <n v="1.2"/>
  </r>
  <r>
    <n v="91"/>
    <s v="Dustin May"/>
    <x v="6"/>
    <m/>
    <n v="48"/>
    <n v="0"/>
    <n v="1.2"/>
    <n v="1.2"/>
  </r>
  <r>
    <n v="92"/>
    <s v="Byron Buxton"/>
    <x v="7"/>
    <n v="192"/>
    <m/>
    <n v="1.2"/>
    <m/>
    <n v="1.2"/>
  </r>
  <r>
    <n v="93"/>
    <s v="Merrill Kelly"/>
    <x v="0"/>
    <m/>
    <n v="57.1"/>
    <n v="0"/>
    <n v="1.2"/>
    <n v="1.2"/>
  </r>
  <r>
    <n v="94"/>
    <s v="Bryce Elder"/>
    <x v="1"/>
    <m/>
    <n v="58.1"/>
    <n v="0"/>
    <n v="1.2"/>
    <n v="1.2"/>
  </r>
  <r>
    <n v="95"/>
    <s v="Pablo López"/>
    <x v="7"/>
    <m/>
    <n v="60"/>
    <n v="0"/>
    <n v="1.2"/>
    <n v="1.2"/>
  </r>
  <r>
    <n v="96"/>
    <s v="Marcus Stroman"/>
    <x v="17"/>
    <m/>
    <n v="64"/>
    <n v="0"/>
    <n v="1.1000000000000001"/>
    <n v="1.1000000000000001"/>
  </r>
  <r>
    <n v="97"/>
    <s v="Logan Webb"/>
    <x v="12"/>
    <m/>
    <n v="65"/>
    <n v="0"/>
    <n v="1.1000000000000001"/>
    <n v="1.1000000000000001"/>
  </r>
  <r>
    <n v="98"/>
    <s v="William Contreras"/>
    <x v="26"/>
    <n v="156"/>
    <m/>
    <n v="1.1000000000000001"/>
    <m/>
    <n v="1.1000000000000001"/>
  </r>
  <r>
    <n v="99"/>
    <s v="J.P. Crawford"/>
    <x v="15"/>
    <n v="186"/>
    <m/>
    <n v="1.1000000000000001"/>
    <m/>
    <n v="1.1000000000000001"/>
  </r>
  <r>
    <n v="100"/>
    <s v="Alexis Díaz"/>
    <x v="25"/>
    <m/>
    <n v="18.2"/>
    <n v="0"/>
    <n v="1.1000000000000001"/>
    <n v="1.1000000000000001"/>
  </r>
  <r>
    <n v="101"/>
    <s v="Max Muncy"/>
    <x v="6"/>
    <n v="192"/>
    <m/>
    <n v="1.1000000000000001"/>
    <m/>
    <n v="1.1000000000000001"/>
  </r>
  <r>
    <n v="102"/>
    <s v="Jarren Duran"/>
    <x v="21"/>
    <n v="133"/>
    <m/>
    <n v="1.1000000000000001"/>
    <m/>
    <n v="1.1000000000000001"/>
  </r>
  <r>
    <n v="103"/>
    <s v="Jose Siri"/>
    <x v="3"/>
    <n v="98"/>
    <m/>
    <n v="1.1000000000000001"/>
    <m/>
    <n v="1.1000000000000001"/>
  </r>
  <r>
    <n v="104"/>
    <s v="Jake Meyers"/>
    <x v="11"/>
    <n v="137"/>
    <m/>
    <n v="1.1000000000000001"/>
    <m/>
    <n v="1.1000000000000001"/>
  </r>
  <r>
    <n v="105"/>
    <s v="Esteury Ruiz"/>
    <x v="22"/>
    <n v="223"/>
    <m/>
    <n v="1.1000000000000001"/>
    <m/>
    <n v="1.1000000000000001"/>
  </r>
  <r>
    <n v="106"/>
    <s v="Alex Cobb"/>
    <x v="12"/>
    <m/>
    <n v="58"/>
    <n v="0"/>
    <n v="1.1000000000000001"/>
    <n v="1.1000000000000001"/>
  </r>
  <r>
    <n v="107"/>
    <s v="Tommy Edman"/>
    <x v="10"/>
    <n v="172"/>
    <m/>
    <n v="1.1000000000000001"/>
    <m/>
    <n v="1.1000000000000001"/>
  </r>
  <r>
    <n v="108"/>
    <s v="José Berríos"/>
    <x v="5"/>
    <m/>
    <n v="59.2"/>
    <n v="0"/>
    <n v="1.1000000000000001"/>
    <n v="1.1000000000000001"/>
  </r>
  <r>
    <n v="109"/>
    <s v="Anthony DeSclafani"/>
    <x v="12"/>
    <m/>
    <n v="60.1"/>
    <n v="0"/>
    <n v="1.1000000000000001"/>
    <n v="1.1000000000000001"/>
  </r>
  <r>
    <n v="110"/>
    <s v="Sandy Alcantara"/>
    <x v="28"/>
    <m/>
    <n v="63"/>
    <n v="0"/>
    <n v="1.1000000000000001"/>
    <n v="1.1000000000000001"/>
  </r>
  <r>
    <n v="111"/>
    <s v="Connor Joe"/>
    <x v="16"/>
    <n v="152"/>
    <m/>
    <n v="1.1000000000000001"/>
    <m/>
    <n v="1.1000000000000001"/>
  </r>
  <r>
    <n v="112"/>
    <s v="Jose Caballero"/>
    <x v="15"/>
    <n v="74"/>
    <m/>
    <n v="1.1000000000000001"/>
    <m/>
    <n v="1.1000000000000001"/>
  </r>
  <r>
    <n v="113"/>
    <s v="Adam Duvall"/>
    <x v="21"/>
    <n v="37"/>
    <m/>
    <n v="1.1000000000000001"/>
    <m/>
    <n v="1.1000000000000001"/>
  </r>
  <r>
    <n v="114"/>
    <s v="Orlando Arcia"/>
    <x v="1"/>
    <n v="105"/>
    <m/>
    <n v="1"/>
    <m/>
    <n v="1"/>
  </r>
  <r>
    <n v="115"/>
    <s v="Fernando Tatis Jr."/>
    <x v="13"/>
    <n v="133"/>
    <m/>
    <n v="1"/>
    <m/>
    <n v="1"/>
  </r>
  <r>
    <n v="116"/>
    <s v="Ryan Noda"/>
    <x v="22"/>
    <n v="157"/>
    <m/>
    <n v="1"/>
    <m/>
    <n v="1"/>
  </r>
  <r>
    <n v="117"/>
    <s v="Jeff McNeil"/>
    <x v="20"/>
    <n v="203"/>
    <m/>
    <n v="1"/>
    <m/>
    <n v="1"/>
  </r>
  <r>
    <n v="118"/>
    <s v="Christian Walker"/>
    <x v="0"/>
    <n v="198"/>
    <m/>
    <n v="1"/>
    <m/>
    <n v="1"/>
  </r>
  <r>
    <n v="119"/>
    <s v="Ezequiel Duran"/>
    <x v="2"/>
    <n v="144"/>
    <m/>
    <n v="1"/>
    <m/>
    <n v="1"/>
  </r>
  <r>
    <n v="120"/>
    <s v="Vladimir Guerrero Jr."/>
    <x v="5"/>
    <n v="208"/>
    <m/>
    <n v="1"/>
    <m/>
    <n v="1"/>
  </r>
  <r>
    <n v="121"/>
    <s v="Julio Rodríguez"/>
    <x v="15"/>
    <n v="214"/>
    <m/>
    <n v="1"/>
    <m/>
    <n v="1"/>
  </r>
  <r>
    <n v="122"/>
    <s v="Patrick Wisdom"/>
    <x v="17"/>
    <n v="161"/>
    <m/>
    <n v="1"/>
    <m/>
    <n v="1"/>
  </r>
  <r>
    <n v="123"/>
    <s v="Reid Detmers"/>
    <x v="4"/>
    <m/>
    <n v="40.200000000000003"/>
    <n v="0"/>
    <n v="1"/>
    <n v="1"/>
  </r>
  <r>
    <n v="124"/>
    <s v="Zach McKinstry"/>
    <x v="19"/>
    <n v="130"/>
    <n v="1"/>
    <n v="1"/>
    <n v="-0.1"/>
    <n v="1"/>
  </r>
  <r>
    <n v="125"/>
    <s v="Jack Suwinski"/>
    <x v="16"/>
    <n v="155"/>
    <m/>
    <n v="1"/>
    <m/>
    <n v="1"/>
  </r>
  <r>
    <n v="126"/>
    <s v="Shane Bieber"/>
    <x v="24"/>
    <m/>
    <n v="64.099999999999994"/>
    <n v="0"/>
    <n v="1"/>
    <n v="1"/>
  </r>
  <r>
    <n v="127"/>
    <s v="Salvador Perez"/>
    <x v="29"/>
    <n v="190"/>
    <m/>
    <n v="1"/>
    <m/>
    <n v="1"/>
  </r>
  <r>
    <n v="128"/>
    <s v="Dane Dunning"/>
    <x v="2"/>
    <m/>
    <n v="43"/>
    <n v="0"/>
    <n v="1"/>
    <n v="1"/>
  </r>
  <r>
    <n v="129"/>
    <s v="Bryan Reynolds"/>
    <x v="16"/>
    <n v="202"/>
    <m/>
    <n v="1"/>
    <m/>
    <n v="1"/>
  </r>
  <r>
    <n v="130"/>
    <s v="Jorge Soler"/>
    <x v="28"/>
    <n v="200"/>
    <m/>
    <n v="1"/>
    <m/>
    <n v="1"/>
  </r>
  <r>
    <n v="131"/>
    <s v="Hunter Greene"/>
    <x v="25"/>
    <m/>
    <n v="50"/>
    <n v="0"/>
    <n v="0.9"/>
    <n v="0.9"/>
  </r>
  <r>
    <n v="132"/>
    <s v="Jesús Luzardo"/>
    <x v="28"/>
    <m/>
    <n v="56.1"/>
    <n v="0"/>
    <n v="0.9"/>
    <n v="0.9"/>
  </r>
  <r>
    <n v="133"/>
    <s v="Seiya Suzuki"/>
    <x v="17"/>
    <n v="150"/>
    <m/>
    <n v="0.9"/>
    <m/>
    <n v="0.9"/>
  </r>
  <r>
    <n v="134"/>
    <s v="Ha-Seong Kim"/>
    <x v="13"/>
    <n v="172"/>
    <m/>
    <n v="0.9"/>
    <m/>
    <n v="0.9"/>
  </r>
  <r>
    <n v="135"/>
    <s v="Francisco Álvarez"/>
    <x v="20"/>
    <n v="95"/>
    <m/>
    <n v="0.9"/>
    <m/>
    <n v="0.9"/>
  </r>
  <r>
    <n v="136"/>
    <s v="Hunter Renfroe"/>
    <x v="4"/>
    <n v="209"/>
    <m/>
    <n v="0.9"/>
    <m/>
    <n v="0.9"/>
  </r>
  <r>
    <n v="137"/>
    <s v="Jordan Montgomery"/>
    <x v="10"/>
    <m/>
    <n v="55.1"/>
    <n v="0"/>
    <n v="0.9"/>
    <n v="0.9"/>
  </r>
  <r>
    <n v="138"/>
    <s v="Yu Darvish"/>
    <x v="13"/>
    <m/>
    <n v="54"/>
    <n v="0"/>
    <n v="0.9"/>
    <n v="0.9"/>
  </r>
  <r>
    <n v="139"/>
    <s v="Bobby Witt Jr."/>
    <x v="29"/>
    <n v="219"/>
    <m/>
    <n v="0.9"/>
    <m/>
    <n v="0.9"/>
  </r>
  <r>
    <n v="140"/>
    <s v="Zach Neto"/>
    <x v="4"/>
    <n v="138"/>
    <m/>
    <n v="0.9"/>
    <m/>
    <n v="0.9"/>
  </r>
  <r>
    <n v="141"/>
    <s v="Harold Ramírez"/>
    <x v="3"/>
    <n v="145"/>
    <m/>
    <n v="0.9"/>
    <m/>
    <n v="0.9"/>
  </r>
  <r>
    <n v="142"/>
    <s v="Nolan Arenado"/>
    <x v="10"/>
    <n v="213"/>
    <m/>
    <n v="0.9"/>
    <m/>
    <n v="0.9"/>
  </r>
  <r>
    <n v="143"/>
    <s v="Brian Anderson"/>
    <x v="26"/>
    <n v="186"/>
    <m/>
    <n v="0.9"/>
    <m/>
    <n v="0.9"/>
  </r>
  <r>
    <n v="144"/>
    <s v="Josh Jung"/>
    <x v="2"/>
    <n v="197"/>
    <m/>
    <n v="0.9"/>
    <m/>
    <n v="0.9"/>
  </r>
  <r>
    <n v="145"/>
    <s v="Josiah Gray"/>
    <x v="27"/>
    <m/>
    <n v="57.2"/>
    <n v="0"/>
    <n v="0.9"/>
    <n v="0.9"/>
  </r>
  <r>
    <n v="146"/>
    <s v="Harrison Bader"/>
    <x v="8"/>
    <n v="77"/>
    <m/>
    <n v="0.9"/>
    <m/>
    <n v="0.9"/>
  </r>
  <r>
    <n v="147"/>
    <s v="MacKenzie Gore"/>
    <x v="27"/>
    <m/>
    <n v="51"/>
    <n v="0"/>
    <n v="0.9"/>
    <n v="0.9"/>
  </r>
  <r>
    <n v="148"/>
    <s v="David Bednar"/>
    <x v="16"/>
    <m/>
    <n v="18"/>
    <n v="0"/>
    <n v="0.9"/>
    <n v="0.9"/>
  </r>
  <r>
    <n v="149"/>
    <s v="Leody Taveras"/>
    <x v="2"/>
    <n v="140"/>
    <m/>
    <n v="0.9"/>
    <m/>
    <n v="0.9"/>
  </r>
  <r>
    <n v="150"/>
    <s v="Gleyber Torres"/>
    <x v="8"/>
    <n v="211"/>
    <m/>
    <n v="0.9"/>
    <m/>
    <n v="0.9"/>
  </r>
  <r>
    <n v="151"/>
    <s v="Chris Sale"/>
    <x v="21"/>
    <m/>
    <n v="50.1"/>
    <n v="0"/>
    <n v="0.9"/>
    <n v="0.9"/>
  </r>
  <r>
    <n v="152"/>
    <s v="Carlos Estévez"/>
    <x v="4"/>
    <m/>
    <n v="22"/>
    <n v="0"/>
    <n v="0.9"/>
    <n v="0.9"/>
  </r>
  <r>
    <n v="153"/>
    <s v="Rafael Devers"/>
    <x v="21"/>
    <n v="207"/>
    <m/>
    <n v="0.9"/>
    <m/>
    <n v="0.9"/>
  </r>
  <r>
    <n v="154"/>
    <s v="Tanner Houck"/>
    <x v="21"/>
    <m/>
    <n v="48.2"/>
    <n v="0"/>
    <n v="0.9"/>
    <n v="0.9"/>
  </r>
  <r>
    <n v="155"/>
    <s v="Christopher Morel"/>
    <x v="17"/>
    <n v="56"/>
    <m/>
    <n v="0.8"/>
    <m/>
    <n v="0.8"/>
  </r>
  <r>
    <n v="156"/>
    <s v="Jake Burger"/>
    <x v="9"/>
    <n v="115"/>
    <m/>
    <n v="0.8"/>
    <m/>
    <n v="0.8"/>
  </r>
  <r>
    <n v="157"/>
    <s v="Zach Eflin"/>
    <x v="3"/>
    <m/>
    <n v="47"/>
    <n v="0"/>
    <n v="0.8"/>
    <n v="0.8"/>
  </r>
  <r>
    <n v="158"/>
    <s v="Patrick Sandoval"/>
    <x v="4"/>
    <m/>
    <n v="49.1"/>
    <n v="0"/>
    <n v="0.8"/>
    <n v="0.8"/>
  </r>
  <r>
    <n v="159"/>
    <s v="Trevor Gott"/>
    <x v="15"/>
    <m/>
    <n v="22.2"/>
    <n v="0"/>
    <n v="0.8"/>
    <n v="0.8"/>
  </r>
  <r>
    <n v="160"/>
    <s v="Mickey Moniak"/>
    <x v="4"/>
    <n v="32"/>
    <m/>
    <n v="0.8"/>
    <m/>
    <n v="0.8"/>
  </r>
  <r>
    <n v="161"/>
    <s v="Kyle Freeland"/>
    <x v="23"/>
    <m/>
    <n v="53.1"/>
    <n v="0"/>
    <n v="0.8"/>
    <n v="0.8"/>
  </r>
  <r>
    <n v="162"/>
    <s v="Tanner Bibee"/>
    <x v="24"/>
    <m/>
    <n v="28.1"/>
    <n v="0"/>
    <n v="0.8"/>
    <n v="0.8"/>
  </r>
  <r>
    <n v="163"/>
    <s v="Eugenio Suárez"/>
    <x v="15"/>
    <n v="214"/>
    <m/>
    <n v="0.8"/>
    <m/>
    <n v="0.8"/>
  </r>
  <r>
    <n v="164"/>
    <s v="Jason Delay"/>
    <x v="16"/>
    <n v="71"/>
    <m/>
    <n v="0.8"/>
    <m/>
    <n v="0.8"/>
  </r>
  <r>
    <n v="165"/>
    <s v="Félix Bautista"/>
    <x v="14"/>
    <m/>
    <n v="25"/>
    <n v="0"/>
    <n v="0.8"/>
    <n v="0.8"/>
  </r>
  <r>
    <n v="166"/>
    <s v="Kyle Gibson"/>
    <x v="14"/>
    <m/>
    <n v="59"/>
    <n v="0"/>
    <n v="0.8"/>
    <n v="0.8"/>
  </r>
  <r>
    <n v="167"/>
    <s v="Blake Sabol"/>
    <x v="12"/>
    <n v="113"/>
    <m/>
    <n v="0.8"/>
    <m/>
    <n v="0.8"/>
  </r>
  <r>
    <n v="168"/>
    <s v="Freddy Peralta"/>
    <x v="26"/>
    <m/>
    <n v="52"/>
    <n v="0"/>
    <n v="0.8"/>
    <n v="0.8"/>
  </r>
  <r>
    <n v="169"/>
    <s v="Graham Ashcraft"/>
    <x v="25"/>
    <m/>
    <n v="53.1"/>
    <n v="0"/>
    <n v="0.8"/>
    <n v="0.8"/>
  </r>
  <r>
    <n v="170"/>
    <s v="Dylan Cease"/>
    <x v="9"/>
    <m/>
    <n v="58.2"/>
    <n v="0"/>
    <n v="0.8"/>
    <n v="0.8"/>
  </r>
  <r>
    <n v="171"/>
    <s v="Bailey Ober"/>
    <x v="7"/>
    <m/>
    <n v="35.1"/>
    <n v="0"/>
    <n v="0.8"/>
    <n v="0.8"/>
  </r>
  <r>
    <n v="172"/>
    <s v="Miguel Vargas"/>
    <x v="6"/>
    <n v="183"/>
    <m/>
    <n v="0.8"/>
    <m/>
    <n v="0.8"/>
  </r>
  <r>
    <n v="173"/>
    <s v="Austin Hays"/>
    <x v="14"/>
    <n v="171"/>
    <m/>
    <n v="0.8"/>
    <m/>
    <n v="0.8"/>
  </r>
  <r>
    <n v="174"/>
    <s v="Brenton Doyle"/>
    <x v="23"/>
    <n v="75"/>
    <m/>
    <n v="0.8"/>
    <m/>
    <n v="0.8"/>
  </r>
  <r>
    <n v="175"/>
    <s v="Corey Seager"/>
    <x v="2"/>
    <n v="79"/>
    <m/>
    <n v="0.8"/>
    <m/>
    <n v="0.8"/>
  </r>
  <r>
    <n v="176"/>
    <s v="Brent Suter"/>
    <x v="23"/>
    <m/>
    <n v="30.2"/>
    <n v="0"/>
    <n v="0.8"/>
    <n v="0.8"/>
  </r>
  <r>
    <n v="177"/>
    <s v="Brendan Donovan"/>
    <x v="10"/>
    <n v="163"/>
    <m/>
    <n v="0.8"/>
    <m/>
    <n v="0.8"/>
  </r>
  <r>
    <n v="178"/>
    <s v="Ketel Marte"/>
    <x v="0"/>
    <n v="205"/>
    <m/>
    <n v="0.8"/>
    <m/>
    <n v="0.8"/>
  </r>
  <r>
    <n v="179"/>
    <s v="J.T. Realmuto"/>
    <x v="18"/>
    <n v="169"/>
    <m/>
    <n v="0.8"/>
    <m/>
    <n v="0.8"/>
  </r>
  <r>
    <n v="180"/>
    <s v="Jazz Chisholm Jr."/>
    <x v="28"/>
    <n v="159"/>
    <m/>
    <n v="0.8"/>
    <m/>
    <n v="0.8"/>
  </r>
  <r>
    <n v="181"/>
    <s v="Joey Gallo"/>
    <x v="7"/>
    <n v="134"/>
    <m/>
    <n v="0.8"/>
    <m/>
    <n v="0.8"/>
  </r>
  <r>
    <n v="182"/>
    <s v="Charlie Morton"/>
    <x v="1"/>
    <m/>
    <n v="52.1"/>
    <n v="0"/>
    <n v="0.8"/>
    <n v="0.8"/>
  </r>
  <r>
    <n v="183"/>
    <s v="Logan Allen"/>
    <x v="24"/>
    <m/>
    <n v="32.200000000000003"/>
    <n v="0"/>
    <n v="0.8"/>
    <n v="0.8"/>
  </r>
  <r>
    <n v="184"/>
    <s v="Jason Heyward"/>
    <x v="6"/>
    <n v="112"/>
    <m/>
    <n v="0.8"/>
    <m/>
    <n v="0.8"/>
  </r>
  <r>
    <n v="185"/>
    <s v="Andrew McCutchen"/>
    <x v="16"/>
    <n v="179"/>
    <m/>
    <n v="0.8"/>
    <m/>
    <n v="0.8"/>
  </r>
  <r>
    <n v="186"/>
    <s v="Matt Brash"/>
    <x v="15"/>
    <m/>
    <n v="21"/>
    <n v="0"/>
    <n v="0.8"/>
    <n v="0.8"/>
  </r>
  <r>
    <n v="187"/>
    <s v="Anthony Volpe"/>
    <x v="8"/>
    <n v="200"/>
    <m/>
    <n v="0.8"/>
    <m/>
    <n v="0.8"/>
  </r>
  <r>
    <n v="188"/>
    <s v="Seth Lugo"/>
    <x v="13"/>
    <m/>
    <n v="41.2"/>
    <n v="0"/>
    <n v="0.7"/>
    <n v="0.7"/>
  </r>
  <r>
    <n v="189"/>
    <s v="José Alvarado"/>
    <x v="18"/>
    <m/>
    <n v="14.1"/>
    <n v="0"/>
    <n v="0.7"/>
    <n v="0.7"/>
  </r>
  <r>
    <n v="190"/>
    <s v="Josh Hader"/>
    <x v="13"/>
    <m/>
    <n v="20"/>
    <n v="0"/>
    <n v="0.7"/>
    <n v="0.7"/>
  </r>
  <r>
    <n v="191"/>
    <s v="Patrick Corbin"/>
    <x v="27"/>
    <m/>
    <n v="56.1"/>
    <n v="0"/>
    <n v="0.7"/>
    <n v="0.7"/>
  </r>
  <r>
    <n v="192"/>
    <s v="Josh Rojas"/>
    <x v="0"/>
    <n v="156"/>
    <m/>
    <n v="0.7"/>
    <m/>
    <n v="0.7"/>
  </r>
  <r>
    <n v="193"/>
    <s v="Kyle Tucker"/>
    <x v="11"/>
    <n v="204"/>
    <m/>
    <n v="0.7"/>
    <m/>
    <n v="0.7"/>
  </r>
  <r>
    <n v="194"/>
    <s v="Willy Adames"/>
    <x v="26"/>
    <n v="209"/>
    <m/>
    <n v="0.7"/>
    <m/>
    <n v="0.7"/>
  </r>
  <r>
    <n v="195"/>
    <s v="David Robertson"/>
    <x v="20"/>
    <m/>
    <n v="21.1"/>
    <n v="0"/>
    <n v="0.7"/>
    <n v="0.7"/>
  </r>
  <r>
    <n v="196"/>
    <s v="Jesús Sánchez"/>
    <x v="28"/>
    <n v="77"/>
    <m/>
    <n v="0.7"/>
    <m/>
    <n v="0.7"/>
  </r>
  <r>
    <n v="197"/>
    <s v="Masataka Yoshida"/>
    <x v="21"/>
    <n v="185"/>
    <m/>
    <n v="0.7"/>
    <m/>
    <n v="0.7"/>
  </r>
  <r>
    <n v="198"/>
    <s v="Jorge Mateo"/>
    <x v="14"/>
    <n v="151"/>
    <m/>
    <n v="0.7"/>
    <m/>
    <n v="0.7"/>
  </r>
  <r>
    <n v="199"/>
    <s v="Trea Turner"/>
    <x v="18"/>
    <n v="217"/>
    <m/>
    <n v="0.7"/>
    <m/>
    <n v="0.7"/>
  </r>
  <r>
    <n v="200"/>
    <s v="Whit Merrifield"/>
    <x v="5"/>
    <n v="175"/>
    <m/>
    <n v="0.7"/>
    <m/>
    <n v="0.7"/>
  </r>
  <r>
    <n v="201"/>
    <s v="Jeffrey Springs"/>
    <x v="3"/>
    <m/>
    <n v="16"/>
    <n v="0"/>
    <n v="0.7"/>
    <n v="0.7"/>
  </r>
  <r>
    <n v="202"/>
    <s v="Huascar Brazoban"/>
    <x v="28"/>
    <m/>
    <n v="26.1"/>
    <n v="0"/>
    <n v="0.7"/>
    <n v="0.7"/>
  </r>
  <r>
    <n v="203"/>
    <s v="Griffin Jax"/>
    <x v="7"/>
    <m/>
    <n v="21.1"/>
    <n v="0"/>
    <n v="0.7"/>
    <n v="0.7"/>
  </r>
  <r>
    <n v="204"/>
    <s v="Nick Anderson"/>
    <x v="1"/>
    <m/>
    <n v="21.1"/>
    <n v="0"/>
    <n v="0.7"/>
    <n v="0.7"/>
  </r>
  <r>
    <n v="205"/>
    <s v="Aroldis Chapman"/>
    <x v="29"/>
    <m/>
    <n v="18.2"/>
    <n v="0"/>
    <n v="0.7"/>
    <n v="0.7"/>
  </r>
  <r>
    <n v="206"/>
    <s v="Ryan Jeffers"/>
    <x v="7"/>
    <n v="77"/>
    <m/>
    <n v="0.7"/>
    <m/>
    <n v="0.7"/>
  </r>
  <r>
    <n v="207"/>
    <s v="Ian Hamilton"/>
    <x v="8"/>
    <m/>
    <n v="22"/>
    <n v="0"/>
    <n v="0.7"/>
    <n v="0.7"/>
  </r>
  <r>
    <n v="208"/>
    <s v="Alex Bregman"/>
    <x v="11"/>
    <n v="218"/>
    <m/>
    <n v="0.7"/>
    <m/>
    <n v="0.7"/>
  </r>
  <r>
    <n v="209"/>
    <s v="Gabriel Moreno"/>
    <x v="0"/>
    <n v="135"/>
    <m/>
    <n v="0.7"/>
    <m/>
    <n v="0.7"/>
  </r>
  <r>
    <n v="210"/>
    <s v="Jon Berti"/>
    <x v="28"/>
    <n v="159"/>
    <m/>
    <n v="0.7"/>
    <m/>
    <n v="0.7"/>
  </r>
  <r>
    <n v="211"/>
    <s v="Brandon Lowe"/>
    <x v="3"/>
    <n v="167"/>
    <m/>
    <n v="0.7"/>
    <m/>
    <n v="0.7"/>
  </r>
  <r>
    <n v="212"/>
    <s v="Domingo Germán"/>
    <x v="8"/>
    <m/>
    <n v="48"/>
    <n v="0"/>
    <n v="0.7"/>
    <n v="0.7"/>
  </r>
  <r>
    <n v="213"/>
    <s v="Taj Bradley"/>
    <x v="3"/>
    <m/>
    <n v="24.1"/>
    <n v="0"/>
    <n v="0.7"/>
    <n v="0.7"/>
  </r>
  <r>
    <n v="214"/>
    <s v="Jake Fraley"/>
    <x v="25"/>
    <n v="154"/>
    <m/>
    <n v="0.7"/>
    <m/>
    <n v="0.7"/>
  </r>
  <r>
    <n v="215"/>
    <s v="Luis Garcia"/>
    <x v="11"/>
    <m/>
    <n v="27"/>
    <n v="0"/>
    <n v="0.7"/>
    <n v="0.7"/>
  </r>
  <r>
    <n v="216"/>
    <s v="Jake Bird"/>
    <x v="23"/>
    <m/>
    <n v="32.200000000000003"/>
    <n v="0"/>
    <n v="0.7"/>
    <n v="0.7"/>
  </r>
  <r>
    <n v="217"/>
    <s v="Braxton Garrett"/>
    <x v="28"/>
    <m/>
    <n v="43"/>
    <n v="0"/>
    <n v="0.7"/>
    <n v="0.7"/>
  </r>
  <r>
    <n v="218"/>
    <s v="Jaime Barría"/>
    <x v="4"/>
    <m/>
    <n v="28"/>
    <n v="0"/>
    <n v="0.7"/>
    <n v="0.7"/>
  </r>
  <r>
    <n v="219"/>
    <s v="Paul Sewald"/>
    <x v="15"/>
    <m/>
    <n v="21.2"/>
    <n v="0"/>
    <n v="0.7"/>
    <n v="0.7"/>
  </r>
  <r>
    <n v="220"/>
    <s v="Brad Hand"/>
    <x v="23"/>
    <m/>
    <n v="17.2"/>
    <n v="0"/>
    <n v="0.7"/>
    <n v="0.7"/>
  </r>
  <r>
    <n v="221"/>
    <s v="Maikel Garcia"/>
    <x v="29"/>
    <n v="78"/>
    <m/>
    <n v="0.7"/>
    <m/>
    <n v="0.7"/>
  </r>
  <r>
    <n v="222"/>
    <s v="Caleb Ferguson"/>
    <x v="6"/>
    <m/>
    <n v="18.100000000000001"/>
    <n v="0"/>
    <n v="0.7"/>
    <n v="0.7"/>
  </r>
  <r>
    <n v="223"/>
    <s v="Bryson Stott"/>
    <x v="18"/>
    <n v="209"/>
    <m/>
    <n v="0.6"/>
    <m/>
    <n v="0.6"/>
  </r>
  <r>
    <n v="224"/>
    <s v="Johan Oviedo"/>
    <x v="16"/>
    <m/>
    <n v="53.2"/>
    <n v="0"/>
    <n v="0.6"/>
    <n v="0.6"/>
  </r>
  <r>
    <n v="225"/>
    <s v="Yan Gomes"/>
    <x v="17"/>
    <n v="103"/>
    <m/>
    <n v="0.6"/>
    <m/>
    <n v="0.6"/>
  </r>
  <r>
    <n v="226"/>
    <s v="Nick Castellanos"/>
    <x v="18"/>
    <n v="206"/>
    <m/>
    <n v="0.6"/>
    <m/>
    <n v="0.6"/>
  </r>
  <r>
    <n v="227"/>
    <s v="Vinnie Pasquantino"/>
    <x v="29"/>
    <n v="214"/>
    <m/>
    <n v="0.6"/>
    <m/>
    <n v="0.6"/>
  </r>
  <r>
    <n v="228"/>
    <s v="Adam Frazier"/>
    <x v="14"/>
    <n v="169"/>
    <m/>
    <n v="0.6"/>
    <m/>
    <n v="0.6"/>
  </r>
  <r>
    <n v="229"/>
    <s v="Michael King"/>
    <x v="8"/>
    <m/>
    <n v="27.2"/>
    <n v="0"/>
    <n v="0.6"/>
    <n v="0.6"/>
  </r>
  <r>
    <n v="230"/>
    <s v="Andrew Chafin"/>
    <x v="0"/>
    <m/>
    <n v="19.100000000000001"/>
    <n v="0"/>
    <n v="0.6"/>
    <n v="0.6"/>
  </r>
  <r>
    <n v="231"/>
    <s v="Alex Lange"/>
    <x v="19"/>
    <m/>
    <n v="21.1"/>
    <n v="0"/>
    <n v="0.6"/>
    <n v="0.6"/>
  </r>
  <r>
    <n v="232"/>
    <s v="Mauricio Dubón"/>
    <x v="11"/>
    <n v="167"/>
    <m/>
    <n v="0.6"/>
    <m/>
    <n v="0.6"/>
  </r>
  <r>
    <n v="233"/>
    <s v="Rich Hill"/>
    <x v="16"/>
    <m/>
    <n v="52.2"/>
    <n v="0"/>
    <n v="0.6"/>
    <n v="0.6"/>
  </r>
  <r>
    <n v="234"/>
    <s v="Brusdar Graterol"/>
    <x v="6"/>
    <m/>
    <n v="20.2"/>
    <n v="0"/>
    <n v="0.6"/>
    <n v="0.6"/>
  </r>
  <r>
    <n v="235"/>
    <s v="Lance Lynn"/>
    <x v="9"/>
    <m/>
    <n v="57.1"/>
    <n v="0"/>
    <n v="0.6"/>
    <n v="0.6"/>
  </r>
  <r>
    <n v="236"/>
    <s v="Max Fried"/>
    <x v="1"/>
    <m/>
    <n v="26"/>
    <n v="0"/>
    <n v="0.6"/>
    <n v="0.6"/>
  </r>
  <r>
    <n v="237"/>
    <s v="Will Smith"/>
    <x v="2"/>
    <m/>
    <n v="17"/>
    <n v="0"/>
    <n v="0.6"/>
    <n v="0.6"/>
  </r>
  <r>
    <n v="238"/>
    <s v="Hunter Harvey"/>
    <x v="27"/>
    <m/>
    <n v="22.1"/>
    <n v="0"/>
    <n v="0.6"/>
    <n v="0.6"/>
  </r>
  <r>
    <n v="239"/>
    <s v="John Brebbia"/>
    <x v="12"/>
    <m/>
    <n v="20"/>
    <n v="0"/>
    <n v="0.6"/>
    <n v="0.6"/>
  </r>
  <r>
    <n v="240"/>
    <s v="Austin Riley"/>
    <x v="1"/>
    <n v="214"/>
    <m/>
    <n v="0.6"/>
    <m/>
    <n v="0.6"/>
  </r>
  <r>
    <n v="241"/>
    <s v="Dominic Fletcher"/>
    <x v="0"/>
    <n v="85"/>
    <m/>
    <n v="0.6"/>
    <m/>
    <n v="0.6"/>
  </r>
  <r>
    <n v="242"/>
    <s v="Ryan Feltner"/>
    <x v="23"/>
    <m/>
    <n v="35.1"/>
    <n v="0"/>
    <n v="0.6"/>
    <n v="0.6"/>
  </r>
  <r>
    <n v="243"/>
    <s v="Jake Cronenworth"/>
    <x v="13"/>
    <n v="201"/>
    <m/>
    <n v="0.6"/>
    <m/>
    <n v="0.6"/>
  </r>
  <r>
    <n v="244"/>
    <s v="Vince Velasquez"/>
    <x v="16"/>
    <m/>
    <n v="35.1"/>
    <n v="0"/>
    <n v="0.6"/>
    <n v="0.6"/>
  </r>
  <r>
    <n v="245"/>
    <s v="Nick Martinez"/>
    <x v="13"/>
    <m/>
    <n v="41.1"/>
    <n v="0"/>
    <n v="0.6"/>
    <n v="0.6"/>
  </r>
  <r>
    <n v="246"/>
    <s v="Mike Yastrzemski"/>
    <x v="12"/>
    <n v="129"/>
    <m/>
    <n v="0.6"/>
    <m/>
    <n v="0.6"/>
  </r>
  <r>
    <n v="247"/>
    <s v="Bryce Harper"/>
    <x v="18"/>
    <n v="83"/>
    <m/>
    <n v="0.6"/>
    <m/>
    <n v="0.6"/>
  </r>
  <r>
    <n v="248"/>
    <s v="Ryan Helsley"/>
    <x v="10"/>
    <m/>
    <n v="21"/>
    <n v="0"/>
    <n v="0.6"/>
    <n v="0.6"/>
  </r>
  <r>
    <n v="249"/>
    <s v="Ryne Nelson"/>
    <x v="0"/>
    <m/>
    <n v="52"/>
    <n v="0"/>
    <n v="0.6"/>
    <n v="0.6"/>
  </r>
  <r>
    <n v="250"/>
    <s v="Drew VerHagen"/>
    <x v="10"/>
    <m/>
    <n v="25"/>
    <n v="0"/>
    <n v="0.6"/>
    <n v="0.6"/>
  </r>
  <r>
    <n v="251"/>
    <s v="Kodai Senga"/>
    <x v="20"/>
    <m/>
    <n v="48"/>
    <n v="0"/>
    <n v="0.6"/>
    <n v="0.6"/>
  </r>
  <r>
    <n v="252"/>
    <s v="Bryan Abreu"/>
    <x v="11"/>
    <m/>
    <n v="23.2"/>
    <n v="0"/>
    <n v="0.6"/>
    <n v="0.6"/>
  </r>
  <r>
    <n v="253"/>
    <s v="Justin Lawrence"/>
    <x v="23"/>
    <m/>
    <n v="26"/>
    <n v="0"/>
    <n v="0.6"/>
    <n v="0.6"/>
  </r>
  <r>
    <n v="254"/>
    <s v="Anthony Santander"/>
    <x v="14"/>
    <n v="199"/>
    <m/>
    <n v="0.6"/>
    <m/>
    <n v="0.6"/>
  </r>
  <r>
    <n v="255"/>
    <s v="Tim Mayza"/>
    <x v="5"/>
    <m/>
    <n v="17"/>
    <n v="0"/>
    <n v="0.6"/>
    <n v="0.6"/>
  </r>
  <r>
    <n v="256"/>
    <s v="Christian Bethancourt"/>
    <x v="3"/>
    <n v="114"/>
    <n v="0.1"/>
    <n v="0.6"/>
    <n v="-0.1"/>
    <n v="0.6"/>
  </r>
  <r>
    <n v="257"/>
    <s v="Jesse Chavez"/>
    <x v="1"/>
    <m/>
    <n v="21.1"/>
    <n v="0"/>
    <n v="0.6"/>
    <n v="0.6"/>
  </r>
  <r>
    <n v="258"/>
    <s v="Hunter Gaddis"/>
    <x v="24"/>
    <m/>
    <n v="25.2"/>
    <n v="0"/>
    <n v="0.6"/>
    <n v="0.6"/>
  </r>
  <r>
    <n v="259"/>
    <s v="Willson Contreras"/>
    <x v="10"/>
    <n v="203"/>
    <m/>
    <n v="0.6"/>
    <m/>
    <n v="0.6"/>
  </r>
  <r>
    <n v="260"/>
    <s v="J.D. Martinez"/>
    <x v="6"/>
    <n v="151"/>
    <m/>
    <n v="0.6"/>
    <m/>
    <n v="0.6"/>
  </r>
  <r>
    <n v="261"/>
    <s v="Joey Wiemer"/>
    <x v="26"/>
    <n v="153"/>
    <m/>
    <n v="0.6"/>
    <m/>
    <n v="0.6"/>
  </r>
  <r>
    <n v="262"/>
    <s v="Clay Holmes"/>
    <x v="8"/>
    <m/>
    <n v="19.100000000000001"/>
    <n v="0"/>
    <n v="0.6"/>
    <n v="0.6"/>
  </r>
  <r>
    <n v="263"/>
    <s v="Mason Miller"/>
    <x v="22"/>
    <m/>
    <n v="21.1"/>
    <n v="0"/>
    <n v="0.6"/>
    <n v="0.6"/>
  </r>
  <r>
    <n v="264"/>
    <s v="Mark Leiter Jr."/>
    <x v="17"/>
    <m/>
    <n v="20.100000000000001"/>
    <n v="0"/>
    <n v="0.6"/>
    <n v="0.6"/>
  </r>
  <r>
    <n v="265"/>
    <s v="Anthony Rendon"/>
    <x v="4"/>
    <n v="130"/>
    <m/>
    <n v="0.6"/>
    <m/>
    <n v="0.6"/>
  </r>
  <r>
    <n v="266"/>
    <s v="Jake Rogers"/>
    <x v="19"/>
    <n v="97"/>
    <m/>
    <n v="0.6"/>
    <m/>
    <n v="0.6"/>
  </r>
  <r>
    <n v="267"/>
    <s v="Danny Coulombe"/>
    <x v="14"/>
    <m/>
    <n v="18.2"/>
    <n v="0"/>
    <n v="0.6"/>
    <n v="0.6"/>
  </r>
  <r>
    <n v="268"/>
    <s v="Victor Robles"/>
    <x v="27"/>
    <n v="107"/>
    <m/>
    <n v="0.5"/>
    <m/>
    <n v="0.5"/>
  </r>
  <r>
    <n v="269"/>
    <s v="Nestor Cortes"/>
    <x v="8"/>
    <m/>
    <n v="54.1"/>
    <n v="0"/>
    <n v="0.5"/>
    <n v="0.5"/>
  </r>
  <r>
    <n v="270"/>
    <s v="Miles Mikolas"/>
    <x v="10"/>
    <m/>
    <n v="54.2"/>
    <n v="0"/>
    <n v="0.5"/>
    <n v="0.5"/>
  </r>
  <r>
    <n v="271"/>
    <s v="Jason Foley"/>
    <x v="19"/>
    <m/>
    <n v="20.100000000000001"/>
    <n v="0"/>
    <n v="0.5"/>
    <n v="0.5"/>
  </r>
  <r>
    <n v="272"/>
    <s v="Adrian Houser"/>
    <x v="26"/>
    <m/>
    <n v="20"/>
    <n v="0"/>
    <n v="0.5"/>
    <n v="0.5"/>
  </r>
  <r>
    <n v="273"/>
    <s v="Lane Thomas"/>
    <x v="27"/>
    <n v="200"/>
    <n v="1"/>
    <n v="0.6"/>
    <n v="0"/>
    <n v="0.5"/>
  </r>
  <r>
    <n v="274"/>
    <s v="Rowdy Tellez"/>
    <x v="26"/>
    <n v="167"/>
    <m/>
    <n v="0.5"/>
    <m/>
    <n v="0.5"/>
  </r>
  <r>
    <n v="275"/>
    <s v="Kevin Kelly"/>
    <x v="3"/>
    <m/>
    <n v="24.1"/>
    <n v="0"/>
    <n v="0.5"/>
    <n v="0.5"/>
  </r>
  <r>
    <n v="276"/>
    <s v="Jeremy Peña"/>
    <x v="11"/>
    <n v="204"/>
    <m/>
    <n v="0.5"/>
    <m/>
    <n v="0.5"/>
  </r>
  <r>
    <n v="277"/>
    <s v="Ramón Urías"/>
    <x v="14"/>
    <n v="112"/>
    <m/>
    <n v="0.5"/>
    <m/>
    <n v="0.5"/>
  </r>
  <r>
    <n v="278"/>
    <s v="Emmanuel Clase"/>
    <x v="24"/>
    <m/>
    <n v="24"/>
    <n v="0"/>
    <n v="0.5"/>
    <n v="0.5"/>
  </r>
  <r>
    <n v="279"/>
    <s v="Clarke Schmidt"/>
    <x v="8"/>
    <m/>
    <n v="45"/>
    <n v="0"/>
    <n v="0.5"/>
    <n v="0.5"/>
  </r>
  <r>
    <n v="280"/>
    <s v="Daulton Varsho"/>
    <x v="5"/>
    <n v="204"/>
    <m/>
    <n v="0.5"/>
    <m/>
    <n v="0.5"/>
  </r>
  <r>
    <n v="281"/>
    <s v="Yoán Moncada"/>
    <x v="9"/>
    <n v="86"/>
    <m/>
    <n v="0.5"/>
    <m/>
    <n v="0.5"/>
  </r>
  <r>
    <n v="282"/>
    <s v="Miguel Castro"/>
    <x v="0"/>
    <m/>
    <n v="22.1"/>
    <n v="0"/>
    <n v="0.5"/>
    <n v="0.5"/>
  </r>
  <r>
    <n v="283"/>
    <s v="Chris Stratton"/>
    <x v="10"/>
    <m/>
    <n v="28.1"/>
    <n v="0"/>
    <n v="0.5"/>
    <n v="0.5"/>
  </r>
  <r>
    <n v="284"/>
    <s v="Brett Baty"/>
    <x v="20"/>
    <n v="112"/>
    <m/>
    <n v="0.5"/>
    <m/>
    <n v="0.5"/>
  </r>
  <r>
    <n v="285"/>
    <s v="Kyle Farmer"/>
    <x v="7"/>
    <n v="92"/>
    <m/>
    <n v="0.5"/>
    <m/>
    <n v="0.5"/>
  </r>
  <r>
    <n v="286"/>
    <s v="Bryan De La Cruz"/>
    <x v="28"/>
    <n v="178"/>
    <m/>
    <n v="0.5"/>
    <m/>
    <n v="0.5"/>
  </r>
  <r>
    <n v="287"/>
    <s v="Ryan Weathers"/>
    <x v="13"/>
    <m/>
    <n v="29.2"/>
    <n v="0"/>
    <n v="0.5"/>
    <n v="0.5"/>
  </r>
  <r>
    <n v="288"/>
    <s v="Jorge Polanco"/>
    <x v="7"/>
    <n v="101"/>
    <m/>
    <n v="0.5"/>
    <m/>
    <n v="0.5"/>
  </r>
  <r>
    <n v="289"/>
    <s v="Ty France"/>
    <x v="15"/>
    <n v="208"/>
    <m/>
    <n v="0.5"/>
    <m/>
    <n v="0.5"/>
  </r>
  <r>
    <n v="290"/>
    <s v="Phil Maton"/>
    <x v="11"/>
    <m/>
    <n v="23.1"/>
    <n v="0"/>
    <n v="0.5"/>
    <n v="0.5"/>
  </r>
  <r>
    <n v="291"/>
    <s v="Ozzie Albies"/>
    <x v="1"/>
    <n v="204"/>
    <m/>
    <n v="0.5"/>
    <m/>
    <n v="0.5"/>
  </r>
  <r>
    <n v="292"/>
    <s v="Martín Pérez"/>
    <x v="2"/>
    <m/>
    <n v="56.1"/>
    <n v="0"/>
    <n v="0.5"/>
    <n v="0.5"/>
  </r>
  <r>
    <n v="293"/>
    <s v="Joe Kelly"/>
    <x v="9"/>
    <m/>
    <n v="14.1"/>
    <n v="0"/>
    <n v="0.5"/>
    <n v="0.5"/>
  </r>
  <r>
    <n v="294"/>
    <s v="Colin Holderman"/>
    <x v="16"/>
    <m/>
    <n v="18.100000000000001"/>
    <n v="0"/>
    <n v="0.5"/>
    <n v="0.5"/>
  </r>
  <r>
    <n v="295"/>
    <s v="Javier Báez"/>
    <x v="19"/>
    <n v="188"/>
    <m/>
    <n v="0.5"/>
    <m/>
    <n v="0.5"/>
  </r>
  <r>
    <n v="296"/>
    <s v="Zack Greinke"/>
    <x v="29"/>
    <m/>
    <n v="57.1"/>
    <n v="0"/>
    <n v="0.5"/>
    <n v="0.5"/>
  </r>
  <r>
    <n v="297"/>
    <s v="Andrés Giménez"/>
    <x v="24"/>
    <n v="182"/>
    <m/>
    <n v="0.5"/>
    <m/>
    <n v="0.5"/>
  </r>
  <r>
    <n v="298"/>
    <s v="Kris Bubic"/>
    <x v="29"/>
    <m/>
    <n v="16"/>
    <n v="0"/>
    <n v="0.5"/>
    <n v="0.5"/>
  </r>
  <r>
    <n v="299"/>
    <s v="Michael Conforto"/>
    <x v="12"/>
    <n v="175"/>
    <m/>
    <n v="0.5"/>
    <m/>
    <n v="0.5"/>
  </r>
  <r>
    <n v="300"/>
    <s v="Camilo Doval"/>
    <x v="12"/>
    <m/>
    <n v="22.2"/>
    <n v="0"/>
    <n v="0.5"/>
    <n v="0.5"/>
  </r>
  <r>
    <n v="301"/>
    <s v="Gabe Speier"/>
    <x v="15"/>
    <m/>
    <n v="17.2"/>
    <n v="0"/>
    <n v="0.5"/>
    <n v="0.5"/>
  </r>
  <r>
    <n v="302"/>
    <s v="Michael A. Taylor"/>
    <x v="7"/>
    <n v="133"/>
    <m/>
    <n v="0.5"/>
    <m/>
    <n v="0.5"/>
  </r>
  <r>
    <n v="303"/>
    <s v="Rob Refsnyder"/>
    <x v="21"/>
    <n v="88"/>
    <m/>
    <n v="0.5"/>
    <m/>
    <n v="0.5"/>
  </r>
  <r>
    <n v="304"/>
    <s v="Joel Payamps"/>
    <x v="26"/>
    <m/>
    <n v="24.1"/>
    <n v="0"/>
    <n v="0.5"/>
    <n v="0.5"/>
  </r>
  <r>
    <n v="305"/>
    <s v="Bailey Falter"/>
    <x v="18"/>
    <m/>
    <n v="40.1"/>
    <n v="0"/>
    <n v="0.5"/>
    <n v="0.5"/>
  </r>
  <r>
    <n v="306"/>
    <s v="Jordan Romano"/>
    <x v="5"/>
    <m/>
    <n v="19"/>
    <n v="0"/>
    <n v="0.5"/>
    <n v="0.5"/>
  </r>
  <r>
    <n v="307"/>
    <s v="Gunnar Henderson"/>
    <x v="14"/>
    <n v="163"/>
    <m/>
    <n v="0.5"/>
    <m/>
    <n v="0.5"/>
  </r>
  <r>
    <n v="308"/>
    <s v="Marco Gonzales"/>
    <x v="15"/>
    <m/>
    <n v="44.1"/>
    <n v="0"/>
    <n v="0.5"/>
    <n v="0.5"/>
  </r>
  <r>
    <n v="309"/>
    <s v="Peter Strzelecki"/>
    <x v="26"/>
    <m/>
    <n v="22"/>
    <n v="0"/>
    <n v="0.5"/>
    <n v="0.5"/>
  </r>
  <r>
    <n v="310"/>
    <s v="Manuel Margot"/>
    <x v="3"/>
    <n v="130"/>
    <m/>
    <n v="0.5"/>
    <m/>
    <n v="0.5"/>
  </r>
  <r>
    <n v="311"/>
    <s v="Ke'Bryan Hayes"/>
    <x v="16"/>
    <n v="197"/>
    <m/>
    <n v="0.5"/>
    <m/>
    <n v="0.5"/>
  </r>
  <r>
    <n v="312"/>
    <s v="Josh H. Smith"/>
    <x v="2"/>
    <n v="99"/>
    <m/>
    <n v="0.5"/>
    <m/>
    <n v="0.5"/>
  </r>
  <r>
    <n v="313"/>
    <s v="Noah Syndergaard"/>
    <x v="6"/>
    <m/>
    <n v="41.1"/>
    <n v="0"/>
    <n v="0.5"/>
    <n v="0.5"/>
  </r>
  <r>
    <n v="314"/>
    <s v="Justin Turner"/>
    <x v="21"/>
    <n v="205"/>
    <m/>
    <n v="0.5"/>
    <m/>
    <n v="0.5"/>
  </r>
  <r>
    <n v="315"/>
    <s v="Andrew Wantz"/>
    <x v="4"/>
    <m/>
    <n v="21.2"/>
    <n v="0"/>
    <n v="0.5"/>
    <n v="0.5"/>
  </r>
  <r>
    <n v="316"/>
    <s v="Matt McLain"/>
    <x v="25"/>
    <n v="37"/>
    <m/>
    <n v="0.5"/>
    <m/>
    <n v="0.5"/>
  </r>
  <r>
    <n v="317"/>
    <s v="Adbert Alzolay"/>
    <x v="17"/>
    <m/>
    <n v="23.2"/>
    <n v="0"/>
    <n v="0.4"/>
    <n v="0.4"/>
  </r>
  <r>
    <n v="318"/>
    <s v="Nick Senzel"/>
    <x v="25"/>
    <n v="145"/>
    <m/>
    <n v="0.4"/>
    <m/>
    <n v="0.4"/>
  </r>
  <r>
    <n v="319"/>
    <s v="Zach Jackson"/>
    <x v="22"/>
    <m/>
    <n v="18"/>
    <n v="0"/>
    <n v="0.4"/>
    <n v="0.4"/>
  </r>
  <r>
    <n v="320"/>
    <s v="Max Kepler"/>
    <x v="7"/>
    <n v="114"/>
    <m/>
    <n v="0.4"/>
    <m/>
    <n v="0.4"/>
  </r>
  <r>
    <n v="321"/>
    <s v="Zack Short"/>
    <x v="19"/>
    <n v="29"/>
    <m/>
    <n v="0.4"/>
    <m/>
    <n v="0.4"/>
  </r>
  <r>
    <n v="322"/>
    <s v="Trevor Williams"/>
    <x v="27"/>
    <m/>
    <n v="50"/>
    <n v="0"/>
    <n v="0.4"/>
    <n v="0.4"/>
  </r>
  <r>
    <n v="323"/>
    <s v="Brandon Drury"/>
    <x v="4"/>
    <n v="179"/>
    <m/>
    <n v="0.4"/>
    <m/>
    <n v="0.4"/>
  </r>
  <r>
    <n v="324"/>
    <s v="Connor Wong"/>
    <x v="21"/>
    <n v="113"/>
    <m/>
    <n v="0.4"/>
    <m/>
    <n v="0.4"/>
  </r>
  <r>
    <n v="325"/>
    <s v="Logan O'Hoppe"/>
    <x v="4"/>
    <n v="59"/>
    <m/>
    <n v="0.4"/>
    <m/>
    <n v="0.4"/>
  </r>
  <r>
    <n v="326"/>
    <s v="Aaron Civale"/>
    <x v="24"/>
    <m/>
    <n v="12.2"/>
    <n v="0"/>
    <n v="0.4"/>
    <n v="0.4"/>
  </r>
  <r>
    <n v="327"/>
    <s v="Roansy Contreras"/>
    <x v="16"/>
    <m/>
    <n v="50"/>
    <n v="0"/>
    <n v="0.4"/>
    <n v="0.4"/>
  </r>
  <r>
    <n v="328"/>
    <s v="A.J. Minter"/>
    <x v="1"/>
    <m/>
    <n v="22"/>
    <n v="0"/>
    <n v="0.4"/>
    <n v="0.4"/>
  </r>
  <r>
    <n v="329"/>
    <s v="Cristian Pache"/>
    <x v="18"/>
    <n v="26"/>
    <m/>
    <n v="0.4"/>
    <m/>
    <n v="0.4"/>
  </r>
  <r>
    <n v="330"/>
    <s v="Carlos Pérez"/>
    <x v="22"/>
    <n v="85"/>
    <n v="1.2"/>
    <n v="0.5"/>
    <n v="-0.1"/>
    <n v="0.4"/>
  </r>
  <r>
    <n v="331"/>
    <s v="Chris Bassitt"/>
    <x v="5"/>
    <m/>
    <n v="62.1"/>
    <n v="0"/>
    <n v="0.4"/>
    <n v="0.4"/>
  </r>
  <r>
    <n v="332"/>
    <s v="Giovanny Gallegos"/>
    <x v="10"/>
    <m/>
    <n v="19.100000000000001"/>
    <n v="0"/>
    <n v="0.4"/>
    <n v="0.4"/>
  </r>
  <r>
    <n v="333"/>
    <s v="Óscar Mercado"/>
    <x v="10"/>
    <n v="20"/>
    <m/>
    <n v="0.4"/>
    <m/>
    <n v="0.4"/>
  </r>
  <r>
    <n v="334"/>
    <s v="Akil Baddoo"/>
    <x v="19"/>
    <n v="119"/>
    <m/>
    <n v="0.4"/>
    <m/>
    <n v="0.4"/>
  </r>
  <r>
    <n v="335"/>
    <s v="Bryan Baker"/>
    <x v="14"/>
    <m/>
    <n v="22.2"/>
    <n v="0"/>
    <n v="0.4"/>
    <n v="0.4"/>
  </r>
  <r>
    <n v="336"/>
    <s v="Manny Machado"/>
    <x v="13"/>
    <n v="170"/>
    <m/>
    <n v="0.4"/>
    <m/>
    <n v="0.4"/>
  </r>
  <r>
    <n v="337"/>
    <s v="DJ LeMahieu"/>
    <x v="8"/>
    <n v="182"/>
    <m/>
    <n v="0.4"/>
    <m/>
    <n v="0.4"/>
  </r>
  <r>
    <n v="338"/>
    <s v="Kevin Pillar"/>
    <x v="1"/>
    <n v="83"/>
    <m/>
    <n v="0.4"/>
    <m/>
    <n v="0.4"/>
  </r>
  <r>
    <n v="339"/>
    <s v="Carlos Hernández"/>
    <x v="29"/>
    <m/>
    <n v="25"/>
    <n v="0"/>
    <n v="0.4"/>
    <n v="0.4"/>
  </r>
  <r>
    <n v="340"/>
    <s v="Matt Thaiss"/>
    <x v="4"/>
    <n v="91"/>
    <m/>
    <n v="0.4"/>
    <m/>
    <n v="0.4"/>
  </r>
  <r>
    <n v="341"/>
    <s v="Nicky Lopez"/>
    <x v="29"/>
    <n v="71"/>
    <m/>
    <n v="0.4"/>
    <m/>
    <n v="0.4"/>
  </r>
  <r>
    <n v="342"/>
    <s v="Jimmy Cordero"/>
    <x v="8"/>
    <m/>
    <n v="21.1"/>
    <n v="0"/>
    <n v="0.4"/>
    <n v="0.4"/>
  </r>
  <r>
    <n v="343"/>
    <s v="Josh Sborz"/>
    <x v="2"/>
    <n v="1"/>
    <n v="16"/>
    <n v="0"/>
    <n v="0.4"/>
    <n v="0.4"/>
  </r>
  <r>
    <n v="344"/>
    <s v="Freddy Fermin"/>
    <x v="29"/>
    <n v="41"/>
    <m/>
    <n v="0.4"/>
    <m/>
    <n v="0.4"/>
  </r>
  <r>
    <n v="345"/>
    <s v="Jose Trevino"/>
    <x v="8"/>
    <n v="102"/>
    <m/>
    <n v="0.4"/>
    <m/>
    <n v="0.4"/>
  </r>
  <r>
    <n v="346"/>
    <s v="Mike Clevinger"/>
    <x v="9"/>
    <m/>
    <n v="47.1"/>
    <n v="0"/>
    <n v="0.4"/>
    <n v="0.4"/>
  </r>
  <r>
    <n v="347"/>
    <s v="Luis García"/>
    <x v="13"/>
    <m/>
    <n v="19.100000000000001"/>
    <n v="0"/>
    <n v="0.4"/>
    <n v="0.4"/>
  </r>
  <r>
    <n v="348"/>
    <s v="Josh Winckowski"/>
    <x v="21"/>
    <m/>
    <n v="29.1"/>
    <n v="0"/>
    <n v="0.4"/>
    <n v="0.4"/>
  </r>
  <r>
    <n v="349"/>
    <s v="Gregory Santos"/>
    <x v="9"/>
    <m/>
    <n v="24.1"/>
    <n v="0"/>
    <n v="0.4"/>
    <n v="0.4"/>
  </r>
  <r>
    <n v="350"/>
    <s v="Willi Castro"/>
    <x v="7"/>
    <n v="96"/>
    <n v="0.1"/>
    <n v="0.4"/>
    <n v="0"/>
    <n v="0.4"/>
  </r>
  <r>
    <n v="351"/>
    <s v="Gregory Soto"/>
    <x v="18"/>
    <m/>
    <n v="21.1"/>
    <n v="0"/>
    <n v="0.4"/>
    <n v="0.4"/>
  </r>
  <r>
    <n v="352"/>
    <s v="Raimel Tapia"/>
    <x v="21"/>
    <n v="77"/>
    <m/>
    <n v="0.4"/>
    <m/>
    <n v="0.4"/>
  </r>
  <r>
    <n v="353"/>
    <s v="Tucupita Marcano"/>
    <x v="16"/>
    <n v="86"/>
    <m/>
    <n v="0.4"/>
    <m/>
    <n v="0.4"/>
  </r>
  <r>
    <n v="354"/>
    <s v="Dauri Moreta"/>
    <x v="16"/>
    <m/>
    <n v="22.1"/>
    <n v="0"/>
    <n v="0.4"/>
    <n v="0.4"/>
  </r>
  <r>
    <n v="355"/>
    <s v="Devin Williams"/>
    <x v="26"/>
    <m/>
    <n v="15.1"/>
    <n v="0"/>
    <n v="0.4"/>
    <n v="0.4"/>
  </r>
  <r>
    <n v="356"/>
    <s v="Hector Neris"/>
    <x v="11"/>
    <m/>
    <n v="20.100000000000001"/>
    <n v="0"/>
    <n v="0.4"/>
    <n v="0.4"/>
  </r>
  <r>
    <n v="357"/>
    <s v="Danny Jansen"/>
    <x v="5"/>
    <n v="132"/>
    <m/>
    <n v="0.4"/>
    <m/>
    <n v="0.4"/>
  </r>
  <r>
    <n v="358"/>
    <s v="Steven Kwan"/>
    <x v="24"/>
    <n v="220"/>
    <m/>
    <n v="0.4"/>
    <m/>
    <n v="0.4"/>
  </r>
  <r>
    <n v="359"/>
    <s v="Yasmani Grandal"/>
    <x v="9"/>
    <n v="150"/>
    <m/>
    <n v="0.4"/>
    <m/>
    <n v="0.4"/>
  </r>
  <r>
    <n v="360"/>
    <s v="Travis Jankowski"/>
    <x v="2"/>
    <n v="77"/>
    <m/>
    <n v="0.4"/>
    <m/>
    <n v="0.4"/>
  </r>
  <r>
    <n v="361"/>
    <s v="Mason Thompson"/>
    <x v="27"/>
    <m/>
    <n v="24.1"/>
    <n v="0"/>
    <n v="0.4"/>
    <n v="0.4"/>
  </r>
  <r>
    <n v="362"/>
    <s v="Alex Young"/>
    <x v="25"/>
    <m/>
    <n v="20.100000000000001"/>
    <n v="0"/>
    <n v="0.4"/>
    <n v="0.4"/>
  </r>
  <r>
    <n v="363"/>
    <s v="Andrew Benintendi"/>
    <x v="9"/>
    <n v="197"/>
    <m/>
    <n v="0.4"/>
    <m/>
    <n v="0.4"/>
  </r>
  <r>
    <n v="364"/>
    <s v="Brandon Belt"/>
    <x v="5"/>
    <n v="127"/>
    <m/>
    <n v="0.4"/>
    <m/>
    <n v="0.4"/>
  </r>
  <r>
    <n v="365"/>
    <s v="Teoscar Hernández"/>
    <x v="15"/>
    <n v="204"/>
    <m/>
    <n v="0.4"/>
    <m/>
    <n v="0.4"/>
  </r>
  <r>
    <n v="366"/>
    <s v="Griffin Canning"/>
    <x v="4"/>
    <m/>
    <n v="36.1"/>
    <n v="0"/>
    <n v="0.4"/>
    <n v="0.4"/>
  </r>
  <r>
    <n v="367"/>
    <s v="Andrew Heaney"/>
    <x v="2"/>
    <m/>
    <n v="48"/>
    <n v="0"/>
    <n v="0.4"/>
    <n v="0.4"/>
  </r>
  <r>
    <n v="368"/>
    <s v="Chas McCormick"/>
    <x v="11"/>
    <n v="82"/>
    <m/>
    <n v="0.4"/>
    <m/>
    <n v="0.4"/>
  </r>
  <r>
    <n v="369"/>
    <s v="Chris Taylor"/>
    <x v="6"/>
    <n v="125"/>
    <m/>
    <n v="0.4"/>
    <m/>
    <n v="0.4"/>
  </r>
  <r>
    <n v="370"/>
    <s v="Tyler Mahle"/>
    <x v="7"/>
    <m/>
    <n v="25.2"/>
    <n v="0"/>
    <n v="0.4"/>
    <n v="0.4"/>
  </r>
  <r>
    <n v="371"/>
    <s v="Edward Cabrera"/>
    <x v="28"/>
    <m/>
    <n v="46.1"/>
    <n v="0"/>
    <n v="0.4"/>
    <n v="0.4"/>
  </r>
  <r>
    <n v="372"/>
    <s v="Phil Bickford"/>
    <x v="6"/>
    <m/>
    <n v="23"/>
    <n v="0"/>
    <n v="0.4"/>
    <n v="0.4"/>
  </r>
  <r>
    <n v="373"/>
    <s v="Luke Maile"/>
    <x v="25"/>
    <n v="51"/>
    <n v="2"/>
    <n v="0.3"/>
    <n v="0"/>
    <n v="0.4"/>
  </r>
  <r>
    <n v="374"/>
    <s v="A.J. Puk"/>
    <x v="28"/>
    <m/>
    <n v="14.2"/>
    <n v="0"/>
    <n v="0.3"/>
    <n v="0.3"/>
  </r>
  <r>
    <n v="375"/>
    <s v="Rougned Odor"/>
    <x v="13"/>
    <n v="71"/>
    <m/>
    <n v="0.3"/>
    <m/>
    <n v="0.3"/>
  </r>
  <r>
    <n v="376"/>
    <s v="Garrett Mitchell"/>
    <x v="26"/>
    <n v="62"/>
    <m/>
    <n v="0.3"/>
    <m/>
    <n v="0.3"/>
  </r>
  <r>
    <n v="377"/>
    <s v="Evan Phillips"/>
    <x v="6"/>
    <m/>
    <n v="19"/>
    <n v="0"/>
    <n v="0.3"/>
    <n v="0.3"/>
  </r>
  <r>
    <n v="378"/>
    <s v="Wade Miley"/>
    <x v="26"/>
    <m/>
    <n v="41.2"/>
    <n v="0"/>
    <n v="0.3"/>
    <n v="0.3"/>
  </r>
  <r>
    <n v="379"/>
    <s v="Chris Devenski"/>
    <x v="4"/>
    <m/>
    <n v="14.2"/>
    <n v="0"/>
    <n v="0.3"/>
    <n v="0.3"/>
  </r>
  <r>
    <n v="380"/>
    <s v="Matthew Boyd"/>
    <x v="19"/>
    <m/>
    <n v="42.1"/>
    <n v="0"/>
    <n v="0.3"/>
    <n v="0.3"/>
  </r>
  <r>
    <n v="381"/>
    <s v="Joc Pederson"/>
    <x v="12"/>
    <n v="97"/>
    <m/>
    <n v="0.3"/>
    <m/>
    <n v="0.3"/>
  </r>
  <r>
    <n v="382"/>
    <s v="Oneil Cruz"/>
    <x v="16"/>
    <n v="40"/>
    <m/>
    <n v="0.3"/>
    <m/>
    <n v="0.3"/>
  </r>
  <r>
    <n v="383"/>
    <s v="Alex Kirilloff"/>
    <x v="7"/>
    <n v="61"/>
    <m/>
    <n v="0.3"/>
    <m/>
    <n v="0.3"/>
  </r>
  <r>
    <n v="384"/>
    <s v="Alex Call"/>
    <x v="27"/>
    <n v="189"/>
    <m/>
    <n v="0.3"/>
    <m/>
    <n v="0.3"/>
  </r>
  <r>
    <n v="385"/>
    <s v="Tyler Wells"/>
    <x v="14"/>
    <m/>
    <n v="57"/>
    <n v="0"/>
    <n v="0.3"/>
    <n v="0.3"/>
  </r>
  <r>
    <n v="386"/>
    <s v="Casey Schmitt"/>
    <x v="12"/>
    <n v="58"/>
    <m/>
    <n v="0.3"/>
    <m/>
    <n v="0.3"/>
  </r>
  <r>
    <n v="387"/>
    <s v="Kody Clemens"/>
    <x v="18"/>
    <n v="62"/>
    <n v="1.2"/>
    <n v="0.4"/>
    <n v="0"/>
    <n v="0.3"/>
  </r>
  <r>
    <n v="388"/>
    <s v="Justin Topa"/>
    <x v="15"/>
    <m/>
    <n v="19.100000000000001"/>
    <n v="0"/>
    <n v="0.3"/>
    <n v="0.3"/>
  </r>
  <r>
    <n v="389"/>
    <s v="Brandon Woodruff"/>
    <x v="26"/>
    <m/>
    <n v="11.1"/>
    <n v="0"/>
    <n v="0.3"/>
    <n v="0.3"/>
  </r>
  <r>
    <n v="390"/>
    <s v="Ron Marinaccio"/>
    <x v="8"/>
    <m/>
    <n v="24"/>
    <n v="0"/>
    <n v="0.3"/>
    <n v="0.3"/>
  </r>
  <r>
    <n v="391"/>
    <s v="Will Vest"/>
    <x v="19"/>
    <m/>
    <n v="16"/>
    <n v="0"/>
    <n v="0.3"/>
    <n v="0.3"/>
  </r>
  <r>
    <n v="392"/>
    <s v="Corbin Burnes"/>
    <x v="26"/>
    <m/>
    <n v="56.2"/>
    <n v="0"/>
    <n v="0.3"/>
    <n v="0.3"/>
  </r>
  <r>
    <n v="393"/>
    <s v="Kyle Bradish"/>
    <x v="14"/>
    <m/>
    <n v="37.1"/>
    <n v="0"/>
    <n v="0.3"/>
    <n v="0.3"/>
  </r>
  <r>
    <n v="394"/>
    <s v="Ryan Pressly"/>
    <x v="11"/>
    <m/>
    <n v="19.100000000000001"/>
    <n v="0"/>
    <n v="0.3"/>
    <n v="0.3"/>
  </r>
  <r>
    <n v="395"/>
    <s v="Giancarlo Stanton"/>
    <x v="8"/>
    <n v="54"/>
    <m/>
    <n v="0.3"/>
    <m/>
    <n v="0.3"/>
  </r>
  <r>
    <n v="396"/>
    <s v="Austin Slater"/>
    <x v="12"/>
    <n v="22"/>
    <m/>
    <n v="0.3"/>
    <m/>
    <n v="0.3"/>
  </r>
  <r>
    <n v="397"/>
    <s v="Steven Okert"/>
    <x v="28"/>
    <m/>
    <n v="14.1"/>
    <n v="0"/>
    <n v="0.3"/>
    <n v="0.3"/>
  </r>
  <r>
    <n v="398"/>
    <s v="Jon Gray"/>
    <x v="2"/>
    <m/>
    <n v="50.2"/>
    <n v="0"/>
    <n v="0.3"/>
    <n v="0.3"/>
  </r>
  <r>
    <n v="399"/>
    <s v="Tony Gonsolin"/>
    <x v="6"/>
    <m/>
    <n v="29.2"/>
    <n v="0"/>
    <n v="0.3"/>
    <n v="0.3"/>
  </r>
  <r>
    <n v="400"/>
    <s v="Kyle Nelson"/>
    <x v="0"/>
    <m/>
    <n v="19.100000000000001"/>
    <n v="0"/>
    <n v="0.3"/>
    <n v="0.3"/>
  </r>
  <r>
    <n v="401"/>
    <s v="Keynan Middleton"/>
    <x v="9"/>
    <m/>
    <n v="15.1"/>
    <n v="0"/>
    <n v="0.3"/>
    <n v="0.3"/>
  </r>
  <r>
    <n v="402"/>
    <s v="Dylan Lee"/>
    <x v="1"/>
    <m/>
    <n v="20.100000000000001"/>
    <n v="0"/>
    <n v="0.3"/>
    <n v="0.3"/>
  </r>
  <r>
    <n v="403"/>
    <s v="Chase Anderson"/>
    <x v="30"/>
    <m/>
    <n v="15.2"/>
    <n v="0"/>
    <n v="0.3"/>
    <n v="0.3"/>
  </r>
  <r>
    <n v="404"/>
    <s v="Ben Lively"/>
    <x v="25"/>
    <m/>
    <n v="17"/>
    <n v="0"/>
    <n v="0.3"/>
    <n v="0.3"/>
  </r>
  <r>
    <n v="405"/>
    <s v="Scott Barlow"/>
    <x v="29"/>
    <m/>
    <n v="19"/>
    <n v="0"/>
    <n v="0.3"/>
    <n v="0.3"/>
  </r>
  <r>
    <n v="406"/>
    <s v="Taylor Clarke"/>
    <x v="29"/>
    <m/>
    <n v="23.2"/>
    <n v="0"/>
    <n v="0.3"/>
    <n v="0.3"/>
  </r>
  <r>
    <n v="407"/>
    <s v="Yuli Gurriel"/>
    <x v="28"/>
    <n v="112"/>
    <m/>
    <n v="0.3"/>
    <m/>
    <n v="0.3"/>
  </r>
  <r>
    <n v="408"/>
    <s v="Dylan Floro"/>
    <x v="28"/>
    <m/>
    <n v="21.2"/>
    <n v="0"/>
    <n v="0.3"/>
    <n v="0.3"/>
  </r>
  <r>
    <n v="409"/>
    <s v="Max Scherzer"/>
    <x v="20"/>
    <m/>
    <n v="33.200000000000003"/>
    <n v="0"/>
    <n v="0.3"/>
    <n v="0.3"/>
  </r>
  <r>
    <n v="410"/>
    <s v="Taijuan Walker"/>
    <x v="18"/>
    <m/>
    <n v="46.2"/>
    <n v="0"/>
    <n v="0.3"/>
    <n v="0.3"/>
  </r>
  <r>
    <n v="411"/>
    <s v="Carlos Santana"/>
    <x v="16"/>
    <n v="193"/>
    <m/>
    <n v="0.3"/>
    <m/>
    <n v="0.3"/>
  </r>
  <r>
    <n v="412"/>
    <s v="Michael Perez"/>
    <x v="20"/>
    <n v="7"/>
    <m/>
    <n v="0.3"/>
    <m/>
    <n v="0.3"/>
  </r>
  <r>
    <n v="413"/>
    <s v="JP Sears"/>
    <x v="22"/>
    <m/>
    <n v="48.2"/>
    <n v="0"/>
    <n v="0.3"/>
    <n v="0.3"/>
  </r>
  <r>
    <n v="414"/>
    <s v="Stuart Fairchild"/>
    <x v="25"/>
    <n v="114"/>
    <m/>
    <n v="0.3"/>
    <m/>
    <n v="0.3"/>
  </r>
  <r>
    <n v="415"/>
    <s v="Jose Hernandez"/>
    <x v="16"/>
    <m/>
    <n v="19.2"/>
    <n v="0"/>
    <n v="0.3"/>
    <n v="0.3"/>
  </r>
  <r>
    <n v="416"/>
    <s v="Alejandro Kirk"/>
    <x v="5"/>
    <n v="135"/>
    <m/>
    <n v="0.3"/>
    <m/>
    <n v="0.3"/>
  </r>
  <r>
    <n v="417"/>
    <s v="Randal Grichuk"/>
    <x v="23"/>
    <n v="77"/>
    <m/>
    <n v="0.3"/>
    <m/>
    <n v="0.3"/>
  </r>
  <r>
    <n v="418"/>
    <s v="Kenley Jansen"/>
    <x v="21"/>
    <m/>
    <n v="14.2"/>
    <n v="0"/>
    <n v="0.3"/>
    <n v="0.3"/>
  </r>
  <r>
    <n v="419"/>
    <s v="Emilio Pagán"/>
    <x v="7"/>
    <m/>
    <n v="19.2"/>
    <n v="0"/>
    <n v="0.3"/>
    <n v="0.3"/>
  </r>
  <r>
    <n v="420"/>
    <s v="Bryse Wilson"/>
    <x v="26"/>
    <m/>
    <n v="26.2"/>
    <n v="0"/>
    <n v="0.3"/>
    <n v="0.3"/>
  </r>
  <r>
    <n v="421"/>
    <s v="Carlos Correa"/>
    <x v="7"/>
    <n v="192"/>
    <m/>
    <n v="0.3"/>
    <m/>
    <n v="0.3"/>
  </r>
  <r>
    <n v="422"/>
    <s v="Trevor Larnach"/>
    <x v="7"/>
    <n v="152"/>
    <m/>
    <n v="0.3"/>
    <m/>
    <n v="0.3"/>
  </r>
  <r>
    <n v="423"/>
    <s v="Xzavion Curry"/>
    <x v="24"/>
    <m/>
    <n v="25.1"/>
    <n v="0"/>
    <n v="0.3"/>
    <n v="0.3"/>
  </r>
  <r>
    <n v="424"/>
    <s v="George Springer"/>
    <x v="5"/>
    <n v="211"/>
    <m/>
    <n v="0.3"/>
    <m/>
    <n v="0.3"/>
  </r>
  <r>
    <n v="425"/>
    <s v="Emmanuel Rivera"/>
    <x v="0"/>
    <n v="65"/>
    <m/>
    <n v="0.3"/>
    <m/>
    <n v="0.3"/>
  </r>
  <r>
    <n v="426"/>
    <s v="Nick Fortes"/>
    <x v="28"/>
    <n v="100"/>
    <m/>
    <n v="0.3"/>
    <m/>
    <n v="0.3"/>
  </r>
  <r>
    <n v="427"/>
    <s v="Steven Matz"/>
    <x v="10"/>
    <m/>
    <n v="50.1"/>
    <n v="0"/>
    <n v="0.3"/>
    <n v="0.3"/>
  </r>
  <r>
    <n v="428"/>
    <s v="Aaron Bummer"/>
    <x v="9"/>
    <m/>
    <n v="15"/>
    <n v="0"/>
    <n v="0.3"/>
    <n v="0.3"/>
  </r>
  <r>
    <n v="429"/>
    <s v="Collin McHugh"/>
    <x v="1"/>
    <m/>
    <n v="18"/>
    <n v="0"/>
    <n v="0.3"/>
    <n v="0.3"/>
  </r>
  <r>
    <n v="430"/>
    <s v="Edmundo Sosa"/>
    <x v="18"/>
    <n v="116"/>
    <m/>
    <n v="0.3"/>
    <m/>
    <n v="0.3"/>
  </r>
  <r>
    <n v="431"/>
    <s v="Buck Farmer"/>
    <x v="25"/>
    <m/>
    <n v="24"/>
    <n v="0"/>
    <n v="0.3"/>
    <n v="0.3"/>
  </r>
  <r>
    <n v="432"/>
    <s v="Eduardo Escobar"/>
    <x v="20"/>
    <n v="90"/>
    <m/>
    <n v="0.3"/>
    <m/>
    <n v="0.3"/>
  </r>
  <r>
    <n v="433"/>
    <s v="Matt Moore"/>
    <x v="4"/>
    <m/>
    <n v="25"/>
    <n v="0"/>
    <n v="0.3"/>
    <n v="0.3"/>
  </r>
  <r>
    <n v="434"/>
    <s v="Noah Davis"/>
    <x v="23"/>
    <m/>
    <n v="11.2"/>
    <n v="0"/>
    <n v="0.3"/>
    <n v="0.3"/>
  </r>
  <r>
    <n v="435"/>
    <s v="José De León"/>
    <x v="7"/>
    <m/>
    <n v="4.2"/>
    <n v="0"/>
    <n v="0.3"/>
    <n v="0.3"/>
  </r>
  <r>
    <n v="436"/>
    <s v="John Schreiber"/>
    <x v="21"/>
    <m/>
    <n v="17"/>
    <n v="0"/>
    <n v="0.3"/>
    <n v="0.3"/>
  </r>
  <r>
    <n v="437"/>
    <s v="Stone Garrett"/>
    <x v="27"/>
    <n v="92"/>
    <m/>
    <n v="0.3"/>
    <m/>
    <n v="0.3"/>
  </r>
  <r>
    <n v="438"/>
    <s v="Justin Bruihl"/>
    <x v="6"/>
    <m/>
    <n v="12.1"/>
    <n v="0"/>
    <n v="0.2"/>
    <n v="0.2"/>
  </r>
  <r>
    <n v="439"/>
    <s v="Mitch Garver"/>
    <x v="2"/>
    <n v="22"/>
    <m/>
    <n v="0.2"/>
    <m/>
    <n v="0.2"/>
  </r>
  <r>
    <n v="440"/>
    <s v="Ranger Suárez"/>
    <x v="18"/>
    <m/>
    <n v="11"/>
    <n v="0"/>
    <n v="0.2"/>
    <n v="0.2"/>
  </r>
  <r>
    <n v="441"/>
    <s v="Nick Pratto"/>
    <x v="29"/>
    <n v="103"/>
    <m/>
    <n v="0.2"/>
    <m/>
    <n v="0.2"/>
  </r>
  <r>
    <n v="442"/>
    <s v="Cal Quantrill"/>
    <x v="24"/>
    <m/>
    <n v="55"/>
    <n v="0"/>
    <n v="0.2"/>
    <n v="0.2"/>
  </r>
  <r>
    <n v="443"/>
    <s v="Jack Flaherty"/>
    <x v="10"/>
    <m/>
    <n v="51"/>
    <n v="0"/>
    <n v="0.2"/>
    <n v="0.2"/>
  </r>
  <r>
    <n v="444"/>
    <s v="Sam Hilliard"/>
    <x v="1"/>
    <n v="75"/>
    <m/>
    <n v="0.2"/>
    <m/>
    <n v="0.2"/>
  </r>
  <r>
    <n v="445"/>
    <s v="Spencer Steer"/>
    <x v="25"/>
    <n v="197"/>
    <m/>
    <n v="0.2"/>
    <m/>
    <n v="0.2"/>
  </r>
  <r>
    <n v="446"/>
    <s v="Trevor Rogers"/>
    <x v="28"/>
    <m/>
    <n v="18"/>
    <n v="0"/>
    <n v="0.2"/>
    <n v="0.2"/>
  </r>
  <r>
    <n v="447"/>
    <s v="Fernando Cruz"/>
    <x v="25"/>
    <m/>
    <n v="13.2"/>
    <n v="0"/>
    <n v="0.2"/>
    <n v="0.2"/>
  </r>
  <r>
    <n v="448"/>
    <s v="Tucker Davidson"/>
    <x v="4"/>
    <m/>
    <n v="20"/>
    <n v="0"/>
    <n v="0.2"/>
    <n v="0.2"/>
  </r>
  <r>
    <n v="449"/>
    <s v="Zach Plesac"/>
    <x v="24"/>
    <m/>
    <n v="21.1"/>
    <n v="0"/>
    <n v="0.2"/>
    <n v="0.2"/>
  </r>
  <r>
    <n v="450"/>
    <s v="Michael Lorenzen"/>
    <x v="19"/>
    <m/>
    <n v="39.200000000000003"/>
    <n v="0"/>
    <n v="0.2"/>
    <n v="0.2"/>
  </r>
  <r>
    <n v="451"/>
    <s v="Charlie Blackmon"/>
    <x v="23"/>
    <n v="191"/>
    <m/>
    <n v="0.2"/>
    <m/>
    <n v="0.2"/>
  </r>
  <r>
    <n v="452"/>
    <s v="JJ Bleday"/>
    <x v="22"/>
    <n v="60"/>
    <m/>
    <n v="0.2"/>
    <m/>
    <n v="0.2"/>
  </r>
  <r>
    <n v="453"/>
    <s v="Tyler Freeman"/>
    <x v="24"/>
    <n v="20"/>
    <m/>
    <n v="0.2"/>
    <m/>
    <n v="0.2"/>
  </r>
  <r>
    <n v="454"/>
    <s v="Victor Caratini"/>
    <x v="26"/>
    <n v="64"/>
    <m/>
    <n v="0.2"/>
    <m/>
    <n v="0.2"/>
  </r>
  <r>
    <n v="455"/>
    <s v="Dean Kremer"/>
    <x v="14"/>
    <m/>
    <n v="52.2"/>
    <n v="0"/>
    <n v="0.2"/>
    <n v="0.2"/>
  </r>
  <r>
    <n v="456"/>
    <s v="Jonathan Davis"/>
    <x v="28"/>
    <n v="4"/>
    <m/>
    <n v="0.2"/>
    <m/>
    <n v="0.2"/>
  </r>
  <r>
    <n v="457"/>
    <s v="Gavin Sheets"/>
    <x v="9"/>
    <n v="119"/>
    <m/>
    <n v="0.2"/>
    <m/>
    <n v="0.2"/>
  </r>
  <r>
    <n v="458"/>
    <s v="Luis Severino"/>
    <x v="8"/>
    <m/>
    <n v="4.2"/>
    <n v="0"/>
    <n v="0.2"/>
    <n v="0.2"/>
  </r>
  <r>
    <n v="459"/>
    <s v="Germán Márquez"/>
    <x v="23"/>
    <m/>
    <n v="20"/>
    <n v="0"/>
    <n v="0.2"/>
    <n v="0.2"/>
  </r>
  <r>
    <n v="460"/>
    <s v="Tanner Scott"/>
    <x v="28"/>
    <m/>
    <n v="22"/>
    <n v="0"/>
    <n v="0.2"/>
    <n v="0.2"/>
  </r>
  <r>
    <n v="461"/>
    <s v="Bryan Hoeing"/>
    <x v="28"/>
    <m/>
    <n v="16.2"/>
    <n v="0"/>
    <n v="0.2"/>
    <n v="0.2"/>
  </r>
  <r>
    <n v="462"/>
    <s v="JT Chargois"/>
    <x v="28"/>
    <m/>
    <n v="7"/>
    <n v="0"/>
    <n v="0.2"/>
    <n v="0.2"/>
  </r>
  <r>
    <n v="463"/>
    <s v="Ryan McKenna"/>
    <x v="14"/>
    <n v="56"/>
    <m/>
    <n v="0.2"/>
    <m/>
    <n v="0.2"/>
  </r>
  <r>
    <n v="464"/>
    <s v="Donovan Solano"/>
    <x v="7"/>
    <n v="122"/>
    <m/>
    <n v="0.2"/>
    <m/>
    <n v="0.2"/>
  </r>
  <r>
    <n v="465"/>
    <s v="Corey Julks"/>
    <x v="11"/>
    <n v="126"/>
    <m/>
    <n v="0.2"/>
    <m/>
    <n v="0.2"/>
  </r>
  <r>
    <n v="466"/>
    <s v="Josh Staumont"/>
    <x v="29"/>
    <m/>
    <n v="15.1"/>
    <n v="0"/>
    <n v="0.2"/>
    <n v="0.2"/>
  </r>
  <r>
    <n v="467"/>
    <s v="Tom Cosgrove"/>
    <x v="13"/>
    <m/>
    <n v="9"/>
    <n v="0"/>
    <n v="0.2"/>
    <n v="0.2"/>
  </r>
  <r>
    <n v="468"/>
    <s v="Kevin Ginkel"/>
    <x v="0"/>
    <m/>
    <n v="21.1"/>
    <n v="0"/>
    <n v="0.2"/>
    <n v="0.2"/>
  </r>
  <r>
    <n v="469"/>
    <s v="José Quijada"/>
    <x v="4"/>
    <m/>
    <n v="9"/>
    <n v="0"/>
    <n v="0.2"/>
    <n v="0.2"/>
  </r>
  <r>
    <n v="470"/>
    <s v="Bobby Miller"/>
    <x v="6"/>
    <m/>
    <n v="5"/>
    <n v="0"/>
    <n v="0.2"/>
    <n v="0.2"/>
  </r>
  <r>
    <n v="471"/>
    <s v="Mike Tauchman"/>
    <x v="17"/>
    <n v="14"/>
    <m/>
    <n v="0.2"/>
    <m/>
    <n v="0.2"/>
  </r>
  <r>
    <n v="472"/>
    <s v="Julio Urías"/>
    <x v="6"/>
    <m/>
    <n v="55.1"/>
    <n v="0"/>
    <n v="0.2"/>
    <n v="0.2"/>
  </r>
  <r>
    <n v="473"/>
    <s v="Yu Chang"/>
    <x v="21"/>
    <n v="47"/>
    <m/>
    <n v="0.2"/>
    <m/>
    <n v="0.2"/>
  </r>
  <r>
    <n v="474"/>
    <s v="Cionel Pérez"/>
    <x v="14"/>
    <m/>
    <n v="18.100000000000001"/>
    <n v="0"/>
    <n v="0.2"/>
    <n v="0.2"/>
  </r>
  <r>
    <n v="475"/>
    <s v="Tyler Holton"/>
    <x v="19"/>
    <m/>
    <n v="24.1"/>
    <n v="0"/>
    <n v="0.2"/>
    <n v="0.2"/>
  </r>
  <r>
    <n v="476"/>
    <s v="Luis García"/>
    <x v="27"/>
    <n v="175"/>
    <m/>
    <n v="0.2"/>
    <m/>
    <n v="0.2"/>
  </r>
  <r>
    <n v="477"/>
    <s v="Rodolfo Castro"/>
    <x v="16"/>
    <n v="134"/>
    <m/>
    <n v="0.2"/>
    <m/>
    <n v="0.2"/>
  </r>
  <r>
    <n v="478"/>
    <s v="Eli Morgan"/>
    <x v="24"/>
    <m/>
    <n v="21"/>
    <n v="0"/>
    <n v="0.2"/>
    <n v="0.2"/>
  </r>
  <r>
    <n v="479"/>
    <s v="Jhoan Duran"/>
    <x v="7"/>
    <m/>
    <n v="18.100000000000001"/>
    <n v="0"/>
    <n v="0.2"/>
    <n v="0.2"/>
  </r>
  <r>
    <n v="480"/>
    <s v="Caleb Thielbar"/>
    <x v="7"/>
    <m/>
    <n v="10"/>
    <n v="0"/>
    <n v="0.2"/>
    <n v="0.2"/>
  </r>
  <r>
    <n v="481"/>
    <s v="Jeff Hoffman"/>
    <x v="18"/>
    <m/>
    <n v="7.1"/>
    <n v="0"/>
    <n v="0.2"/>
    <n v="0.2"/>
  </r>
  <r>
    <n v="482"/>
    <s v="Chris Martin"/>
    <x v="21"/>
    <m/>
    <n v="13"/>
    <n v="0"/>
    <n v="0.2"/>
    <n v="0.2"/>
  </r>
  <r>
    <n v="483"/>
    <s v="Seranthony Domínguez"/>
    <x v="18"/>
    <m/>
    <n v="19"/>
    <n v="0"/>
    <n v="0.2"/>
    <n v="0.2"/>
  </r>
  <r>
    <n v="484"/>
    <s v="Evan Longoria"/>
    <x v="0"/>
    <n v="93"/>
    <m/>
    <n v="0.2"/>
    <m/>
    <n v="0.2"/>
  </r>
  <r>
    <n v="485"/>
    <s v="Easton McGee"/>
    <x v="15"/>
    <m/>
    <n v="6.2"/>
    <n v="0"/>
    <n v="0.2"/>
    <n v="0.2"/>
  </r>
  <r>
    <n v="486"/>
    <s v="Justin Verlander"/>
    <x v="20"/>
    <m/>
    <n v="25"/>
    <n v="0"/>
    <n v="0.2"/>
    <n v="0.2"/>
  </r>
  <r>
    <n v="487"/>
    <s v="Carl Edwards Jr."/>
    <x v="27"/>
    <m/>
    <n v="20.2"/>
    <n v="0"/>
    <n v="0.2"/>
    <n v="0.2"/>
  </r>
  <r>
    <n v="488"/>
    <s v="Tayler Saucedo"/>
    <x v="15"/>
    <m/>
    <n v="9"/>
    <n v="0"/>
    <n v="0.2"/>
    <n v="0.2"/>
  </r>
  <r>
    <n v="489"/>
    <s v="Victor González"/>
    <x v="6"/>
    <m/>
    <n v="13.2"/>
    <n v="0"/>
    <n v="0.2"/>
    <n v="0.2"/>
  </r>
  <r>
    <n v="490"/>
    <s v="Lucas Sims"/>
    <x v="25"/>
    <m/>
    <n v="13.2"/>
    <n v="0"/>
    <n v="0.2"/>
    <n v="0.2"/>
  </r>
  <r>
    <n v="491"/>
    <s v="Jorge López"/>
    <x v="7"/>
    <m/>
    <n v="22"/>
    <n v="0"/>
    <n v="0.2"/>
    <n v="0.2"/>
  </r>
  <r>
    <n v="492"/>
    <s v="Ryan O'Hearn"/>
    <x v="14"/>
    <n v="35"/>
    <m/>
    <n v="0.2"/>
    <m/>
    <n v="0.2"/>
  </r>
  <r>
    <n v="493"/>
    <s v="Colin Poche"/>
    <x v="3"/>
    <m/>
    <n v="16.2"/>
    <n v="0"/>
    <n v="0.2"/>
    <n v="0.2"/>
  </r>
  <r>
    <n v="494"/>
    <s v="Tyler Rogers"/>
    <x v="12"/>
    <m/>
    <n v="25"/>
    <n v="0"/>
    <n v="0.2"/>
    <n v="0.2"/>
  </r>
  <r>
    <n v="495"/>
    <s v="Luis F. Ortiz"/>
    <x v="18"/>
    <m/>
    <n v="10"/>
    <n v="0"/>
    <n v="0.2"/>
    <n v="0.2"/>
  </r>
  <r>
    <n v="496"/>
    <s v="Julian Merryweather"/>
    <x v="17"/>
    <m/>
    <n v="18.100000000000001"/>
    <n v="0"/>
    <n v="0.2"/>
    <n v="0.2"/>
  </r>
  <r>
    <n v="497"/>
    <s v="Andrew Vasquez"/>
    <x v="18"/>
    <m/>
    <n v="22.1"/>
    <n v="0"/>
    <n v="0.2"/>
    <n v="0.2"/>
  </r>
  <r>
    <n v="498"/>
    <s v="Kevin Herget"/>
    <x v="25"/>
    <m/>
    <n v="16.2"/>
    <n v="0"/>
    <n v="0.2"/>
    <n v="0.2"/>
  </r>
  <r>
    <n v="499"/>
    <s v="Kyle Isbel"/>
    <x v="29"/>
    <n v="96"/>
    <m/>
    <n v="0.2"/>
    <m/>
    <n v="0.2"/>
  </r>
  <r>
    <n v="500"/>
    <s v="Raisel Iglesias"/>
    <x v="1"/>
    <m/>
    <n v="7.1"/>
    <n v="0"/>
    <n v="0.2"/>
    <n v="0.2"/>
  </r>
  <r>
    <n v="501"/>
    <s v="Brady Singer"/>
    <x v="29"/>
    <m/>
    <n v="49.1"/>
    <n v="0"/>
    <n v="0.2"/>
    <n v="0.2"/>
  </r>
  <r>
    <n v="502"/>
    <s v="David Peterson"/>
    <x v="20"/>
    <m/>
    <n v="39"/>
    <n v="0"/>
    <n v="0.2"/>
    <n v="0.2"/>
  </r>
  <r>
    <n v="503"/>
    <s v="Kris Bryant"/>
    <x v="23"/>
    <n v="191"/>
    <m/>
    <n v="0.2"/>
    <m/>
    <n v="0.2"/>
  </r>
  <r>
    <n v="504"/>
    <s v="Matt Duffy"/>
    <x v="29"/>
    <n v="70"/>
    <m/>
    <n v="0.2"/>
    <m/>
    <n v="0.2"/>
  </r>
  <r>
    <n v="505"/>
    <s v="Cristopher Sánchez"/>
    <x v="18"/>
    <m/>
    <n v="4.0999999999999996"/>
    <n v="0"/>
    <n v="0.2"/>
    <n v="0.2"/>
  </r>
  <r>
    <n v="506"/>
    <s v="Alex Vesia"/>
    <x v="6"/>
    <m/>
    <n v="10.1"/>
    <n v="0"/>
    <n v="0.2"/>
    <n v="0.2"/>
  </r>
  <r>
    <n v="507"/>
    <s v="Ramón Laureano"/>
    <x v="22"/>
    <n v="143"/>
    <m/>
    <n v="0.2"/>
    <m/>
    <n v="0.2"/>
  </r>
  <r>
    <n v="508"/>
    <s v="Ildemaro Vargas"/>
    <x v="27"/>
    <n v="38"/>
    <m/>
    <n v="0.2"/>
    <m/>
    <n v="0.2"/>
  </r>
  <r>
    <n v="509"/>
    <s v="Steven Wilson"/>
    <x v="13"/>
    <m/>
    <n v="22.2"/>
    <n v="0"/>
    <n v="0.1"/>
    <n v="0.1"/>
  </r>
  <r>
    <n v="510"/>
    <s v="Nate Pearson"/>
    <x v="5"/>
    <m/>
    <n v="13"/>
    <n v="0"/>
    <n v="0.1"/>
    <n v="0.1"/>
  </r>
  <r>
    <n v="511"/>
    <s v="Christian Arroyo"/>
    <x v="21"/>
    <n v="79"/>
    <m/>
    <n v="0.1"/>
    <m/>
    <n v="0.1"/>
  </r>
  <r>
    <n v="512"/>
    <s v="Jose Altuve"/>
    <x v="11"/>
    <n v="16"/>
    <m/>
    <n v="0.1"/>
    <m/>
    <n v="0.1"/>
  </r>
  <r>
    <n v="513"/>
    <s v="Matt Carpenter"/>
    <x v="13"/>
    <n v="119"/>
    <m/>
    <n v="0.1"/>
    <m/>
    <n v="0.1"/>
  </r>
  <r>
    <n v="514"/>
    <s v="Jeremiah Estrada"/>
    <x v="17"/>
    <m/>
    <n v="8"/>
    <n v="0"/>
    <n v="0.1"/>
    <n v="0.1"/>
  </r>
  <r>
    <n v="515"/>
    <s v="Andrew Knizner"/>
    <x v="10"/>
    <n v="74"/>
    <m/>
    <n v="0.1"/>
    <m/>
    <n v="0.1"/>
  </r>
  <r>
    <n v="516"/>
    <s v="Pierce Johnson"/>
    <x v="23"/>
    <m/>
    <n v="20"/>
    <n v="0"/>
    <n v="0.1"/>
    <n v="0.1"/>
  </r>
  <r>
    <n v="517"/>
    <s v="Riley Adams"/>
    <x v="27"/>
    <n v="33"/>
    <m/>
    <n v="0.1"/>
    <m/>
    <n v="0.1"/>
  </r>
  <r>
    <n v="518"/>
    <s v="Kyle Higashioka"/>
    <x v="8"/>
    <n v="78"/>
    <m/>
    <n v="0.1"/>
    <m/>
    <n v="0.1"/>
  </r>
  <r>
    <n v="519"/>
    <s v="Edward Olivares"/>
    <x v="29"/>
    <n v="148"/>
    <m/>
    <n v="0.1"/>
    <m/>
    <n v="0.1"/>
  </r>
  <r>
    <n v="520"/>
    <s v="Joey Bart"/>
    <x v="12"/>
    <n v="84"/>
    <m/>
    <n v="0.1"/>
    <m/>
    <n v="0.1"/>
  </r>
  <r>
    <n v="521"/>
    <s v="Michael Grove"/>
    <x v="6"/>
    <m/>
    <n v="16"/>
    <n v="0"/>
    <n v="0.1"/>
    <n v="0.1"/>
  </r>
  <r>
    <n v="522"/>
    <s v="Mike Zunino"/>
    <x v="24"/>
    <n v="107"/>
    <m/>
    <n v="0.1"/>
    <m/>
    <n v="0.1"/>
  </r>
  <r>
    <n v="523"/>
    <s v="Kenta Maeda"/>
    <x v="7"/>
    <m/>
    <n v="16"/>
    <n v="0"/>
    <n v="0.1"/>
    <n v="0.1"/>
  </r>
  <r>
    <n v="524"/>
    <s v="Travis d'Arnaud"/>
    <x v="1"/>
    <n v="57"/>
    <m/>
    <n v="0.1"/>
    <m/>
    <n v="0.1"/>
  </r>
  <r>
    <n v="525"/>
    <s v="Brayan Bello"/>
    <x v="21"/>
    <m/>
    <n v="35.1"/>
    <n v="0"/>
    <n v="0.1"/>
    <n v="0.1"/>
  </r>
  <r>
    <n v="526"/>
    <s v="Ezequiel Tovar"/>
    <x v="23"/>
    <n v="167"/>
    <m/>
    <n v="0.1"/>
    <m/>
    <n v="0.1"/>
  </r>
  <r>
    <n v="527"/>
    <s v="Kyle Wright"/>
    <x v="1"/>
    <m/>
    <n v="18.2"/>
    <n v="0"/>
    <n v="0.1"/>
    <n v="0.1"/>
  </r>
  <r>
    <n v="528"/>
    <s v="Yimi García"/>
    <x v="5"/>
    <m/>
    <n v="22.2"/>
    <n v="0"/>
    <n v="0.1"/>
    <n v="0.1"/>
  </r>
  <r>
    <n v="529"/>
    <s v="Gio Urshela"/>
    <x v="4"/>
    <n v="175"/>
    <m/>
    <n v="0.1"/>
    <m/>
    <n v="0.1"/>
  </r>
  <r>
    <n v="530"/>
    <s v="Clint Frazier"/>
    <x v="9"/>
    <n v="13"/>
    <m/>
    <n v="0.1"/>
    <m/>
    <n v="0.1"/>
  </r>
  <r>
    <n v="531"/>
    <s v="Chase Silseth"/>
    <x v="4"/>
    <m/>
    <n v="13.2"/>
    <n v="0"/>
    <n v="0.1"/>
    <n v="0.1"/>
  </r>
  <r>
    <n v="532"/>
    <s v="Michael Rucker"/>
    <x v="17"/>
    <m/>
    <n v="18.100000000000001"/>
    <n v="0"/>
    <n v="0.1"/>
    <n v="0.1"/>
  </r>
  <r>
    <n v="533"/>
    <s v="Matthew Liberatore"/>
    <x v="10"/>
    <m/>
    <n v="6"/>
    <n v="0"/>
    <n v="0.1"/>
    <n v="0.1"/>
  </r>
  <r>
    <n v="534"/>
    <s v="Luis L. Ortiz"/>
    <x v="16"/>
    <m/>
    <n v="15.2"/>
    <n v="0"/>
    <n v="0.1"/>
    <n v="0.1"/>
  </r>
  <r>
    <n v="535"/>
    <s v="Matt Barnes"/>
    <x v="28"/>
    <m/>
    <n v="20.100000000000001"/>
    <n v="0"/>
    <n v="0.1"/>
    <n v="0.1"/>
  </r>
  <r>
    <n v="536"/>
    <s v="Luis Cessa"/>
    <x v="25"/>
    <m/>
    <n v="26"/>
    <n v="0"/>
    <n v="0.1"/>
    <n v="0.1"/>
  </r>
  <r>
    <n v="537"/>
    <s v="Tyler Anderson"/>
    <x v="4"/>
    <m/>
    <n v="48.2"/>
    <n v="0"/>
    <n v="0.1"/>
    <n v="0.1"/>
  </r>
  <r>
    <n v="538"/>
    <s v="Keegan Akin"/>
    <x v="14"/>
    <m/>
    <n v="10.199999999999999"/>
    <n v="0"/>
    <n v="0.1"/>
    <n v="0.1"/>
  </r>
  <r>
    <n v="539"/>
    <s v="Greg Allen"/>
    <x v="8"/>
    <n v="1"/>
    <m/>
    <n v="0.1"/>
    <m/>
    <n v="0.1"/>
  </r>
  <r>
    <n v="540"/>
    <s v="Mike Mayers"/>
    <x v="29"/>
    <m/>
    <n v="7.1"/>
    <n v="0"/>
    <n v="0.1"/>
    <n v="0.1"/>
  </r>
  <r>
    <n v="541"/>
    <s v="Jordan Diaz"/>
    <x v="22"/>
    <n v="72"/>
    <m/>
    <n v="0.1"/>
    <m/>
    <n v="0.1"/>
  </r>
  <r>
    <n v="542"/>
    <s v="Austin Wynns"/>
    <x v="30"/>
    <n v="31"/>
    <m/>
    <n v="0.1"/>
    <m/>
    <n v="0.1"/>
  </r>
  <r>
    <n v="543"/>
    <s v="Danny Young"/>
    <x v="1"/>
    <m/>
    <n v="8.1"/>
    <n v="0"/>
    <n v="0.1"/>
    <n v="0.1"/>
  </r>
  <r>
    <n v="544"/>
    <s v="CJ Abrams"/>
    <x v="27"/>
    <n v="167"/>
    <m/>
    <n v="0.1"/>
    <m/>
    <n v="0.1"/>
  </r>
  <r>
    <n v="545"/>
    <s v="Kutter Crawford"/>
    <x v="21"/>
    <m/>
    <n v="27.2"/>
    <n v="0"/>
    <n v="0.1"/>
    <n v="0.1"/>
  </r>
  <r>
    <n v="546"/>
    <s v="Ian Kennedy"/>
    <x v="2"/>
    <m/>
    <n v="10"/>
    <n v="0"/>
    <n v="0.1"/>
    <n v="0.1"/>
  </r>
  <r>
    <n v="547"/>
    <s v="Nathan Lukes"/>
    <x v="5"/>
    <n v="12"/>
    <m/>
    <n v="0.1"/>
    <m/>
    <n v="0.1"/>
  </r>
  <r>
    <n v="548"/>
    <s v="Patrick Bailey"/>
    <x v="12"/>
    <n v="15"/>
    <m/>
    <n v="0.1"/>
    <m/>
    <n v="0.1"/>
  </r>
  <r>
    <n v="549"/>
    <s v="Zack Thompson"/>
    <x v="10"/>
    <m/>
    <n v="11.2"/>
    <n v="0"/>
    <n v="0.1"/>
    <n v="0.1"/>
  </r>
  <r>
    <n v="550"/>
    <s v="Seth Martinez"/>
    <x v="11"/>
    <m/>
    <n v="18.2"/>
    <n v="0"/>
    <n v="0.1"/>
    <n v="0.1"/>
  </r>
  <r>
    <n v="551"/>
    <s v="Ryan Walker"/>
    <x v="12"/>
    <m/>
    <n v="3"/>
    <n v="0"/>
    <n v="0.1"/>
    <n v="0.1"/>
  </r>
  <r>
    <n v="552"/>
    <s v="Colin Rea"/>
    <x v="26"/>
    <m/>
    <n v="36.1"/>
    <n v="0"/>
    <n v="0.1"/>
    <n v="0.1"/>
  </r>
  <r>
    <n v="553"/>
    <s v="Kerry Carpenter"/>
    <x v="19"/>
    <n v="75"/>
    <m/>
    <n v="0.1"/>
    <m/>
    <n v="0.1"/>
  </r>
  <r>
    <n v="554"/>
    <s v="Ian Gibaut"/>
    <x v="25"/>
    <m/>
    <n v="22.1"/>
    <n v="0"/>
    <n v="0.1"/>
    <n v="0.1"/>
  </r>
  <r>
    <n v="555"/>
    <s v="Ryan Mountcastle"/>
    <x v="14"/>
    <n v="216"/>
    <m/>
    <n v="0.1"/>
    <m/>
    <n v="0.1"/>
  </r>
  <r>
    <n v="556"/>
    <s v="Jake Irvin"/>
    <x v="27"/>
    <m/>
    <n v="18"/>
    <n v="0"/>
    <n v="0.1"/>
    <n v="0.1"/>
  </r>
  <r>
    <n v="557"/>
    <s v="Taylor Trammell"/>
    <x v="15"/>
    <n v="42"/>
    <m/>
    <n v="0.1"/>
    <m/>
    <n v="0.1"/>
  </r>
  <r>
    <n v="558"/>
    <s v="Eloy Jiménez"/>
    <x v="9"/>
    <n v="106"/>
    <m/>
    <n v="0.1"/>
    <m/>
    <n v="0.1"/>
  </r>
  <r>
    <n v="559"/>
    <s v="Wilmer Flores"/>
    <x v="12"/>
    <n v="131"/>
    <m/>
    <n v="0.1"/>
    <m/>
    <n v="0.1"/>
  </r>
  <r>
    <n v="560"/>
    <s v="Isiah Kiner-Falefa"/>
    <x v="8"/>
    <n v="98"/>
    <n v="1"/>
    <n v="0.1"/>
    <n v="0"/>
    <n v="0.1"/>
  </r>
  <r>
    <n v="561"/>
    <s v="Jovani Moran"/>
    <x v="7"/>
    <m/>
    <n v="21.2"/>
    <n v="0"/>
    <n v="0.1"/>
    <n v="0.1"/>
  </r>
  <r>
    <n v="562"/>
    <s v="Chad Wallach"/>
    <x v="4"/>
    <n v="51"/>
    <m/>
    <n v="0.1"/>
    <m/>
    <n v="0.1"/>
  </r>
  <r>
    <n v="563"/>
    <s v="Joe Mantiply"/>
    <x v="0"/>
    <m/>
    <n v="7.2"/>
    <n v="0"/>
    <n v="0.1"/>
    <n v="0.1"/>
  </r>
  <r>
    <n v="564"/>
    <s v="Jameson Taillon"/>
    <x v="17"/>
    <m/>
    <n v="26.2"/>
    <n v="0"/>
    <n v="0.1"/>
    <n v="0.1"/>
  </r>
  <r>
    <n v="565"/>
    <s v="Jesse Scholtens"/>
    <x v="9"/>
    <m/>
    <n v="8"/>
    <n v="0"/>
    <n v="0.1"/>
    <n v="0.1"/>
  </r>
  <r>
    <n v="566"/>
    <s v="Michael Fulmer"/>
    <x v="17"/>
    <m/>
    <n v="20"/>
    <n v="0"/>
    <n v="0.1"/>
    <n v="0.1"/>
  </r>
  <r>
    <n v="567"/>
    <s v="Josh Palacios"/>
    <x v="16"/>
    <n v="19"/>
    <m/>
    <n v="0.1"/>
    <m/>
    <n v="0.1"/>
  </r>
  <r>
    <n v="568"/>
    <s v="Trent Grisham"/>
    <x v="13"/>
    <n v="179"/>
    <m/>
    <n v="0.1"/>
    <m/>
    <n v="0.1"/>
  </r>
  <r>
    <n v="569"/>
    <s v="Sam Hentges"/>
    <x v="24"/>
    <m/>
    <n v="4"/>
    <n v="0"/>
    <n v="0.1"/>
    <n v="0.1"/>
  </r>
  <r>
    <n v="570"/>
    <s v="Brock Stewart"/>
    <x v="7"/>
    <m/>
    <n v="13"/>
    <n v="0"/>
    <n v="0.1"/>
    <n v="0.1"/>
  </r>
  <r>
    <n v="571"/>
    <s v="Andrés Muñoz"/>
    <x v="15"/>
    <m/>
    <n v="3.1"/>
    <n v="0"/>
    <n v="0.1"/>
    <n v="0.1"/>
  </r>
  <r>
    <n v="572"/>
    <s v="Austin Hedges"/>
    <x v="16"/>
    <n v="89"/>
    <m/>
    <n v="0.1"/>
    <m/>
    <n v="0.1"/>
  </r>
  <r>
    <n v="573"/>
    <s v="Scott Alexander"/>
    <x v="12"/>
    <m/>
    <n v="18.100000000000001"/>
    <n v="0"/>
    <n v="0.1"/>
    <n v="0.1"/>
  </r>
  <r>
    <n v="574"/>
    <s v="Rob Zastryzny"/>
    <x v="16"/>
    <m/>
    <n v="7.2"/>
    <n v="0"/>
    <n v="0.1"/>
    <n v="0.1"/>
  </r>
  <r>
    <n v="575"/>
    <s v="Taylor Motter"/>
    <x v="10"/>
    <n v="22"/>
    <m/>
    <n v="0.1"/>
    <m/>
    <n v="0.1"/>
  </r>
  <r>
    <n v="576"/>
    <s v="Darin Ruf"/>
    <x v="30"/>
    <n v="41"/>
    <m/>
    <n v="0.1"/>
    <m/>
    <n v="0.1"/>
  </r>
  <r>
    <n v="577"/>
    <s v="Sam Long"/>
    <x v="22"/>
    <m/>
    <n v="15.1"/>
    <n v="0"/>
    <n v="0.1"/>
    <n v="0.1"/>
  </r>
  <r>
    <n v="578"/>
    <s v="Drew Carlton"/>
    <x v="13"/>
    <m/>
    <n v="3"/>
    <n v="0"/>
    <n v="0.1"/>
    <n v="0.1"/>
  </r>
  <r>
    <n v="579"/>
    <s v="Ryne Stanek"/>
    <x v="11"/>
    <m/>
    <n v="16.100000000000001"/>
    <n v="0"/>
    <n v="0.1"/>
    <n v="0.1"/>
  </r>
  <r>
    <n v="580"/>
    <s v="Nick Mears"/>
    <x v="23"/>
    <m/>
    <n v="6"/>
    <n v="0"/>
    <n v="0.1"/>
    <n v="0.1"/>
  </r>
  <r>
    <n v="581"/>
    <s v="Mike Baumann"/>
    <x v="14"/>
    <m/>
    <n v="26"/>
    <n v="0"/>
    <n v="0.1"/>
    <n v="0.1"/>
  </r>
  <r>
    <n v="582"/>
    <s v="Kyle Garlick"/>
    <x v="7"/>
    <n v="16"/>
    <m/>
    <n v="0.1"/>
    <m/>
    <n v="0.1"/>
  </r>
  <r>
    <n v="583"/>
    <s v="Braden Bristo"/>
    <x v="3"/>
    <m/>
    <n v="3"/>
    <n v="0"/>
    <n v="0.1"/>
    <n v="0.1"/>
  </r>
  <r>
    <n v="584"/>
    <s v="George Soriano"/>
    <x v="28"/>
    <m/>
    <n v="7"/>
    <n v="0"/>
    <n v="0.1"/>
    <n v="0.1"/>
  </r>
  <r>
    <n v="585"/>
    <s v="Packy Naughton"/>
    <x v="10"/>
    <m/>
    <n v="5"/>
    <n v="0"/>
    <n v="0.1"/>
    <n v="0.1"/>
  </r>
  <r>
    <n v="586"/>
    <s v="Alex Wood"/>
    <x v="12"/>
    <m/>
    <n v="20"/>
    <n v="0"/>
    <n v="0.1"/>
    <n v="0.1"/>
  </r>
  <r>
    <n v="587"/>
    <s v="Ben Rortvedt"/>
    <x v="8"/>
    <n v="5"/>
    <m/>
    <n v="0.1"/>
    <m/>
    <n v="0.1"/>
  </r>
  <r>
    <n v="588"/>
    <s v="Juan Then"/>
    <x v="15"/>
    <m/>
    <n v="7.1"/>
    <n v="0"/>
    <n v="0.1"/>
    <n v="0.1"/>
  </r>
  <r>
    <n v="589"/>
    <s v="Nelson Velázquez"/>
    <x v="17"/>
    <n v="32"/>
    <m/>
    <n v="0.1"/>
    <m/>
    <n v="0.1"/>
  </r>
  <r>
    <n v="590"/>
    <s v="Nick Ramirez"/>
    <x v="8"/>
    <m/>
    <n v="8.1999999999999993"/>
    <n v="0"/>
    <n v="0.1"/>
    <n v="0.1"/>
  </r>
  <r>
    <n v="591"/>
    <s v="Drew Smith"/>
    <x v="20"/>
    <m/>
    <n v="17.100000000000001"/>
    <n v="0"/>
    <n v="0.1"/>
    <n v="0.1"/>
  </r>
  <r>
    <n v="592"/>
    <s v="Jace Peterson"/>
    <x v="22"/>
    <n v="155"/>
    <n v="1"/>
    <n v="0.2"/>
    <n v="-0.1"/>
    <n v="0.1"/>
  </r>
  <r>
    <n v="593"/>
    <s v="Brandon Hughes"/>
    <x v="17"/>
    <m/>
    <n v="8.1"/>
    <n v="0"/>
    <n v="0.1"/>
    <n v="0.1"/>
  </r>
  <r>
    <n v="594"/>
    <s v="Elvis Peguero"/>
    <x v="26"/>
    <m/>
    <n v="14"/>
    <n v="0"/>
    <n v="0.1"/>
    <n v="0.1"/>
  </r>
  <r>
    <n v="595"/>
    <s v="Tucker Barnhart"/>
    <x v="17"/>
    <n v="63"/>
    <m/>
    <n v="0.1"/>
    <m/>
    <n v="0.1"/>
  </r>
  <r>
    <n v="596"/>
    <s v="Craig Kimbrel"/>
    <x v="18"/>
    <m/>
    <n v="18"/>
    <n v="0"/>
    <n v="0.1"/>
    <n v="0.1"/>
  </r>
  <r>
    <n v="597"/>
    <s v="Brent Headrick"/>
    <x v="7"/>
    <m/>
    <n v="8.1"/>
    <n v="0"/>
    <n v="0.1"/>
    <n v="0.1"/>
  </r>
  <r>
    <n v="598"/>
    <s v="Ronel Blanco"/>
    <x v="11"/>
    <m/>
    <n v="12"/>
    <n v="0"/>
    <n v="0.1"/>
    <n v="0.1"/>
  </r>
  <r>
    <n v="599"/>
    <s v="Enyel De Los Santos"/>
    <x v="24"/>
    <m/>
    <n v="17.100000000000001"/>
    <n v="0"/>
    <n v="0.1"/>
    <n v="0.1"/>
  </r>
  <r>
    <n v="600"/>
    <s v="Trevor Stephan"/>
    <x v="24"/>
    <m/>
    <n v="20.2"/>
    <n v="0"/>
    <n v="0.1"/>
    <n v="0.1"/>
  </r>
  <r>
    <n v="601"/>
    <s v="Justin Garza"/>
    <x v="21"/>
    <m/>
    <n v="4.2"/>
    <n v="0"/>
    <n v="0.1"/>
    <n v="0.1"/>
  </r>
  <r>
    <n v="602"/>
    <s v="Trevor Megill"/>
    <x v="26"/>
    <m/>
    <n v="3.1"/>
    <n v="0"/>
    <n v="0.1"/>
    <n v="0.1"/>
  </r>
  <r>
    <n v="603"/>
    <s v="Marcell Ozuna"/>
    <x v="1"/>
    <n v="139"/>
    <m/>
    <n v="0.1"/>
    <m/>
    <n v="0.1"/>
  </r>
  <r>
    <n v="604"/>
    <s v="Ji Hwan Bae"/>
    <x v="16"/>
    <n v="141"/>
    <m/>
    <n v="0.1"/>
    <m/>
    <n v="0.1"/>
  </r>
  <r>
    <n v="605"/>
    <s v="Aaron Loup"/>
    <x v="4"/>
    <m/>
    <n v="10.1"/>
    <n v="0"/>
    <n v="0.1"/>
    <n v="0.1"/>
  </r>
  <r>
    <n v="606"/>
    <s v="Reese McGuire"/>
    <x v="21"/>
    <n v="79"/>
    <m/>
    <n v="0.1"/>
    <m/>
    <n v="0.1"/>
  </r>
  <r>
    <n v="607"/>
    <s v="Yohan Ramirez"/>
    <x v="16"/>
    <m/>
    <n v="16"/>
    <n v="0"/>
    <n v="0.1"/>
    <n v="0.1"/>
  </r>
  <r>
    <n v="608"/>
    <s v="Alan Busenitz"/>
    <x v="25"/>
    <m/>
    <n v="3"/>
    <n v="0"/>
    <n v="0.1"/>
    <n v="0.1"/>
  </r>
  <r>
    <n v="609"/>
    <s v="Jared Shuster"/>
    <x v="1"/>
    <m/>
    <n v="19.2"/>
    <n v="0"/>
    <n v="0.1"/>
    <n v="0.1"/>
  </r>
  <r>
    <n v="610"/>
    <s v="Dylan Covey"/>
    <x v="30"/>
    <m/>
    <n v="9"/>
    <n v="0"/>
    <n v="0.1"/>
    <n v="0.1"/>
  </r>
  <r>
    <n v="611"/>
    <s v="Nick Ahmed"/>
    <x v="0"/>
    <n v="88"/>
    <m/>
    <n v="0.1"/>
    <m/>
    <n v="0.1"/>
  </r>
  <r>
    <n v="612"/>
    <s v="Zack Burdi"/>
    <x v="3"/>
    <m/>
    <n v="4"/>
    <n v="0"/>
    <n v="0.1"/>
    <n v="0.1"/>
  </r>
  <r>
    <n v="613"/>
    <s v="Michael Massey"/>
    <x v="29"/>
    <n v="148"/>
    <m/>
    <n v="0.1"/>
    <m/>
    <n v="0.1"/>
  </r>
  <r>
    <n v="614"/>
    <s v="Jonathan Heasley"/>
    <x v="29"/>
    <m/>
    <n v="2.2000000000000002"/>
    <n v="0"/>
    <n v="0.1"/>
    <n v="0.1"/>
  </r>
  <r>
    <n v="615"/>
    <s v="Yonny Chirinos"/>
    <x v="3"/>
    <m/>
    <n v="29"/>
    <n v="0"/>
    <n v="0.1"/>
    <n v="0.1"/>
  </r>
  <r>
    <n v="616"/>
    <s v="James Paxton"/>
    <x v="21"/>
    <m/>
    <n v="14"/>
    <n v="0"/>
    <n v="0.1"/>
    <n v="0.1"/>
  </r>
  <r>
    <n v="617"/>
    <s v="Christian Vázquez"/>
    <x v="7"/>
    <n v="121"/>
    <m/>
    <n v="0.1"/>
    <m/>
    <n v="0.1"/>
  </r>
  <r>
    <n v="618"/>
    <s v="Daniel Vogelbach"/>
    <x v="20"/>
    <n v="117"/>
    <m/>
    <n v="0.1"/>
    <m/>
    <n v="0.1"/>
  </r>
  <r>
    <n v="619"/>
    <s v="Connor Brogdon"/>
    <x v="18"/>
    <m/>
    <n v="25.2"/>
    <n v="0"/>
    <n v="0.1"/>
    <n v="0.1"/>
  </r>
  <r>
    <n v="620"/>
    <s v="Calvin Faucher"/>
    <x v="3"/>
    <m/>
    <n v="14"/>
    <n v="0"/>
    <n v="0.1"/>
    <n v="0.1"/>
  </r>
  <r>
    <n v="621"/>
    <s v="Jordan Hicks"/>
    <x v="10"/>
    <m/>
    <n v="20.2"/>
    <n v="0"/>
    <n v="0.1"/>
    <n v="0.1"/>
  </r>
  <r>
    <n v="622"/>
    <s v="Joey Ortiz"/>
    <x v="14"/>
    <n v="28"/>
    <m/>
    <n v="0.1"/>
    <m/>
    <n v="0.1"/>
  </r>
  <r>
    <n v="623"/>
    <s v="Peyton Battenfield"/>
    <x v="24"/>
    <m/>
    <n v="34.200000000000003"/>
    <n v="0"/>
    <n v="0.1"/>
    <n v="0.1"/>
  </r>
  <r>
    <n v="624"/>
    <s v="Adam Wainwright"/>
    <x v="10"/>
    <m/>
    <n v="21.1"/>
    <n v="0"/>
    <n v="0.1"/>
    <n v="0.1"/>
  </r>
  <r>
    <n v="625"/>
    <s v="Enmanuel Valdez"/>
    <x v="21"/>
    <n v="71"/>
    <m/>
    <n v="0"/>
    <m/>
    <n v="0"/>
  </r>
  <r>
    <n v="626"/>
    <s v="Drew Maggi"/>
    <x v="16"/>
    <n v="6"/>
    <m/>
    <n v="0"/>
    <m/>
    <n v="0"/>
  </r>
  <r>
    <n v="627"/>
    <s v="Joey Lucchesi"/>
    <x v="20"/>
    <m/>
    <n v="22.1"/>
    <n v="0"/>
    <n v="0"/>
    <n v="0"/>
  </r>
  <r>
    <n v="628"/>
    <s v="Jake Cave"/>
    <x v="18"/>
    <n v="70"/>
    <m/>
    <n v="0"/>
    <m/>
    <n v="0"/>
  </r>
  <r>
    <n v="629"/>
    <s v="Chasen Shreve"/>
    <x v="19"/>
    <m/>
    <n v="18.100000000000001"/>
    <n v="0"/>
    <n v="0"/>
    <n v="0"/>
  </r>
  <r>
    <n v="630"/>
    <s v="Ray Kerr"/>
    <x v="13"/>
    <m/>
    <n v="1.1000000000000001"/>
    <n v="0"/>
    <n v="0"/>
    <n v="0"/>
  </r>
  <r>
    <n v="631"/>
    <s v="John King"/>
    <x v="2"/>
    <m/>
    <n v="3.1"/>
    <n v="0"/>
    <n v="0"/>
    <n v="0"/>
  </r>
  <r>
    <n v="632"/>
    <s v="Peter Lambert"/>
    <x v="23"/>
    <m/>
    <n v="13"/>
    <n v="0"/>
    <n v="0"/>
    <n v="0"/>
  </r>
  <r>
    <n v="633"/>
    <s v="Rafael Montero"/>
    <x v="11"/>
    <m/>
    <n v="19.2"/>
    <n v="0"/>
    <n v="0"/>
    <n v="0"/>
  </r>
  <r>
    <n v="634"/>
    <s v="Penn Murfee"/>
    <x v="15"/>
    <m/>
    <n v="13"/>
    <n v="0"/>
    <n v="0"/>
    <n v="0"/>
  </r>
  <r>
    <n v="635"/>
    <s v="Jacob Webb"/>
    <x v="4"/>
    <m/>
    <n v="1"/>
    <n v="0"/>
    <n v="0"/>
    <n v="0"/>
  </r>
  <r>
    <n v="636"/>
    <s v="Garrett Stubbs"/>
    <x v="18"/>
    <n v="33"/>
    <m/>
    <n v="0"/>
    <m/>
    <n v="0"/>
  </r>
  <r>
    <n v="637"/>
    <s v="Tyler Cyr"/>
    <x v="6"/>
    <m/>
    <n v="1.2"/>
    <n v="0"/>
    <n v="0"/>
    <n v="0"/>
  </r>
  <r>
    <n v="638"/>
    <s v="Keegan Thompson"/>
    <x v="17"/>
    <m/>
    <n v="21.1"/>
    <n v="0"/>
    <n v="0"/>
    <n v="0"/>
  </r>
  <r>
    <n v="639"/>
    <s v="Michael Kopech"/>
    <x v="9"/>
    <m/>
    <n v="57.1"/>
    <n v="0"/>
    <n v="0"/>
    <n v="0"/>
  </r>
  <r>
    <n v="640"/>
    <s v="Silvino Bracho"/>
    <x v="25"/>
    <m/>
    <n v="5.0999999999999996"/>
    <n v="0"/>
    <n v="0"/>
    <n v="0"/>
  </r>
  <r>
    <n v="641"/>
    <s v="Austin Pruitt"/>
    <x v="22"/>
    <m/>
    <n v="11.2"/>
    <n v="0"/>
    <n v="0"/>
    <n v="0"/>
  </r>
  <r>
    <n v="642"/>
    <s v="Avisaíl García"/>
    <x v="28"/>
    <n v="76"/>
    <m/>
    <n v="0"/>
    <m/>
    <n v="0"/>
  </r>
  <r>
    <n v="643"/>
    <s v="Austin Adams"/>
    <x v="0"/>
    <m/>
    <n v="1.1000000000000001"/>
    <n v="0"/>
    <n v="0"/>
    <n v="0"/>
  </r>
  <r>
    <n v="644"/>
    <s v="Eury Pérez"/>
    <x v="28"/>
    <m/>
    <n v="14"/>
    <n v="0"/>
    <n v="0"/>
    <n v="0"/>
  </r>
  <r>
    <n v="645"/>
    <s v="Michael Chavis"/>
    <x v="27"/>
    <n v="30"/>
    <m/>
    <n v="0"/>
    <m/>
    <n v="0"/>
  </r>
  <r>
    <n v="646"/>
    <s v="Erasmo Ramírez"/>
    <x v="27"/>
    <m/>
    <n v="24.1"/>
    <n v="0"/>
    <n v="0"/>
    <n v="0"/>
  </r>
  <r>
    <n v="647"/>
    <s v="Guillermo Zuñiga"/>
    <x v="10"/>
    <m/>
    <n v="1"/>
    <n v="0"/>
    <n v="0"/>
    <n v="0"/>
  </r>
  <r>
    <n v="648"/>
    <s v="Cole Ragans"/>
    <x v="2"/>
    <m/>
    <n v="19.100000000000001"/>
    <n v="0"/>
    <n v="0"/>
    <n v="0"/>
  </r>
  <r>
    <n v="649"/>
    <s v="Brett Sullivan"/>
    <x v="13"/>
    <n v="41"/>
    <m/>
    <n v="0"/>
    <m/>
    <n v="0"/>
  </r>
  <r>
    <n v="650"/>
    <s v="Ryan Brasier"/>
    <x v="21"/>
    <m/>
    <n v="21"/>
    <n v="0"/>
    <n v="0"/>
    <n v="0"/>
  </r>
  <r>
    <n v="651"/>
    <s v="Louie Varland"/>
    <x v="7"/>
    <m/>
    <n v="28"/>
    <n v="0"/>
    <n v="0"/>
    <n v="0"/>
  </r>
  <r>
    <n v="652"/>
    <s v="Taylor Ward"/>
    <x v="4"/>
    <n v="200"/>
    <m/>
    <n v="0"/>
    <m/>
    <n v="0"/>
  </r>
  <r>
    <n v="653"/>
    <s v="Anthony Bass"/>
    <x v="5"/>
    <m/>
    <n v="16"/>
    <n v="0"/>
    <n v="0"/>
    <n v="0"/>
  </r>
  <r>
    <n v="654"/>
    <s v="Tyler Wade"/>
    <x v="22"/>
    <n v="16"/>
    <m/>
    <n v="0"/>
    <m/>
    <n v="0"/>
  </r>
  <r>
    <n v="655"/>
    <s v="Jackson Kowar"/>
    <x v="29"/>
    <m/>
    <n v="2.1"/>
    <n v="0"/>
    <n v="0"/>
    <n v="0"/>
  </r>
  <r>
    <n v="656"/>
    <s v="Levi Stoudt"/>
    <x v="25"/>
    <m/>
    <n v="7"/>
    <n v="0"/>
    <n v="0"/>
    <n v="0"/>
  </r>
  <r>
    <n v="657"/>
    <s v="Thomas Hatch"/>
    <x v="5"/>
    <m/>
    <n v="1.1000000000000001"/>
    <n v="0"/>
    <n v="0"/>
    <n v="0"/>
  </r>
  <r>
    <n v="658"/>
    <s v="Shelby Miller"/>
    <x v="6"/>
    <n v="1"/>
    <n v="23"/>
    <n v="0"/>
    <n v="0"/>
    <n v="0"/>
  </r>
  <r>
    <n v="659"/>
    <s v="Jimmy Yacabonis"/>
    <x v="20"/>
    <m/>
    <n v="9"/>
    <n v="0"/>
    <n v="0"/>
    <n v="0"/>
  </r>
  <r>
    <n v="660"/>
    <s v="Karl Kauffmann"/>
    <x v="23"/>
    <m/>
    <n v="8.1999999999999993"/>
    <n v="0"/>
    <n v="0"/>
    <n v="0"/>
  </r>
  <r>
    <n v="661"/>
    <s v="Ryan Sherriff"/>
    <x v="21"/>
    <m/>
    <n v="2"/>
    <n v="0"/>
    <n v="0"/>
    <n v="0"/>
  </r>
  <r>
    <n v="662"/>
    <s v="Chi Chi González"/>
    <x v="28"/>
    <m/>
    <n v="2.2000000000000002"/>
    <n v="0"/>
    <n v="0"/>
    <n v="0"/>
  </r>
  <r>
    <n v="663"/>
    <s v="Brice Turang"/>
    <x v="26"/>
    <n v="145"/>
    <m/>
    <n v="0"/>
    <m/>
    <n v="0"/>
  </r>
  <r>
    <n v="664"/>
    <s v="Jeter Downs"/>
    <x v="27"/>
    <n v="2"/>
    <m/>
    <n v="0"/>
    <m/>
    <n v="0"/>
  </r>
  <r>
    <n v="665"/>
    <s v="Grayson Rodriguez"/>
    <x v="14"/>
    <m/>
    <n v="42"/>
    <n v="0"/>
    <n v="0"/>
    <n v="0"/>
  </r>
  <r>
    <n v="666"/>
    <s v="Trey Wingenter"/>
    <x v="19"/>
    <m/>
    <n v="4.0999999999999996"/>
    <n v="0"/>
    <n v="0"/>
    <n v="0"/>
  </r>
  <r>
    <n v="667"/>
    <s v="Caleb Kilian"/>
    <x v="17"/>
    <m/>
    <n v="3.1"/>
    <n v="0"/>
    <n v="0"/>
    <n v="0"/>
  </r>
  <r>
    <n v="668"/>
    <s v="Livan Soto"/>
    <x v="4"/>
    <n v="2"/>
    <m/>
    <n v="0"/>
    <m/>
    <n v="0"/>
  </r>
  <r>
    <n v="669"/>
    <s v="Jordan Weems"/>
    <x v="27"/>
    <m/>
    <n v="2.1"/>
    <n v="0"/>
    <n v="0"/>
    <n v="0"/>
  </r>
  <r>
    <n v="670"/>
    <s v="José Urquidy"/>
    <x v="11"/>
    <m/>
    <n v="27.2"/>
    <n v="0"/>
    <n v="0"/>
    <n v="0"/>
  </r>
  <r>
    <n v="671"/>
    <s v="Konnor Pilkington"/>
    <x v="24"/>
    <m/>
    <n v="2"/>
    <n v="0"/>
    <n v="0"/>
    <n v="0"/>
  </r>
  <r>
    <n v="672"/>
    <s v="DL Hall"/>
    <x v="14"/>
    <m/>
    <n v="3"/>
    <n v="0"/>
    <n v="0"/>
    <n v="0"/>
  </r>
  <r>
    <n v="673"/>
    <s v="Parker Mushinski"/>
    <x v="11"/>
    <m/>
    <n v="1"/>
    <n v="0"/>
    <n v="0"/>
    <n v="0"/>
  </r>
  <r>
    <n v="674"/>
    <s v="Heath Hembree"/>
    <x v="3"/>
    <m/>
    <n v="1.1000000000000001"/>
    <n v="0"/>
    <n v="0"/>
    <n v="0"/>
  </r>
  <r>
    <n v="675"/>
    <s v="Josh Taylor"/>
    <x v="29"/>
    <m/>
    <n v="17.2"/>
    <n v="0"/>
    <n v="0"/>
    <n v="0"/>
  </r>
  <r>
    <n v="676"/>
    <s v="Cole Irvin"/>
    <x v="14"/>
    <m/>
    <n v="13"/>
    <n v="0"/>
    <n v="0"/>
    <n v="0"/>
  </r>
  <r>
    <n v="677"/>
    <s v="Billy Hamilton"/>
    <x v="9"/>
    <n v="2"/>
    <m/>
    <n v="0"/>
    <m/>
    <n v="0"/>
  </r>
  <r>
    <n v="678"/>
    <s v="José Rodríguez"/>
    <x v="15"/>
    <m/>
    <n v="3"/>
    <n v="0"/>
    <n v="0"/>
    <n v="0"/>
  </r>
  <r>
    <n v="679"/>
    <s v="Nick Burdi"/>
    <x v="17"/>
    <m/>
    <n v="3"/>
    <n v="0"/>
    <n v="0"/>
    <n v="0"/>
  </r>
  <r>
    <n v="680"/>
    <s v="Sam Moll"/>
    <x v="22"/>
    <m/>
    <n v="17.100000000000001"/>
    <n v="0"/>
    <n v="0"/>
    <n v="0"/>
  </r>
  <r>
    <n v="681"/>
    <s v="Lucas Erceg"/>
    <x v="22"/>
    <m/>
    <n v="3"/>
    <n v="0"/>
    <n v="0"/>
    <n v="0"/>
  </r>
  <r>
    <n v="682"/>
    <s v="Austin Cox"/>
    <x v="29"/>
    <m/>
    <n v="2"/>
    <n v="0"/>
    <n v="0"/>
    <n v="0"/>
  </r>
  <r>
    <n v="683"/>
    <s v="Andrew Nardi"/>
    <x v="28"/>
    <m/>
    <n v="22.1"/>
    <n v="0"/>
    <n v="0"/>
    <n v="0"/>
  </r>
  <r>
    <n v="684"/>
    <s v="Anthony Misiewicz"/>
    <x v="0"/>
    <m/>
    <n v="8"/>
    <n v="0"/>
    <n v="0"/>
    <n v="0"/>
  </r>
  <r>
    <n v="685"/>
    <s v="Zach Muckenhirn"/>
    <x v="20"/>
    <m/>
    <n v="3.2"/>
    <n v="0"/>
    <n v="0"/>
    <n v="0"/>
  </r>
  <r>
    <n v="686"/>
    <s v="Ernie Clement"/>
    <x v="5"/>
    <n v="3"/>
    <m/>
    <n v="0"/>
    <m/>
    <n v="0"/>
  </r>
  <r>
    <n v="687"/>
    <s v="Nick Sandlin"/>
    <x v="24"/>
    <m/>
    <n v="18.100000000000001"/>
    <n v="0"/>
    <n v="0"/>
    <n v="0"/>
  </r>
  <r>
    <n v="688"/>
    <s v="Will Brennan"/>
    <x v="24"/>
    <n v="115"/>
    <m/>
    <n v="0"/>
    <m/>
    <n v="0"/>
  </r>
  <r>
    <n v="689"/>
    <s v="Jake Alu"/>
    <x v="27"/>
    <n v="14"/>
    <m/>
    <n v="0"/>
    <m/>
    <n v="0"/>
  </r>
  <r>
    <n v="690"/>
    <s v="Ryan Yarbrough"/>
    <x v="29"/>
    <m/>
    <n v="26.1"/>
    <n v="0"/>
    <n v="0"/>
    <n v="0"/>
  </r>
  <r>
    <n v="691"/>
    <s v="Pablo Reyes"/>
    <x v="21"/>
    <n v="32"/>
    <n v="1"/>
    <n v="0"/>
    <n v="0"/>
    <n v="0"/>
  </r>
  <r>
    <n v="692"/>
    <s v="Cole Sands"/>
    <x v="7"/>
    <m/>
    <n v="9"/>
    <n v="0"/>
    <n v="0"/>
    <n v="0"/>
  </r>
  <r>
    <n v="693"/>
    <s v="Alex Claudio"/>
    <x v="26"/>
    <m/>
    <n v="0.1"/>
    <n v="0"/>
    <n v="0"/>
    <n v="0"/>
  </r>
  <r>
    <n v="694"/>
    <s v="Luke Weaver"/>
    <x v="25"/>
    <m/>
    <n v="31.2"/>
    <n v="0"/>
    <n v="0"/>
    <n v="0"/>
  </r>
  <r>
    <n v="695"/>
    <s v="J.P. France"/>
    <x v="11"/>
    <m/>
    <n v="21"/>
    <n v="0"/>
    <n v="0"/>
    <n v="0"/>
  </r>
  <r>
    <n v="696"/>
    <s v="Eduardo Salazar"/>
    <x v="25"/>
    <m/>
    <n v="1"/>
    <n v="0"/>
    <n v="0"/>
    <n v="0"/>
  </r>
  <r>
    <n v="697"/>
    <s v="Tim Locastro"/>
    <x v="20"/>
    <n v="10"/>
    <m/>
    <n v="0"/>
    <m/>
    <n v="0"/>
  </r>
  <r>
    <n v="698"/>
    <s v="Vidal Bruján"/>
    <x v="3"/>
    <n v="21"/>
    <m/>
    <n v="0"/>
    <m/>
    <n v="0"/>
  </r>
  <r>
    <n v="699"/>
    <s v="Trevor Richards"/>
    <x v="5"/>
    <m/>
    <n v="18"/>
    <n v="0"/>
    <n v="0"/>
    <n v="0"/>
  </r>
  <r>
    <n v="700"/>
    <s v="Jalen Beeks"/>
    <x v="3"/>
    <m/>
    <n v="25"/>
    <n v="0"/>
    <n v="0"/>
    <n v="0"/>
  </r>
  <r>
    <n v="701"/>
    <s v="Brock Burke"/>
    <x v="2"/>
    <m/>
    <n v="19.100000000000001"/>
    <n v="0"/>
    <n v="0"/>
    <n v="0"/>
  </r>
  <r>
    <n v="702"/>
    <s v="Estevan Florial"/>
    <x v="8"/>
    <m/>
    <m/>
    <n v="0"/>
    <m/>
    <n v="0"/>
  </r>
  <r>
    <n v="703"/>
    <s v="Darren McCaughan"/>
    <x v="15"/>
    <m/>
    <n v="1"/>
    <n v="0"/>
    <n v="0"/>
    <n v="0"/>
  </r>
  <r>
    <n v="704"/>
    <s v="Edwin Uceta"/>
    <x v="20"/>
    <m/>
    <n v="3"/>
    <n v="0"/>
    <n v="0"/>
    <n v="0"/>
  </r>
  <r>
    <n v="705"/>
    <s v="Cole Waites"/>
    <x v="12"/>
    <m/>
    <n v="2.1"/>
    <n v="0"/>
    <n v="0"/>
    <n v="0"/>
  </r>
  <r>
    <n v="706"/>
    <s v="Joel Kuhnel"/>
    <x v="25"/>
    <m/>
    <n v="2"/>
    <n v="0"/>
    <n v="0"/>
    <n v="0"/>
  </r>
  <r>
    <n v="707"/>
    <s v="Josh Winder"/>
    <x v="7"/>
    <m/>
    <n v="0.2"/>
    <n v="0"/>
    <n v="0"/>
    <n v="0"/>
  </r>
  <r>
    <n v="708"/>
    <s v="Jonathan Schoop"/>
    <x v="19"/>
    <n v="79"/>
    <m/>
    <n v="0"/>
    <m/>
    <n v="0"/>
  </r>
  <r>
    <n v="709"/>
    <s v="Anthony Bemboom"/>
    <x v="14"/>
    <n v="3"/>
    <m/>
    <n v="0"/>
    <m/>
    <n v="0"/>
  </r>
  <r>
    <n v="710"/>
    <s v="Eric Haase"/>
    <x v="19"/>
    <n v="131"/>
    <m/>
    <n v="0"/>
    <m/>
    <n v="0"/>
  </r>
  <r>
    <n v="711"/>
    <s v="Edouard Julien"/>
    <x v="7"/>
    <n v="45"/>
    <m/>
    <n v="0"/>
    <m/>
    <n v="0"/>
  </r>
  <r>
    <n v="712"/>
    <s v="Jeff Brigham"/>
    <x v="20"/>
    <m/>
    <n v="16.100000000000001"/>
    <n v="0"/>
    <n v="0"/>
    <n v="0"/>
  </r>
  <r>
    <n v="713"/>
    <s v="Luis Guillorme"/>
    <x v="20"/>
    <n v="68"/>
    <n v="1"/>
    <n v="0"/>
    <n v="0"/>
    <n v="0"/>
  </r>
  <r>
    <n v="714"/>
    <s v="Andrew Bellatti"/>
    <x v="18"/>
    <m/>
    <n v="12.2"/>
    <n v="0"/>
    <n v="0"/>
    <n v="0"/>
  </r>
  <r>
    <n v="715"/>
    <s v="Taylor Hearn"/>
    <x v="2"/>
    <m/>
    <n v="7"/>
    <n v="0"/>
    <n v="0"/>
    <n v="0"/>
  </r>
  <r>
    <n v="716"/>
    <s v="Matt Carasiti"/>
    <x v="23"/>
    <m/>
    <n v="2"/>
    <n v="0"/>
    <n v="0"/>
    <n v="0"/>
  </r>
  <r>
    <n v="717"/>
    <s v="Blake Snell"/>
    <x v="13"/>
    <m/>
    <n v="45"/>
    <n v="0"/>
    <n v="0"/>
    <n v="0"/>
  </r>
  <r>
    <n v="718"/>
    <s v="Xavier Edwards"/>
    <x v="28"/>
    <n v="16"/>
    <m/>
    <n v="0"/>
    <m/>
    <n v="0"/>
  </r>
  <r>
    <n v="719"/>
    <s v="Dereck Rodríguez"/>
    <x v="7"/>
    <m/>
    <n v="0.2"/>
    <n v="0"/>
    <n v="0"/>
    <n v="0"/>
  </r>
  <r>
    <n v="720"/>
    <s v="Matt Wallner"/>
    <x v="7"/>
    <n v="16"/>
    <m/>
    <n v="0"/>
    <m/>
    <n v="0"/>
  </r>
  <r>
    <n v="721"/>
    <s v="Sammy Peralta"/>
    <x v="9"/>
    <m/>
    <n v="0.2"/>
    <n v="0"/>
    <n v="0"/>
    <n v="0"/>
  </r>
  <r>
    <n v="722"/>
    <s v="Erik Swanson"/>
    <x v="5"/>
    <m/>
    <n v="23"/>
    <n v="0"/>
    <n v="0"/>
    <n v="0"/>
  </r>
  <r>
    <n v="723"/>
    <s v="Jake Marisnick"/>
    <x v="9"/>
    <n v="2"/>
    <m/>
    <n v="0"/>
    <m/>
    <n v="0"/>
  </r>
  <r>
    <n v="724"/>
    <s v="Tyson Miller"/>
    <x v="26"/>
    <m/>
    <n v="4.2"/>
    <n v="0"/>
    <n v="0"/>
    <n v="0"/>
  </r>
  <r>
    <n v="725"/>
    <s v="Gabriel Arias"/>
    <x v="24"/>
    <n v="87"/>
    <m/>
    <n v="0"/>
    <m/>
    <n v="0"/>
  </r>
  <r>
    <n v="726"/>
    <s v="Bryce Johnson"/>
    <x v="12"/>
    <n v="37"/>
    <m/>
    <n v="0"/>
    <m/>
    <n v="0"/>
  </r>
  <r>
    <n v="727"/>
    <s v="James Naile"/>
    <x v="10"/>
    <m/>
    <n v="4.0999999999999996"/>
    <n v="0"/>
    <n v="0"/>
    <n v="0"/>
  </r>
  <r>
    <n v="728"/>
    <s v="Matt Vierling"/>
    <x v="19"/>
    <n v="161"/>
    <m/>
    <n v="0"/>
    <m/>
    <n v="0"/>
  </r>
  <r>
    <n v="729"/>
    <s v="Joe Musgrove"/>
    <x v="13"/>
    <m/>
    <n v="24"/>
    <n v="0"/>
    <n v="0"/>
    <n v="0"/>
  </r>
  <r>
    <n v="730"/>
    <s v="Jake Lamb"/>
    <x v="4"/>
    <n v="54"/>
    <n v="1"/>
    <n v="0"/>
    <n v="0"/>
    <n v="0"/>
  </r>
  <r>
    <n v="731"/>
    <s v="Tommy Milone"/>
    <x v="15"/>
    <m/>
    <n v="4.2"/>
    <n v="0"/>
    <n v="0"/>
    <n v="0"/>
  </r>
  <r>
    <n v="732"/>
    <s v="Pete Fairbanks"/>
    <x v="3"/>
    <m/>
    <n v="10.199999999999999"/>
    <n v="0"/>
    <n v="0"/>
    <n v="0"/>
  </r>
  <r>
    <n v="733"/>
    <s v="Kendall Graveman"/>
    <x v="9"/>
    <m/>
    <n v="20.100000000000001"/>
    <n v="0"/>
    <n v="0"/>
    <n v="0"/>
  </r>
  <r>
    <n v="734"/>
    <s v="Derek Law"/>
    <x v="25"/>
    <m/>
    <n v="21"/>
    <n v="0"/>
    <n v="0"/>
    <n v="0"/>
  </r>
  <r>
    <n v="735"/>
    <s v="Erich Uelmen"/>
    <x v="18"/>
    <m/>
    <n v="1"/>
    <n v="0"/>
    <n v="0"/>
    <n v="0"/>
  </r>
  <r>
    <n v="736"/>
    <s v="Jhony Brito"/>
    <x v="8"/>
    <m/>
    <n v="40.1"/>
    <n v="0"/>
    <n v="0"/>
    <n v="0"/>
  </r>
  <r>
    <n v="737"/>
    <s v="Tim Herrin"/>
    <x v="24"/>
    <m/>
    <n v="9.1999999999999993"/>
    <n v="0"/>
    <n v="0"/>
    <n v="0"/>
  </r>
  <r>
    <n v="738"/>
    <s v="Tanner Banks"/>
    <x v="9"/>
    <m/>
    <n v="8"/>
    <n v="0"/>
    <n v="0"/>
    <n v="0"/>
  </r>
  <r>
    <n v="739"/>
    <s v="Yonny Hernández"/>
    <x v="6"/>
    <n v="1"/>
    <m/>
    <n v="0"/>
    <m/>
    <n v="0"/>
  </r>
  <r>
    <n v="740"/>
    <s v="Sean Hjelle"/>
    <x v="12"/>
    <m/>
    <n v="13.1"/>
    <n v="0"/>
    <n v="0"/>
    <n v="0"/>
  </r>
  <r>
    <n v="741"/>
    <s v="Brandon Williamson"/>
    <x v="25"/>
    <m/>
    <n v="10"/>
    <n v="0"/>
    <n v="0"/>
    <n v="0"/>
  </r>
  <r>
    <n v="742"/>
    <s v="Tom Murphy"/>
    <x v="15"/>
    <n v="58"/>
    <m/>
    <n v="0"/>
    <m/>
    <n v="0"/>
  </r>
  <r>
    <n v="743"/>
    <s v="Wandy Peralta"/>
    <x v="8"/>
    <m/>
    <n v="19.2"/>
    <n v="0"/>
    <n v="0"/>
    <n v="0"/>
  </r>
  <r>
    <n v="744"/>
    <s v="Joe Jiménez"/>
    <x v="1"/>
    <m/>
    <n v="16.100000000000001"/>
    <n v="0"/>
    <n v="0"/>
    <n v="0"/>
  </r>
  <r>
    <n v="745"/>
    <s v="Brett Phillips"/>
    <x v="4"/>
    <n v="16"/>
    <n v="0.1"/>
    <n v="0"/>
    <n v="0"/>
    <n v="0"/>
  </r>
  <r>
    <n v="746"/>
    <s v="Jeff Lindgren"/>
    <x v="28"/>
    <m/>
    <n v="5"/>
    <n v="0"/>
    <n v="0"/>
    <n v="0"/>
  </r>
  <r>
    <n v="747"/>
    <s v="Corey Dickerson"/>
    <x v="27"/>
    <n v="20"/>
    <m/>
    <n v="0"/>
    <m/>
    <n v="0"/>
  </r>
  <r>
    <n v="748"/>
    <s v="Zack Littell"/>
    <x v="30"/>
    <m/>
    <n v="6.1"/>
    <n v="0"/>
    <n v="0"/>
    <n v="0"/>
  </r>
  <r>
    <n v="749"/>
    <s v="Josh Walker"/>
    <x v="20"/>
    <m/>
    <n v="1"/>
    <n v="0"/>
    <n v="0"/>
    <n v="0"/>
  </r>
  <r>
    <n v="750"/>
    <s v="Garrett Crochet"/>
    <x v="9"/>
    <m/>
    <n v="2"/>
    <n v="0"/>
    <n v="0"/>
    <n v="0"/>
  </r>
  <r>
    <n v="751"/>
    <s v="Robbie Ray"/>
    <x v="15"/>
    <m/>
    <n v="3.1"/>
    <n v="0"/>
    <n v="0"/>
    <n v="0"/>
  </r>
  <r>
    <n v="752"/>
    <s v="Richard Lovelady"/>
    <x v="22"/>
    <m/>
    <n v="13.2"/>
    <n v="0"/>
    <n v="0"/>
    <n v="0"/>
  </r>
  <r>
    <n v="753"/>
    <s v="Martín Maldonado"/>
    <x v="11"/>
    <n v="127"/>
    <m/>
    <n v="0"/>
    <m/>
    <n v="0"/>
  </r>
  <r>
    <n v="754"/>
    <s v="Luis Rengifo"/>
    <x v="4"/>
    <n v="141"/>
    <m/>
    <n v="0"/>
    <m/>
    <n v="0"/>
  </r>
  <r>
    <n v="755"/>
    <s v="Cory Abbott"/>
    <x v="27"/>
    <m/>
    <n v="4"/>
    <n v="0"/>
    <n v="0"/>
    <n v="0"/>
  </r>
  <r>
    <n v="756"/>
    <s v="Mark Vientos"/>
    <x v="20"/>
    <n v="14"/>
    <m/>
    <n v="0"/>
    <m/>
    <n v="0"/>
  </r>
  <r>
    <n v="757"/>
    <s v="Michael Tonkin"/>
    <x v="1"/>
    <m/>
    <n v="26.1"/>
    <n v="0"/>
    <n v="0"/>
    <n v="0"/>
  </r>
  <r>
    <n v="758"/>
    <s v="Nick Lodolo"/>
    <x v="25"/>
    <m/>
    <n v="34.1"/>
    <n v="0"/>
    <n v="0"/>
    <n v="0"/>
  </r>
  <r>
    <n v="759"/>
    <s v="Nicholas Padilla"/>
    <x v="9"/>
    <m/>
    <n v="2"/>
    <n v="0"/>
    <n v="0"/>
    <n v="0"/>
  </r>
  <r>
    <n v="760"/>
    <s v="Simeon Woods Richardson"/>
    <x v="7"/>
    <m/>
    <n v="4.2"/>
    <n v="0"/>
    <n v="0"/>
    <n v="0"/>
  </r>
  <r>
    <n v="761"/>
    <s v="Zack Kelly"/>
    <x v="21"/>
    <m/>
    <n v="7.1"/>
    <n v="0"/>
    <n v="0"/>
    <n v="0"/>
  </r>
  <r>
    <n v="762"/>
    <s v="Tres Barrera"/>
    <x v="10"/>
    <n v="2"/>
    <m/>
    <n v="0"/>
    <m/>
    <n v="0"/>
  </r>
  <r>
    <n v="763"/>
    <s v="Seby Zavala"/>
    <x v="9"/>
    <n v="81"/>
    <m/>
    <n v="0"/>
    <m/>
    <n v="0"/>
  </r>
  <r>
    <n v="764"/>
    <s v="Chris Okey"/>
    <x v="4"/>
    <n v="2"/>
    <m/>
    <n v="0"/>
    <m/>
    <n v="0"/>
  </r>
  <r>
    <n v="765"/>
    <s v="Joey Wendle"/>
    <x v="28"/>
    <n v="54"/>
    <m/>
    <n v="0"/>
    <m/>
    <n v="0"/>
  </r>
  <r>
    <n v="766"/>
    <s v="Garrett Whitlock"/>
    <x v="21"/>
    <m/>
    <n v="16"/>
    <n v="0"/>
    <n v="0"/>
    <n v="0"/>
  </r>
  <r>
    <n v="767"/>
    <s v="Bobby Dalbec"/>
    <x v="21"/>
    <n v="13"/>
    <m/>
    <n v="0"/>
    <m/>
    <n v="0"/>
  </r>
  <r>
    <n v="768"/>
    <s v="Janson Junk"/>
    <x v="26"/>
    <m/>
    <n v="4.2"/>
    <n v="0"/>
    <n v="0"/>
    <n v="0"/>
  </r>
  <r>
    <n v="769"/>
    <s v="Nelson Cruz"/>
    <x v="13"/>
    <n v="104"/>
    <m/>
    <n v="0"/>
    <m/>
    <n v="0"/>
  </r>
  <r>
    <n v="770"/>
    <s v="Amir Garrett"/>
    <x v="29"/>
    <m/>
    <n v="19"/>
    <n v="0"/>
    <n v="0"/>
    <n v="0"/>
  </r>
  <r>
    <n v="771"/>
    <s v="Garrett Acton"/>
    <x v="22"/>
    <m/>
    <n v="4.0999999999999996"/>
    <n v="0"/>
    <n v="0"/>
    <n v="0"/>
  </r>
  <r>
    <n v="772"/>
    <s v="Brennan Bernardino"/>
    <x v="21"/>
    <m/>
    <n v="12.1"/>
    <n v="0"/>
    <n v="0"/>
    <n v="0"/>
  </r>
  <r>
    <n v="773"/>
    <s v="Bo Naylor"/>
    <x v="24"/>
    <n v="2"/>
    <m/>
    <n v="0"/>
    <m/>
    <n v="0"/>
  </r>
  <r>
    <n v="774"/>
    <s v="Daniel Bard"/>
    <x v="23"/>
    <m/>
    <n v="11"/>
    <n v="0"/>
    <n v="0"/>
    <n v="0"/>
  </r>
  <r>
    <n v="775"/>
    <s v="Bennett Sousa"/>
    <x v="26"/>
    <m/>
    <n v="1.2"/>
    <n v="0"/>
    <n v="0"/>
    <n v="0"/>
  </r>
  <r>
    <n v="776"/>
    <s v="Austin Gomber"/>
    <x v="23"/>
    <m/>
    <n v="50"/>
    <n v="0"/>
    <n v="0"/>
    <n v="0"/>
  </r>
  <r>
    <n v="777"/>
    <s v="Riley Pint"/>
    <x v="23"/>
    <m/>
    <n v="0.1"/>
    <n v="0"/>
    <n v="0"/>
    <n v="0"/>
  </r>
  <r>
    <n v="778"/>
    <s v="Trayce Thompson"/>
    <x v="6"/>
    <n v="78"/>
    <m/>
    <n v="0"/>
    <m/>
    <n v="0"/>
  </r>
  <r>
    <n v="779"/>
    <s v="Matt Gage"/>
    <x v="11"/>
    <m/>
    <n v="4"/>
    <n v="0"/>
    <n v="0"/>
    <n v="0"/>
  </r>
  <r>
    <n v="780"/>
    <s v="Deivi García"/>
    <x v="8"/>
    <m/>
    <n v="3"/>
    <n v="0"/>
    <n v="0"/>
    <n v="0"/>
  </r>
  <r>
    <n v="781"/>
    <s v="Mark Canha"/>
    <x v="20"/>
    <n v="160"/>
    <m/>
    <n v="0"/>
    <m/>
    <n v="0"/>
  </r>
  <r>
    <n v="782"/>
    <s v="Tyler Heineman"/>
    <x v="16"/>
    <n v="10"/>
    <m/>
    <n v="0"/>
    <m/>
    <n v="0"/>
  </r>
  <r>
    <n v="783"/>
    <s v="Dylan Dodd"/>
    <x v="1"/>
    <m/>
    <n v="15.1"/>
    <n v="0"/>
    <n v="-0.1"/>
    <n v="-0.1"/>
  </r>
  <r>
    <n v="784"/>
    <s v="Nick Wittgren"/>
    <x v="29"/>
    <m/>
    <n v="2"/>
    <n v="0"/>
    <n v="-0.1"/>
    <n v="-0.1"/>
  </r>
  <r>
    <n v="785"/>
    <s v="Dominic Smith"/>
    <x v="27"/>
    <n v="193"/>
    <m/>
    <n v="-0.1"/>
    <m/>
    <n v="-0.1"/>
  </r>
  <r>
    <n v="786"/>
    <s v="Dylan Carlson"/>
    <x v="10"/>
    <n v="108"/>
    <m/>
    <n v="-0.1"/>
    <m/>
    <n v="-0.1"/>
  </r>
  <r>
    <n v="787"/>
    <s v="Omar Narváez"/>
    <x v="20"/>
    <n v="17"/>
    <m/>
    <n v="-0.1"/>
    <m/>
    <n v="-0.1"/>
  </r>
  <r>
    <n v="788"/>
    <s v="Ty Blach"/>
    <x v="23"/>
    <m/>
    <n v="11"/>
    <n v="0"/>
    <n v="-0.1"/>
    <n v="-0.1"/>
  </r>
  <r>
    <n v="789"/>
    <s v="Cody Bolton"/>
    <x v="16"/>
    <m/>
    <n v="6"/>
    <n v="0"/>
    <n v="-0.1"/>
    <n v="-0.1"/>
  </r>
  <r>
    <n v="790"/>
    <s v="Brett Wisely"/>
    <x v="12"/>
    <n v="65"/>
    <m/>
    <n v="-0.1"/>
    <m/>
    <n v="-0.1"/>
  </r>
  <r>
    <n v="791"/>
    <s v="Adrián Martínez"/>
    <x v="22"/>
    <m/>
    <n v="22"/>
    <n v="0"/>
    <n v="-0.1"/>
    <n v="-0.1"/>
  </r>
  <r>
    <n v="792"/>
    <s v="Jose Herrera"/>
    <x v="0"/>
    <n v="56"/>
    <n v="1"/>
    <n v="-0.1"/>
    <n v="0"/>
    <n v="-0.1"/>
  </r>
  <r>
    <n v="793"/>
    <s v="Shea Langeliers"/>
    <x v="22"/>
    <n v="171"/>
    <m/>
    <n v="-0.1"/>
    <m/>
    <n v="-0.1"/>
  </r>
  <r>
    <n v="794"/>
    <s v="Yerry Rodríguez"/>
    <x v="2"/>
    <m/>
    <n v="4"/>
    <n v="0"/>
    <n v="-0.1"/>
    <n v="-0.1"/>
  </r>
  <r>
    <n v="795"/>
    <s v="Garrett Hampson"/>
    <x v="28"/>
    <n v="98"/>
    <m/>
    <n v="-0.1"/>
    <m/>
    <n v="-0.1"/>
  </r>
  <r>
    <n v="796"/>
    <s v="Josh Donaldson"/>
    <x v="8"/>
    <n v="17"/>
    <m/>
    <n v="-0.1"/>
    <m/>
    <n v="-0.1"/>
  </r>
  <r>
    <n v="797"/>
    <s v="Gary Sánchez"/>
    <x v="20"/>
    <n v="7"/>
    <m/>
    <n v="-0.1"/>
    <m/>
    <n v="-0.1"/>
  </r>
  <r>
    <n v="798"/>
    <s v="Javier Assad"/>
    <x v="17"/>
    <m/>
    <n v="17.2"/>
    <n v="0"/>
    <n v="-0.1"/>
    <n v="-0.1"/>
  </r>
  <r>
    <n v="799"/>
    <s v="Miguel Amaya"/>
    <x v="17"/>
    <n v="17"/>
    <m/>
    <n v="-0.1"/>
    <m/>
    <n v="-0.1"/>
  </r>
  <r>
    <n v="800"/>
    <s v="JoJo Romero"/>
    <x v="10"/>
    <m/>
    <n v="7.2"/>
    <n v="0"/>
    <n v="-0.1"/>
    <n v="-0.1"/>
  </r>
  <r>
    <n v="801"/>
    <s v="Max Castillo"/>
    <x v="29"/>
    <m/>
    <n v="14"/>
    <n v="0"/>
    <n v="-0.1"/>
    <n v="-0.1"/>
  </r>
  <r>
    <n v="802"/>
    <s v="Luis Torrens"/>
    <x v="17"/>
    <n v="22"/>
    <m/>
    <n v="-0.1"/>
    <m/>
    <n v="-0.1"/>
  </r>
  <r>
    <n v="803"/>
    <s v="Darick Hall"/>
    <x v="18"/>
    <n v="19"/>
    <m/>
    <n v="-0.1"/>
    <m/>
    <n v="-0.1"/>
  </r>
  <r>
    <n v="804"/>
    <s v="Meibrys Viloria"/>
    <x v="24"/>
    <n v="4"/>
    <m/>
    <n v="-0.1"/>
    <m/>
    <n v="-0.1"/>
  </r>
  <r>
    <n v="805"/>
    <s v="Starling Marte"/>
    <x v="20"/>
    <n v="173"/>
    <m/>
    <n v="-0.1"/>
    <m/>
    <n v="-0.1"/>
  </r>
  <r>
    <n v="806"/>
    <s v="Anthony Banda"/>
    <x v="27"/>
    <m/>
    <n v="7"/>
    <n v="0"/>
    <n v="-0.1"/>
    <n v="-0.1"/>
  </r>
  <r>
    <n v="807"/>
    <s v="J.B. Bukauskas"/>
    <x v="15"/>
    <m/>
    <n v="1"/>
    <n v="0"/>
    <n v="-0.1"/>
    <n v="-0.1"/>
  </r>
  <r>
    <n v="808"/>
    <s v="Oswald Peraza"/>
    <x v="8"/>
    <n v="38"/>
    <m/>
    <n v="-0.1"/>
    <m/>
    <n v="-0.1"/>
  </r>
  <r>
    <n v="809"/>
    <s v="Adam Haseley"/>
    <x v="9"/>
    <n v="39"/>
    <m/>
    <n v="-0.1"/>
    <m/>
    <n v="-0.1"/>
  </r>
  <r>
    <n v="810"/>
    <s v="Jimmy Herget"/>
    <x v="4"/>
    <m/>
    <n v="12.1"/>
    <n v="0"/>
    <n v="-0.1"/>
    <n v="-0.1"/>
  </r>
  <r>
    <n v="811"/>
    <s v="Casey Legumina"/>
    <x v="25"/>
    <m/>
    <n v="10.1"/>
    <n v="0"/>
    <n v="-0.1"/>
    <n v="-0.1"/>
  </r>
  <r>
    <n v="812"/>
    <s v="Tommy Hunter"/>
    <x v="20"/>
    <m/>
    <n v="18.100000000000001"/>
    <n v="0"/>
    <n v="-0.1"/>
    <n v="-0.1"/>
  </r>
  <r>
    <n v="813"/>
    <s v="Matt Beaty"/>
    <x v="12"/>
    <n v="5"/>
    <n v="1"/>
    <n v="-0.1"/>
    <n v="0"/>
    <n v="-0.1"/>
  </r>
  <r>
    <n v="814"/>
    <s v="Matt Reynolds"/>
    <x v="25"/>
    <n v="5"/>
    <m/>
    <n v="-0.1"/>
    <m/>
    <n v="-0.1"/>
  </r>
  <r>
    <n v="815"/>
    <s v="Tyrone Taylor"/>
    <x v="26"/>
    <n v="59"/>
    <m/>
    <n v="-0.1"/>
    <m/>
    <n v="-0.1"/>
  </r>
  <r>
    <n v="816"/>
    <s v="Jason Adam"/>
    <x v="3"/>
    <m/>
    <n v="20"/>
    <n v="0"/>
    <n v="-0.1"/>
    <n v="-0.1"/>
  </r>
  <r>
    <n v="817"/>
    <s v="Reiss Knehr"/>
    <x v="13"/>
    <m/>
    <n v="3.2"/>
    <n v="0"/>
    <n v="-0.1"/>
    <n v="-0.1"/>
  </r>
  <r>
    <n v="818"/>
    <s v="Adam Ottavino"/>
    <x v="20"/>
    <m/>
    <n v="18.2"/>
    <n v="0"/>
    <n v="-0.1"/>
    <n v="-0.1"/>
  </r>
  <r>
    <n v="819"/>
    <s v="Luis Campusano"/>
    <x v="13"/>
    <n v="22"/>
    <m/>
    <n v="-0.1"/>
    <m/>
    <n v="-0.1"/>
  </r>
  <r>
    <n v="820"/>
    <s v="Connor Seabold"/>
    <x v="23"/>
    <m/>
    <n v="31.2"/>
    <n v="0"/>
    <n v="-0.1"/>
    <n v="-0.1"/>
  </r>
  <r>
    <n v="821"/>
    <s v="Joe Barlow"/>
    <x v="2"/>
    <m/>
    <n v="2.2000000000000002"/>
    <n v="0"/>
    <n v="-0.1"/>
    <n v="-0.1"/>
  </r>
  <r>
    <n v="822"/>
    <s v="Joely Rodríguez"/>
    <x v="21"/>
    <m/>
    <n v="2.1"/>
    <n v="0"/>
    <n v="-0.1"/>
    <n v="-0.1"/>
  </r>
  <r>
    <n v="823"/>
    <s v="Andrés Machado"/>
    <x v="27"/>
    <m/>
    <n v="13"/>
    <n v="0"/>
    <n v="-0.1"/>
    <n v="-0.1"/>
  </r>
  <r>
    <n v="824"/>
    <s v="Jake Reed"/>
    <x v="6"/>
    <m/>
    <n v="0.2"/>
    <n v="0"/>
    <n v="-0.1"/>
    <n v="-0.1"/>
  </r>
  <r>
    <n v="825"/>
    <s v="Carlos Pérez"/>
    <x v="9"/>
    <n v="4"/>
    <m/>
    <n v="-0.1"/>
    <m/>
    <n v="-0.1"/>
  </r>
  <r>
    <n v="826"/>
    <s v="Tyler Alexander"/>
    <x v="19"/>
    <m/>
    <n v="21"/>
    <n v="0"/>
    <n v="-0.1"/>
    <n v="-0.1"/>
  </r>
  <r>
    <n v="827"/>
    <s v="Jay Jackson"/>
    <x v="5"/>
    <m/>
    <n v="3"/>
    <n v="0"/>
    <n v="-0.1"/>
    <n v="-0.1"/>
  </r>
  <r>
    <n v="828"/>
    <s v="Chad Smith"/>
    <x v="22"/>
    <m/>
    <n v="10"/>
    <n v="0"/>
    <n v="-0.1"/>
    <n v="-0.1"/>
  </r>
  <r>
    <n v="829"/>
    <s v="Wander Suero"/>
    <x v="6"/>
    <m/>
    <n v="6.2"/>
    <n v="0"/>
    <n v="-0.1"/>
    <n v="-0.1"/>
  </r>
  <r>
    <n v="830"/>
    <s v="Denyi Reyes"/>
    <x v="20"/>
    <m/>
    <n v="7.1"/>
    <n v="0"/>
    <n v="-0.1"/>
    <n v="-0.1"/>
  </r>
  <r>
    <n v="831"/>
    <s v="Ryan Weber"/>
    <x v="8"/>
    <m/>
    <n v="7.1"/>
    <n v="0"/>
    <n v="-0.1"/>
    <n v="-0.1"/>
  </r>
  <r>
    <n v="832"/>
    <s v="Josh Bell"/>
    <x v="24"/>
    <n v="194"/>
    <m/>
    <n v="-0.1"/>
    <m/>
    <n v="-0.1"/>
  </r>
  <r>
    <n v="833"/>
    <s v="Johan Quezada"/>
    <x v="28"/>
    <m/>
    <n v="0.2"/>
    <n v="0"/>
    <n v="-0.1"/>
    <n v="-0.1"/>
  </r>
  <r>
    <n v="834"/>
    <s v="Josh Fleming"/>
    <x v="3"/>
    <m/>
    <n v="42.2"/>
    <n v="0"/>
    <n v="-0.1"/>
    <n v="-0.1"/>
  </r>
  <r>
    <n v="835"/>
    <s v="Brent Honeywell"/>
    <x v="13"/>
    <m/>
    <n v="25.2"/>
    <n v="0"/>
    <n v="-0.1"/>
    <n v="-0.1"/>
  </r>
  <r>
    <n v="836"/>
    <s v="Albert Abreu"/>
    <x v="8"/>
    <m/>
    <n v="24.2"/>
    <n v="0"/>
    <n v="-0.1"/>
    <n v="-0.1"/>
  </r>
  <r>
    <n v="837"/>
    <s v="Austin Warren"/>
    <x v="4"/>
    <m/>
    <n v="1.2"/>
    <n v="0"/>
    <n v="-0.1"/>
    <n v="-0.1"/>
  </r>
  <r>
    <n v="838"/>
    <s v="Reiver Sanmartin"/>
    <x v="25"/>
    <m/>
    <n v="14"/>
    <n v="0"/>
    <n v="-0.1"/>
    <n v="-0.1"/>
  </r>
  <r>
    <n v="839"/>
    <s v="Jordan Luplow"/>
    <x v="5"/>
    <n v="7"/>
    <m/>
    <n v="-0.1"/>
    <m/>
    <n v="-0.1"/>
  </r>
  <r>
    <n v="840"/>
    <s v="Nick Madrigal"/>
    <x v="17"/>
    <n v="98"/>
    <m/>
    <n v="-0.1"/>
    <m/>
    <n v="-0.1"/>
  </r>
  <r>
    <n v="841"/>
    <s v="Dominic Leone"/>
    <x v="20"/>
    <m/>
    <n v="9"/>
    <n v="0"/>
    <n v="-0.1"/>
    <n v="-0.1"/>
  </r>
  <r>
    <n v="842"/>
    <s v="Elvis Andrus"/>
    <x v="9"/>
    <n v="151"/>
    <m/>
    <n v="-0.1"/>
    <m/>
    <n v="-0.1"/>
  </r>
  <r>
    <n v="843"/>
    <s v="Henry Ramos"/>
    <x v="25"/>
    <n v="73"/>
    <m/>
    <n v="-0.1"/>
    <m/>
    <n v="-0.1"/>
  </r>
  <r>
    <n v="844"/>
    <s v="John Curtiss"/>
    <x v="20"/>
    <m/>
    <n v="13"/>
    <n v="0"/>
    <n v="-0.1"/>
    <n v="-0.1"/>
  </r>
  <r>
    <n v="845"/>
    <s v="Robert Stephenson"/>
    <x v="16"/>
    <m/>
    <n v="12.1"/>
    <n v="0"/>
    <n v="-0.1"/>
    <n v="-0.1"/>
  </r>
  <r>
    <n v="846"/>
    <s v="Josh Naylor"/>
    <x v="24"/>
    <n v="161"/>
    <m/>
    <n v="-0.1"/>
    <m/>
    <n v="-0.1"/>
  </r>
  <r>
    <n v="847"/>
    <s v="David Fry"/>
    <x v="24"/>
    <n v="13"/>
    <m/>
    <n v="-0.1"/>
    <m/>
    <n v="-0.1"/>
  </r>
  <r>
    <n v="848"/>
    <s v="Myles Straw"/>
    <x v="24"/>
    <n v="173"/>
    <m/>
    <n v="-0.1"/>
    <m/>
    <n v="-0.1"/>
  </r>
  <r>
    <n v="849"/>
    <s v="Spencer Turnbull"/>
    <x v="19"/>
    <m/>
    <n v="31"/>
    <n v="0"/>
    <n v="-0.1"/>
    <n v="-0.1"/>
  </r>
  <r>
    <n v="850"/>
    <s v="Cal Stevenson"/>
    <x v="12"/>
    <n v="12"/>
    <m/>
    <n v="-0.1"/>
    <m/>
    <n v="-0.1"/>
  </r>
  <r>
    <n v="851"/>
    <s v="Dylan Coleman"/>
    <x v="29"/>
    <m/>
    <n v="5"/>
    <n v="0"/>
    <n v="-0.1"/>
    <n v="-0.1"/>
  </r>
  <r>
    <n v="852"/>
    <s v="Garrett Cleavinger"/>
    <x v="3"/>
    <m/>
    <n v="12"/>
    <n v="0"/>
    <n v="-0.1"/>
    <n v="-0.1"/>
  </r>
  <r>
    <n v="853"/>
    <s v="Domingo Tapia"/>
    <x v="13"/>
    <m/>
    <n v="11.1"/>
    <n v="0"/>
    <n v="-0.1"/>
    <n v="-0.1"/>
  </r>
  <r>
    <n v="854"/>
    <s v="Zach Davies"/>
    <x v="0"/>
    <m/>
    <n v="9.1"/>
    <n v="0"/>
    <n v="-0.1"/>
    <n v="-0.1"/>
  </r>
  <r>
    <n v="855"/>
    <s v="Brandon Crawford"/>
    <x v="12"/>
    <n v="103"/>
    <m/>
    <n v="-0.1"/>
    <m/>
    <n v="-0.1"/>
  </r>
  <r>
    <n v="856"/>
    <s v="Francisco Mejía"/>
    <x v="3"/>
    <n v="82"/>
    <m/>
    <n v="-0.1"/>
    <m/>
    <n v="-0.1"/>
  </r>
  <r>
    <n v="857"/>
    <s v="Jose Barrero"/>
    <x v="25"/>
    <n v="122"/>
    <m/>
    <n v="-0.1"/>
    <m/>
    <n v="-0.1"/>
  </r>
  <r>
    <n v="858"/>
    <s v="Jonathan Loáisiga"/>
    <x v="8"/>
    <m/>
    <n v="3.1"/>
    <n v="0"/>
    <n v="-0.1"/>
    <n v="-0.1"/>
  </r>
  <r>
    <n v="859"/>
    <s v="Jake Cousins"/>
    <x v="26"/>
    <m/>
    <n v="8.1"/>
    <n v="0"/>
    <n v="-0.1"/>
    <n v="-0.1"/>
  </r>
  <r>
    <n v="860"/>
    <s v="Sam Huff"/>
    <x v="2"/>
    <n v="11"/>
    <m/>
    <n v="-0.1"/>
    <m/>
    <n v="-0.1"/>
  </r>
  <r>
    <n v="861"/>
    <s v="Dennis Santana"/>
    <x v="20"/>
    <m/>
    <n v="8.1999999999999993"/>
    <n v="0"/>
    <n v="-0.1"/>
    <n v="-0.1"/>
  </r>
  <r>
    <n v="862"/>
    <s v="Lucas Luetge"/>
    <x v="1"/>
    <m/>
    <n v="8.1999999999999993"/>
    <n v="0"/>
    <n v="-0.1"/>
    <n v="-0.1"/>
  </r>
  <r>
    <n v="863"/>
    <s v="Brandon Bielak"/>
    <x v="11"/>
    <m/>
    <n v="25.1"/>
    <n v="0"/>
    <n v="-0.1"/>
    <n v="-0.1"/>
  </r>
  <r>
    <n v="864"/>
    <s v="Zack Weiss"/>
    <x v="4"/>
    <m/>
    <n v="1.2"/>
    <n v="0"/>
    <n v="-0.1"/>
    <n v="-0.1"/>
  </r>
  <r>
    <n v="865"/>
    <s v="Alex Faedo"/>
    <x v="19"/>
    <m/>
    <n v="15.2"/>
    <n v="0"/>
    <n v="-0.1"/>
    <n v="-0.1"/>
  </r>
  <r>
    <n v="866"/>
    <s v="José Cisnero"/>
    <x v="19"/>
    <m/>
    <n v="18"/>
    <n v="0"/>
    <n v="-0.1"/>
    <n v="-0.1"/>
  </r>
  <r>
    <n v="867"/>
    <s v="Zach Neal"/>
    <x v="22"/>
    <m/>
    <n v="3.1"/>
    <n v="0"/>
    <n v="-0.1"/>
    <n v="-0.1"/>
  </r>
  <r>
    <n v="868"/>
    <s v="Mychal Givens"/>
    <x v="14"/>
    <m/>
    <n v="2.1"/>
    <n v="0"/>
    <n v="-0.1"/>
    <n v="-0.1"/>
  </r>
  <r>
    <n v="869"/>
    <s v="Cody Bradford"/>
    <x v="2"/>
    <m/>
    <n v="5"/>
    <n v="0"/>
    <n v="-0.1"/>
    <n v="-0.1"/>
  </r>
  <r>
    <n v="870"/>
    <s v="Tylor Megill"/>
    <x v="20"/>
    <m/>
    <n v="50"/>
    <n v="0"/>
    <n v="-0.1"/>
    <n v="-0.1"/>
  </r>
  <r>
    <n v="871"/>
    <s v="David Villar"/>
    <x v="12"/>
    <n v="100"/>
    <m/>
    <n v="-0.1"/>
    <m/>
    <n v="-0.1"/>
  </r>
  <r>
    <n v="872"/>
    <s v="Eddie Rosario"/>
    <x v="1"/>
    <n v="150"/>
    <m/>
    <n v="-0.1"/>
    <m/>
    <n v="-0.1"/>
  </r>
  <r>
    <n v="873"/>
    <s v="Yusei Kikuchi"/>
    <x v="5"/>
    <m/>
    <n v="51.1"/>
    <n v="0"/>
    <n v="-0.1"/>
    <n v="-0.1"/>
  </r>
  <r>
    <n v="874"/>
    <s v="Kyle Lewis"/>
    <x v="0"/>
    <n v="18"/>
    <m/>
    <n v="-0.1"/>
    <m/>
    <n v="-0.1"/>
  </r>
  <r>
    <n v="875"/>
    <s v="Conner Capel"/>
    <x v="22"/>
    <n v="75"/>
    <m/>
    <n v="-0.1"/>
    <m/>
    <n v="-0.1"/>
  </r>
  <r>
    <n v="876"/>
    <s v="Yainer Diaz"/>
    <x v="11"/>
    <n v="61"/>
    <m/>
    <n v="-0.1"/>
    <m/>
    <n v="-0.1"/>
  </r>
  <r>
    <n v="877"/>
    <s v="Hogan Harris"/>
    <x v="22"/>
    <m/>
    <n v="0.1"/>
    <n v="0"/>
    <n v="-0.1"/>
    <n v="-0.1"/>
  </r>
  <r>
    <n v="878"/>
    <s v="Domingo Acevedo"/>
    <x v="22"/>
    <m/>
    <n v="9.1"/>
    <n v="0"/>
    <n v="-0.1"/>
    <n v="-0.1"/>
  </r>
  <r>
    <n v="879"/>
    <s v="Génesis Cabrera"/>
    <x v="10"/>
    <m/>
    <n v="19.100000000000001"/>
    <n v="0"/>
    <n v="-0.1"/>
    <n v="-0.1"/>
  </r>
  <r>
    <n v="880"/>
    <s v="Joey Meneses"/>
    <x v="27"/>
    <n v="202"/>
    <m/>
    <n v="-0.1"/>
    <m/>
    <n v="-0.1"/>
  </r>
  <r>
    <n v="881"/>
    <s v="Pavin Smith"/>
    <x v="0"/>
    <n v="116"/>
    <m/>
    <n v="-0.1"/>
    <m/>
    <n v="-0.1"/>
  </r>
  <r>
    <n v="882"/>
    <s v="Daniel Castano"/>
    <x v="28"/>
    <m/>
    <n v="1"/>
    <n v="0"/>
    <n v="-0.1"/>
    <n v="-0.1"/>
  </r>
  <r>
    <n v="883"/>
    <s v="Logan Gillaspie"/>
    <x v="14"/>
    <m/>
    <n v="6.2"/>
    <n v="0"/>
    <n v="-0.1"/>
    <n v="-0.1"/>
  </r>
  <r>
    <n v="884"/>
    <s v="Gavin Stone"/>
    <x v="6"/>
    <m/>
    <n v="8"/>
    <n v="0"/>
    <n v="-0.1"/>
    <n v="-0.1"/>
  </r>
  <r>
    <n v="885"/>
    <s v="Carlos Vargas"/>
    <x v="0"/>
    <m/>
    <n v="4.2"/>
    <n v="0"/>
    <n v="-0.1"/>
    <n v="-0.1"/>
  </r>
  <r>
    <n v="886"/>
    <s v="Sean Nolin"/>
    <x v="28"/>
    <m/>
    <n v="3"/>
    <n v="0"/>
    <n v="-0.1"/>
    <n v="-0.1"/>
  </r>
  <r>
    <n v="887"/>
    <s v="Edwin Ríos"/>
    <x v="17"/>
    <n v="26"/>
    <m/>
    <n v="-0.1"/>
    <m/>
    <n v="-0.1"/>
  </r>
  <r>
    <n v="888"/>
    <s v="Jose Cuas"/>
    <x v="29"/>
    <m/>
    <n v="21.2"/>
    <n v="0"/>
    <n v="-0.1"/>
    <n v="-0.1"/>
  </r>
  <r>
    <n v="889"/>
    <s v="César Salazar"/>
    <x v="11"/>
    <n v="12"/>
    <m/>
    <n v="-0.1"/>
    <m/>
    <n v="-0.1"/>
  </r>
  <r>
    <n v="890"/>
    <s v="Brooks Raley"/>
    <x v="20"/>
    <m/>
    <n v="16.100000000000001"/>
    <n v="0"/>
    <n v="-0.1"/>
    <n v="-0.1"/>
  </r>
  <r>
    <n v="891"/>
    <s v="Miguel Andujar"/>
    <x v="16"/>
    <n v="33"/>
    <m/>
    <n v="-0.1"/>
    <m/>
    <n v="-0.1"/>
  </r>
  <r>
    <n v="892"/>
    <s v="José Leclerc"/>
    <x v="2"/>
    <m/>
    <n v="14.1"/>
    <n v="0"/>
    <n v="-0.1"/>
    <n v="-0.1"/>
  </r>
  <r>
    <n v="893"/>
    <s v="Luis Urías"/>
    <x v="26"/>
    <n v="4"/>
    <m/>
    <n v="-0.1"/>
    <m/>
    <n v="-0.1"/>
  </r>
  <r>
    <n v="894"/>
    <s v="Hobie Harris"/>
    <x v="27"/>
    <m/>
    <n v="18.100000000000001"/>
    <n v="0"/>
    <n v="-0.1"/>
    <n v="-0.1"/>
  </r>
  <r>
    <n v="895"/>
    <s v="Brandon Dixon"/>
    <x v="13"/>
    <n v="21"/>
    <n v="1"/>
    <n v="-0.1"/>
    <n v="0"/>
    <n v="-0.1"/>
  </r>
  <r>
    <n v="896"/>
    <s v="Stephen Nogosek"/>
    <x v="20"/>
    <m/>
    <n v="20.100000000000001"/>
    <n v="0"/>
    <n v="-0.1"/>
    <n v="-0.1"/>
  </r>
  <r>
    <n v="897"/>
    <s v="Tommy Henry"/>
    <x v="0"/>
    <m/>
    <n v="32.200000000000003"/>
    <n v="0"/>
    <n v="-0.1"/>
    <n v="-0.1"/>
  </r>
  <r>
    <n v="898"/>
    <s v="Michael Harris II"/>
    <x v="1"/>
    <n v="98"/>
    <m/>
    <n v="-0.1"/>
    <m/>
    <n v="-0.1"/>
  </r>
  <r>
    <n v="899"/>
    <s v="Ryan Kreidler"/>
    <x v="19"/>
    <n v="18"/>
    <m/>
    <n v="-0.1"/>
    <m/>
    <n v="-0.1"/>
  </r>
  <r>
    <n v="900"/>
    <s v="Mike Moustakas"/>
    <x v="23"/>
    <n v="87"/>
    <m/>
    <n v="-0.1"/>
    <m/>
    <n v="-0.1"/>
  </r>
  <r>
    <n v="901"/>
    <s v="Reyes Moronta"/>
    <x v="4"/>
    <m/>
    <n v="1.1000000000000001"/>
    <n v="0"/>
    <n v="-0.1"/>
    <n v="-0.1"/>
  </r>
  <r>
    <n v="902"/>
    <s v="José Butto"/>
    <x v="20"/>
    <m/>
    <n v="12"/>
    <n v="0"/>
    <n v="-0.1"/>
    <n v="-0.1"/>
  </r>
  <r>
    <n v="903"/>
    <s v="Chris Owings"/>
    <x v="16"/>
    <n v="18"/>
    <m/>
    <n v="-0.1"/>
    <m/>
    <n v="-0.1"/>
  </r>
  <r>
    <n v="904"/>
    <s v="McKinley Moore"/>
    <x v="18"/>
    <m/>
    <n v="3.1"/>
    <n v="0"/>
    <n v="-0.1"/>
    <n v="-0.1"/>
  </r>
  <r>
    <n v="905"/>
    <s v="Peyton Burdick"/>
    <x v="28"/>
    <n v="37"/>
    <m/>
    <n v="-0.1"/>
    <m/>
    <n v="-0.1"/>
  </r>
  <r>
    <n v="906"/>
    <s v="Dalton Guthrie"/>
    <x v="18"/>
    <n v="17"/>
    <m/>
    <n v="-0.1"/>
    <m/>
    <n v="-0.1"/>
  </r>
  <r>
    <n v="907"/>
    <s v="Rylan Bannon"/>
    <x v="11"/>
    <n v="6"/>
    <m/>
    <n v="-0.1"/>
    <m/>
    <n v="-0.1"/>
  </r>
  <r>
    <n v="908"/>
    <s v="Connor Overton"/>
    <x v="25"/>
    <m/>
    <n v="11"/>
    <n v="0"/>
    <n v="-0.1"/>
    <n v="-0.1"/>
  </r>
  <r>
    <n v="909"/>
    <s v="Kirby Yates"/>
    <x v="1"/>
    <m/>
    <n v="16.2"/>
    <n v="0"/>
    <n v="-0.1"/>
    <n v="-0.1"/>
  </r>
  <r>
    <n v="910"/>
    <s v="Mitch Haniger"/>
    <x v="12"/>
    <n v="89"/>
    <m/>
    <n v="-0.1"/>
    <m/>
    <n v="-0.1"/>
  </r>
  <r>
    <n v="911"/>
    <s v="Austin Meadows"/>
    <x v="19"/>
    <n v="21"/>
    <m/>
    <n v="-0.1"/>
    <m/>
    <n v="-0.1"/>
  </r>
  <r>
    <n v="912"/>
    <s v="Luke Williams"/>
    <x v="6"/>
    <n v="10"/>
    <n v="1"/>
    <n v="-0.2"/>
    <n v="0"/>
    <n v="-0.1"/>
  </r>
  <r>
    <n v="913"/>
    <s v="Nick Pivetta"/>
    <x v="21"/>
    <m/>
    <n v="45.1"/>
    <n v="0"/>
    <n v="-0.2"/>
    <n v="-0.2"/>
  </r>
  <r>
    <n v="914"/>
    <s v="Michael Busch"/>
    <x v="6"/>
    <n v="23"/>
    <m/>
    <n v="-0.2"/>
    <m/>
    <n v="-0.2"/>
  </r>
  <r>
    <n v="915"/>
    <s v="James McCann"/>
    <x v="14"/>
    <n v="68"/>
    <m/>
    <n v="-0.2"/>
    <m/>
    <n v="-0.2"/>
  </r>
  <r>
    <n v="916"/>
    <s v="Tommy La Stella"/>
    <x v="15"/>
    <n v="24"/>
    <m/>
    <n v="-0.2"/>
    <m/>
    <n v="-0.2"/>
  </r>
  <r>
    <n v="917"/>
    <s v="Braden Shewmake"/>
    <x v="1"/>
    <n v="4"/>
    <m/>
    <n v="-0.2"/>
    <m/>
    <n v="-0.2"/>
  </r>
  <r>
    <n v="918"/>
    <s v="Wil Crowe"/>
    <x v="16"/>
    <m/>
    <n v="9.1999999999999993"/>
    <n v="0"/>
    <n v="-0.2"/>
    <n v="-0.2"/>
  </r>
  <r>
    <n v="919"/>
    <s v="Roberto Pérez"/>
    <x v="12"/>
    <n v="17"/>
    <m/>
    <n v="-0.2"/>
    <m/>
    <n v="-0.2"/>
  </r>
  <r>
    <n v="920"/>
    <s v="Ryan Tepera"/>
    <x v="4"/>
    <m/>
    <n v="8.1999999999999993"/>
    <n v="0"/>
    <n v="-0.2"/>
    <n v="-0.2"/>
  </r>
  <r>
    <n v="921"/>
    <s v="Terrin Vavra"/>
    <x v="14"/>
    <n v="49"/>
    <m/>
    <n v="-0.2"/>
    <m/>
    <n v="-0.2"/>
  </r>
  <r>
    <n v="922"/>
    <s v="Eli White"/>
    <x v="1"/>
    <n v="17"/>
    <m/>
    <n v="-0.2"/>
    <m/>
    <n v="-0.2"/>
  </r>
  <r>
    <n v="923"/>
    <s v="Austin Voth"/>
    <x v="14"/>
    <m/>
    <n v="22.2"/>
    <n v="0"/>
    <n v="-0.2"/>
    <n v="-0.2"/>
  </r>
  <r>
    <n v="924"/>
    <s v="Matt Mervis"/>
    <x v="17"/>
    <n v="59"/>
    <m/>
    <n v="-0.2"/>
    <m/>
    <n v="-0.2"/>
  </r>
  <r>
    <n v="925"/>
    <s v="Kevin Newman"/>
    <x v="25"/>
    <n v="117"/>
    <m/>
    <n v="-0.2"/>
    <m/>
    <n v="-0.2"/>
  </r>
  <r>
    <n v="926"/>
    <s v="Chadwick Tromp"/>
    <x v="1"/>
    <n v="16"/>
    <m/>
    <n v="-0.2"/>
    <m/>
    <n v="-0.2"/>
  </r>
  <r>
    <n v="927"/>
    <s v="Miles Mastrobuoni"/>
    <x v="17"/>
    <n v="42"/>
    <n v="0.1"/>
    <n v="-0.1"/>
    <n v="-0.1"/>
    <n v="-0.2"/>
  </r>
  <r>
    <n v="928"/>
    <s v="Antonio Senzatela"/>
    <x v="23"/>
    <m/>
    <n v="7.2"/>
    <n v="0"/>
    <n v="-0.2"/>
    <n v="-0.2"/>
  </r>
  <r>
    <n v="929"/>
    <s v="David Fletcher"/>
    <x v="4"/>
    <n v="16"/>
    <m/>
    <n v="-0.2"/>
    <m/>
    <n v="-0.2"/>
  </r>
  <r>
    <n v="930"/>
    <s v="Kaleb Ort"/>
    <x v="21"/>
    <m/>
    <n v="12.1"/>
    <n v="0"/>
    <n v="-0.2"/>
    <n v="-0.2"/>
  </r>
  <r>
    <n v="931"/>
    <s v="Hoby Milner"/>
    <x v="26"/>
    <m/>
    <n v="19"/>
    <n v="0"/>
    <n v="-0.2"/>
    <n v="-0.2"/>
  </r>
  <r>
    <n v="932"/>
    <s v="Joey Wentz"/>
    <x v="19"/>
    <m/>
    <n v="38.200000000000003"/>
    <n v="0"/>
    <n v="-0.2"/>
    <n v="-0.2"/>
  </r>
  <r>
    <n v="933"/>
    <s v="Trevor Kelley"/>
    <x v="3"/>
    <m/>
    <n v="8"/>
    <n v="0"/>
    <n v="-0.2"/>
    <n v="-0.2"/>
  </r>
  <r>
    <n v="934"/>
    <s v="Alex Colomé"/>
    <x v="9"/>
    <m/>
    <n v="3"/>
    <n v="0"/>
    <n v="-0.2"/>
    <n v="-0.2"/>
  </r>
  <r>
    <n v="935"/>
    <s v="Andre Pallante"/>
    <x v="10"/>
    <m/>
    <n v="18"/>
    <n v="0"/>
    <n v="-0.2"/>
    <n v="-0.2"/>
  </r>
  <r>
    <n v="936"/>
    <s v="Andre Jackson"/>
    <x v="6"/>
    <m/>
    <n v="14.2"/>
    <n v="0"/>
    <n v="-0.2"/>
    <n v="-0.2"/>
  </r>
  <r>
    <n v="937"/>
    <s v="Curt Casali"/>
    <x v="25"/>
    <n v="51"/>
    <m/>
    <n v="-0.2"/>
    <m/>
    <n v="-0.2"/>
  </r>
  <r>
    <n v="938"/>
    <s v="Cole Sulser"/>
    <x v="0"/>
    <m/>
    <n v="4.0999999999999996"/>
    <n v="0"/>
    <n v="-0.2"/>
    <n v="-0.2"/>
  </r>
  <r>
    <n v="939"/>
    <s v="Dinelson Lamet"/>
    <x v="23"/>
    <m/>
    <n v="10.199999999999999"/>
    <n v="0"/>
    <n v="-0.2"/>
    <n v="-0.2"/>
  </r>
  <r>
    <n v="940"/>
    <s v="Hayden Wesneski"/>
    <x v="17"/>
    <m/>
    <n v="39.1"/>
    <n v="0"/>
    <n v="-0.2"/>
    <n v="-0.2"/>
  </r>
  <r>
    <n v="941"/>
    <s v="Matt Festa"/>
    <x v="15"/>
    <m/>
    <n v="3.1"/>
    <n v="0"/>
    <n v="-0.2"/>
    <n v="-0.2"/>
  </r>
  <r>
    <n v="942"/>
    <s v="Fernando Abad"/>
    <x v="23"/>
    <m/>
    <n v="2.2000000000000002"/>
    <n v="0"/>
    <n v="-0.2"/>
    <n v="-0.2"/>
  </r>
  <r>
    <n v="943"/>
    <s v="Richard Bleier"/>
    <x v="21"/>
    <m/>
    <n v="20"/>
    <n v="0"/>
    <n v="-0.2"/>
    <n v="-0.2"/>
  </r>
  <r>
    <n v="944"/>
    <s v="Ryan Thompson"/>
    <x v="3"/>
    <m/>
    <n v="15"/>
    <n v="0"/>
    <n v="-0.2"/>
    <n v="-0.2"/>
  </r>
  <r>
    <n v="945"/>
    <s v="Brad Keller"/>
    <x v="29"/>
    <m/>
    <n v="43.1"/>
    <n v="0"/>
    <n v="-0.2"/>
    <n v="-0.2"/>
  </r>
  <r>
    <n v="946"/>
    <s v="Bubba Thompson"/>
    <x v="2"/>
    <n v="56"/>
    <m/>
    <n v="-0.2"/>
    <m/>
    <n v="-0.2"/>
  </r>
  <r>
    <n v="947"/>
    <s v="Enrique Hernández"/>
    <x v="21"/>
    <n v="178"/>
    <m/>
    <n v="-0.2"/>
    <m/>
    <n v="-0.2"/>
  </r>
  <r>
    <n v="948"/>
    <s v="Trey Mancini"/>
    <x v="17"/>
    <n v="154"/>
    <m/>
    <n v="-0.2"/>
    <m/>
    <n v="-0.2"/>
  </r>
  <r>
    <n v="949"/>
    <s v="Chad Kuhl"/>
    <x v="27"/>
    <m/>
    <n v="24"/>
    <n v="0"/>
    <n v="-0.2"/>
    <n v="-0.2"/>
  </r>
  <r>
    <n v="950"/>
    <s v="Heliot Ramos"/>
    <x v="12"/>
    <n v="27"/>
    <m/>
    <n v="-0.2"/>
    <m/>
    <n v="-0.2"/>
  </r>
  <r>
    <n v="951"/>
    <s v="Chris Flexen"/>
    <x v="15"/>
    <m/>
    <n v="29.1"/>
    <n v="0"/>
    <n v="-0.2"/>
    <n v="-0.2"/>
  </r>
  <r>
    <n v="952"/>
    <s v="Luis Frías"/>
    <x v="0"/>
    <m/>
    <n v="4.0999999999999996"/>
    <n v="0"/>
    <n v="-0.2"/>
    <n v="-0.2"/>
  </r>
  <r>
    <n v="953"/>
    <s v="José Azocar"/>
    <x v="13"/>
    <n v="48"/>
    <m/>
    <n v="-0.2"/>
    <m/>
    <n v="-0.2"/>
  </r>
  <r>
    <n v="954"/>
    <s v="Shintaro Fujinami"/>
    <x v="22"/>
    <m/>
    <n v="27.2"/>
    <n v="0"/>
    <n v="-0.2"/>
    <n v="-0.2"/>
  </r>
  <r>
    <n v="955"/>
    <s v="Mike Brosseau"/>
    <x v="26"/>
    <n v="66"/>
    <n v="1.1000000000000001"/>
    <n v="-0.1"/>
    <n v="-0.1"/>
    <n v="-0.2"/>
  </r>
  <r>
    <n v="956"/>
    <s v="Scott McGough"/>
    <x v="0"/>
    <m/>
    <n v="25.2"/>
    <n v="0"/>
    <n v="-0.2"/>
    <n v="-0.2"/>
  </r>
  <r>
    <n v="957"/>
    <s v="Jared Walsh"/>
    <x v="4"/>
    <n v="17"/>
    <m/>
    <n v="-0.2"/>
    <m/>
    <n v="-0.2"/>
  </r>
  <r>
    <n v="958"/>
    <s v="Alec Bohm"/>
    <x v="18"/>
    <n v="200"/>
    <m/>
    <n v="-0.2"/>
    <m/>
    <n v="-0.2"/>
  </r>
  <r>
    <n v="959"/>
    <s v="Greg Weissert"/>
    <x v="8"/>
    <m/>
    <n v="5.0999999999999996"/>
    <n v="0"/>
    <n v="-0.2"/>
    <n v="-0.2"/>
  </r>
  <r>
    <n v="960"/>
    <s v="Kevin Smith"/>
    <x v="22"/>
    <n v="82"/>
    <m/>
    <n v="-0.2"/>
    <m/>
    <n v="-0.2"/>
  </r>
  <r>
    <n v="961"/>
    <s v="David Dahl"/>
    <x v="13"/>
    <n v="9"/>
    <m/>
    <n v="-0.2"/>
    <m/>
    <n v="-0.2"/>
  </r>
  <r>
    <n v="962"/>
    <s v="Alek Thomas"/>
    <x v="0"/>
    <n v="123"/>
    <m/>
    <n v="-0.2"/>
    <m/>
    <n v="-0.2"/>
  </r>
  <r>
    <n v="963"/>
    <s v="Jordan Walker"/>
    <x v="10"/>
    <n v="78"/>
    <m/>
    <n v="-0.2"/>
    <m/>
    <n v="-0.2"/>
  </r>
  <r>
    <n v="964"/>
    <s v="Drey Jameson"/>
    <x v="0"/>
    <m/>
    <n v="17"/>
    <n v="0"/>
    <n v="-0.2"/>
    <n v="-0.2"/>
  </r>
  <r>
    <n v="965"/>
    <s v="Jordan Lyles"/>
    <x v="29"/>
    <m/>
    <n v="56.2"/>
    <n v="0"/>
    <n v="-0.2"/>
    <n v="-0.2"/>
  </r>
  <r>
    <n v="966"/>
    <s v="Yunior Marte"/>
    <x v="18"/>
    <m/>
    <n v="8"/>
    <n v="0"/>
    <n v="-0.2"/>
    <n v="-0.2"/>
  </r>
  <r>
    <n v="967"/>
    <s v="Peter Solomon"/>
    <x v="0"/>
    <m/>
    <n v="13.1"/>
    <n v="0"/>
    <n v="-0.2"/>
    <n v="-0.2"/>
  </r>
  <r>
    <n v="968"/>
    <s v="Diego Castillo"/>
    <x v="15"/>
    <m/>
    <n v="8.1999999999999993"/>
    <n v="0"/>
    <n v="-0.2"/>
    <n v="-0.2"/>
  </r>
  <r>
    <n v="969"/>
    <s v="Sam Haggerty"/>
    <x v="15"/>
    <n v="42"/>
    <m/>
    <n v="-0.2"/>
    <m/>
    <n v="-0.2"/>
  </r>
  <r>
    <n v="970"/>
    <s v="Seth Brown"/>
    <x v="22"/>
    <n v="41"/>
    <m/>
    <n v="-0.2"/>
    <m/>
    <n v="-0.2"/>
  </r>
  <r>
    <n v="971"/>
    <s v="Jason Vosler"/>
    <x v="25"/>
    <n v="65"/>
    <n v="2"/>
    <n v="-0.2"/>
    <n v="0"/>
    <n v="-0.2"/>
  </r>
  <r>
    <n v="972"/>
    <s v="Spencer Patton"/>
    <x v="22"/>
    <m/>
    <n v="5.0999999999999996"/>
    <n v="0"/>
    <n v="-0.2"/>
    <n v="-0.2"/>
  </r>
  <r>
    <n v="973"/>
    <s v="Santiago Espinal"/>
    <x v="5"/>
    <n v="80"/>
    <m/>
    <n v="-0.2"/>
    <m/>
    <n v="-0.2"/>
  </r>
  <r>
    <n v="974"/>
    <s v="Thaddeus Ward"/>
    <x v="27"/>
    <m/>
    <n v="16.2"/>
    <n v="0"/>
    <n v="-0.2"/>
    <n v="-0.2"/>
  </r>
  <r>
    <n v="975"/>
    <s v="Hanser Alberto"/>
    <x v="9"/>
    <n v="81"/>
    <n v="1.2"/>
    <n v="-0.2"/>
    <n v="-0.1"/>
    <n v="-0.2"/>
  </r>
  <r>
    <n v="976"/>
    <s v="Garrett Cooper"/>
    <x v="28"/>
    <n v="142"/>
    <m/>
    <n v="-0.2"/>
    <m/>
    <n v="-0.2"/>
  </r>
  <r>
    <n v="977"/>
    <s v="Duane Underwood Jr."/>
    <x v="16"/>
    <m/>
    <n v="23.1"/>
    <n v="0"/>
    <n v="-0.2"/>
    <n v="-0.2"/>
  </r>
  <r>
    <n v="978"/>
    <s v="Jesús Aguilar"/>
    <x v="22"/>
    <n v="112"/>
    <m/>
    <n v="-0.2"/>
    <m/>
    <n v="-0.2"/>
  </r>
  <r>
    <n v="979"/>
    <s v="Tyler Nevin"/>
    <x v="19"/>
    <n v="27"/>
    <m/>
    <n v="-0.2"/>
    <m/>
    <n v="-0.2"/>
  </r>
  <r>
    <n v="980"/>
    <s v="James Kaprielian"/>
    <x v="22"/>
    <m/>
    <n v="28"/>
    <n v="0"/>
    <n v="-0.2"/>
    <n v="-0.2"/>
  </r>
  <r>
    <n v="981"/>
    <s v="Jake Bauers"/>
    <x v="8"/>
    <n v="52"/>
    <m/>
    <n v="-0.2"/>
    <m/>
    <n v="-0.2"/>
  </r>
  <r>
    <n v="982"/>
    <s v="Brad Miller"/>
    <x v="2"/>
    <n v="55"/>
    <m/>
    <n v="-0.2"/>
    <m/>
    <n v="-0.2"/>
  </r>
  <r>
    <n v="983"/>
    <s v="Miguel Rojas"/>
    <x v="6"/>
    <n v="98"/>
    <m/>
    <n v="-0.2"/>
    <m/>
    <n v="-0.2"/>
  </r>
  <r>
    <n v="984"/>
    <s v="Adam Engel"/>
    <x v="13"/>
    <n v="6"/>
    <m/>
    <n v="-0.2"/>
    <m/>
    <n v="-0.2"/>
  </r>
  <r>
    <n v="985"/>
    <s v="Blake Perkins"/>
    <x v="26"/>
    <n v="14"/>
    <m/>
    <n v="-0.2"/>
    <m/>
    <n v="-0.2"/>
  </r>
  <r>
    <n v="986"/>
    <s v="Johnny Cueto"/>
    <x v="28"/>
    <m/>
    <n v="1"/>
    <n v="0"/>
    <n v="-0.2"/>
    <n v="-0.2"/>
  </r>
  <r>
    <n v="987"/>
    <s v="Tyler Stephenson"/>
    <x v="25"/>
    <n v="189"/>
    <m/>
    <n v="-0.2"/>
    <m/>
    <n v="-0.2"/>
  </r>
  <r>
    <n v="988"/>
    <s v="Juan Yepez"/>
    <x v="10"/>
    <n v="34"/>
    <m/>
    <n v="-0.2"/>
    <m/>
    <n v="-0.2"/>
  </r>
  <r>
    <n v="989"/>
    <s v="Ehire Adrianza"/>
    <x v="1"/>
    <n v="11"/>
    <m/>
    <n v="-0.2"/>
    <m/>
    <n v="-0.2"/>
  </r>
  <r>
    <n v="990"/>
    <s v="Keibert Ruiz"/>
    <x v="27"/>
    <n v="173"/>
    <m/>
    <n v="-0.2"/>
    <m/>
    <n v="-0.2"/>
  </r>
  <r>
    <n v="991"/>
    <s v="Jake Diekman"/>
    <x v="30"/>
    <m/>
    <n v="15"/>
    <n v="0"/>
    <n v="-0.2"/>
    <n v="-0.2"/>
  </r>
  <r>
    <n v="992"/>
    <s v="Brayan Rocchio"/>
    <x v="24"/>
    <n v="10"/>
    <m/>
    <n v="-0.2"/>
    <m/>
    <n v="-0.2"/>
  </r>
  <r>
    <n v="993"/>
    <s v="Jimmy Lambert"/>
    <x v="9"/>
    <m/>
    <n v="19.100000000000001"/>
    <n v="0"/>
    <n v="-0.2"/>
    <n v="-0.2"/>
  </r>
  <r>
    <n v="994"/>
    <s v="Matt Manning"/>
    <x v="19"/>
    <m/>
    <n v="11.2"/>
    <n v="0"/>
    <n v="-0.2"/>
    <n v="-0.2"/>
  </r>
  <r>
    <n v="995"/>
    <s v="AJ Pollock"/>
    <x v="15"/>
    <n v="94"/>
    <m/>
    <n v="-0.2"/>
    <m/>
    <n v="-0.2"/>
  </r>
  <r>
    <n v="996"/>
    <s v="Michael Toglia"/>
    <x v="23"/>
    <n v="21"/>
    <m/>
    <n v="-0.3"/>
    <m/>
    <n v="-0.3"/>
  </r>
  <r>
    <n v="997"/>
    <s v="Tim Hill"/>
    <x v="13"/>
    <m/>
    <n v="21.2"/>
    <n v="0"/>
    <n v="-0.3"/>
    <n v="-0.3"/>
  </r>
  <r>
    <n v="998"/>
    <s v="Cooper Criswell"/>
    <x v="3"/>
    <m/>
    <n v="11.1"/>
    <n v="0"/>
    <n v="-0.3"/>
    <n v="-0.3"/>
  </r>
  <r>
    <n v="999"/>
    <s v="Andrew Vaughn"/>
    <x v="9"/>
    <n v="210"/>
    <m/>
    <n v="-0.3"/>
    <m/>
    <n v="-0.3"/>
  </r>
  <r>
    <n v="1000"/>
    <s v="Nick Maton"/>
    <x v="19"/>
    <n v="148"/>
    <m/>
    <n v="-0.3"/>
    <m/>
    <n v="-0.3"/>
  </r>
  <r>
    <n v="1001"/>
    <s v="David Peralta"/>
    <x v="6"/>
    <n v="124"/>
    <m/>
    <n v="-0.3"/>
    <m/>
    <n v="-0.3"/>
  </r>
  <r>
    <n v="1002"/>
    <s v="Yency Almonte"/>
    <x v="6"/>
    <m/>
    <n v="21"/>
    <n v="0"/>
    <n v="-0.3"/>
    <n v="-0.3"/>
  </r>
  <r>
    <n v="1003"/>
    <s v="Javy Guerra"/>
    <x v="30"/>
    <m/>
    <n v="13.1"/>
    <n v="0"/>
    <n v="-0.3"/>
    <n v="-0.3"/>
  </r>
  <r>
    <n v="1004"/>
    <s v="Hunter Dozier"/>
    <x v="29"/>
    <n v="91"/>
    <m/>
    <n v="-0.3"/>
    <m/>
    <n v="-0.3"/>
  </r>
  <r>
    <n v="1005"/>
    <s v="Chase De Jong"/>
    <x v="16"/>
    <m/>
    <n v="9.1"/>
    <n v="0"/>
    <n v="-0.3"/>
    <n v="-0.3"/>
  </r>
  <r>
    <n v="1006"/>
    <s v="Willie Calhoun"/>
    <x v="8"/>
    <n v="91"/>
    <m/>
    <n v="-0.3"/>
    <m/>
    <n v="-0.3"/>
  </r>
  <r>
    <n v="1007"/>
    <s v="Ryan McMahon"/>
    <x v="23"/>
    <n v="190"/>
    <m/>
    <n v="-0.3"/>
    <m/>
    <n v="-0.3"/>
  </r>
  <r>
    <n v="1008"/>
    <s v="Tristan Beck"/>
    <x v="12"/>
    <m/>
    <n v="20"/>
    <n v="0"/>
    <n v="-0.3"/>
    <n v="-0.3"/>
  </r>
  <r>
    <n v="1009"/>
    <s v="Reynaldo López"/>
    <x v="9"/>
    <m/>
    <n v="20.100000000000001"/>
    <n v="0"/>
    <n v="-0.3"/>
    <n v="-0.3"/>
  </r>
  <r>
    <n v="1010"/>
    <s v="Nick Allen"/>
    <x v="22"/>
    <n v="80"/>
    <m/>
    <n v="-0.3"/>
    <m/>
    <n v="-0.3"/>
  </r>
  <r>
    <n v="1011"/>
    <s v="Rico Garcia"/>
    <x v="22"/>
    <m/>
    <n v="3"/>
    <n v="0"/>
    <n v="-0.3"/>
    <n v="-0.3"/>
  </r>
  <r>
    <n v="1012"/>
    <s v="Ji Man Choi"/>
    <x v="16"/>
    <n v="32"/>
    <m/>
    <n v="-0.3"/>
    <m/>
    <n v="-0.3"/>
  </r>
  <r>
    <n v="1013"/>
    <s v="Garrett Hill"/>
    <x v="19"/>
    <m/>
    <n v="7"/>
    <n v="0"/>
    <n v="-0.3"/>
    <n v="-0.3"/>
  </r>
  <r>
    <n v="1014"/>
    <s v="Franchy Cordero"/>
    <x v="8"/>
    <n v="55"/>
    <m/>
    <n v="-0.3"/>
    <m/>
    <n v="-0.3"/>
  </r>
  <r>
    <n v="1015"/>
    <s v="Cavan Biggio"/>
    <x v="5"/>
    <n v="71"/>
    <m/>
    <n v="-0.3"/>
    <m/>
    <n v="-0.3"/>
  </r>
  <r>
    <n v="1016"/>
    <s v="Kyle Finnegan"/>
    <x v="27"/>
    <m/>
    <n v="19"/>
    <n v="0"/>
    <n v="-0.3"/>
    <n v="-0.3"/>
  </r>
  <r>
    <n v="1017"/>
    <s v="Jackie Bradley Jr."/>
    <x v="29"/>
    <n v="103"/>
    <m/>
    <n v="-0.3"/>
    <m/>
    <n v="-0.3"/>
  </r>
  <r>
    <n v="1018"/>
    <s v="Colten Brewer"/>
    <x v="8"/>
    <m/>
    <n v="8.1"/>
    <n v="0"/>
    <n v="-0.3"/>
    <n v="-0.3"/>
  </r>
  <r>
    <n v="1019"/>
    <s v="Zach Pop"/>
    <x v="5"/>
    <m/>
    <n v="13.2"/>
    <n v="0"/>
    <n v="-0.3"/>
    <n v="-0.3"/>
  </r>
  <r>
    <n v="1020"/>
    <s v="Jakob Junis"/>
    <x v="12"/>
    <m/>
    <n v="26"/>
    <n v="0"/>
    <n v="-0.3"/>
    <n v="-0.3"/>
  </r>
  <r>
    <n v="1021"/>
    <s v="Tommy Pham"/>
    <x v="20"/>
    <n v="94"/>
    <m/>
    <n v="-0.3"/>
    <m/>
    <n v="-0.3"/>
  </r>
  <r>
    <n v="1022"/>
    <s v="Kyle Muller"/>
    <x v="22"/>
    <m/>
    <n v="47"/>
    <n v="0"/>
    <n v="-0.3"/>
    <n v="-0.3"/>
  </r>
  <r>
    <n v="1023"/>
    <s v="Gus Varland"/>
    <x v="26"/>
    <m/>
    <n v="8.1999999999999993"/>
    <n v="0"/>
    <n v="-0.3"/>
    <n v="-0.3"/>
  </r>
  <r>
    <n v="1024"/>
    <s v="Tyler O'Neill"/>
    <x v="10"/>
    <n v="99"/>
    <m/>
    <n v="-0.3"/>
    <m/>
    <n v="-0.3"/>
  </r>
  <r>
    <n v="1025"/>
    <s v="Brad Boxberger"/>
    <x v="17"/>
    <m/>
    <n v="14.2"/>
    <n v="0"/>
    <n v="-0.3"/>
    <n v="-0.3"/>
  </r>
  <r>
    <n v="1026"/>
    <s v="Alec Burleson"/>
    <x v="10"/>
    <n v="125"/>
    <m/>
    <n v="-0.3"/>
    <m/>
    <n v="-0.3"/>
  </r>
  <r>
    <n v="1027"/>
    <s v="Yonathan Daza"/>
    <x v="23"/>
    <n v="80"/>
    <m/>
    <n v="-0.3"/>
    <m/>
    <n v="-0.3"/>
  </r>
  <r>
    <n v="1028"/>
    <s v="Kyle Schwarber"/>
    <x v="18"/>
    <n v="208"/>
    <m/>
    <n v="-0.3"/>
    <m/>
    <n v="-0.3"/>
  </r>
  <r>
    <n v="1029"/>
    <s v="Spencer Torkelson"/>
    <x v="19"/>
    <n v="195"/>
    <m/>
    <n v="-0.3"/>
    <m/>
    <n v="-0.3"/>
  </r>
  <r>
    <n v="1030"/>
    <s v="Luis Medina"/>
    <x v="22"/>
    <m/>
    <n v="22.1"/>
    <n v="0"/>
    <n v="-0.3"/>
    <n v="-0.3"/>
  </r>
  <r>
    <n v="1031"/>
    <s v="Adam Cimber"/>
    <x v="5"/>
    <m/>
    <n v="11"/>
    <n v="0"/>
    <n v="-0.3"/>
    <n v="-0.3"/>
  </r>
  <r>
    <n v="1032"/>
    <s v="Nabil Crismatt"/>
    <x v="13"/>
    <m/>
    <n v="10"/>
    <n v="0"/>
    <n v="-0.3"/>
    <n v="-0.3"/>
  </r>
  <r>
    <n v="1033"/>
    <s v="Brian Serven"/>
    <x v="23"/>
    <n v="23"/>
    <m/>
    <n v="-0.3"/>
    <m/>
    <n v="-0.3"/>
  </r>
  <r>
    <n v="1034"/>
    <s v="Jorge Alcala"/>
    <x v="7"/>
    <m/>
    <n v="15.1"/>
    <n v="0"/>
    <n v="-0.3"/>
    <n v="-0.3"/>
  </r>
  <r>
    <n v="1035"/>
    <s v="Mark Mathias"/>
    <x v="16"/>
    <n v="46"/>
    <m/>
    <n v="-0.3"/>
    <m/>
    <n v="-0.3"/>
  </r>
  <r>
    <n v="1036"/>
    <s v="Carlos Carrasco"/>
    <x v="20"/>
    <m/>
    <n v="18.2"/>
    <n v="0"/>
    <n v="-0.3"/>
    <n v="-0.3"/>
  </r>
  <r>
    <n v="1037"/>
    <s v="Sandy León"/>
    <x v="2"/>
    <n v="32"/>
    <n v="1"/>
    <n v="-0.3"/>
    <n v="-0.1"/>
    <n v="-0.3"/>
  </r>
  <r>
    <n v="1038"/>
    <s v="Cooper Hummel"/>
    <x v="15"/>
    <n v="26"/>
    <m/>
    <n v="-0.3"/>
    <m/>
    <n v="-0.3"/>
  </r>
  <r>
    <n v="1039"/>
    <s v="Sean Manaea"/>
    <x v="12"/>
    <m/>
    <n v="31.1"/>
    <n v="0"/>
    <n v="-0.3"/>
    <n v="-0.3"/>
  </r>
  <r>
    <n v="1040"/>
    <s v="Dany Jiménez"/>
    <x v="22"/>
    <m/>
    <n v="6.2"/>
    <n v="0"/>
    <n v="-0.4"/>
    <n v="-0.4"/>
  </r>
  <r>
    <n v="1041"/>
    <s v="Alek Manoah"/>
    <x v="5"/>
    <m/>
    <n v="50.2"/>
    <n v="0"/>
    <n v="-0.4"/>
    <n v="-0.4"/>
  </r>
  <r>
    <n v="1042"/>
    <s v="Elehuris Montero"/>
    <x v="23"/>
    <n v="54"/>
    <m/>
    <n v="-0.4"/>
    <m/>
    <n v="-0.4"/>
  </r>
  <r>
    <n v="1043"/>
    <s v="Jake Woodford"/>
    <x v="10"/>
    <m/>
    <n v="30"/>
    <n v="0"/>
    <n v="-0.4"/>
    <n v="-0.4"/>
  </r>
  <r>
    <n v="1044"/>
    <s v="Lenyn Sosa"/>
    <x v="9"/>
    <n v="70"/>
    <m/>
    <n v="-0.4"/>
    <m/>
    <n v="-0.4"/>
  </r>
  <r>
    <n v="1045"/>
    <s v="Taylor Rogers"/>
    <x v="12"/>
    <m/>
    <n v="15"/>
    <n v="0"/>
    <n v="-0.4"/>
    <n v="-0.4"/>
  </r>
  <r>
    <n v="1046"/>
    <s v="Romy González"/>
    <x v="9"/>
    <n v="52"/>
    <m/>
    <n v="-0.4"/>
    <m/>
    <n v="-0.4"/>
  </r>
  <r>
    <n v="1047"/>
    <s v="Jonathan Hernández"/>
    <x v="2"/>
    <m/>
    <n v="17.2"/>
    <n v="0"/>
    <n v="-0.4"/>
    <n v="-0.4"/>
  </r>
  <r>
    <n v="1048"/>
    <s v="Andy Ibáñez"/>
    <x v="19"/>
    <n v="75"/>
    <m/>
    <n v="-0.4"/>
    <m/>
    <n v="-0.4"/>
  </r>
  <r>
    <n v="1049"/>
    <s v="Nick Gordon"/>
    <x v="7"/>
    <n v="93"/>
    <m/>
    <n v="-0.4"/>
    <m/>
    <n v="-0.4"/>
  </r>
  <r>
    <n v="1050"/>
    <s v="Jurickson Profar"/>
    <x v="23"/>
    <n v="192"/>
    <m/>
    <n v="-0.4"/>
    <m/>
    <n v="-0.4"/>
  </r>
  <r>
    <n v="1051"/>
    <s v="Triston Casas"/>
    <x v="21"/>
    <n v="154"/>
    <m/>
    <n v="-0.4"/>
    <m/>
    <n v="-0.4"/>
  </r>
  <r>
    <n v="1052"/>
    <s v="Madison Bumgarner"/>
    <x v="0"/>
    <m/>
    <n v="16.2"/>
    <n v="0"/>
    <n v="-0.4"/>
    <n v="-0.4"/>
  </r>
  <r>
    <n v="1053"/>
    <s v="Vaughn Grissom"/>
    <x v="1"/>
    <n v="70"/>
    <m/>
    <n v="-0.4"/>
    <m/>
    <n v="-0.4"/>
  </r>
  <r>
    <n v="1054"/>
    <s v="Eric Hosmer"/>
    <x v="17"/>
    <n v="100"/>
    <m/>
    <n v="-0.4"/>
    <m/>
    <n v="-0.4"/>
  </r>
  <r>
    <n v="1055"/>
    <s v="Jeurys Familia"/>
    <x v="22"/>
    <m/>
    <n v="12.2"/>
    <n v="0"/>
    <n v="-0.4"/>
    <n v="-0.4"/>
  </r>
  <r>
    <n v="1056"/>
    <s v="Brandon Pfaadt"/>
    <x v="0"/>
    <m/>
    <n v="20"/>
    <n v="0"/>
    <n v="-0.4"/>
    <n v="-0.4"/>
  </r>
  <r>
    <n v="1057"/>
    <s v="Harold Castro"/>
    <x v="23"/>
    <n v="93"/>
    <n v="1"/>
    <n v="-0.4"/>
    <n v="0"/>
    <n v="-0.4"/>
  </r>
  <r>
    <n v="1058"/>
    <s v="Aaron Hicks"/>
    <x v="8"/>
    <n v="76"/>
    <m/>
    <n v="-0.4"/>
    <m/>
    <n v="-0.4"/>
  </r>
  <r>
    <n v="1059"/>
    <s v="James Karinchak"/>
    <x v="24"/>
    <m/>
    <n v="21.2"/>
    <n v="0"/>
    <n v="-0.4"/>
    <n v="-0.4"/>
  </r>
  <r>
    <n v="1060"/>
    <s v="Luke Voit"/>
    <x v="26"/>
    <n v="74"/>
    <m/>
    <n v="-0.4"/>
    <m/>
    <n v="-0.4"/>
  </r>
  <r>
    <n v="1061"/>
    <s v="Canaan Smith-Njigba"/>
    <x v="16"/>
    <n v="37"/>
    <m/>
    <n v="-0.4"/>
    <m/>
    <n v="-0.4"/>
  </r>
  <r>
    <n v="1062"/>
    <s v="Oswaldo Cabrera"/>
    <x v="8"/>
    <n v="157"/>
    <m/>
    <n v="-0.4"/>
    <m/>
    <n v="-0.4"/>
  </r>
  <r>
    <n v="1063"/>
    <s v="Devin Smeltzer"/>
    <x v="28"/>
    <m/>
    <n v="15.2"/>
    <n v="0"/>
    <n v="-0.4"/>
    <n v="-0.4"/>
  </r>
  <r>
    <n v="1064"/>
    <s v="Corey Kluber"/>
    <x v="21"/>
    <m/>
    <n v="41.2"/>
    <n v="0"/>
    <n v="-0.4"/>
    <n v="-0.4"/>
  </r>
  <r>
    <n v="1065"/>
    <s v="Cam Gallagher"/>
    <x v="24"/>
    <n v="54"/>
    <m/>
    <n v="-0.4"/>
    <m/>
    <n v="-0.4"/>
  </r>
  <r>
    <n v="1066"/>
    <s v="Kyle Stowers"/>
    <x v="14"/>
    <n v="33"/>
    <m/>
    <n v="-0.4"/>
    <m/>
    <n v="-0.4"/>
  </r>
  <r>
    <n v="1067"/>
    <s v="Oscar Colás"/>
    <x v="9"/>
    <n v="84"/>
    <m/>
    <n v="-0.4"/>
    <m/>
    <n v="-0.4"/>
  </r>
  <r>
    <n v="1068"/>
    <s v="Jesse Winker"/>
    <x v="26"/>
    <n v="118"/>
    <m/>
    <n v="-0.4"/>
    <m/>
    <n v="-0.4"/>
  </r>
  <r>
    <n v="1069"/>
    <s v="Robbie Grossman"/>
    <x v="2"/>
    <n v="174"/>
    <m/>
    <n v="-0.4"/>
    <m/>
    <n v="-0.4"/>
  </r>
  <r>
    <n v="1070"/>
    <s v="Tim Anderson"/>
    <x v="9"/>
    <n v="138"/>
    <m/>
    <n v="-0.4"/>
    <m/>
    <n v="-0.4"/>
  </r>
  <r>
    <n v="1071"/>
    <s v="Amed Rosario"/>
    <x v="24"/>
    <n v="189"/>
    <m/>
    <n v="-0.5"/>
    <m/>
    <n v="-0.5"/>
  </r>
  <r>
    <n v="1072"/>
    <s v="Josh Harrison"/>
    <x v="18"/>
    <n v="59"/>
    <n v="1.2"/>
    <n v="-0.4"/>
    <n v="0"/>
    <n v="-0.5"/>
  </r>
  <r>
    <n v="1073"/>
    <s v="Adam Oller"/>
    <x v="22"/>
    <m/>
    <n v="19.2"/>
    <n v="0"/>
    <n v="-0.5"/>
    <n v="-0.5"/>
  </r>
  <r>
    <n v="1074"/>
    <s v="José Ruiz"/>
    <x v="30"/>
    <m/>
    <n v="22.2"/>
    <n v="0"/>
    <n v="-0.5"/>
    <n v="-0.5"/>
  </r>
  <r>
    <n v="1075"/>
    <s v="Trevor May"/>
    <x v="22"/>
    <m/>
    <n v="7"/>
    <n v="0"/>
    <n v="-0.5"/>
    <n v="-0.5"/>
  </r>
  <r>
    <n v="1076"/>
    <s v="Jake McCarthy"/>
    <x v="0"/>
    <n v="70"/>
    <m/>
    <n v="-0.5"/>
    <m/>
    <n v="-0.5"/>
  </r>
  <r>
    <n v="1077"/>
    <s v="MJ Melendez"/>
    <x v="29"/>
    <n v="190"/>
    <m/>
    <n v="-0.5"/>
    <m/>
    <n v="-0.5"/>
  </r>
  <r>
    <n v="1078"/>
    <s v="José Suarez"/>
    <x v="4"/>
    <m/>
    <n v="24.1"/>
    <n v="0"/>
    <n v="-0.5"/>
    <n v="-0.5"/>
  </r>
  <r>
    <n v="1079"/>
    <s v="C.J. Cron"/>
    <x v="23"/>
    <n v="148"/>
    <m/>
    <n v="-0.5"/>
    <m/>
    <n v="-0.5"/>
  </r>
  <r>
    <n v="1080"/>
    <s v="Ross Stripling"/>
    <x v="12"/>
    <m/>
    <n v="32.1"/>
    <n v="0"/>
    <n v="-0.5"/>
    <n v="-0.5"/>
  </r>
  <r>
    <n v="1081"/>
    <s v="Eric Lauer"/>
    <x v="26"/>
    <m/>
    <n v="42.2"/>
    <n v="0"/>
    <n v="-0.5"/>
    <n v="-0.5"/>
  </r>
  <r>
    <n v="1082"/>
    <s v="Tomás Nido"/>
    <x v="20"/>
    <n v="55"/>
    <m/>
    <n v="-0.6"/>
    <m/>
    <n v="-0.6"/>
  </r>
  <r>
    <n v="1083"/>
    <s v="Franmil Reyes"/>
    <x v="29"/>
    <n v="65"/>
    <m/>
    <n v="-0.6"/>
    <m/>
    <n v="-0.6"/>
  </r>
  <r>
    <n v="1084"/>
    <s v="Drew Rucinski"/>
    <x v="22"/>
    <m/>
    <n v="18"/>
    <n v="0"/>
    <n v="-0.6"/>
    <n v="-0.6"/>
  </r>
  <r>
    <n v="1085"/>
    <s v="Jose Miranda"/>
    <x v="7"/>
    <n v="142"/>
    <m/>
    <n v="-0.6"/>
    <m/>
    <n v="-0.6"/>
  </r>
  <r>
    <n v="1086"/>
    <s v="Oscar Gonzalez"/>
    <x v="24"/>
    <n v="75"/>
    <m/>
    <n v="-0.6"/>
    <m/>
    <n v="-0.6"/>
  </r>
  <r>
    <n v="1087"/>
    <s v="Will Benson"/>
    <x v="25"/>
    <n v="26"/>
    <m/>
    <n v="-0.6"/>
    <m/>
    <n v="-0.6"/>
  </r>
  <r>
    <n v="1088"/>
    <s v="Austin Nola"/>
    <x v="13"/>
    <n v="111"/>
    <m/>
    <n v="-0.6"/>
    <m/>
    <n v="-0.6"/>
  </r>
  <r>
    <n v="1089"/>
    <s v="David Hensley"/>
    <x v="11"/>
    <n v="86"/>
    <m/>
    <n v="-0.6"/>
    <m/>
    <n v="-0.6"/>
  </r>
  <r>
    <n v="1090"/>
    <s v="Tony Kemp"/>
    <x v="22"/>
    <n v="152"/>
    <m/>
    <n v="-0.6"/>
    <m/>
    <n v="-0.6"/>
  </r>
  <r>
    <n v="1091"/>
    <s v="Ken Waldichuk"/>
    <x v="22"/>
    <m/>
    <n v="48.2"/>
    <n v="0"/>
    <n v="-0.7"/>
    <n v="-0.7"/>
  </r>
  <r>
    <n v="1092"/>
    <s v="Mason Englert"/>
    <x v="19"/>
    <m/>
    <n v="26.2"/>
    <n v="0"/>
    <n v="-0.7"/>
    <n v="-0.7"/>
  </r>
  <r>
    <n v="1093"/>
    <s v="Alan Trejo"/>
    <x v="23"/>
    <n v="94"/>
    <n v="2"/>
    <n v="-0.6"/>
    <n v="-0.1"/>
    <n v="-0.7"/>
  </r>
  <r>
    <n v="1094"/>
    <s v="Matt Bush"/>
    <x v="26"/>
    <m/>
    <n v="7.2"/>
    <n v="0"/>
    <n v="-0.7"/>
    <n v="-0.7"/>
  </r>
  <r>
    <n v="1095"/>
    <s v="Jacob Stallings"/>
    <x v="28"/>
    <n v="83"/>
    <n v="2"/>
    <n v="-0.7"/>
    <n v="-0.1"/>
    <n v="-0.7"/>
  </r>
  <r>
    <n v="1096"/>
    <s v="Aledmys Díaz"/>
    <x v="22"/>
    <n v="119"/>
    <m/>
    <n v="-0.7"/>
    <m/>
    <n v="-0.7"/>
  </r>
  <r>
    <n v="1097"/>
    <s v="Kolten Wong"/>
    <x v="15"/>
    <n v="112"/>
    <m/>
    <n v="-0.8"/>
    <m/>
    <n v="-0.8"/>
  </r>
  <r>
    <n v="1098"/>
    <s v="Miguel Cabrera"/>
    <x v="19"/>
    <n v="90"/>
    <m/>
    <n v="-0.8"/>
    <m/>
    <n v="-0.8"/>
  </r>
  <r>
    <n v="1099"/>
    <s v="Wil Myers"/>
    <x v="25"/>
    <n v="141"/>
    <m/>
    <n v="-0.8"/>
    <m/>
    <n v="-0.8"/>
  </r>
  <r>
    <n v="1100"/>
    <s v="José Ureña"/>
    <x v="23"/>
    <m/>
    <n v="18.100000000000001"/>
    <n v="0"/>
    <n v="-0.8"/>
    <n v="-0.8"/>
  </r>
  <r>
    <n v="1101"/>
    <s v="Nate Eaton"/>
    <x v="29"/>
    <n v="55"/>
    <n v="1"/>
    <n v="-0.9"/>
    <n v="0"/>
    <n v="-0.8"/>
  </r>
  <r>
    <n v="1102"/>
    <s v="Austin Barnes"/>
    <x v="6"/>
    <n v="74"/>
    <m/>
    <n v="-0.9"/>
    <m/>
    <n v="-0.9"/>
  </r>
  <r>
    <n v="1103"/>
    <s v="Jean Segura"/>
    <x v="28"/>
    <n v="158"/>
    <m/>
    <n v="-1"/>
    <m/>
    <n v="-1"/>
  </r>
  <r>
    <n v="1104"/>
    <s v="José Abreu"/>
    <x v="11"/>
    <n v="200"/>
    <m/>
    <n v="-1"/>
    <m/>
    <n v="-1"/>
  </r>
  <r>
    <n v="1105"/>
    <s v="Nick Solak"/>
    <x v="1"/>
    <m/>
    <m/>
    <n v="0"/>
    <m/>
    <n v="0"/>
  </r>
  <r>
    <m/>
    <m/>
    <x v="31"/>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3">
  <r>
    <x v="0"/>
    <x v="0"/>
    <s v="OF"/>
    <s v="OF"/>
    <n v="53.3"/>
    <n v="49"/>
    <n v="222"/>
    <x v="0"/>
    <n v="46"/>
    <n v="63"/>
    <x v="0"/>
    <x v="0"/>
    <n v="20"/>
    <n v="1"/>
    <n v="28"/>
    <n v="32"/>
    <n v="0.33"/>
    <n v="0.41899999999999998"/>
    <n v="0.57599999999999996"/>
    <n v="0.995"/>
  </r>
  <r>
    <x v="1"/>
    <x v="1"/>
    <s v="OF"/>
    <s v="OF"/>
    <n v="40.6"/>
    <n v="48"/>
    <n v="206"/>
    <x v="1"/>
    <n v="41"/>
    <n v="46"/>
    <x v="1"/>
    <x v="1"/>
    <n v="3"/>
    <n v="0"/>
    <n v="18"/>
    <n v="47"/>
    <n v="0.254"/>
    <n v="0.32"/>
    <n v="0.53"/>
    <n v="0.85"/>
  </r>
  <r>
    <x v="2"/>
    <x v="1"/>
    <s v="2B"/>
    <s v="2B/SS"/>
    <n v="40.1"/>
    <n v="49"/>
    <n v="228"/>
    <x v="2"/>
    <n v="45"/>
    <n v="60"/>
    <x v="2"/>
    <x v="2"/>
    <n v="7"/>
    <n v="0"/>
    <n v="24"/>
    <n v="36"/>
    <n v="0.29899999999999999"/>
    <n v="0.373"/>
    <n v="0.498"/>
    <n v="0.871"/>
  </r>
  <r>
    <x v="3"/>
    <x v="2"/>
    <s v="1B"/>
    <s v="1B"/>
    <n v="37.700000000000003"/>
    <n v="51"/>
    <n v="233"/>
    <x v="3"/>
    <n v="42"/>
    <n v="66"/>
    <x v="3"/>
    <x v="3"/>
    <n v="6"/>
    <n v="0"/>
    <n v="24"/>
    <n v="38"/>
    <n v="0.32500000000000001"/>
    <n v="0.39900000000000002"/>
    <n v="0.55700000000000005"/>
    <n v="0.95599999999999996"/>
  </r>
  <r>
    <x v="4"/>
    <x v="3"/>
    <s v="OF"/>
    <s v="OF"/>
    <n v="34.1"/>
    <n v="49"/>
    <n v="213"/>
    <x v="4"/>
    <n v="33"/>
    <n v="54"/>
    <x v="0"/>
    <x v="4"/>
    <n v="5"/>
    <n v="0"/>
    <n v="26"/>
    <n v="46"/>
    <n v="0.30499999999999999"/>
    <n v="0.40799999999999997"/>
    <n v="0.54200000000000004"/>
    <n v="0.95"/>
  </r>
  <r>
    <x v="5"/>
    <x v="4"/>
    <s v="1B"/>
    <s v="1B"/>
    <n v="32.4"/>
    <n v="50"/>
    <n v="212"/>
    <x v="5"/>
    <n v="33"/>
    <n v="43"/>
    <x v="4"/>
    <x v="5"/>
    <n v="0"/>
    <n v="0"/>
    <n v="24"/>
    <n v="45"/>
    <n v="0.23100000000000001"/>
    <n v="0.32500000000000001"/>
    <n v="0.53800000000000003"/>
    <n v="0.86299999999999999"/>
  </r>
  <r>
    <x v="6"/>
    <x v="3"/>
    <s v="OF"/>
    <s v="OF"/>
    <n v="32.200000000000003"/>
    <n v="40"/>
    <n v="152"/>
    <x v="6"/>
    <n v="27"/>
    <n v="43"/>
    <x v="0"/>
    <x v="6"/>
    <n v="9"/>
    <n v="1"/>
    <n v="12"/>
    <n v="36"/>
    <n v="0.307"/>
    <n v="0.36199999999999999"/>
    <n v="0.621"/>
    <n v="0.98299999999999998"/>
  </r>
  <r>
    <x v="7"/>
    <x v="5"/>
    <s v="OF"/>
    <s v="OF"/>
    <n v="31.9"/>
    <n v="43"/>
    <n v="186"/>
    <x v="7"/>
    <n v="29"/>
    <n v="46"/>
    <x v="5"/>
    <x v="7"/>
    <n v="0"/>
    <n v="0"/>
    <n v="24"/>
    <n v="41"/>
    <n v="0.29699999999999999"/>
    <n v="0.40300000000000002"/>
    <n v="0.6"/>
    <n v="1.0029999999999999"/>
  </r>
  <r>
    <x v="8"/>
    <x v="6"/>
    <s v="OF"/>
    <s v="OF"/>
    <n v="31.3"/>
    <n v="40"/>
    <n v="175"/>
    <x v="8"/>
    <n v="32"/>
    <n v="42"/>
    <x v="1"/>
    <x v="8"/>
    <n v="3"/>
    <n v="1"/>
    <n v="29"/>
    <n v="50"/>
    <n v="0.29399999999999998"/>
    <n v="0.40600000000000003"/>
    <n v="0.64300000000000002"/>
    <n v="1.0489999999999999"/>
  </r>
  <r>
    <x v="9"/>
    <x v="7"/>
    <s v="OF"/>
    <s v="OF"/>
    <n v="30.5"/>
    <n v="48"/>
    <n v="206"/>
    <x v="9"/>
    <n v="24"/>
    <n v="50"/>
    <x v="2"/>
    <x v="9"/>
    <n v="13"/>
    <n v="1"/>
    <n v="24"/>
    <n v="36"/>
    <n v="0.27500000000000002"/>
    <n v="0.35899999999999999"/>
    <n v="0.505"/>
    <n v="0.86399999999999999"/>
  </r>
  <r>
    <x v="10"/>
    <x v="8"/>
    <s v="DH"/>
    <s v="DH"/>
    <n v="28.7"/>
    <n v="49"/>
    <n v="212"/>
    <x v="10"/>
    <n v="28"/>
    <n v="53"/>
    <x v="5"/>
    <x v="8"/>
    <n v="6"/>
    <n v="0"/>
    <n v="22"/>
    <n v="46"/>
    <n v="0.28000000000000003"/>
    <n v="0.35399999999999998"/>
    <n v="0.53400000000000003"/>
    <n v="0.88800000000000001"/>
  </r>
  <r>
    <x v="11"/>
    <x v="9"/>
    <s v="SS"/>
    <s v="SS"/>
    <n v="28.2"/>
    <n v="50"/>
    <n v="227"/>
    <x v="11"/>
    <n v="31"/>
    <n v="70"/>
    <x v="3"/>
    <x v="10"/>
    <n v="2"/>
    <n v="1"/>
    <n v="12"/>
    <n v="35"/>
    <n v="0.32700000000000001"/>
    <n v="0.36599999999999999"/>
    <n v="0.505"/>
    <n v="0.871"/>
  </r>
  <r>
    <x v="12"/>
    <x v="10"/>
    <s v="2B"/>
    <s v="2B"/>
    <n v="27.7"/>
    <n v="44"/>
    <n v="176"/>
    <x v="12"/>
    <n v="21"/>
    <n v="45"/>
    <x v="6"/>
    <x v="9"/>
    <n v="3"/>
    <n v="0"/>
    <n v="22"/>
    <n v="45"/>
    <n v="0.29599999999999999"/>
    <n v="0.38600000000000001"/>
    <n v="0.61199999999999999"/>
    <n v="0.998"/>
  </r>
  <r>
    <x v="13"/>
    <x v="10"/>
    <s v="1B"/>
    <s v="1B"/>
    <n v="27.5"/>
    <n v="50"/>
    <n v="227"/>
    <x v="13"/>
    <n v="36"/>
    <n v="56"/>
    <x v="3"/>
    <x v="11"/>
    <n v="7"/>
    <n v="0"/>
    <n v="33"/>
    <n v="46"/>
    <n v="0.29199999999999998"/>
    <n v="0.40100000000000002"/>
    <n v="0.51600000000000001"/>
    <n v="0.91700000000000004"/>
  </r>
  <r>
    <x v="14"/>
    <x v="3"/>
    <s v="SS"/>
    <s v="SS"/>
    <n v="27.4"/>
    <n v="49"/>
    <n v="216"/>
    <x v="14"/>
    <n v="28"/>
    <n v="56"/>
    <x v="7"/>
    <x v="11"/>
    <n v="15"/>
    <n v="1"/>
    <n v="17"/>
    <n v="29"/>
    <n v="0.28599999999999998"/>
    <n v="0.34699999999999998"/>
    <n v="0.48"/>
    <n v="0.82699999999999996"/>
  </r>
  <r>
    <x v="15"/>
    <x v="0"/>
    <s v="1B"/>
    <s v="1B"/>
    <n v="27.3"/>
    <n v="49"/>
    <n v="221"/>
    <x v="15"/>
    <n v="39"/>
    <n v="43"/>
    <x v="1"/>
    <x v="12"/>
    <n v="0"/>
    <n v="0"/>
    <n v="35"/>
    <n v="70"/>
    <n v="0.23400000000000001"/>
    <n v="0.36199999999999999"/>
    <n v="0.52700000000000002"/>
    <n v="0.88900000000000001"/>
  </r>
  <r>
    <x v="16"/>
    <x v="3"/>
    <s v="1B/3B"/>
    <s v="1B/3B"/>
    <n v="26.4"/>
    <n v="42"/>
    <n v="181"/>
    <x v="12"/>
    <n v="35"/>
    <n v="49"/>
    <x v="0"/>
    <x v="0"/>
    <n v="0"/>
    <n v="0"/>
    <n v="24"/>
    <n v="27"/>
    <n v="0.32200000000000001"/>
    <n v="0.42499999999999999"/>
    <n v="0.59899999999999998"/>
    <n v="1.024"/>
  </r>
  <r>
    <x v="17"/>
    <x v="11"/>
    <s v="OF"/>
    <s v="OF"/>
    <n v="26.4"/>
    <n v="49"/>
    <n v="198"/>
    <x v="16"/>
    <n v="34"/>
    <n v="50"/>
    <x v="6"/>
    <x v="13"/>
    <n v="2"/>
    <n v="1"/>
    <n v="10"/>
    <n v="54"/>
    <n v="0.27300000000000002"/>
    <n v="0.32800000000000001"/>
    <n v="0.55700000000000005"/>
    <n v="0.88500000000000001"/>
  </r>
  <r>
    <x v="18"/>
    <x v="12"/>
    <s v="3B"/>
    <s v="3B"/>
    <n v="25.6"/>
    <n v="49"/>
    <n v="207"/>
    <x v="17"/>
    <n v="27"/>
    <n v="48"/>
    <x v="6"/>
    <x v="14"/>
    <n v="0"/>
    <n v="1"/>
    <n v="10"/>
    <n v="43"/>
    <n v="0.249"/>
    <n v="0.28999999999999998"/>
    <n v="0.51300000000000001"/>
    <n v="0.80300000000000005"/>
  </r>
  <r>
    <x v="19"/>
    <x v="13"/>
    <s v="OF"/>
    <s v="OF"/>
    <n v="25.2"/>
    <n v="51"/>
    <n v="219"/>
    <x v="18"/>
    <n v="23"/>
    <n v="56"/>
    <x v="8"/>
    <x v="15"/>
    <n v="26"/>
    <n v="1"/>
    <n v="8"/>
    <n v="39"/>
    <n v="0.28000000000000003"/>
    <n v="0.34200000000000003"/>
    <n v="0.37"/>
    <n v="0.71199999999999997"/>
  </r>
  <r>
    <x v="20"/>
    <x v="1"/>
    <s v="3B"/>
    <s v="3B"/>
    <n v="25.1"/>
    <n v="46"/>
    <n v="197"/>
    <x v="16"/>
    <n v="33"/>
    <n v="50"/>
    <x v="0"/>
    <x v="6"/>
    <n v="1"/>
    <n v="1"/>
    <n v="12"/>
    <n v="59"/>
    <n v="0.27300000000000002"/>
    <n v="0.32"/>
    <n v="0.497"/>
    <n v="0.81699999999999995"/>
  </r>
  <r>
    <x v="21"/>
    <x v="6"/>
    <s v="1B"/>
    <s v="1B"/>
    <n v="24.7"/>
    <n v="49"/>
    <n v="214"/>
    <x v="10"/>
    <n v="30"/>
    <n v="58"/>
    <x v="0"/>
    <x v="10"/>
    <n v="0"/>
    <n v="0"/>
    <n v="18"/>
    <n v="50"/>
    <n v="0.307"/>
    <n v="0.38300000000000001"/>
    <n v="0.52400000000000002"/>
    <n v="0.90700000000000003"/>
  </r>
  <r>
    <x v="22"/>
    <x v="0"/>
    <s v="C"/>
    <s v="C"/>
    <n v="23.5"/>
    <n v="41"/>
    <n v="171"/>
    <x v="19"/>
    <n v="28"/>
    <n v="39"/>
    <x v="9"/>
    <x v="12"/>
    <n v="0"/>
    <n v="0"/>
    <n v="22"/>
    <n v="37"/>
    <n v="0.27500000000000002"/>
    <n v="0.39800000000000002"/>
    <n v="0.54900000000000004"/>
    <n v="0.94699999999999995"/>
  </r>
  <r>
    <x v="23"/>
    <x v="14"/>
    <s v="OF"/>
    <s v="OF"/>
    <n v="23.4"/>
    <n v="47"/>
    <n v="187"/>
    <x v="20"/>
    <n v="31"/>
    <n v="46"/>
    <x v="7"/>
    <x v="16"/>
    <n v="14"/>
    <n v="0"/>
    <n v="22"/>
    <n v="38"/>
    <n v="0.28599999999999998"/>
    <n v="0.38"/>
    <n v="0.50900000000000001"/>
    <n v="0.88900000000000001"/>
  </r>
  <r>
    <x v="24"/>
    <x v="2"/>
    <s v="2B/OF"/>
    <s v="2B/OF"/>
    <n v="23"/>
    <n v="48"/>
    <n v="217"/>
    <x v="15"/>
    <n v="37"/>
    <n v="47"/>
    <x v="0"/>
    <x v="10"/>
    <n v="1"/>
    <n v="0"/>
    <n v="31"/>
    <n v="40"/>
    <n v="0.255"/>
    <n v="0.36399999999999999"/>
    <n v="0.52200000000000002"/>
    <n v="0.88600000000000001"/>
  </r>
  <r>
    <x v="25"/>
    <x v="15"/>
    <s v="2B/SS"/>
    <s v="2B/SS/ OF"/>
    <n v="23"/>
    <n v="46"/>
    <n v="201"/>
    <x v="21"/>
    <n v="30"/>
    <n v="58"/>
    <x v="10"/>
    <x v="16"/>
    <n v="12"/>
    <n v="1"/>
    <n v="9"/>
    <n v="45"/>
    <n v="0.309"/>
    <n v="0.35299999999999998"/>
    <n v="0.47899999999999998"/>
    <n v="0.83199999999999996"/>
  </r>
  <r>
    <x v="26"/>
    <x v="16"/>
    <s v="OF"/>
    <s v="OF"/>
    <n v="22"/>
    <n v="46"/>
    <n v="195"/>
    <x v="22"/>
    <n v="34"/>
    <n v="45"/>
    <x v="7"/>
    <x v="17"/>
    <n v="10"/>
    <n v="0"/>
    <n v="18"/>
    <n v="43"/>
    <n v="0.25900000000000001"/>
    <n v="0.33800000000000002"/>
    <n v="0.41399999999999998"/>
    <n v="0.752"/>
  </r>
  <r>
    <x v="27"/>
    <x v="8"/>
    <s v="OF"/>
    <s v="OF"/>
    <n v="21.9"/>
    <n v="47"/>
    <n v="209"/>
    <x v="9"/>
    <n v="33"/>
    <n v="50"/>
    <x v="5"/>
    <x v="0"/>
    <n v="0"/>
    <n v="0"/>
    <n v="21"/>
    <n v="58"/>
    <n v="0.27500000000000002"/>
    <n v="0.36399999999999999"/>
    <n v="0.52700000000000002"/>
    <n v="0.89100000000000001"/>
  </r>
  <r>
    <x v="28"/>
    <x v="7"/>
    <s v="1B"/>
    <s v="1B"/>
    <n v="21.9"/>
    <n v="49"/>
    <n v="216"/>
    <x v="23"/>
    <n v="32"/>
    <n v="48"/>
    <x v="0"/>
    <x v="12"/>
    <n v="2"/>
    <n v="0"/>
    <n v="9"/>
    <n v="50"/>
    <n v="0.23799999999999999"/>
    <n v="0.26900000000000002"/>
    <n v="0.46500000000000002"/>
    <n v="0.73399999999999999"/>
  </r>
  <r>
    <x v="29"/>
    <x v="9"/>
    <s v="1B"/>
    <s v="1B"/>
    <n v="21.9"/>
    <n v="47"/>
    <n v="208"/>
    <x v="16"/>
    <n v="26"/>
    <n v="55"/>
    <x v="2"/>
    <x v="6"/>
    <n v="2"/>
    <n v="0"/>
    <n v="18"/>
    <n v="34"/>
    <n v="0.30099999999999999"/>
    <n v="0.37"/>
    <n v="0.497"/>
    <n v="0.86699999999999999"/>
  </r>
  <r>
    <x v="30"/>
    <x v="2"/>
    <s v="2B/3B"/>
    <s v="2B/3B"/>
    <n v="21.4"/>
    <n v="46"/>
    <n v="192"/>
    <x v="24"/>
    <n v="30"/>
    <n v="32"/>
    <x v="11"/>
    <x v="18"/>
    <n v="1"/>
    <n v="2"/>
    <n v="32"/>
    <n v="58"/>
    <n v="0.20399999999999999"/>
    <n v="0.34399999999999997"/>
    <n v="0.503"/>
    <n v="0.84699999999999998"/>
  </r>
  <r>
    <x v="31"/>
    <x v="17"/>
    <s v="OF"/>
    <s v="OF"/>
    <n v="21.2"/>
    <n v="47"/>
    <n v="188"/>
    <x v="25"/>
    <n v="25"/>
    <n v="50"/>
    <x v="9"/>
    <x v="11"/>
    <n v="6"/>
    <n v="2"/>
    <n v="13"/>
    <n v="56"/>
    <n v="0.28899999999999998"/>
    <n v="0.34"/>
    <n v="0.54300000000000004"/>
    <n v="0.88300000000000001"/>
  </r>
  <r>
    <x v="32"/>
    <x v="14"/>
    <s v="OF"/>
    <s v="OF"/>
    <n v="20.399999999999999"/>
    <n v="44"/>
    <n v="183"/>
    <x v="26"/>
    <n v="29"/>
    <n v="53"/>
    <x v="2"/>
    <x v="0"/>
    <n v="1"/>
    <n v="0"/>
    <n v="13"/>
    <n v="28"/>
    <n v="0.317"/>
    <n v="0.372"/>
    <n v="0.55700000000000005"/>
    <n v="0.92900000000000005"/>
  </r>
  <r>
    <x v="33"/>
    <x v="18"/>
    <s v="OF"/>
    <s v="OF"/>
    <n v="19.899999999999999"/>
    <n v="48"/>
    <n v="200"/>
    <x v="27"/>
    <n v="27"/>
    <n v="45"/>
    <x v="1"/>
    <x v="10"/>
    <n v="0"/>
    <n v="0"/>
    <n v="18"/>
    <n v="50"/>
    <n v="0.251"/>
    <n v="0.33"/>
    <n v="0.54200000000000004"/>
    <n v="0.872"/>
  </r>
  <r>
    <x v="34"/>
    <x v="6"/>
    <s v="2B"/>
    <s v="2B"/>
    <n v="19.899999999999999"/>
    <n v="50"/>
    <n v="211"/>
    <x v="9"/>
    <n v="32"/>
    <n v="48"/>
    <x v="3"/>
    <x v="11"/>
    <n v="5"/>
    <n v="0"/>
    <n v="25"/>
    <n v="27"/>
    <n v="0.26400000000000001"/>
    <n v="0.35099999999999998"/>
    <n v="0.46700000000000003"/>
    <n v="0.81799999999999995"/>
  </r>
  <r>
    <x v="35"/>
    <x v="19"/>
    <s v="OF"/>
    <s v="OF"/>
    <n v="19.600000000000001"/>
    <n v="48"/>
    <n v="200"/>
    <x v="15"/>
    <n v="31"/>
    <n v="54"/>
    <x v="7"/>
    <x v="11"/>
    <n v="4"/>
    <n v="0"/>
    <n v="12"/>
    <n v="51"/>
    <n v="0.29299999999999998"/>
    <n v="0.34499999999999997"/>
    <n v="0.46200000000000002"/>
    <n v="0.80700000000000005"/>
  </r>
  <r>
    <x v="36"/>
    <x v="14"/>
    <s v="1B"/>
    <s v="1B"/>
    <n v="19.399999999999999"/>
    <n v="47"/>
    <n v="198"/>
    <x v="4"/>
    <n v="28"/>
    <n v="44"/>
    <x v="0"/>
    <x v="6"/>
    <n v="1"/>
    <n v="0"/>
    <n v="17"/>
    <n v="40"/>
    <n v="0.249"/>
    <n v="0.313"/>
    <n v="0.49199999999999999"/>
    <n v="0.80500000000000005"/>
  </r>
  <r>
    <x v="37"/>
    <x v="20"/>
    <s v="2B/SS"/>
    <s v="2B/SS"/>
    <n v="19.3"/>
    <n v="40"/>
    <n v="187"/>
    <x v="25"/>
    <n v="27"/>
    <n v="51"/>
    <x v="12"/>
    <x v="17"/>
    <n v="12"/>
    <n v="0"/>
    <n v="11"/>
    <n v="20"/>
    <n v="0.29499999999999998"/>
    <n v="0.34200000000000003"/>
    <n v="0.40500000000000003"/>
    <n v="0.747"/>
  </r>
  <r>
    <x v="38"/>
    <x v="21"/>
    <s v="C"/>
    <s v="C"/>
    <n v="19.3"/>
    <n v="45"/>
    <n v="190"/>
    <x v="28"/>
    <n v="24"/>
    <n v="49"/>
    <x v="0"/>
    <x v="19"/>
    <n v="0"/>
    <n v="0"/>
    <n v="8"/>
    <n v="39"/>
    <n v="0.28000000000000003"/>
    <n v="0.32100000000000001"/>
    <n v="0.53100000000000003"/>
    <n v="0.85199999999999998"/>
  </r>
  <r>
    <x v="39"/>
    <x v="22"/>
    <s v="2B"/>
    <s v="2B"/>
    <n v="19"/>
    <n v="49"/>
    <n v="215"/>
    <x v="16"/>
    <n v="40"/>
    <n v="53"/>
    <x v="12"/>
    <x v="20"/>
    <n v="8"/>
    <n v="1"/>
    <n v="24"/>
    <n v="40"/>
    <n v="0.28999999999999998"/>
    <n v="0.38100000000000001"/>
    <n v="0.41499999999999998"/>
    <n v="0.79600000000000004"/>
  </r>
  <r>
    <x v="40"/>
    <x v="10"/>
    <s v="3B"/>
    <s v="3B"/>
    <n v="18.7"/>
    <n v="49"/>
    <n v="213"/>
    <x v="29"/>
    <n v="26"/>
    <n v="52"/>
    <x v="3"/>
    <x v="6"/>
    <n v="2"/>
    <n v="1"/>
    <n v="14"/>
    <n v="46"/>
    <n v="0.26400000000000001"/>
    <n v="0.31"/>
    <n v="0.437"/>
    <n v="0.747"/>
  </r>
  <r>
    <x v="41"/>
    <x v="7"/>
    <s v="SS"/>
    <s v="SS"/>
    <n v="18.5"/>
    <n v="42"/>
    <n v="148"/>
    <x v="30"/>
    <n v="28"/>
    <n v="32"/>
    <x v="10"/>
    <x v="15"/>
    <n v="14"/>
    <n v="0"/>
    <n v="10"/>
    <n v="32"/>
    <n v="0.23899999999999999"/>
    <n v="0.29099999999999998"/>
    <n v="0.41799999999999998"/>
    <n v="0.70899999999999996"/>
  </r>
  <r>
    <x v="42"/>
    <x v="1"/>
    <s v="1B"/>
    <s v="1B"/>
    <n v="18.5"/>
    <n v="49"/>
    <n v="219"/>
    <x v="17"/>
    <n v="37"/>
    <n v="56"/>
    <x v="13"/>
    <x v="13"/>
    <n v="0"/>
    <n v="0"/>
    <n v="24"/>
    <n v="44"/>
    <n v="0.28999999999999998"/>
    <n v="0.37"/>
    <n v="0.46100000000000002"/>
    <n v="0.83099999999999996"/>
  </r>
  <r>
    <x v="43"/>
    <x v="1"/>
    <s v="C"/>
    <s v="C"/>
    <n v="18.2"/>
    <n v="42"/>
    <n v="169"/>
    <x v="31"/>
    <n v="27"/>
    <n v="42"/>
    <x v="10"/>
    <x v="8"/>
    <n v="2"/>
    <n v="0"/>
    <n v="13"/>
    <n v="32"/>
    <n v="0.27300000000000002"/>
    <n v="0.33100000000000002"/>
    <n v="0.44800000000000001"/>
    <n v="0.77900000000000003"/>
  </r>
  <r>
    <x v="44"/>
    <x v="23"/>
    <s v="OF"/>
    <s v="OF"/>
    <n v="18.2"/>
    <n v="47"/>
    <n v="202"/>
    <x v="1"/>
    <n v="27"/>
    <n v="51"/>
    <x v="10"/>
    <x v="19"/>
    <n v="6"/>
    <n v="0"/>
    <n v="14"/>
    <n v="36"/>
    <n v="0.28199999999999997"/>
    <n v="0.33200000000000002"/>
    <n v="0.48099999999999998"/>
    <n v="0.81299999999999994"/>
  </r>
  <r>
    <x v="45"/>
    <x v="2"/>
    <s v="C"/>
    <s v="C"/>
    <n v="18.2"/>
    <n v="33"/>
    <n v="148"/>
    <x v="32"/>
    <n v="26"/>
    <n v="38"/>
    <x v="7"/>
    <x v="0"/>
    <n v="1"/>
    <n v="0"/>
    <n v="22"/>
    <n v="12"/>
    <n v="0.317"/>
    <n v="0.41199999999999998"/>
    <n v="0.55000000000000004"/>
    <n v="0.96199999999999997"/>
  </r>
  <r>
    <x v="46"/>
    <x v="24"/>
    <s v="OF"/>
    <s v="OF"/>
    <n v="17.600000000000001"/>
    <n v="45"/>
    <n v="192"/>
    <x v="33"/>
    <n v="31"/>
    <n v="39"/>
    <x v="9"/>
    <x v="21"/>
    <n v="6"/>
    <n v="0"/>
    <n v="25"/>
    <n v="54"/>
    <n v="0.23799999999999999"/>
    <n v="0.34399999999999997"/>
    <n v="0.48799999999999999"/>
    <n v="0.83199999999999996"/>
  </r>
  <r>
    <x v="47"/>
    <x v="21"/>
    <s v="SS/3B"/>
    <s v="SS/3B"/>
    <n v="17.600000000000001"/>
    <n v="50"/>
    <n v="219"/>
    <x v="34"/>
    <n v="31"/>
    <n v="47"/>
    <x v="7"/>
    <x v="22"/>
    <n v="14"/>
    <n v="1"/>
    <n v="11"/>
    <n v="47"/>
    <n v="0.22700000000000001"/>
    <n v="0.26500000000000001"/>
    <n v="0.40100000000000002"/>
    <n v="0.66600000000000004"/>
  </r>
  <r>
    <x v="48"/>
    <x v="12"/>
    <s v="OF"/>
    <s v="OF"/>
    <n v="17.600000000000001"/>
    <n v="42"/>
    <n v="185"/>
    <x v="33"/>
    <n v="27"/>
    <n v="49"/>
    <x v="10"/>
    <x v="13"/>
    <n v="3"/>
    <n v="0"/>
    <n v="17"/>
    <n v="17"/>
    <n v="0.29899999999999999"/>
    <n v="0.373"/>
    <n v="0.48199999999999998"/>
    <n v="0.85499999999999998"/>
  </r>
  <r>
    <x v="49"/>
    <x v="20"/>
    <s v="OF"/>
    <s v="OF"/>
    <n v="17.5"/>
    <n v="37"/>
    <n v="163"/>
    <x v="35"/>
    <n v="29"/>
    <n v="39"/>
    <x v="7"/>
    <x v="22"/>
    <n v="9"/>
    <n v="0"/>
    <n v="14"/>
    <n v="31"/>
    <n v="0.27100000000000002"/>
    <n v="0.33700000000000002"/>
    <n v="0.49299999999999999"/>
    <n v="0.83"/>
  </r>
  <r>
    <x v="50"/>
    <x v="13"/>
    <s v="OF"/>
    <s v="OF"/>
    <n v="17.5"/>
    <n v="44"/>
    <n v="178"/>
    <x v="36"/>
    <n v="21"/>
    <n v="41"/>
    <x v="0"/>
    <x v="23"/>
    <n v="1"/>
    <n v="0"/>
    <n v="24"/>
    <n v="46"/>
    <n v="0.27500000000000002"/>
    <n v="0.38200000000000001"/>
    <n v="0.54400000000000004"/>
    <n v="0.92600000000000005"/>
  </r>
  <r>
    <x v="51"/>
    <x v="5"/>
    <s v="OF"/>
    <s v="OF"/>
    <n v="17.3"/>
    <n v="49"/>
    <n v="202"/>
    <x v="22"/>
    <n v="18"/>
    <n v="48"/>
    <x v="7"/>
    <x v="8"/>
    <n v="7"/>
    <n v="0"/>
    <n v="24"/>
    <n v="31"/>
    <n v="0.27600000000000002"/>
    <n v="0.35599999999999998"/>
    <n v="0.44800000000000001"/>
    <n v="0.80400000000000005"/>
  </r>
  <r>
    <x v="52"/>
    <x v="2"/>
    <s v="OF"/>
    <s v="OF"/>
    <n v="17.3"/>
    <n v="49"/>
    <n v="186"/>
    <x v="37"/>
    <n v="28"/>
    <n v="40"/>
    <x v="3"/>
    <x v="19"/>
    <n v="5"/>
    <n v="0"/>
    <n v="18"/>
    <n v="63"/>
    <n v="0.245"/>
    <n v="0.33300000000000002"/>
    <n v="0.497"/>
    <n v="0.83"/>
  </r>
  <r>
    <x v="53"/>
    <x v="9"/>
    <s v="3B"/>
    <s v="3B"/>
    <n v="17.100000000000001"/>
    <n v="49"/>
    <n v="211"/>
    <x v="5"/>
    <n v="26"/>
    <n v="56"/>
    <x v="7"/>
    <x v="0"/>
    <n v="2"/>
    <n v="0"/>
    <n v="22"/>
    <n v="55"/>
    <n v="0.30099999999999999"/>
    <n v="0.379"/>
    <n v="0.51600000000000001"/>
    <n v="0.89500000000000002"/>
  </r>
  <r>
    <x v="54"/>
    <x v="8"/>
    <s v="OF"/>
    <s v="OF"/>
    <n v="16.600000000000001"/>
    <n v="49"/>
    <n v="209"/>
    <x v="0"/>
    <n v="30"/>
    <n v="49"/>
    <x v="9"/>
    <x v="13"/>
    <n v="0"/>
    <n v="0"/>
    <n v="16"/>
    <n v="44"/>
    <n v="0.25700000000000001"/>
    <n v="0.311"/>
    <n v="0.46600000000000003"/>
    <n v="0.77700000000000002"/>
  </r>
  <r>
    <x v="55"/>
    <x v="25"/>
    <s v="OF"/>
    <s v="OF"/>
    <n v="16.5"/>
    <n v="49"/>
    <n v="206"/>
    <x v="38"/>
    <n v="33"/>
    <n v="55"/>
    <x v="13"/>
    <x v="24"/>
    <n v="2"/>
    <n v="2"/>
    <n v="15"/>
    <n v="54"/>
    <n v="0.28899999999999998"/>
    <n v="0.34"/>
    <n v="0.45300000000000001"/>
    <n v="0.79300000000000004"/>
  </r>
  <r>
    <x v="56"/>
    <x v="10"/>
    <s v="2B/SS"/>
    <s v="2B/SS"/>
    <n v="15.3"/>
    <n v="47"/>
    <n v="170"/>
    <x v="7"/>
    <n v="27"/>
    <n v="44"/>
    <x v="10"/>
    <x v="25"/>
    <n v="7"/>
    <n v="0"/>
    <n v="12"/>
    <n v="25"/>
    <n v="0.28399999999999997"/>
    <n v="0.33500000000000002"/>
    <n v="0.48399999999999999"/>
    <n v="0.81899999999999995"/>
  </r>
  <r>
    <x v="57"/>
    <x v="12"/>
    <s v="OF"/>
    <s v="OF"/>
    <n v="15.1"/>
    <n v="48"/>
    <n v="209"/>
    <x v="39"/>
    <n v="37"/>
    <n v="53"/>
    <x v="13"/>
    <x v="26"/>
    <n v="3"/>
    <n v="0"/>
    <n v="18"/>
    <n v="28"/>
    <n v="0.28299999999999997"/>
    <n v="0.35899999999999999"/>
    <n v="0.45500000000000002"/>
    <n v="0.81399999999999995"/>
  </r>
  <r>
    <x v="58"/>
    <x v="26"/>
    <s v="OF"/>
    <s v="OF"/>
    <n v="14.9"/>
    <n v="49"/>
    <n v="215"/>
    <x v="40"/>
    <n v="27"/>
    <n v="44"/>
    <x v="3"/>
    <x v="15"/>
    <n v="5"/>
    <n v="0"/>
    <n v="44"/>
    <n v="47"/>
    <n v="0.25700000000000001"/>
    <n v="0.40899999999999997"/>
    <n v="0.49099999999999999"/>
    <n v="0.9"/>
  </r>
  <r>
    <x v="59"/>
    <x v="9"/>
    <s v="2B/OF"/>
    <s v="2B/OF"/>
    <n v="14.6"/>
    <n v="43"/>
    <n v="175"/>
    <x v="41"/>
    <n v="24"/>
    <n v="46"/>
    <x v="14"/>
    <x v="26"/>
    <n v="14"/>
    <n v="0"/>
    <n v="12"/>
    <n v="31"/>
    <n v="0.28799999999999998"/>
    <n v="0.33700000000000002"/>
    <n v="0.38800000000000001"/>
    <n v="0.72499999999999998"/>
  </r>
  <r>
    <x v="60"/>
    <x v="4"/>
    <s v="SS"/>
    <s v="SS"/>
    <n v="14.3"/>
    <n v="50"/>
    <n v="217"/>
    <x v="42"/>
    <n v="29"/>
    <n v="44"/>
    <x v="7"/>
    <x v="8"/>
    <n v="4"/>
    <n v="0"/>
    <n v="17"/>
    <n v="50"/>
    <n v="0.22700000000000001"/>
    <n v="0.30399999999999999"/>
    <n v="0.41199999999999998"/>
    <n v="0.71599999999999997"/>
  </r>
  <r>
    <x v="61"/>
    <x v="9"/>
    <s v="OF"/>
    <s v="OF"/>
    <n v="14.2"/>
    <n v="48"/>
    <n v="211"/>
    <x v="13"/>
    <n v="27"/>
    <n v="48"/>
    <x v="7"/>
    <x v="15"/>
    <n v="8"/>
    <n v="0"/>
    <n v="18"/>
    <n v="32"/>
    <n v="0.25"/>
    <n v="0.318"/>
    <n v="0.38"/>
    <n v="0.69799999999999995"/>
  </r>
  <r>
    <x v="62"/>
    <x v="3"/>
    <s v="1B/2B/ 3B"/>
    <s v="1B/2B/ 3B"/>
    <n v="14.1"/>
    <n v="45"/>
    <n v="172"/>
    <x v="31"/>
    <n v="25"/>
    <n v="42"/>
    <x v="7"/>
    <x v="8"/>
    <n v="0"/>
    <n v="0"/>
    <n v="11"/>
    <n v="29"/>
    <n v="0.27300000000000002"/>
    <n v="0.34899999999999998"/>
    <n v="0.46800000000000003"/>
    <n v="0.81699999999999995"/>
  </r>
  <r>
    <x v="63"/>
    <x v="0"/>
    <s v="2B"/>
    <s v="2B"/>
    <n v="13.9"/>
    <n v="49"/>
    <n v="204"/>
    <x v="10"/>
    <n v="21"/>
    <n v="48"/>
    <x v="9"/>
    <x v="23"/>
    <n v="1"/>
    <n v="0"/>
    <n v="10"/>
    <n v="33"/>
    <n v="0.254"/>
    <n v="0.29899999999999999"/>
    <n v="0.47599999999999998"/>
    <n v="0.77500000000000002"/>
  </r>
  <r>
    <x v="64"/>
    <x v="17"/>
    <s v="OF"/>
    <s v="OF"/>
    <n v="13.7"/>
    <n v="47"/>
    <n v="214"/>
    <x v="42"/>
    <n v="32"/>
    <n v="43"/>
    <x v="7"/>
    <x v="21"/>
    <n v="8"/>
    <n v="1"/>
    <n v="17"/>
    <n v="60"/>
    <n v="0.222"/>
    <n v="0.29399999999999998"/>
    <n v="0.39200000000000002"/>
    <n v="0.68600000000000005"/>
  </r>
  <r>
    <x v="65"/>
    <x v="27"/>
    <s v="C"/>
    <s v="C"/>
    <n v="13.3"/>
    <n v="43"/>
    <n v="159"/>
    <x v="8"/>
    <n v="19"/>
    <n v="49"/>
    <x v="13"/>
    <x v="11"/>
    <n v="0"/>
    <n v="0"/>
    <n v="13"/>
    <n v="27"/>
    <n v="0.34300000000000003"/>
    <n v="0.39600000000000002"/>
    <n v="0.51700000000000002"/>
    <n v="0.91300000000000003"/>
  </r>
  <r>
    <x v="66"/>
    <x v="3"/>
    <s v="2B/SS/ 3B"/>
    <s v="2B/SS/ 3B"/>
    <n v="13.2"/>
    <n v="39"/>
    <n v="133"/>
    <x v="43"/>
    <n v="25"/>
    <n v="29"/>
    <x v="7"/>
    <x v="26"/>
    <n v="9"/>
    <n v="0"/>
    <n v="17"/>
    <n v="34"/>
    <n v="0.252"/>
    <n v="0.35299999999999998"/>
    <n v="0.51300000000000001"/>
    <n v="0.86599999999999999"/>
  </r>
  <r>
    <x v="67"/>
    <x v="28"/>
    <s v="3B"/>
    <s v="3B"/>
    <n v="12.6"/>
    <n v="46"/>
    <n v="201"/>
    <x v="25"/>
    <n v="25"/>
    <n v="46"/>
    <x v="10"/>
    <x v="11"/>
    <n v="5"/>
    <n v="0"/>
    <n v="24"/>
    <n v="16"/>
    <n v="0.26600000000000001"/>
    <n v="0.34799999999999998"/>
    <n v="0.46200000000000002"/>
    <n v="0.81"/>
  </r>
  <r>
    <x v="68"/>
    <x v="7"/>
    <s v="2B/OF"/>
    <s v="2B/OF"/>
    <n v="12.4"/>
    <n v="48"/>
    <n v="167"/>
    <x v="36"/>
    <n v="27"/>
    <n v="38"/>
    <x v="10"/>
    <x v="21"/>
    <n v="6"/>
    <n v="1"/>
    <n v="17"/>
    <n v="16"/>
    <n v="0.255"/>
    <n v="0.33500000000000002"/>
    <n v="0.43"/>
    <n v="0.76500000000000001"/>
  </r>
  <r>
    <x v="69"/>
    <x v="16"/>
    <s v="1B"/>
    <s v="1B"/>
    <n v="12.3"/>
    <n v="45"/>
    <n v="167"/>
    <x v="35"/>
    <n v="20"/>
    <n v="37"/>
    <x v="5"/>
    <x v="24"/>
    <n v="0"/>
    <n v="0"/>
    <n v="21"/>
    <n v="41"/>
    <n v="0.25700000000000001"/>
    <n v="0.34699999999999998"/>
    <n v="0.53500000000000003"/>
    <n v="0.88200000000000001"/>
  </r>
  <r>
    <x v="70"/>
    <x v="14"/>
    <s v="SS"/>
    <s v="SS/3B"/>
    <n v="12.1"/>
    <n v="38"/>
    <n v="126"/>
    <x v="44"/>
    <n v="24"/>
    <n v="34"/>
    <x v="15"/>
    <x v="21"/>
    <n v="5"/>
    <n v="0"/>
    <n v="16"/>
    <n v="23"/>
    <n v="0.315"/>
    <n v="0.41299999999999998"/>
    <n v="0.51900000000000002"/>
    <n v="0.93200000000000005"/>
  </r>
  <r>
    <x v="71"/>
    <x v="22"/>
    <s v="OF"/>
    <s v="OF"/>
    <n v="12"/>
    <n v="44"/>
    <n v="154"/>
    <x v="45"/>
    <n v="16"/>
    <n v="36"/>
    <x v="13"/>
    <x v="8"/>
    <n v="6"/>
    <n v="1"/>
    <n v="19"/>
    <n v="27"/>
    <n v="0.27100000000000002"/>
    <n v="0.36399999999999999"/>
    <n v="0.436"/>
    <n v="0.8"/>
  </r>
  <r>
    <x v="72"/>
    <x v="25"/>
    <s v="1B/3B"/>
    <s v="1B/3B"/>
    <n v="12"/>
    <n v="49"/>
    <n v="200"/>
    <x v="9"/>
    <n v="22"/>
    <n v="48"/>
    <x v="13"/>
    <x v="18"/>
    <n v="2"/>
    <n v="0"/>
    <n v="14"/>
    <n v="32"/>
    <n v="0.26400000000000001"/>
    <n v="0.32"/>
    <n v="0.39"/>
    <n v="0.71"/>
  </r>
  <r>
    <x v="73"/>
    <x v="2"/>
    <s v="DH"/>
    <s v="DH"/>
    <n v="11.8"/>
    <n v="35"/>
    <n v="151"/>
    <x v="46"/>
    <n v="20"/>
    <n v="37"/>
    <x v="3"/>
    <x v="10"/>
    <n v="0"/>
    <n v="0"/>
    <n v="8"/>
    <n v="42"/>
    <n v="0.26800000000000002"/>
    <n v="0.311"/>
    <n v="0.57999999999999996"/>
    <n v="0.89100000000000001"/>
  </r>
  <r>
    <x v="74"/>
    <x v="20"/>
    <s v="3B"/>
    <s v="1B/3B/ OF"/>
    <n v="11.7"/>
    <n v="42"/>
    <n v="160"/>
    <x v="47"/>
    <n v="25"/>
    <n v="31"/>
    <x v="5"/>
    <x v="21"/>
    <n v="2"/>
    <n v="0"/>
    <n v="18"/>
    <n v="63"/>
    <n v="0.22"/>
    <n v="0.312"/>
    <n v="0.53200000000000003"/>
    <n v="0.84399999999999997"/>
  </r>
  <r>
    <x v="75"/>
    <x v="14"/>
    <s v="2B"/>
    <s v="2B"/>
    <n v="11.7"/>
    <n v="47"/>
    <n v="205"/>
    <x v="16"/>
    <n v="27"/>
    <n v="51"/>
    <x v="10"/>
    <x v="22"/>
    <n v="4"/>
    <n v="0"/>
    <n v="15"/>
    <n v="33"/>
    <n v="0.27900000000000003"/>
    <n v="0.34100000000000003"/>
    <n v="0.46400000000000002"/>
    <n v="0.80500000000000005"/>
  </r>
  <r>
    <x v="76"/>
    <x v="7"/>
    <s v="C"/>
    <s v="C"/>
    <n v="11.5"/>
    <n v="49"/>
    <n v="220"/>
    <x v="48"/>
    <n v="24"/>
    <n v="48"/>
    <x v="7"/>
    <x v="11"/>
    <n v="0"/>
    <n v="0"/>
    <n v="40"/>
    <n v="30"/>
    <n v="0.27"/>
    <n v="0.4"/>
    <n v="0.42699999999999999"/>
    <n v="0.82699999999999996"/>
  </r>
  <r>
    <x v="77"/>
    <x v="1"/>
    <s v="SS/3B"/>
    <s v="2B/SS/ 3B"/>
    <n v="10.9"/>
    <n v="40"/>
    <n v="144"/>
    <x v="49"/>
    <n v="19"/>
    <n v="41"/>
    <x v="7"/>
    <x v="21"/>
    <n v="3"/>
    <n v="0"/>
    <n v="4"/>
    <n v="34"/>
    <n v="0.30099999999999999"/>
    <n v="0.34"/>
    <n v="0.51500000000000001"/>
    <n v="0.85499999999999998"/>
  </r>
  <r>
    <x v="78"/>
    <x v="29"/>
    <s v="OF"/>
    <s v="OF"/>
    <n v="10.3"/>
    <n v="46"/>
    <n v="199"/>
    <x v="9"/>
    <n v="25"/>
    <n v="53"/>
    <x v="13"/>
    <x v="16"/>
    <n v="5"/>
    <n v="0"/>
    <n v="17"/>
    <n v="57"/>
    <n v="0.29099999999999998"/>
    <n v="0.35199999999999998"/>
    <n v="0.434"/>
    <n v="0.78600000000000003"/>
  </r>
  <r>
    <x v="79"/>
    <x v="4"/>
    <s v="OF"/>
    <s v="OF"/>
    <n v="9.9"/>
    <n v="49"/>
    <n v="219"/>
    <x v="38"/>
    <n v="27"/>
    <n v="56"/>
    <x v="15"/>
    <x v="26"/>
    <n v="3"/>
    <n v="0"/>
    <n v="22"/>
    <n v="42"/>
    <n v="0.29499999999999998"/>
    <n v="0.374"/>
    <n v="0.42099999999999999"/>
    <n v="0.79500000000000004"/>
  </r>
  <r>
    <x v="80"/>
    <x v="26"/>
    <s v="SS"/>
    <s v="SS"/>
    <n v="9.6"/>
    <n v="48"/>
    <n v="208"/>
    <x v="50"/>
    <n v="28"/>
    <n v="46"/>
    <x v="7"/>
    <x v="20"/>
    <n v="4"/>
    <n v="0"/>
    <n v="24"/>
    <n v="38"/>
    <n v="0.25600000000000001"/>
    <n v="0.35099999999999998"/>
    <n v="0.41099999999999998"/>
    <n v="0.76200000000000001"/>
  </r>
  <r>
    <x v="81"/>
    <x v="15"/>
    <s v="OF"/>
    <s v="OF"/>
    <n v="9.5"/>
    <n v="44"/>
    <n v="175"/>
    <x v="51"/>
    <n v="27"/>
    <n v="33"/>
    <x v="9"/>
    <x v="17"/>
    <n v="1"/>
    <n v="0"/>
    <n v="21"/>
    <n v="48"/>
    <n v="0.219"/>
    <n v="0.32"/>
    <n v="0.437"/>
    <n v="0.75700000000000001"/>
  </r>
  <r>
    <x v="82"/>
    <x v="7"/>
    <s v="OF"/>
    <s v="OF"/>
    <n v="9.5"/>
    <n v="46"/>
    <n v="199"/>
    <x v="25"/>
    <n v="22"/>
    <n v="44"/>
    <x v="2"/>
    <x v="0"/>
    <n v="1"/>
    <n v="0"/>
    <n v="21"/>
    <n v="50"/>
    <n v="0.254"/>
    <n v="0.33700000000000002"/>
    <n v="0.46200000000000002"/>
    <n v="0.79900000000000004"/>
  </r>
  <r>
    <x v="83"/>
    <x v="23"/>
    <s v="OF"/>
    <s v="OF"/>
    <n v="9.5"/>
    <n v="43"/>
    <n v="179"/>
    <x v="51"/>
    <n v="23"/>
    <n v="40"/>
    <x v="7"/>
    <x v="26"/>
    <n v="5"/>
    <n v="1"/>
    <n v="24"/>
    <n v="37"/>
    <n v="0.26500000000000001"/>
    <n v="0.36299999999999999"/>
    <n v="0.44400000000000001"/>
    <n v="0.80700000000000005"/>
  </r>
  <r>
    <x v="84"/>
    <x v="0"/>
    <s v="3B"/>
    <s v="3B"/>
    <n v="9.1999999999999993"/>
    <n v="49"/>
    <n v="214"/>
    <x v="21"/>
    <n v="28"/>
    <n v="49"/>
    <x v="7"/>
    <x v="21"/>
    <n v="0"/>
    <n v="0"/>
    <n v="22"/>
    <n v="56"/>
    <n v="0.26100000000000001"/>
    <n v="0.33600000000000002"/>
    <n v="0.42599999999999999"/>
    <n v="0.76200000000000001"/>
  </r>
  <r>
    <x v="85"/>
    <x v="6"/>
    <s v="SS"/>
    <s v="SS"/>
    <n v="9.1"/>
    <n v="51"/>
    <n v="200"/>
    <x v="4"/>
    <n v="21"/>
    <n v="36"/>
    <x v="7"/>
    <x v="22"/>
    <n v="13"/>
    <n v="0"/>
    <n v="21"/>
    <n v="61"/>
    <n v="0.20300000000000001"/>
    <n v="0.28999999999999998"/>
    <n v="0.373"/>
    <n v="0.66300000000000003"/>
  </r>
  <r>
    <x v="86"/>
    <x v="21"/>
    <s v="1B"/>
    <s v="1B"/>
    <n v="9.1"/>
    <n v="50"/>
    <n v="213"/>
    <x v="39"/>
    <n v="22"/>
    <n v="49"/>
    <x v="3"/>
    <x v="17"/>
    <n v="0"/>
    <n v="0"/>
    <n v="23"/>
    <n v="27"/>
    <n v="0.26200000000000001"/>
    <n v="0.34699999999999998"/>
    <n v="0.48099999999999998"/>
    <n v="0.82799999999999996"/>
  </r>
  <r>
    <x v="87"/>
    <x v="5"/>
    <s v="SS"/>
    <s v="SS"/>
    <n v="9"/>
    <n v="49"/>
    <n v="203"/>
    <x v="38"/>
    <n v="25"/>
    <n v="46"/>
    <x v="10"/>
    <x v="15"/>
    <n v="6"/>
    <n v="2"/>
    <n v="7"/>
    <n v="48"/>
    <n v="0.24199999999999999"/>
    <n v="0.28599999999999998"/>
    <n v="0.40500000000000003"/>
    <n v="0.69099999999999995"/>
  </r>
  <r>
    <x v="88"/>
    <x v="16"/>
    <s v="3B/OF"/>
    <s v="3B/OF"/>
    <n v="8.9"/>
    <n v="47"/>
    <n v="186"/>
    <x v="20"/>
    <n v="24"/>
    <n v="39"/>
    <x v="2"/>
    <x v="19"/>
    <n v="0"/>
    <n v="0"/>
    <n v="21"/>
    <n v="50"/>
    <n v="0.24199999999999999"/>
    <n v="0.33300000000000002"/>
    <n v="0.441"/>
    <n v="0.77400000000000002"/>
  </r>
  <r>
    <x v="89"/>
    <x v="18"/>
    <s v="2B/OF"/>
    <s v="2B/OF"/>
    <n v="8.9"/>
    <n v="39"/>
    <n v="158"/>
    <x v="35"/>
    <n v="16"/>
    <n v="33"/>
    <x v="7"/>
    <x v="27"/>
    <n v="14"/>
    <n v="0"/>
    <n v="12"/>
    <n v="52"/>
    <n v="0.22900000000000001"/>
    <n v="0.29099999999999998"/>
    <n v="0.40300000000000002"/>
    <n v="0.69399999999999995"/>
  </r>
  <r>
    <x v="90"/>
    <x v="10"/>
    <s v="SS"/>
    <s v="SS"/>
    <n v="8.6999999999999993"/>
    <n v="25"/>
    <n v="97"/>
    <x v="52"/>
    <n v="21"/>
    <n v="25"/>
    <x v="2"/>
    <x v="20"/>
    <n v="3"/>
    <n v="0"/>
    <n v="8"/>
    <n v="26"/>
    <n v="0.29099999999999998"/>
    <n v="0.371"/>
    <n v="0.61599999999999999"/>
    <n v="0.98699999999999999"/>
  </r>
  <r>
    <x v="91"/>
    <x v="15"/>
    <s v="3B"/>
    <s v="1B/3B"/>
    <n v="8.5"/>
    <n v="45"/>
    <n v="169"/>
    <x v="53"/>
    <n v="18"/>
    <n v="41"/>
    <x v="2"/>
    <x v="24"/>
    <n v="0"/>
    <n v="0"/>
    <n v="16"/>
    <n v="44"/>
    <n v="0.27900000000000003"/>
    <n v="0.35499999999999998"/>
    <n v="0.48299999999999998"/>
    <n v="0.83799999999999997"/>
  </r>
  <r>
    <x v="92"/>
    <x v="25"/>
    <s v="2B/SS"/>
    <s v="2B/SS"/>
    <n v="8.3000000000000007"/>
    <n v="47"/>
    <n v="209"/>
    <x v="14"/>
    <n v="19"/>
    <n v="57"/>
    <x v="13"/>
    <x v="26"/>
    <n v="5"/>
    <n v="0"/>
    <n v="10"/>
    <n v="34"/>
    <n v="0.29099999999999998"/>
    <n v="0.32500000000000001"/>
    <n v="0.40799999999999997"/>
    <n v="0.73299999999999998"/>
  </r>
  <r>
    <x v="93"/>
    <x v="16"/>
    <s v="SS"/>
    <s v="SS"/>
    <n v="8"/>
    <n v="49"/>
    <n v="207"/>
    <x v="1"/>
    <n v="23"/>
    <n v="37"/>
    <x v="3"/>
    <x v="0"/>
    <n v="4"/>
    <n v="1"/>
    <n v="22"/>
    <n v="54"/>
    <n v="0.20399999999999999"/>
    <n v="0.28999999999999998"/>
    <n v="0.38100000000000001"/>
    <n v="0.67100000000000004"/>
  </r>
  <r>
    <x v="94"/>
    <x v="7"/>
    <s v="OF"/>
    <s v="OF"/>
    <n v="8"/>
    <n v="44"/>
    <n v="171"/>
    <x v="54"/>
    <n v="25"/>
    <n v="49"/>
    <x v="13"/>
    <x v="16"/>
    <n v="1"/>
    <n v="0"/>
    <n v="11"/>
    <n v="43"/>
    <n v="0.308"/>
    <n v="0.35099999999999998"/>
    <n v="0.48399999999999999"/>
    <n v="0.83499999999999996"/>
  </r>
  <r>
    <x v="95"/>
    <x v="3"/>
    <s v="1B/OF"/>
    <s v="1B/OF"/>
    <n v="8"/>
    <n v="37"/>
    <n v="125"/>
    <x v="55"/>
    <n v="17"/>
    <n v="28"/>
    <x v="9"/>
    <x v="26"/>
    <n v="4"/>
    <n v="0"/>
    <n v="6"/>
    <n v="41"/>
    <n v="0.252"/>
    <n v="0.32800000000000001"/>
    <n v="0.57699999999999996"/>
    <n v="0.90500000000000003"/>
  </r>
  <r>
    <x v="96"/>
    <x v="17"/>
    <s v="C"/>
    <s v="C"/>
    <n v="7.9"/>
    <n v="42"/>
    <n v="164"/>
    <x v="56"/>
    <n v="25"/>
    <n v="34"/>
    <x v="7"/>
    <x v="17"/>
    <n v="0"/>
    <n v="0"/>
    <n v="19"/>
    <n v="46"/>
    <n v="0.23400000000000001"/>
    <n v="0.32300000000000001"/>
    <n v="0.441"/>
    <n v="0.76400000000000001"/>
  </r>
  <r>
    <x v="97"/>
    <x v="3"/>
    <s v="1B/OF"/>
    <s v="1B/OF"/>
    <n v="7.7"/>
    <n v="38"/>
    <n v="145"/>
    <x v="30"/>
    <n v="20"/>
    <n v="40"/>
    <x v="7"/>
    <x v="22"/>
    <n v="1"/>
    <n v="1"/>
    <n v="10"/>
    <n v="30"/>
    <n v="0.29899999999999999"/>
    <n v="0.35199999999999998"/>
    <n v="0.51500000000000001"/>
    <n v="0.86699999999999999"/>
  </r>
  <r>
    <x v="98"/>
    <x v="17"/>
    <s v="OF"/>
    <s v="OF"/>
    <n v="7.6"/>
    <n v="49"/>
    <n v="204"/>
    <x v="0"/>
    <n v="21"/>
    <n v="45"/>
    <x v="3"/>
    <x v="11"/>
    <n v="2"/>
    <n v="0"/>
    <n v="7"/>
    <n v="71"/>
    <n v="0.23599999999999999"/>
    <n v="0.27500000000000002"/>
    <n v="0.41399999999999998"/>
    <n v="0.68899999999999995"/>
  </r>
  <r>
    <x v="99"/>
    <x v="22"/>
    <s v="1B/3B"/>
    <s v="1B/3B"/>
    <n v="7.6"/>
    <n v="46"/>
    <n v="197"/>
    <x v="57"/>
    <n v="24"/>
    <n v="48"/>
    <x v="10"/>
    <x v="15"/>
    <n v="1"/>
    <n v="0"/>
    <n v="18"/>
    <n v="43"/>
    <n v="0.27300000000000002"/>
    <n v="0.34499999999999997"/>
    <n v="0.45500000000000002"/>
    <n v="0.8"/>
  </r>
  <r>
    <x v="100"/>
    <x v="20"/>
    <s v="SS"/>
    <s v="SS"/>
    <n v="7"/>
    <n v="47"/>
    <n v="215"/>
    <x v="58"/>
    <n v="26"/>
    <n v="49"/>
    <x v="15"/>
    <x v="22"/>
    <n v="4"/>
    <n v="0"/>
    <n v="29"/>
    <n v="47"/>
    <n v="0.26500000000000001"/>
    <n v="0.36699999999999999"/>
    <n v="0.40500000000000003"/>
    <n v="0.77200000000000002"/>
  </r>
  <r>
    <x v="101"/>
    <x v="9"/>
    <s v="C/OF"/>
    <s v="C/OF"/>
    <n v="7"/>
    <n v="49"/>
    <n v="204"/>
    <x v="15"/>
    <n v="22"/>
    <n v="40"/>
    <x v="7"/>
    <x v="22"/>
    <n v="6"/>
    <n v="1"/>
    <n v="16"/>
    <n v="46"/>
    <n v="0.217"/>
    <n v="0.28399999999999997"/>
    <n v="0.375"/>
    <n v="0.65900000000000003"/>
  </r>
  <r>
    <x v="102"/>
    <x v="10"/>
    <s v="OF"/>
    <s v="OF"/>
    <n v="6.9"/>
    <n v="37"/>
    <n v="164"/>
    <x v="49"/>
    <n v="23"/>
    <n v="37"/>
    <x v="15"/>
    <x v="22"/>
    <n v="5"/>
    <n v="0"/>
    <n v="27"/>
    <n v="33"/>
    <n v="0.27200000000000002"/>
    <n v="0.39"/>
    <n v="0.40400000000000003"/>
    <n v="0.79400000000000004"/>
  </r>
  <r>
    <x v="103"/>
    <x v="18"/>
    <s v="1B/2B"/>
    <s v="1B/2B"/>
    <n v="6.7"/>
    <n v="46"/>
    <n v="187"/>
    <x v="59"/>
    <n v="17"/>
    <n v="63"/>
    <x v="8"/>
    <x v="20"/>
    <n v="1"/>
    <n v="0"/>
    <n v="15"/>
    <n v="9"/>
    <n v="0.371"/>
    <n v="0.42199999999999999"/>
    <n v="0.46500000000000002"/>
    <n v="0.88700000000000001"/>
  </r>
  <r>
    <x v="104"/>
    <x v="23"/>
    <s v="2B/OF"/>
    <s v="2B/OF"/>
    <n v="6.7"/>
    <n v="45"/>
    <n v="139"/>
    <x v="60"/>
    <n v="21"/>
    <n v="34"/>
    <x v="14"/>
    <x v="28"/>
    <n v="14"/>
    <n v="3"/>
    <n v="9"/>
    <n v="35"/>
    <n v="0.26400000000000001"/>
    <n v="0.317"/>
    <n v="0.34899999999999998"/>
    <n v="0.66600000000000004"/>
  </r>
  <r>
    <x v="105"/>
    <x v="19"/>
    <s v="SS"/>
    <s v="2B/SS"/>
    <n v="6.7"/>
    <n v="46"/>
    <n v="166"/>
    <x v="61"/>
    <n v="19"/>
    <n v="38"/>
    <x v="13"/>
    <x v="11"/>
    <n v="6"/>
    <n v="0"/>
    <n v="7"/>
    <n v="39"/>
    <n v="0.24399999999999999"/>
    <n v="0.28899999999999998"/>
    <n v="0.41"/>
    <n v="0.69899999999999995"/>
  </r>
  <r>
    <x v="106"/>
    <x v="18"/>
    <s v="OF"/>
    <s v="OF"/>
    <n v="6.6"/>
    <n v="46"/>
    <n v="178"/>
    <x v="62"/>
    <n v="20"/>
    <n v="49"/>
    <x v="13"/>
    <x v="20"/>
    <n v="3"/>
    <n v="0"/>
    <n v="12"/>
    <n v="49"/>
    <n v="0.29699999999999999"/>
    <n v="0.34300000000000003"/>
    <n v="0.44800000000000001"/>
    <n v="0.79100000000000004"/>
  </r>
  <r>
    <x v="107"/>
    <x v="12"/>
    <s v="1B/3B"/>
    <s v="1B/3B"/>
    <n v="6.2"/>
    <n v="48"/>
    <n v="205"/>
    <x v="28"/>
    <n v="28"/>
    <n v="46"/>
    <x v="13"/>
    <x v="20"/>
    <n v="2"/>
    <n v="0"/>
    <n v="24"/>
    <n v="31"/>
    <n v="0.26300000000000001"/>
    <n v="0.36099999999999999"/>
    <n v="0.4"/>
    <n v="0.76100000000000001"/>
  </r>
  <r>
    <x v="108"/>
    <x v="20"/>
    <s v="2B/OF"/>
    <s v="2B/SS/ 3B/OF"/>
    <n v="6.2"/>
    <n v="13"/>
    <n v="56"/>
    <x v="63"/>
    <n v="17"/>
    <n v="19"/>
    <x v="3"/>
    <x v="29"/>
    <n v="1"/>
    <n v="1"/>
    <n v="3"/>
    <n v="21"/>
    <n v="0.35799999999999998"/>
    <n v="0.39300000000000002"/>
    <n v="0.92500000000000004"/>
    <n v="1.3180000000000001"/>
  </r>
  <r>
    <x v="109"/>
    <x v="10"/>
    <s v="C"/>
    <s v="C"/>
    <n v="6.1"/>
    <n v="49"/>
    <n v="203"/>
    <x v="50"/>
    <n v="21"/>
    <n v="41"/>
    <x v="13"/>
    <x v="11"/>
    <n v="4"/>
    <n v="0"/>
    <n v="21"/>
    <n v="46"/>
    <n v="0.22800000000000001"/>
    <n v="0.31"/>
    <n v="0.378"/>
    <n v="0.68799999999999994"/>
  </r>
  <r>
    <x v="110"/>
    <x v="3"/>
    <s v="OF"/>
    <s v="OF"/>
    <n v="6.1"/>
    <n v="27"/>
    <n v="97"/>
    <x v="64"/>
    <n v="19"/>
    <n v="22"/>
    <x v="2"/>
    <x v="20"/>
    <n v="4"/>
    <n v="0"/>
    <n v="7"/>
    <n v="28"/>
    <n v="0.25"/>
    <n v="0.29899999999999999"/>
    <n v="0.56799999999999995"/>
    <n v="0.86699999999999999"/>
  </r>
  <r>
    <x v="111"/>
    <x v="24"/>
    <s v="1B/OF"/>
    <s v="1B/OF"/>
    <n v="5.9"/>
    <n v="39"/>
    <n v="134"/>
    <x v="65"/>
    <n v="20"/>
    <n v="24"/>
    <x v="0"/>
    <x v="21"/>
    <n v="0"/>
    <n v="0"/>
    <n v="19"/>
    <n v="45"/>
    <n v="0.21099999999999999"/>
    <n v="0.32800000000000001"/>
    <n v="0.56100000000000005"/>
    <n v="0.88900000000000001"/>
  </r>
  <r>
    <x v="112"/>
    <x v="12"/>
    <s v="OF"/>
    <s v="OF"/>
    <n v="5.4"/>
    <n v="34"/>
    <n v="133"/>
    <x v="32"/>
    <n v="16"/>
    <n v="36"/>
    <x v="12"/>
    <x v="26"/>
    <n v="7"/>
    <n v="0"/>
    <n v="9"/>
    <n v="36"/>
    <n v="0.3"/>
    <n v="0.35299999999999998"/>
    <n v="0.48299999999999998"/>
    <n v="0.83599999999999997"/>
  </r>
  <r>
    <x v="113"/>
    <x v="9"/>
    <s v="OF"/>
    <s v="OF"/>
    <n v="5.2"/>
    <n v="40"/>
    <n v="146"/>
    <x v="30"/>
    <n v="21"/>
    <n v="42"/>
    <x v="12"/>
    <x v="30"/>
    <n v="5"/>
    <n v="0"/>
    <n v="10"/>
    <n v="29"/>
    <n v="0.313"/>
    <n v="0.36299999999999999"/>
    <n v="0.47799999999999998"/>
    <n v="0.84099999999999997"/>
  </r>
  <r>
    <x v="114"/>
    <x v="11"/>
    <s v="3B"/>
    <s v="3B"/>
    <n v="5.2"/>
    <n v="33"/>
    <n v="115"/>
    <x v="66"/>
    <n v="14"/>
    <n v="26"/>
    <x v="9"/>
    <x v="17"/>
    <n v="0"/>
    <n v="1"/>
    <n v="7"/>
    <n v="38"/>
    <n v="0.25"/>
    <n v="0.30399999999999999"/>
    <n v="0.61499999999999999"/>
    <n v="0.91900000000000004"/>
  </r>
  <r>
    <x v="115"/>
    <x v="25"/>
    <s v="OF"/>
    <s v="OF"/>
    <n v="4.9000000000000004"/>
    <n v="49"/>
    <n v="208"/>
    <x v="40"/>
    <n v="27"/>
    <n v="29"/>
    <x v="5"/>
    <x v="17"/>
    <n v="0"/>
    <n v="0"/>
    <n v="34"/>
    <n v="59"/>
    <n v="0.17"/>
    <n v="0.317"/>
    <n v="0.40400000000000003"/>
    <n v="0.72099999999999997"/>
  </r>
  <r>
    <x v="116"/>
    <x v="3"/>
    <s v="2B"/>
    <s v="2B"/>
    <n v="4.7"/>
    <n v="42"/>
    <n v="167"/>
    <x v="56"/>
    <n v="24"/>
    <n v="29"/>
    <x v="2"/>
    <x v="17"/>
    <n v="2"/>
    <n v="0"/>
    <n v="21"/>
    <n v="48"/>
    <n v="0.2"/>
    <n v="0.29899999999999999"/>
    <n v="0.41399999999999998"/>
    <n v="0.71299999999999997"/>
  </r>
  <r>
    <x v="117"/>
    <x v="22"/>
    <s v="3B/OF"/>
    <s v="3B/OF"/>
    <n v="4.7"/>
    <n v="36"/>
    <n v="145"/>
    <x v="60"/>
    <n v="21"/>
    <n v="34"/>
    <x v="15"/>
    <x v="25"/>
    <n v="4"/>
    <n v="1"/>
    <n v="13"/>
    <n v="28"/>
    <n v="0.26400000000000001"/>
    <n v="0.33100000000000002"/>
    <n v="0.40300000000000002"/>
    <n v="0.73399999999999999"/>
  </r>
  <r>
    <x v="118"/>
    <x v="11"/>
    <s v="1B/OF"/>
    <s v="1B/OF"/>
    <n v="4.7"/>
    <n v="49"/>
    <n v="210"/>
    <x v="5"/>
    <n v="22"/>
    <n v="44"/>
    <x v="13"/>
    <x v="3"/>
    <n v="0"/>
    <n v="0"/>
    <n v="18"/>
    <n v="42"/>
    <n v="0.23699999999999999"/>
    <n v="0.31900000000000001"/>
    <n v="0.39800000000000002"/>
    <n v="0.71699999999999997"/>
  </r>
  <r>
    <x v="119"/>
    <x v="28"/>
    <s v="1B"/>
    <s v="1B/OF"/>
    <n v="4.5"/>
    <n v="42"/>
    <n v="161"/>
    <x v="53"/>
    <n v="12"/>
    <n v="33"/>
    <x v="7"/>
    <x v="23"/>
    <n v="3"/>
    <n v="0"/>
    <n v="11"/>
    <n v="29"/>
    <n v="0.224"/>
    <n v="0.27300000000000002"/>
    <n v="0.40100000000000002"/>
    <n v="0.67400000000000004"/>
  </r>
  <r>
    <x v="120"/>
    <x v="5"/>
    <s v="3B"/>
    <s v="3B"/>
    <n v="4.3"/>
    <n v="49"/>
    <n v="218"/>
    <x v="39"/>
    <n v="29"/>
    <n v="41"/>
    <x v="10"/>
    <x v="21"/>
    <n v="1"/>
    <n v="0"/>
    <n v="28"/>
    <n v="22"/>
    <n v="0.219"/>
    <n v="0.32600000000000001"/>
    <n v="0.35799999999999998"/>
    <n v="0.68400000000000005"/>
  </r>
  <r>
    <x v="121"/>
    <x v="20"/>
    <s v="OF"/>
    <s v="OF"/>
    <n v="4.3"/>
    <n v="47"/>
    <n v="208"/>
    <x v="59"/>
    <n v="17"/>
    <n v="49"/>
    <x v="15"/>
    <x v="26"/>
    <n v="4"/>
    <n v="0"/>
    <n v="35"/>
    <n v="51"/>
    <n v="0.28799999999999998"/>
    <n v="0.40899999999999997"/>
    <n v="0.435"/>
    <n v="0.84399999999999997"/>
  </r>
  <r>
    <x v="122"/>
    <x v="1"/>
    <s v="OF"/>
    <s v="OF"/>
    <n v="4.0999999999999996"/>
    <n v="42"/>
    <n v="174"/>
    <x v="24"/>
    <n v="25"/>
    <n v="37"/>
    <x v="13"/>
    <x v="24"/>
    <n v="0"/>
    <n v="0"/>
    <n v="12"/>
    <n v="49"/>
    <n v="0.23599999999999999"/>
    <n v="0.28699999999999998"/>
    <n v="0.36899999999999999"/>
    <n v="0.65600000000000003"/>
  </r>
  <r>
    <x v="123"/>
    <x v="25"/>
    <s v="C"/>
    <s v="C"/>
    <n v="4"/>
    <n v="43"/>
    <n v="169"/>
    <x v="61"/>
    <n v="14"/>
    <n v="43"/>
    <x v="12"/>
    <x v="16"/>
    <n v="7"/>
    <n v="0"/>
    <n v="8"/>
    <n v="38"/>
    <n v="0.27600000000000002"/>
    <n v="0.314"/>
    <n v="0.45500000000000002"/>
    <n v="0.76900000000000002"/>
  </r>
  <r>
    <x v="124"/>
    <x v="25"/>
    <s v="SS"/>
    <s v="SS"/>
    <n v="3.9"/>
    <n v="48"/>
    <n v="217"/>
    <x v="67"/>
    <n v="25"/>
    <n v="51"/>
    <x v="13"/>
    <x v="31"/>
    <n v="6"/>
    <n v="0"/>
    <n v="13"/>
    <n v="58"/>
    <n v="0.25"/>
    <n v="0.29499999999999998"/>
    <n v="0.39200000000000002"/>
    <n v="0.68700000000000006"/>
  </r>
  <r>
    <x v="125"/>
    <x v="20"/>
    <s v="C"/>
    <s v="C"/>
    <n v="3.7"/>
    <n v="27"/>
    <n v="103"/>
    <x v="68"/>
    <n v="14"/>
    <n v="28"/>
    <x v="10"/>
    <x v="26"/>
    <n v="1"/>
    <n v="0"/>
    <n v="3"/>
    <n v="18"/>
    <n v="0.29199999999999998"/>
    <n v="0.311"/>
    <n v="0.49"/>
    <n v="0.80100000000000005"/>
  </r>
  <r>
    <x v="126"/>
    <x v="17"/>
    <s v="1B"/>
    <s v="1B/3B"/>
    <n v="3.6"/>
    <n v="48"/>
    <n v="208"/>
    <x v="15"/>
    <n v="27"/>
    <n v="48"/>
    <x v="12"/>
    <x v="25"/>
    <n v="1"/>
    <n v="0"/>
    <n v="15"/>
    <n v="28"/>
    <n v="0.26100000000000001"/>
    <n v="0.34100000000000003"/>
    <n v="0.38"/>
    <n v="0.72099999999999997"/>
  </r>
  <r>
    <x v="127"/>
    <x v="16"/>
    <s v="1B/2B"/>
    <s v="1B/2B"/>
    <n v="3.5"/>
    <n v="34"/>
    <n v="109"/>
    <x v="66"/>
    <n v="16"/>
    <n v="36"/>
    <x v="15"/>
    <x v="32"/>
    <n v="5"/>
    <n v="0"/>
    <n v="4"/>
    <n v="16"/>
    <n v="0.34599999999999997"/>
    <n v="0.36699999999999999"/>
    <n v="0.54800000000000004"/>
    <n v="0.91500000000000004"/>
  </r>
  <r>
    <x v="128"/>
    <x v="28"/>
    <s v="OF"/>
    <s v="OF"/>
    <n v="3.4"/>
    <n v="49"/>
    <n v="219"/>
    <x v="10"/>
    <n v="26"/>
    <n v="48"/>
    <x v="8"/>
    <x v="30"/>
    <n v="9"/>
    <n v="0"/>
    <n v="27"/>
    <n v="23"/>
    <n v="0.254"/>
    <n v="0.34200000000000003"/>
    <n v="0.33900000000000002"/>
    <n v="0.68100000000000005"/>
  </r>
  <r>
    <x v="129"/>
    <x v="1"/>
    <s v="OF"/>
    <s v="OF"/>
    <n v="3.2"/>
    <n v="36"/>
    <n v="139"/>
    <x v="69"/>
    <n v="21"/>
    <n v="38"/>
    <x v="8"/>
    <x v="16"/>
    <n v="5"/>
    <n v="0"/>
    <n v="12"/>
    <n v="30"/>
    <n v="0.30399999999999999"/>
    <n v="0.36699999999999999"/>
    <n v="0.40799999999999997"/>
    <n v="0.77500000000000002"/>
  </r>
  <r>
    <x v="130"/>
    <x v="15"/>
    <s v="1B/OF"/>
    <s v="1B/OF"/>
    <n v="3.1"/>
    <n v="47"/>
    <n v="174"/>
    <x v="49"/>
    <n v="22"/>
    <n v="36"/>
    <x v="7"/>
    <x v="29"/>
    <n v="1"/>
    <n v="0"/>
    <n v="34"/>
    <n v="31"/>
    <n v="0.26500000000000001"/>
    <n v="0.42499999999999999"/>
    <n v="0.46300000000000002"/>
    <n v="0.88800000000000001"/>
  </r>
  <r>
    <x v="131"/>
    <x v="8"/>
    <s v="1B/2B/ 3B"/>
    <s v="1B/2B/ 3B"/>
    <n v="2.7"/>
    <n v="46"/>
    <n v="179"/>
    <x v="70"/>
    <n v="20"/>
    <n v="40"/>
    <x v="7"/>
    <x v="21"/>
    <n v="0"/>
    <n v="0"/>
    <n v="7"/>
    <n v="50"/>
    <n v="0.24099999999999999"/>
    <n v="0.27900000000000003"/>
    <n v="0.45800000000000002"/>
    <n v="0.73699999999999999"/>
  </r>
  <r>
    <x v="132"/>
    <x v="23"/>
    <s v="1B/OF"/>
    <s v="1B/OF"/>
    <n v="2.6"/>
    <n v="42"/>
    <n v="152"/>
    <x v="71"/>
    <n v="24"/>
    <n v="35"/>
    <x v="13"/>
    <x v="29"/>
    <n v="2"/>
    <n v="0"/>
    <n v="17"/>
    <n v="43"/>
    <n v="0.26500000000000001"/>
    <n v="0.36199999999999999"/>
    <n v="0.5"/>
    <n v="0.86199999999999999"/>
  </r>
  <r>
    <x v="133"/>
    <x v="23"/>
    <s v="OF"/>
    <s v="OF"/>
    <n v="2.6"/>
    <n v="41"/>
    <n v="155"/>
    <x v="72"/>
    <n v="14"/>
    <n v="28"/>
    <x v="7"/>
    <x v="21"/>
    <n v="5"/>
    <n v="0"/>
    <n v="24"/>
    <n v="49"/>
    <n v="0.219"/>
    <n v="0.34200000000000003"/>
    <n v="0.438"/>
    <n v="0.78"/>
  </r>
  <r>
    <x v="134"/>
    <x v="20"/>
    <s v="OF"/>
    <s v="OF"/>
    <n v="2.5"/>
    <n v="36"/>
    <n v="150"/>
    <x v="73"/>
    <n v="16"/>
    <n v="37"/>
    <x v="10"/>
    <x v="26"/>
    <n v="1"/>
    <n v="0"/>
    <n v="18"/>
    <n v="37"/>
    <n v="0.28499999999999998"/>
    <n v="0.373"/>
    <n v="0.5"/>
    <n v="0.873"/>
  </r>
  <r>
    <x v="135"/>
    <x v="22"/>
    <s v="OF"/>
    <s v="OF"/>
    <n v="2.2999999999999998"/>
    <n v="38"/>
    <n v="139"/>
    <x v="72"/>
    <n v="14"/>
    <n v="40"/>
    <x v="12"/>
    <x v="20"/>
    <n v="4"/>
    <n v="0"/>
    <n v="8"/>
    <n v="29"/>
    <n v="0.312"/>
    <n v="0.36"/>
    <n v="0.48399999999999999"/>
    <n v="0.84399999999999997"/>
  </r>
  <r>
    <x v="136"/>
    <x v="2"/>
    <s v="1B/2B"/>
    <s v="1B/2B"/>
    <n v="2.2000000000000002"/>
    <n v="46"/>
    <n v="182"/>
    <x v="61"/>
    <n v="23"/>
    <n v="37"/>
    <x v="15"/>
    <x v="21"/>
    <n v="2"/>
    <n v="1"/>
    <n v="23"/>
    <n v="33"/>
    <n v="0.23699999999999999"/>
    <n v="0.34100000000000003"/>
    <n v="0.42299999999999999"/>
    <n v="0.76400000000000001"/>
  </r>
  <r>
    <x v="137"/>
    <x v="25"/>
    <s v="OF"/>
    <s v="OF"/>
    <n v="2.1"/>
    <n v="46"/>
    <n v="159"/>
    <x v="30"/>
    <n v="20"/>
    <n v="36"/>
    <x v="15"/>
    <x v="20"/>
    <n v="3"/>
    <n v="0"/>
    <n v="24"/>
    <n v="47"/>
    <n v="0.26900000000000002"/>
    <n v="0.38400000000000001"/>
    <n v="0.47799999999999998"/>
    <n v="0.86199999999999999"/>
  </r>
  <r>
    <x v="138"/>
    <x v="19"/>
    <s v="1B/OF"/>
    <s v="1B/OF"/>
    <n v="2"/>
    <n v="46"/>
    <n v="202"/>
    <x v="17"/>
    <n v="17"/>
    <n v="57"/>
    <x v="14"/>
    <x v="17"/>
    <n v="0"/>
    <n v="0"/>
    <n v="9"/>
    <n v="42"/>
    <n v="0.29499999999999998"/>
    <n v="0.32700000000000001"/>
    <n v="0.38900000000000001"/>
    <n v="0.71599999999999997"/>
  </r>
  <r>
    <x v="139"/>
    <x v="5"/>
    <s v="2B/SS/ OF"/>
    <s v="2B/SS/ OF"/>
    <n v="1.7"/>
    <n v="40"/>
    <n v="167"/>
    <x v="74"/>
    <n v="29"/>
    <n v="47"/>
    <x v="8"/>
    <x v="33"/>
    <n v="3"/>
    <n v="0"/>
    <n v="7"/>
    <n v="22"/>
    <n v="0.29699999999999999"/>
    <n v="0.32900000000000001"/>
    <n v="0.39200000000000002"/>
    <n v="0.72099999999999997"/>
  </r>
  <r>
    <x v="140"/>
    <x v="27"/>
    <s v="OF"/>
    <s v="OF"/>
    <n v="1.7"/>
    <n v="44"/>
    <n v="191"/>
    <x v="37"/>
    <n v="25"/>
    <n v="45"/>
    <x v="12"/>
    <x v="20"/>
    <n v="0"/>
    <n v="0"/>
    <n v="19"/>
    <n v="27"/>
    <n v="0.27600000000000002"/>
    <n v="0.36599999999999999"/>
    <n v="0.42899999999999999"/>
    <n v="0.79500000000000004"/>
  </r>
  <r>
    <x v="141"/>
    <x v="26"/>
    <s v="SS/OF"/>
    <s v="SS/OF"/>
    <n v="1.6"/>
    <n v="29"/>
    <n v="133"/>
    <x v="75"/>
    <n v="17"/>
    <n v="32"/>
    <x v="7"/>
    <x v="29"/>
    <n v="3"/>
    <n v="0"/>
    <n v="8"/>
    <n v="24"/>
    <n v="0.25800000000000001"/>
    <n v="0.30099999999999999"/>
    <n v="0.46800000000000003"/>
    <n v="0.76900000000000002"/>
  </r>
  <r>
    <x v="142"/>
    <x v="19"/>
    <s v="3B"/>
    <s v="3B"/>
    <n v="1.2"/>
    <n v="47"/>
    <n v="200"/>
    <x v="9"/>
    <n v="20"/>
    <n v="47"/>
    <x v="10"/>
    <x v="26"/>
    <n v="0"/>
    <n v="0"/>
    <n v="13"/>
    <n v="38"/>
    <n v="0.25800000000000001"/>
    <n v="0.315"/>
    <n v="0.44"/>
    <n v="0.755"/>
  </r>
  <r>
    <x v="143"/>
    <x v="8"/>
    <s v="1B/3B"/>
    <s v="1B/3B"/>
    <n v="1"/>
    <n v="47"/>
    <n v="175"/>
    <x v="26"/>
    <n v="18"/>
    <n v="50"/>
    <x v="8"/>
    <x v="22"/>
    <n v="2"/>
    <n v="0"/>
    <n v="6"/>
    <n v="26"/>
    <n v="0.29899999999999999"/>
    <n v="0.32"/>
    <n v="0.35299999999999998"/>
    <n v="0.67300000000000004"/>
  </r>
  <r>
    <x v="144"/>
    <x v="9"/>
    <s v="C"/>
    <s v="C"/>
    <n v="1"/>
    <n v="36"/>
    <n v="132"/>
    <x v="76"/>
    <n v="16"/>
    <n v="25"/>
    <x v="10"/>
    <x v="24"/>
    <n v="0"/>
    <n v="0"/>
    <n v="11"/>
    <n v="28"/>
    <n v="0.20699999999999999"/>
    <n v="0.27300000000000002"/>
    <n v="0.41299999999999998"/>
    <n v="0.68600000000000005"/>
  </r>
  <r>
    <x v="145"/>
    <x v="17"/>
    <s v="3B"/>
    <s v="3B"/>
    <n v="0.9"/>
    <n v="49"/>
    <n v="214"/>
    <x v="16"/>
    <n v="19"/>
    <n v="41"/>
    <x v="13"/>
    <x v="19"/>
    <n v="1"/>
    <n v="0"/>
    <n v="25"/>
    <n v="61"/>
    <n v="0.224"/>
    <n v="0.32700000000000001"/>
    <n v="0.33300000000000002"/>
    <n v="0.66"/>
  </r>
  <r>
    <x v="146"/>
    <x v="4"/>
    <s v="OF"/>
    <s v="OF"/>
    <n v="0.7"/>
    <n v="45"/>
    <n v="172"/>
    <x v="24"/>
    <n v="17"/>
    <n v="37"/>
    <x v="14"/>
    <x v="28"/>
    <n v="13"/>
    <n v="2"/>
    <n v="11"/>
    <n v="32"/>
    <n v="0.23599999999999999"/>
    <n v="0.30199999999999999"/>
    <n v="0.29899999999999999"/>
    <n v="0.60099999999999998"/>
  </r>
  <r>
    <x v="147"/>
    <x v="3"/>
    <s v="C/1B"/>
    <s v="C/1B"/>
    <n v="0.2"/>
    <n v="34"/>
    <n v="113"/>
    <x v="77"/>
    <n v="17"/>
    <n v="26"/>
    <x v="7"/>
    <x v="29"/>
    <n v="0"/>
    <n v="0"/>
    <n v="5"/>
    <n v="32"/>
    <n v="0.24299999999999999"/>
    <n v="0.27400000000000002"/>
    <n v="0.495"/>
    <n v="0.76900000000000002"/>
  </r>
  <r>
    <x v="148"/>
    <x v="27"/>
    <s v="OF"/>
    <s v="OF"/>
    <n v="0.2"/>
    <n v="43"/>
    <n v="191"/>
    <x v="78"/>
    <n v="21"/>
    <n v="42"/>
    <x v="13"/>
    <x v="22"/>
    <n v="0"/>
    <n v="0"/>
    <n v="21"/>
    <n v="35"/>
    <n v="0.25"/>
    <n v="0.33"/>
    <n v="0.41099999999999998"/>
    <n v="0.74099999999999999"/>
  </r>
  <r>
    <x v="149"/>
    <x v="8"/>
    <s v="3B"/>
    <s v="3B"/>
    <n v="0.1"/>
    <n v="30"/>
    <n v="130"/>
    <x v="79"/>
    <n v="19"/>
    <n v="31"/>
    <x v="8"/>
    <x v="22"/>
    <n v="2"/>
    <n v="0"/>
    <n v="19"/>
    <n v="15"/>
    <n v="0.30099999999999999"/>
    <n v="0.41499999999999998"/>
    <n v="0.36899999999999999"/>
    <n v="0.78400000000000003"/>
  </r>
  <r>
    <x v="150"/>
    <x v="29"/>
    <s v="SS"/>
    <s v="SS"/>
    <n v="0.1"/>
    <n v="45"/>
    <n v="187"/>
    <x v="25"/>
    <n v="19"/>
    <n v="42"/>
    <x v="12"/>
    <x v="21"/>
    <n v="3"/>
    <n v="0"/>
    <n v="9"/>
    <n v="34"/>
    <n v="0.24299999999999999"/>
    <n v="0.29399999999999998"/>
    <n v="0.33500000000000002"/>
    <n v="0.629"/>
  </r>
  <r>
    <x v="151"/>
    <x v="18"/>
    <s v="2B/SS/ 3B"/>
    <s v="2B/SS/ 3B/OF"/>
    <n v="0"/>
    <n v="45"/>
    <n v="157"/>
    <x v="35"/>
    <n v="20"/>
    <n v="40"/>
    <x v="14"/>
    <x v="34"/>
    <n v="7"/>
    <n v="1"/>
    <n v="11"/>
    <n v="30"/>
    <n v="0.27800000000000002"/>
    <n v="0.32500000000000001"/>
    <n v="0.35399999999999998"/>
    <n v="0.67900000000000005"/>
  </r>
  <r>
    <x v="152"/>
    <x v="27"/>
    <s v="OF"/>
    <s v="OF"/>
    <n v="-0.1"/>
    <n v="45"/>
    <n v="191"/>
    <x v="40"/>
    <n v="17"/>
    <n v="48"/>
    <x v="13"/>
    <x v="16"/>
    <n v="0"/>
    <n v="0"/>
    <n v="17"/>
    <n v="32"/>
    <n v="0.28100000000000003"/>
    <n v="0.35599999999999998"/>
    <n v="0.40400000000000003"/>
    <n v="0.76"/>
  </r>
  <r>
    <x v="153"/>
    <x v="23"/>
    <s v="1B"/>
    <s v="1B"/>
    <n v="-0.1"/>
    <n v="46"/>
    <n v="193"/>
    <x v="70"/>
    <n v="19"/>
    <n v="39"/>
    <x v="14"/>
    <x v="21"/>
    <n v="5"/>
    <n v="0"/>
    <n v="25"/>
    <n v="34"/>
    <n v="0.23499999999999999"/>
    <n v="0.33200000000000002"/>
    <n v="0.35499999999999998"/>
    <n v="0.68700000000000006"/>
  </r>
  <r>
    <x v="154"/>
    <x v="19"/>
    <s v="2B/SS"/>
    <s v="2B/SS"/>
    <n v="-0.2"/>
    <n v="42"/>
    <n v="174"/>
    <x v="54"/>
    <n v="20"/>
    <n v="41"/>
    <x v="12"/>
    <x v="20"/>
    <n v="3"/>
    <n v="1"/>
    <n v="12"/>
    <n v="20"/>
    <n v="0.25800000000000001"/>
    <n v="0.30499999999999999"/>
    <n v="0.35799999999999998"/>
    <n v="0.66300000000000003"/>
  </r>
  <r>
    <x v="155"/>
    <x v="0"/>
    <s v="OF"/>
    <s v="OF"/>
    <n v="-0.5"/>
    <n v="35"/>
    <n v="139"/>
    <x v="80"/>
    <n v="16"/>
    <n v="26"/>
    <x v="3"/>
    <x v="22"/>
    <n v="0"/>
    <n v="0"/>
    <n v="16"/>
    <n v="34"/>
    <n v="0.21099999999999999"/>
    <n v="0.30199999999999999"/>
    <n v="0.45500000000000002"/>
    <n v="0.75700000000000001"/>
  </r>
  <r>
    <x v="156"/>
    <x v="24"/>
    <s v="OF"/>
    <s v="OF"/>
    <n v="-0.6"/>
    <n v="39"/>
    <n v="152"/>
    <x v="73"/>
    <n v="18"/>
    <n v="28"/>
    <x v="13"/>
    <x v="0"/>
    <n v="0"/>
    <n v="0"/>
    <n v="20"/>
    <n v="53"/>
    <n v="0.215"/>
    <n v="0.316"/>
    <n v="0.39200000000000002"/>
    <n v="0.70799999999999996"/>
  </r>
  <r>
    <x v="157"/>
    <x v="14"/>
    <s v="2B/3B"/>
    <s v="2B/3B"/>
    <n v="-0.8"/>
    <n v="41"/>
    <n v="155"/>
    <x v="46"/>
    <n v="20"/>
    <n v="35"/>
    <x v="16"/>
    <x v="25"/>
    <n v="5"/>
    <n v="0"/>
    <n v="13"/>
    <n v="35"/>
    <n v="0.254"/>
    <n v="0.316"/>
    <n v="0.34100000000000003"/>
    <n v="0.65700000000000003"/>
  </r>
  <r>
    <x v="158"/>
    <x v="17"/>
    <s v="SS"/>
    <s v="SS"/>
    <n v="-0.9"/>
    <n v="47"/>
    <n v="185"/>
    <x v="61"/>
    <n v="24"/>
    <n v="39"/>
    <x v="14"/>
    <x v="22"/>
    <n v="1"/>
    <n v="0"/>
    <n v="28"/>
    <n v="36"/>
    <n v="0.25"/>
    <n v="0.36799999999999999"/>
    <n v="0.35299999999999998"/>
    <n v="0.72099999999999997"/>
  </r>
  <r>
    <x v="159"/>
    <x v="11"/>
    <s v="OF"/>
    <s v="OF"/>
    <n v="-0.9"/>
    <n v="47"/>
    <n v="197"/>
    <x v="50"/>
    <n v="25"/>
    <n v="49"/>
    <x v="16"/>
    <x v="28"/>
    <n v="5"/>
    <n v="0"/>
    <n v="15"/>
    <n v="30"/>
    <n v="0.27200000000000002"/>
    <n v="0.33"/>
    <n v="0.35"/>
    <n v="0.68"/>
  </r>
  <r>
    <x v="160"/>
    <x v="8"/>
    <s v="OF"/>
    <s v="OF"/>
    <n v="-0.9"/>
    <n v="48"/>
    <n v="200"/>
    <x v="4"/>
    <n v="28"/>
    <n v="40"/>
    <x v="15"/>
    <x v="16"/>
    <n v="1"/>
    <n v="0"/>
    <n v="17"/>
    <n v="42"/>
    <n v="0.22600000000000001"/>
    <n v="0.3"/>
    <n v="0.32200000000000001"/>
    <n v="0.622"/>
  </r>
  <r>
    <x v="161"/>
    <x v="13"/>
    <s v="C"/>
    <s v="C"/>
    <n v="-0.9"/>
    <n v="43"/>
    <n v="171"/>
    <x v="31"/>
    <n v="17"/>
    <n v="32"/>
    <x v="7"/>
    <x v="25"/>
    <n v="0"/>
    <n v="1"/>
    <n v="13"/>
    <n v="50"/>
    <n v="0.20799999999999999"/>
    <n v="0.28100000000000003"/>
    <n v="0.39"/>
    <n v="0.67100000000000004"/>
  </r>
  <r>
    <x v="162"/>
    <x v="26"/>
    <s v="2B/SS/ 3B"/>
    <s v="2B/SS/ 3B"/>
    <n v="-0.9"/>
    <n v="45"/>
    <n v="171"/>
    <x v="12"/>
    <n v="15"/>
    <n v="36"/>
    <x v="13"/>
    <x v="27"/>
    <n v="6"/>
    <n v="1"/>
    <n v="17"/>
    <n v="42"/>
    <n v="0.23699999999999999"/>
    <n v="0.316"/>
    <n v="0.38200000000000001"/>
    <n v="0.69799999999999995"/>
  </r>
  <r>
    <x v="163"/>
    <x v="6"/>
    <s v="1B/2B/ 3B"/>
    <s v="1B/2B/ 3B"/>
    <n v="-0.9"/>
    <n v="45"/>
    <n v="182"/>
    <x v="33"/>
    <n v="20"/>
    <n v="41"/>
    <x v="13"/>
    <x v="26"/>
    <n v="0"/>
    <n v="1"/>
    <n v="15"/>
    <n v="49"/>
    <n v="0.25"/>
    <n v="0.31900000000000001"/>
    <n v="0.40200000000000002"/>
    <n v="0.72099999999999997"/>
  </r>
  <r>
    <x v="164"/>
    <x v="2"/>
    <s v="2B/SS/ 3B/OF"/>
    <s v="2B/SS/ 3B/OF"/>
    <n v="-1.1000000000000001"/>
    <n v="37"/>
    <n v="125"/>
    <x v="43"/>
    <n v="17"/>
    <n v="22"/>
    <x v="7"/>
    <x v="20"/>
    <n v="4"/>
    <n v="0"/>
    <n v="7"/>
    <n v="46"/>
    <n v="0.191"/>
    <n v="0.248"/>
    <n v="0.435"/>
    <n v="0.68300000000000005"/>
  </r>
  <r>
    <x v="165"/>
    <x v="4"/>
    <s v="2B/OF"/>
    <s v="2B/OF"/>
    <n v="-1.3"/>
    <n v="50"/>
    <n v="203"/>
    <x v="48"/>
    <n v="19"/>
    <n v="50"/>
    <x v="14"/>
    <x v="27"/>
    <n v="2"/>
    <n v="0"/>
    <n v="18"/>
    <n v="20"/>
    <n v="0.28100000000000003"/>
    <n v="0.36"/>
    <n v="0.36"/>
    <n v="0.72"/>
  </r>
  <r>
    <x v="166"/>
    <x v="23"/>
    <s v="3B"/>
    <s v="3B"/>
    <n v="-1.4"/>
    <n v="48"/>
    <n v="197"/>
    <x v="1"/>
    <n v="25"/>
    <n v="42"/>
    <x v="8"/>
    <x v="27"/>
    <n v="6"/>
    <n v="1"/>
    <n v="15"/>
    <n v="28"/>
    <n v="0.23200000000000001"/>
    <n v="0.28899999999999998"/>
    <n v="0.34799999999999998"/>
    <n v="0.63700000000000001"/>
  </r>
  <r>
    <x v="167"/>
    <x v="14"/>
    <s v="C"/>
    <s v="C"/>
    <n v="-1.4"/>
    <n v="38"/>
    <n v="135"/>
    <x v="69"/>
    <n v="9"/>
    <n v="38"/>
    <x v="14"/>
    <x v="26"/>
    <n v="2"/>
    <n v="0"/>
    <n v="8"/>
    <n v="28"/>
    <n v="0.30399999999999999"/>
    <n v="0.34100000000000003"/>
    <n v="0.4"/>
    <n v="0.74099999999999999"/>
  </r>
  <r>
    <x v="168"/>
    <x v="24"/>
    <s v="OF"/>
    <s v="OF"/>
    <n v="-1.5"/>
    <n v="44"/>
    <n v="132"/>
    <x v="75"/>
    <n v="16"/>
    <n v="26"/>
    <x v="10"/>
    <x v="29"/>
    <n v="6"/>
    <n v="0"/>
    <n v="6"/>
    <n v="48"/>
    <n v="0.21"/>
    <n v="0.25800000000000001"/>
    <n v="0.38700000000000001"/>
    <n v="0.64500000000000002"/>
  </r>
  <r>
    <x v="169"/>
    <x v="27"/>
    <s v="1B"/>
    <s v="1B"/>
    <n v="-1.5"/>
    <n v="36"/>
    <n v="148"/>
    <x v="49"/>
    <n v="19"/>
    <n v="31"/>
    <x v="10"/>
    <x v="22"/>
    <n v="0"/>
    <n v="0"/>
    <n v="10"/>
    <n v="35"/>
    <n v="0.22800000000000001"/>
    <n v="0.27700000000000002"/>
    <n v="0.42599999999999999"/>
    <n v="0.70299999999999996"/>
  </r>
  <r>
    <x v="170"/>
    <x v="27"/>
    <s v="OF"/>
    <s v="OF"/>
    <n v="-1.8"/>
    <n v="24"/>
    <n v="75"/>
    <x v="81"/>
    <n v="14"/>
    <n v="17"/>
    <x v="15"/>
    <x v="31"/>
    <n v="7"/>
    <n v="0"/>
    <n v="4"/>
    <n v="27"/>
    <n v="0.23899999999999999"/>
    <n v="0.28000000000000003"/>
    <n v="0.47899999999999998"/>
    <n v="0.75900000000000001"/>
  </r>
  <r>
    <x v="171"/>
    <x v="12"/>
    <s v="SS/OF"/>
    <s v="2B/SS/ OF"/>
    <n v="-1.9"/>
    <n v="45"/>
    <n v="178"/>
    <x v="20"/>
    <n v="24"/>
    <n v="38"/>
    <x v="12"/>
    <x v="16"/>
    <n v="2"/>
    <n v="0"/>
    <n v="13"/>
    <n v="36"/>
    <n v="0.23599999999999999"/>
    <n v="0.29799999999999999"/>
    <n v="0.34799999999999998"/>
    <n v="0.64600000000000002"/>
  </r>
  <r>
    <x v="172"/>
    <x v="26"/>
    <s v="3B"/>
    <s v="3B"/>
    <n v="-2.1"/>
    <n v="40"/>
    <n v="170"/>
    <x v="61"/>
    <n v="18"/>
    <n v="36"/>
    <x v="13"/>
    <x v="26"/>
    <n v="2"/>
    <n v="0"/>
    <n v="11"/>
    <n v="35"/>
    <n v="0.23100000000000001"/>
    <n v="0.28199999999999997"/>
    <n v="0.372"/>
    <n v="0.65400000000000003"/>
  </r>
  <r>
    <x v="173"/>
    <x v="6"/>
    <s v="OF"/>
    <s v="OF"/>
    <n v="-2.1"/>
    <n v="21"/>
    <n v="77"/>
    <x v="82"/>
    <n v="11"/>
    <n v="20"/>
    <x v="13"/>
    <x v="16"/>
    <n v="3"/>
    <n v="0"/>
    <n v="2"/>
    <n v="8"/>
    <n v="0.27400000000000002"/>
    <n v="0.29899999999999999"/>
    <n v="0.53400000000000003"/>
    <n v="0.83299999999999996"/>
  </r>
  <r>
    <x v="174"/>
    <x v="13"/>
    <s v="1B"/>
    <s v="1B"/>
    <n v="-2.1"/>
    <n v="46"/>
    <n v="157"/>
    <x v="76"/>
    <n v="24"/>
    <n v="27"/>
    <x v="15"/>
    <x v="29"/>
    <n v="2"/>
    <n v="0"/>
    <n v="32"/>
    <n v="50"/>
    <n v="0.223"/>
    <n v="0.39500000000000002"/>
    <n v="0.41299999999999998"/>
    <n v="0.80800000000000005"/>
  </r>
  <r>
    <x v="175"/>
    <x v="10"/>
    <s v="2B/3B/ OF"/>
    <s v="1B/2B/ SS/3B/OF"/>
    <n v="-2.2000000000000002"/>
    <n v="45"/>
    <n v="163"/>
    <x v="8"/>
    <n v="21"/>
    <n v="36"/>
    <x v="15"/>
    <x v="28"/>
    <n v="3"/>
    <n v="0"/>
    <n v="17"/>
    <n v="27"/>
    <n v="0.252"/>
    <n v="0.33700000000000002"/>
    <n v="0.36399999999999999"/>
    <n v="0.70099999999999996"/>
  </r>
  <r>
    <x v="176"/>
    <x v="27"/>
    <s v="2B/3B"/>
    <s v="2B/3B"/>
    <n v="-2.2999999999999998"/>
    <n v="48"/>
    <n v="190"/>
    <x v="59"/>
    <n v="21"/>
    <n v="36"/>
    <x v="15"/>
    <x v="26"/>
    <n v="4"/>
    <n v="2"/>
    <n v="19"/>
    <n v="62"/>
    <n v="0.21199999999999999"/>
    <n v="0.28899999999999998"/>
    <n v="0.371"/>
    <n v="0.66"/>
  </r>
  <r>
    <x v="177"/>
    <x v="29"/>
    <s v="2B/3B/ OF"/>
    <s v="2B/SS/ 3B/OF"/>
    <n v="-2.5"/>
    <n v="40"/>
    <n v="129"/>
    <x v="83"/>
    <n v="18"/>
    <n v="30"/>
    <x v="12"/>
    <x v="35"/>
    <n v="6"/>
    <n v="0"/>
    <n v="17"/>
    <n v="24"/>
    <n v="0.27300000000000002"/>
    <n v="0.372"/>
    <n v="0.4"/>
    <n v="0.77200000000000002"/>
  </r>
  <r>
    <x v="178"/>
    <x v="15"/>
    <s v="C/OF"/>
    <s v="C/OF"/>
    <n v="-2.5"/>
    <n v="34"/>
    <n v="113"/>
    <x v="84"/>
    <n v="11"/>
    <n v="28"/>
    <x v="13"/>
    <x v="31"/>
    <n v="2"/>
    <n v="0"/>
    <n v="9"/>
    <n v="40"/>
    <n v="0.27500000000000002"/>
    <n v="0.34499999999999997"/>
    <n v="0.47099999999999997"/>
    <n v="0.81599999999999995"/>
  </r>
  <r>
    <x v="179"/>
    <x v="22"/>
    <s v="C"/>
    <s v="C"/>
    <n v="-2.6"/>
    <n v="47"/>
    <n v="189"/>
    <x v="70"/>
    <n v="20"/>
    <n v="41"/>
    <x v="14"/>
    <x v="26"/>
    <n v="0"/>
    <n v="0"/>
    <n v="20"/>
    <n v="52"/>
    <n v="0.247"/>
    <n v="0.33900000000000002"/>
    <n v="0.33100000000000002"/>
    <n v="0.67"/>
  </r>
  <r>
    <x v="180"/>
    <x v="28"/>
    <s v="2B"/>
    <s v="2B/SS"/>
    <n v="-2.6"/>
    <n v="46"/>
    <n v="181"/>
    <x v="62"/>
    <n v="22"/>
    <n v="39"/>
    <x v="12"/>
    <x v="33"/>
    <n v="7"/>
    <n v="0"/>
    <n v="8"/>
    <n v="31"/>
    <n v="0.23599999999999999"/>
    <n v="0.30399999999999999"/>
    <n v="0.34499999999999997"/>
    <n v="0.64900000000000002"/>
  </r>
  <r>
    <x v="181"/>
    <x v="5"/>
    <s v="OF"/>
    <s v="OF"/>
    <n v="-2.7"/>
    <n v="34"/>
    <n v="126"/>
    <x v="85"/>
    <n v="16"/>
    <n v="32"/>
    <x v="12"/>
    <x v="31"/>
    <n v="5"/>
    <n v="0"/>
    <n v="3"/>
    <n v="37"/>
    <n v="0.26200000000000001"/>
    <n v="0.27800000000000002"/>
    <n v="0.38500000000000001"/>
    <n v="0.66300000000000003"/>
  </r>
  <r>
    <x v="182"/>
    <x v="11"/>
    <s v="C"/>
    <s v="C"/>
    <n v="-3.2"/>
    <n v="41"/>
    <n v="150"/>
    <x v="49"/>
    <n v="14"/>
    <n v="38"/>
    <x v="15"/>
    <x v="31"/>
    <n v="0"/>
    <n v="0"/>
    <n v="12"/>
    <n v="31"/>
    <n v="0.27900000000000003"/>
    <n v="0.34699999999999998"/>
    <n v="0.434"/>
    <n v="0.78100000000000003"/>
  </r>
  <r>
    <x v="183"/>
    <x v="0"/>
    <s v="2B/SS"/>
    <s v="2B/SS/ OF"/>
    <n v="-3.3"/>
    <n v="28"/>
    <n v="105"/>
    <x v="68"/>
    <n v="15"/>
    <n v="30"/>
    <x v="15"/>
    <x v="31"/>
    <n v="0"/>
    <n v="0"/>
    <n v="8"/>
    <n v="19"/>
    <n v="0.312"/>
    <n v="0.371"/>
    <n v="0.51"/>
    <n v="0.88100000000000001"/>
  </r>
  <r>
    <x v="184"/>
    <x v="29"/>
    <s v="OF"/>
    <s v="3B/OF"/>
    <n v="-3.3"/>
    <n v="42"/>
    <n v="161"/>
    <x v="86"/>
    <n v="14"/>
    <n v="38"/>
    <x v="15"/>
    <x v="29"/>
    <n v="4"/>
    <n v="0"/>
    <n v="9"/>
    <n v="34"/>
    <n v="0.253"/>
    <n v="0.30399999999999999"/>
    <n v="0.373"/>
    <n v="0.67700000000000005"/>
  </r>
  <r>
    <x v="185"/>
    <x v="23"/>
    <s v="2B/SS/ 3B"/>
    <s v="2B/SS/ 3B"/>
    <n v="-3.4"/>
    <n v="44"/>
    <n v="134"/>
    <x v="65"/>
    <n v="14"/>
    <n v="30"/>
    <x v="13"/>
    <x v="27"/>
    <n v="1"/>
    <n v="1"/>
    <n v="15"/>
    <n v="33"/>
    <n v="0.26300000000000001"/>
    <n v="0.36599999999999999"/>
    <n v="0.439"/>
    <n v="0.80500000000000005"/>
  </r>
  <r>
    <x v="186"/>
    <x v="15"/>
    <s v="OF"/>
    <s v="OF"/>
    <n v="-3.5"/>
    <n v="32"/>
    <n v="129"/>
    <x v="87"/>
    <n v="19"/>
    <n v="30"/>
    <x v="13"/>
    <x v="30"/>
    <n v="0"/>
    <n v="1"/>
    <n v="9"/>
    <n v="35"/>
    <n v="0.252"/>
    <n v="0.31"/>
    <n v="0.44500000000000001"/>
    <n v="0.755"/>
  </r>
  <r>
    <x v="187"/>
    <x v="21"/>
    <s v="C/OF"/>
    <s v="C/OF"/>
    <n v="-3.6"/>
    <n v="46"/>
    <n v="190"/>
    <x v="88"/>
    <n v="20"/>
    <n v="35"/>
    <x v="15"/>
    <x v="25"/>
    <n v="0"/>
    <n v="1"/>
    <n v="18"/>
    <n v="62"/>
    <n v="0.20699999999999999"/>
    <n v="0.28399999999999997"/>
    <n v="0.34899999999999998"/>
    <n v="0.63300000000000001"/>
  </r>
  <r>
    <x v="188"/>
    <x v="8"/>
    <s v="SS"/>
    <s v="SS"/>
    <n v="-3.6"/>
    <n v="36"/>
    <n v="138"/>
    <x v="75"/>
    <n v="15"/>
    <n v="33"/>
    <x v="12"/>
    <x v="16"/>
    <n v="2"/>
    <n v="0"/>
    <n v="5"/>
    <n v="25"/>
    <n v="0.26600000000000001"/>
    <n v="0.33300000000000002"/>
    <n v="0.41099999999999998"/>
    <n v="0.74399999999999999"/>
  </r>
  <r>
    <x v="189"/>
    <x v="12"/>
    <s v="OF"/>
    <s v="OF"/>
    <n v="-3.7"/>
    <n v="8"/>
    <n v="37"/>
    <x v="89"/>
    <n v="11"/>
    <n v="15"/>
    <x v="15"/>
    <x v="30"/>
    <n v="0"/>
    <n v="0"/>
    <n v="3"/>
    <n v="5"/>
    <n v="0.45500000000000002"/>
    <n v="0.51400000000000001"/>
    <n v="0.999"/>
    <n v="1.544"/>
  </r>
  <r>
    <x v="190"/>
    <x v="28"/>
    <s v="SS"/>
    <s v="SS/OF"/>
    <n v="-3.7"/>
    <n v="43"/>
    <n v="189"/>
    <x v="4"/>
    <n v="22"/>
    <n v="42"/>
    <x v="8"/>
    <x v="34"/>
    <n v="8"/>
    <n v="0"/>
    <n v="9"/>
    <n v="48"/>
    <n v="0.23699999999999999"/>
    <n v="0.27500000000000002"/>
    <n v="0.32800000000000001"/>
    <n v="0.60299999999999998"/>
  </r>
  <r>
    <x v="191"/>
    <x v="29"/>
    <s v="1B"/>
    <s v="1B"/>
    <n v="-3.7"/>
    <n v="46"/>
    <n v="195"/>
    <x v="28"/>
    <n v="17"/>
    <n v="41"/>
    <x v="15"/>
    <x v="25"/>
    <n v="1"/>
    <n v="0"/>
    <n v="15"/>
    <n v="40"/>
    <n v="0.23400000000000001"/>
    <n v="0.29699999999999999"/>
    <n v="0.36599999999999999"/>
    <n v="0.66300000000000003"/>
  </r>
  <r>
    <x v="192"/>
    <x v="12"/>
    <s v="C"/>
    <s v="C"/>
    <n v="-3.8"/>
    <n v="36"/>
    <n v="112"/>
    <x v="66"/>
    <n v="17"/>
    <n v="24"/>
    <x v="13"/>
    <x v="28"/>
    <n v="1"/>
    <n v="0"/>
    <n v="6"/>
    <n v="34"/>
    <n v="0.23100000000000001"/>
    <n v="0.28599999999999998"/>
    <n v="0.45200000000000001"/>
    <n v="0.73799999999999999"/>
  </r>
  <r>
    <x v="193"/>
    <x v="21"/>
    <s v="OF"/>
    <s v="OF"/>
    <n v="-3.9"/>
    <n v="39"/>
    <n v="148"/>
    <x v="90"/>
    <n v="21"/>
    <n v="32"/>
    <x v="12"/>
    <x v="34"/>
    <n v="5"/>
    <n v="0"/>
    <n v="9"/>
    <n v="25"/>
    <n v="0.23699999999999999"/>
    <n v="0.30399999999999999"/>
    <n v="0.38500000000000001"/>
    <n v="0.68899999999999995"/>
  </r>
  <r>
    <x v="194"/>
    <x v="3"/>
    <s v="OF"/>
    <s v="OF"/>
    <n v="-4.0999999999999996"/>
    <n v="39"/>
    <n v="130"/>
    <x v="65"/>
    <n v="16"/>
    <n v="29"/>
    <x v="14"/>
    <x v="28"/>
    <n v="6"/>
    <n v="0"/>
    <n v="11"/>
    <n v="19"/>
    <n v="0.254"/>
    <n v="0.33100000000000002"/>
    <n v="0.36"/>
    <n v="0.69099999999999995"/>
  </r>
  <r>
    <x v="195"/>
    <x v="26"/>
    <s v="1B/2B"/>
    <s v="1B/2B/SS"/>
    <n v="-4.0999999999999996"/>
    <n v="48"/>
    <n v="200"/>
    <x v="26"/>
    <n v="20"/>
    <n v="35"/>
    <x v="13"/>
    <x v="20"/>
    <n v="2"/>
    <n v="0"/>
    <n v="28"/>
    <n v="45"/>
    <n v="0.21"/>
    <n v="0.33"/>
    <n v="0.38300000000000001"/>
    <n v="0.71299999999999997"/>
  </r>
  <r>
    <x v="196"/>
    <x v="19"/>
    <s v="OF"/>
    <s v="OF"/>
    <n v="-4.0999999999999996"/>
    <n v="47"/>
    <n v="189"/>
    <x v="62"/>
    <n v="20"/>
    <n v="36"/>
    <x v="12"/>
    <x v="26"/>
    <n v="3"/>
    <n v="0"/>
    <n v="20"/>
    <n v="42"/>
    <n v="0.218"/>
    <n v="0.307"/>
    <n v="0.32100000000000001"/>
    <n v="0.628"/>
  </r>
  <r>
    <x v="197"/>
    <x v="0"/>
    <s v="OF"/>
    <s v="OF"/>
    <n v="-4.2"/>
    <n v="42"/>
    <n v="150"/>
    <x v="8"/>
    <n v="16"/>
    <n v="34"/>
    <x v="13"/>
    <x v="16"/>
    <n v="1"/>
    <n v="1"/>
    <n v="7"/>
    <n v="37"/>
    <n v="0.23799999999999999"/>
    <n v="0.27300000000000002"/>
    <n v="0.41299999999999998"/>
    <n v="0.68600000000000005"/>
  </r>
  <r>
    <x v="198"/>
    <x v="1"/>
    <s v="SS"/>
    <s v="SS"/>
    <n v="-4.4000000000000004"/>
    <n v="18"/>
    <n v="79"/>
    <x v="91"/>
    <n v="13"/>
    <n v="23"/>
    <x v="12"/>
    <x v="30"/>
    <n v="0"/>
    <n v="0"/>
    <n v="10"/>
    <n v="15"/>
    <n v="0.34799999999999998"/>
    <n v="0.41799999999999998"/>
    <n v="0.59099999999999997"/>
    <n v="1.0089999999999999"/>
  </r>
  <r>
    <x v="199"/>
    <x v="11"/>
    <s v="OF"/>
    <s v="1B/OF"/>
    <n v="-4.4000000000000004"/>
    <n v="37"/>
    <n v="119"/>
    <x v="92"/>
    <n v="13"/>
    <n v="26"/>
    <x v="10"/>
    <x v="16"/>
    <n v="0"/>
    <n v="0"/>
    <n v="12"/>
    <n v="20"/>
    <n v="0.245"/>
    <n v="0.31900000000000001"/>
    <n v="0.42499999999999999"/>
    <n v="0.74399999999999999"/>
  </r>
  <r>
    <x v="200"/>
    <x v="24"/>
    <s v="SS"/>
    <s v="SS"/>
    <n v="-4.5"/>
    <n v="44"/>
    <n v="192"/>
    <x v="88"/>
    <n v="14"/>
    <n v="36"/>
    <x v="10"/>
    <x v="17"/>
    <n v="0"/>
    <n v="0"/>
    <n v="22"/>
    <n v="45"/>
    <n v="0.21299999999999999"/>
    <n v="0.30199999999999999"/>
    <n v="0.39600000000000002"/>
    <n v="0.69799999999999995"/>
  </r>
  <r>
    <x v="201"/>
    <x v="4"/>
    <s v="C"/>
    <s v="C"/>
    <n v="-4.5"/>
    <n v="29"/>
    <n v="95"/>
    <x v="93"/>
    <n v="11"/>
    <n v="22"/>
    <x v="10"/>
    <x v="31"/>
    <n v="0"/>
    <n v="0"/>
    <n v="7"/>
    <n v="23"/>
    <n v="0.253"/>
    <n v="0.316"/>
    <n v="0.50600000000000001"/>
    <n v="0.82199999999999995"/>
  </r>
  <r>
    <x v="202"/>
    <x v="7"/>
    <s v="3B"/>
    <s v="SS/3B"/>
    <n v="-4.8"/>
    <n v="43"/>
    <n v="163"/>
    <x v="49"/>
    <n v="26"/>
    <n v="28"/>
    <x v="13"/>
    <x v="32"/>
    <n v="1"/>
    <n v="0"/>
    <n v="26"/>
    <n v="51"/>
    <n v="0.20599999999999999"/>
    <n v="0.33700000000000002"/>
    <n v="0.39"/>
    <n v="0.72699999999999998"/>
  </r>
  <r>
    <x v="203"/>
    <x v="16"/>
    <s v="2B/SS"/>
    <s v="2B/SS"/>
    <n v="-4.9000000000000004"/>
    <n v="46"/>
    <n v="145"/>
    <x v="90"/>
    <n v="15"/>
    <n v="31"/>
    <x v="12"/>
    <x v="28"/>
    <n v="7"/>
    <n v="2"/>
    <n v="10"/>
    <n v="40"/>
    <n v="0.23"/>
    <n v="0.28299999999999997"/>
    <n v="0.32600000000000001"/>
    <n v="0.60899999999999999"/>
  </r>
  <r>
    <x v="204"/>
    <x v="15"/>
    <s v="1B/2B/ 3B"/>
    <s v="1B/2B/ 3B"/>
    <n v="-5"/>
    <n v="38"/>
    <n v="131"/>
    <x v="76"/>
    <n v="15"/>
    <n v="29"/>
    <x v="10"/>
    <x v="29"/>
    <n v="0"/>
    <n v="0"/>
    <n v="9"/>
    <n v="25"/>
    <n v="0.24"/>
    <n v="0.28999999999999998"/>
    <n v="0.438"/>
    <n v="0.72799999999999998"/>
  </r>
  <r>
    <x v="205"/>
    <x v="20"/>
    <s v="1B/OF"/>
    <s v="1B/OF"/>
    <n v="-5.0999999999999996"/>
    <n v="41"/>
    <n v="152"/>
    <x v="49"/>
    <n v="18"/>
    <n v="35"/>
    <x v="12"/>
    <x v="27"/>
    <n v="0"/>
    <n v="0"/>
    <n v="14"/>
    <n v="41"/>
    <n v="0.25700000000000001"/>
    <n v="0.32900000000000001"/>
    <n v="0.35299999999999998"/>
    <n v="0.68200000000000005"/>
  </r>
  <r>
    <x v="206"/>
    <x v="16"/>
    <s v="OF"/>
    <s v="OF"/>
    <n v="-5.0999999999999996"/>
    <n v="47"/>
    <n v="153"/>
    <x v="6"/>
    <n v="17"/>
    <n v="28"/>
    <x v="13"/>
    <x v="30"/>
    <n v="5"/>
    <n v="0"/>
    <n v="12"/>
    <n v="42"/>
    <n v="0.2"/>
    <n v="0.26100000000000001"/>
    <n v="0.35699999999999998"/>
    <n v="0.61799999999999999"/>
  </r>
  <r>
    <x v="207"/>
    <x v="16"/>
    <s v="C"/>
    <s v="C"/>
    <n v="-5.6"/>
    <n v="38"/>
    <n v="156"/>
    <x v="94"/>
    <n v="15"/>
    <n v="34"/>
    <x v="15"/>
    <x v="31"/>
    <n v="0"/>
    <n v="0"/>
    <n v="18"/>
    <n v="31"/>
    <n v="0.248"/>
    <n v="0.34"/>
    <n v="0.39400000000000002"/>
    <n v="0.73399999999999999"/>
  </r>
  <r>
    <x v="208"/>
    <x v="27"/>
    <s v="SS"/>
    <s v="SS"/>
    <n v="-5.6"/>
    <n v="46"/>
    <n v="167"/>
    <x v="54"/>
    <n v="20"/>
    <n v="35"/>
    <x v="12"/>
    <x v="26"/>
    <n v="1"/>
    <n v="0"/>
    <n v="6"/>
    <n v="49"/>
    <n v="0.22"/>
    <n v="0.25700000000000001"/>
    <n v="0.35799999999999998"/>
    <n v="0.61499999999999999"/>
  </r>
  <r>
    <x v="209"/>
    <x v="19"/>
    <s v="1B"/>
    <s v="1B"/>
    <n v="-5.8"/>
    <n v="46"/>
    <n v="193"/>
    <x v="88"/>
    <n v="20"/>
    <n v="47"/>
    <x v="8"/>
    <x v="31"/>
    <n v="0"/>
    <n v="0"/>
    <n v="21"/>
    <n v="29"/>
    <n v="0.27800000000000002"/>
    <n v="0.36299999999999999"/>
    <n v="0.314"/>
    <n v="0.67700000000000005"/>
  </r>
  <r>
    <x v="210"/>
    <x v="17"/>
    <s v="2B/SS"/>
    <s v="2B/SS"/>
    <n v="-5.9"/>
    <n v="25"/>
    <n v="74"/>
    <x v="95"/>
    <n v="12"/>
    <n v="17"/>
    <x v="14"/>
    <x v="34"/>
    <n v="6"/>
    <n v="0"/>
    <n v="10"/>
    <n v="16"/>
    <n v="0.28299999999999997"/>
    <n v="0.39200000000000002"/>
    <n v="0.433"/>
    <n v="0.82499999999999996"/>
  </r>
  <r>
    <x v="211"/>
    <x v="15"/>
    <s v="OF"/>
    <s v="OF"/>
    <n v="-6"/>
    <n v="26"/>
    <n v="97"/>
    <x v="96"/>
    <n v="12"/>
    <n v="19"/>
    <x v="13"/>
    <x v="20"/>
    <n v="0"/>
    <n v="0"/>
    <n v="14"/>
    <n v="22"/>
    <n v="0.23499999999999999"/>
    <n v="0.35099999999999998"/>
    <n v="0.49399999999999999"/>
    <n v="0.84499999999999997"/>
  </r>
  <r>
    <x v="212"/>
    <x v="24"/>
    <s v="OF"/>
    <s v="OF"/>
    <n v="-6"/>
    <n v="28"/>
    <n v="114"/>
    <x v="97"/>
    <n v="17"/>
    <n v="21"/>
    <x v="10"/>
    <x v="30"/>
    <n v="0"/>
    <n v="0"/>
    <n v="10"/>
    <n v="22"/>
    <n v="0.21199999999999999"/>
    <n v="0.29799999999999999"/>
    <n v="0.44400000000000001"/>
    <n v="0.74199999999999999"/>
  </r>
  <r>
    <x v="213"/>
    <x v="0"/>
    <s v="OF"/>
    <s v="OF"/>
    <n v="-6"/>
    <n v="27"/>
    <n v="83"/>
    <x v="98"/>
    <n v="11"/>
    <n v="20"/>
    <x v="13"/>
    <x v="31"/>
    <n v="2"/>
    <n v="0"/>
    <n v="4"/>
    <n v="19"/>
    <n v="0.25600000000000001"/>
    <n v="0.28899999999999998"/>
    <n v="0.48699999999999999"/>
    <n v="0.77600000000000002"/>
  </r>
  <r>
    <x v="214"/>
    <x v="19"/>
    <s v="OF"/>
    <s v="OF"/>
    <n v="-6"/>
    <n v="31"/>
    <n v="103"/>
    <x v="99"/>
    <n v="13"/>
    <n v="26"/>
    <x v="16"/>
    <x v="35"/>
    <n v="8"/>
    <n v="0"/>
    <n v="10"/>
    <n v="14"/>
    <n v="0.29199999999999998"/>
    <n v="0.38800000000000001"/>
    <n v="0.36"/>
    <n v="0.748"/>
  </r>
  <r>
    <x v="215"/>
    <x v="24"/>
    <s v="SS/3B"/>
    <s v="SS/3B"/>
    <n v="-6.1"/>
    <n v="25"/>
    <n v="92"/>
    <x v="100"/>
    <n v="16"/>
    <n v="23"/>
    <x v="12"/>
    <x v="30"/>
    <n v="0"/>
    <n v="0"/>
    <n v="5"/>
    <n v="24"/>
    <n v="0.27400000000000002"/>
    <n v="0.32600000000000001"/>
    <n v="0.40500000000000003"/>
    <n v="0.73099999999999998"/>
  </r>
  <r>
    <x v="216"/>
    <x v="28"/>
    <s v="OF"/>
    <s v="OF"/>
    <n v="-6.1"/>
    <n v="47"/>
    <n v="171"/>
    <x v="51"/>
    <n v="18"/>
    <n v="34"/>
    <x v="16"/>
    <x v="34"/>
    <n v="10"/>
    <n v="0"/>
    <n v="18"/>
    <n v="30"/>
    <n v="0.22500000000000001"/>
    <n v="0.31"/>
    <n v="0.28499999999999998"/>
    <n v="0.59499999999999997"/>
  </r>
  <r>
    <x v="217"/>
    <x v="14"/>
    <s v="OF"/>
    <s v="1B/OF"/>
    <n v="-6.2"/>
    <n v="35"/>
    <n v="116"/>
    <x v="101"/>
    <n v="15"/>
    <n v="23"/>
    <x v="15"/>
    <x v="20"/>
    <n v="0"/>
    <n v="0"/>
    <n v="16"/>
    <n v="25"/>
    <n v="0.23"/>
    <n v="0.33600000000000002"/>
    <n v="0.39"/>
    <n v="0.72599999999999998"/>
  </r>
  <r>
    <x v="218"/>
    <x v="24"/>
    <s v="2B"/>
    <s v="2B"/>
    <n v="-6.4"/>
    <n v="23"/>
    <n v="101"/>
    <x v="102"/>
    <n v="10"/>
    <n v="27"/>
    <x v="15"/>
    <x v="30"/>
    <n v="1"/>
    <n v="0"/>
    <n v="6"/>
    <n v="24"/>
    <n v="0.28399999999999997"/>
    <n v="0.32700000000000001"/>
    <n v="0.48399999999999999"/>
    <n v="0.81100000000000005"/>
  </r>
  <r>
    <x v="219"/>
    <x v="5"/>
    <s v="OF"/>
    <s v="OF"/>
    <n v="-6.4"/>
    <n v="40"/>
    <n v="137"/>
    <x v="76"/>
    <n v="16"/>
    <n v="31"/>
    <x v="12"/>
    <x v="30"/>
    <n v="1"/>
    <n v="0"/>
    <n v="12"/>
    <n v="37"/>
    <n v="0.25600000000000001"/>
    <n v="0.34300000000000003"/>
    <n v="0.40500000000000003"/>
    <n v="0.748"/>
  </r>
  <r>
    <x v="220"/>
    <x v="2"/>
    <s v="OF"/>
    <s v="OF"/>
    <n v="-6.6"/>
    <n v="38"/>
    <n v="109"/>
    <x v="103"/>
    <n v="17"/>
    <n v="21"/>
    <x v="13"/>
    <x v="32"/>
    <n v="1"/>
    <n v="0"/>
    <n v="16"/>
    <n v="21"/>
    <n v="0.22800000000000001"/>
    <n v="0.33900000000000002"/>
    <n v="0.46700000000000003"/>
    <n v="0.80600000000000005"/>
  </r>
  <r>
    <x v="221"/>
    <x v="6"/>
    <s v="OF"/>
    <s v="SS/OF"/>
    <n v="-6.9"/>
    <n v="44"/>
    <n v="156"/>
    <x v="8"/>
    <n v="17"/>
    <n v="29"/>
    <x v="12"/>
    <x v="29"/>
    <n v="5"/>
    <n v="0"/>
    <n v="10"/>
    <n v="31"/>
    <n v="0.20300000000000001"/>
    <n v="0.25600000000000001"/>
    <n v="0.308"/>
    <n v="0.56399999999999995"/>
  </r>
  <r>
    <x v="222"/>
    <x v="4"/>
    <s v="OF"/>
    <s v="OF"/>
    <n v="-7.1"/>
    <n v="44"/>
    <n v="160"/>
    <x v="47"/>
    <n v="19"/>
    <n v="33"/>
    <x v="12"/>
    <x v="28"/>
    <n v="2"/>
    <n v="0"/>
    <n v="13"/>
    <n v="27"/>
    <n v="0.23400000000000001"/>
    <n v="0.30599999999999999"/>
    <n v="0.36899999999999999"/>
    <n v="0.67500000000000004"/>
  </r>
  <r>
    <x v="223"/>
    <x v="8"/>
    <s v="C"/>
    <s v="C/1B"/>
    <n v="-7.2"/>
    <n v="32"/>
    <n v="91"/>
    <x v="104"/>
    <n v="14"/>
    <n v="23"/>
    <x v="14"/>
    <x v="34"/>
    <n v="0"/>
    <n v="0"/>
    <n v="9"/>
    <n v="26"/>
    <n v="0.29099999999999998"/>
    <n v="0.374"/>
    <n v="0.41799999999999998"/>
    <n v="0.79200000000000004"/>
  </r>
  <r>
    <x v="224"/>
    <x v="25"/>
    <s v="DH"/>
    <s v="OF"/>
    <n v="-7.3"/>
    <n v="19"/>
    <n v="83"/>
    <x v="81"/>
    <n v="16"/>
    <n v="23"/>
    <x v="14"/>
    <x v="36"/>
    <n v="2"/>
    <n v="1"/>
    <n v="12"/>
    <n v="21"/>
    <n v="0.32400000000000001"/>
    <n v="0.42199999999999999"/>
    <n v="0.49299999999999999"/>
    <n v="0.91500000000000004"/>
  </r>
  <r>
    <x v="225"/>
    <x v="19"/>
    <s v="C"/>
    <s v="C"/>
    <n v="-7.3"/>
    <n v="41"/>
    <n v="173"/>
    <x v="24"/>
    <n v="12"/>
    <n v="36"/>
    <x v="15"/>
    <x v="16"/>
    <n v="0"/>
    <n v="0"/>
    <n v="11"/>
    <n v="14"/>
    <n v="0.22900000000000001"/>
    <n v="0.29499999999999998"/>
    <n v="0.35"/>
    <n v="0.64500000000000002"/>
  </r>
  <r>
    <x v="226"/>
    <x v="1"/>
    <s v="OF"/>
    <s v="OF"/>
    <n v="-7.4"/>
    <n v="25"/>
    <n v="76"/>
    <x v="105"/>
    <n v="14"/>
    <n v="21"/>
    <x v="16"/>
    <x v="33"/>
    <n v="5"/>
    <n v="0"/>
    <n v="7"/>
    <n v="15"/>
    <n v="0.309"/>
    <n v="0.38200000000000001"/>
    <n v="0.41199999999999998"/>
    <n v="0.79400000000000004"/>
  </r>
  <r>
    <x v="227"/>
    <x v="7"/>
    <s v="2B/3B"/>
    <s v="2B/3B"/>
    <n v="-7.4"/>
    <n v="30"/>
    <n v="112"/>
    <x v="106"/>
    <n v="12"/>
    <n v="27"/>
    <x v="8"/>
    <x v="27"/>
    <n v="2"/>
    <n v="0"/>
    <n v="11"/>
    <n v="29"/>
    <n v="0.27800000000000002"/>
    <n v="0.375"/>
    <n v="0.38100000000000001"/>
    <n v="0.75600000000000001"/>
  </r>
  <r>
    <x v="228"/>
    <x v="11"/>
    <s v="OF"/>
    <s v="OF"/>
    <n v="-7.5"/>
    <n v="25"/>
    <n v="106"/>
    <x v="106"/>
    <n v="12"/>
    <n v="25"/>
    <x v="15"/>
    <x v="29"/>
    <n v="0"/>
    <n v="0"/>
    <n v="9"/>
    <n v="28"/>
    <n v="0.25800000000000001"/>
    <n v="0.32100000000000001"/>
    <n v="0.42299999999999999"/>
    <n v="0.74399999999999999"/>
  </r>
  <r>
    <x v="229"/>
    <x v="8"/>
    <s v="2B/3B"/>
    <s v="2B/SS/ 3B"/>
    <n v="-7.5"/>
    <n v="42"/>
    <n v="141"/>
    <x v="85"/>
    <n v="17"/>
    <n v="25"/>
    <x v="14"/>
    <x v="27"/>
    <n v="4"/>
    <n v="0"/>
    <n v="16"/>
    <n v="27"/>
    <n v="0.20499999999999999"/>
    <n v="0.30499999999999999"/>
    <n v="0.27"/>
    <n v="0.57499999999999996"/>
  </r>
  <r>
    <x v="230"/>
    <x v="12"/>
    <s v="OF"/>
    <s v="OF"/>
    <n v="-7.6"/>
    <n v="30"/>
    <n v="88"/>
    <x v="82"/>
    <n v="12"/>
    <n v="21"/>
    <x v="8"/>
    <x v="16"/>
    <n v="1"/>
    <n v="0"/>
    <n v="13"/>
    <n v="19"/>
    <n v="0.28799999999999998"/>
    <n v="0.40899999999999997"/>
    <n v="0.38400000000000001"/>
    <n v="0.79300000000000004"/>
  </r>
  <r>
    <x v="231"/>
    <x v="22"/>
    <s v="2B/SS"/>
    <s v="2B/SS"/>
    <n v="-7.7"/>
    <n v="34"/>
    <n v="117"/>
    <x v="107"/>
    <n v="13"/>
    <n v="28"/>
    <x v="14"/>
    <x v="29"/>
    <n v="2"/>
    <n v="0"/>
    <n v="6"/>
    <n v="14"/>
    <n v="0.25700000000000001"/>
    <n v="0.29899999999999999"/>
    <n v="0.33900000000000002"/>
    <n v="0.63800000000000001"/>
  </r>
  <r>
    <x v="232"/>
    <x v="21"/>
    <s v="1B/OF"/>
    <s v="1B/OF"/>
    <n v="-7.9"/>
    <n v="26"/>
    <n v="103"/>
    <x v="99"/>
    <n v="12"/>
    <n v="26"/>
    <x v="14"/>
    <x v="31"/>
    <n v="1"/>
    <n v="0"/>
    <n v="12"/>
    <n v="34"/>
    <n v="0.29199999999999998"/>
    <n v="0.38800000000000001"/>
    <n v="0.42699999999999999"/>
    <n v="0.81499999999999995"/>
  </r>
  <r>
    <x v="233"/>
    <x v="12"/>
    <s v="1B"/>
    <s v="1B"/>
    <n v="-8"/>
    <n v="43"/>
    <n v="154"/>
    <x v="108"/>
    <n v="19"/>
    <n v="23"/>
    <x v="10"/>
    <x v="29"/>
    <n v="0"/>
    <n v="0"/>
    <n v="25"/>
    <n v="42"/>
    <n v="0.18099999999999999"/>
    <n v="0.312"/>
    <n v="0.35399999999999998"/>
    <n v="0.66600000000000004"/>
  </r>
  <r>
    <x v="234"/>
    <x v="24"/>
    <s v="OF"/>
    <s v="2B/SS/ OF"/>
    <n v="-8.1"/>
    <n v="37"/>
    <n v="95"/>
    <x v="93"/>
    <n v="13"/>
    <n v="21"/>
    <x v="14"/>
    <x v="37"/>
    <n v="7"/>
    <n v="0"/>
    <n v="5"/>
    <n v="28"/>
    <n v="0.24099999999999999"/>
    <n v="0.30499999999999999"/>
    <n v="0.379"/>
    <n v="0.68400000000000005"/>
  </r>
  <r>
    <x v="235"/>
    <x v="18"/>
    <s v="1B"/>
    <s v="1B"/>
    <n v="-8.1999999999999993"/>
    <n v="28"/>
    <n v="112"/>
    <x v="79"/>
    <n v="10"/>
    <n v="30"/>
    <x v="12"/>
    <x v="34"/>
    <n v="2"/>
    <n v="0"/>
    <n v="6"/>
    <n v="11"/>
    <n v="0.29099999999999998"/>
    <n v="0.33"/>
    <n v="0.42699999999999999"/>
    <n v="0.75700000000000001"/>
  </r>
  <r>
    <x v="236"/>
    <x v="18"/>
    <s v="OF"/>
    <s v="OF"/>
    <n v="-8.6"/>
    <n v="29"/>
    <n v="77"/>
    <x v="109"/>
    <n v="9"/>
    <n v="20"/>
    <x v="12"/>
    <x v="34"/>
    <n v="3"/>
    <n v="0"/>
    <n v="7"/>
    <n v="24"/>
    <n v="0.28999999999999998"/>
    <n v="0.36399999999999999"/>
    <n v="0.55100000000000005"/>
    <n v="0.91500000000000004"/>
  </r>
  <r>
    <x v="237"/>
    <x v="29"/>
    <s v="C/OF"/>
    <s v="C/OF"/>
    <n v="-8.8000000000000007"/>
    <n v="38"/>
    <n v="131"/>
    <x v="76"/>
    <n v="11"/>
    <n v="30"/>
    <x v="14"/>
    <x v="28"/>
    <n v="2"/>
    <n v="0"/>
    <n v="10"/>
    <n v="35"/>
    <n v="0.248"/>
    <n v="0.30499999999999999"/>
    <n v="0.33100000000000002"/>
    <n v="0.63600000000000001"/>
  </r>
  <r>
    <x v="238"/>
    <x v="8"/>
    <s v="OF"/>
    <s v="OF"/>
    <n v="-8.8000000000000007"/>
    <n v="10"/>
    <n v="32"/>
    <x v="110"/>
    <n v="7"/>
    <n v="13"/>
    <x v="15"/>
    <x v="37"/>
    <n v="2"/>
    <n v="0"/>
    <n v="1"/>
    <n v="11"/>
    <n v="0.41899999999999998"/>
    <n v="0.438"/>
    <n v="0.93500000000000005"/>
    <n v="1.373"/>
  </r>
  <r>
    <x v="239"/>
    <x v="8"/>
    <s v="C"/>
    <s v="C"/>
    <n v="-8.9"/>
    <n v="16"/>
    <n v="59"/>
    <x v="63"/>
    <n v="5"/>
    <n v="15"/>
    <x v="15"/>
    <x v="31"/>
    <n v="0"/>
    <n v="0"/>
    <n v="4"/>
    <n v="15"/>
    <n v="0.28299999999999997"/>
    <n v="0.33900000000000002"/>
    <n v="0.54700000000000004"/>
    <n v="0.88600000000000001"/>
  </r>
  <r>
    <x v="240"/>
    <x v="26"/>
    <s v="DH"/>
    <s v="OF"/>
    <n v="-8.9"/>
    <n v="36"/>
    <n v="118"/>
    <x v="68"/>
    <n v="11"/>
    <n v="19"/>
    <x v="15"/>
    <x v="25"/>
    <n v="0"/>
    <n v="0"/>
    <n v="19"/>
    <n v="36"/>
    <n v="0.19800000000000001"/>
    <n v="0.33100000000000002"/>
    <n v="0.39600000000000002"/>
    <n v="0.72699999999999998"/>
  </r>
  <r>
    <x v="241"/>
    <x v="13"/>
    <s v="C"/>
    <s v="C"/>
    <n v="-9.1999999999999993"/>
    <n v="29"/>
    <n v="85"/>
    <x v="111"/>
    <n v="9"/>
    <n v="22"/>
    <x v="12"/>
    <x v="33"/>
    <n v="0"/>
    <n v="0"/>
    <n v="8"/>
    <n v="18"/>
    <n v="0.29299999999999998"/>
    <n v="0.36499999999999999"/>
    <n v="0.44"/>
    <n v="0.80500000000000005"/>
  </r>
  <r>
    <x v="242"/>
    <x v="14"/>
    <s v="OF"/>
    <s v="OF"/>
    <n v="-9.3000000000000007"/>
    <n v="22"/>
    <n v="83"/>
    <x v="98"/>
    <n v="10"/>
    <n v="24"/>
    <x v="14"/>
    <x v="31"/>
    <n v="0"/>
    <n v="1"/>
    <n v="5"/>
    <n v="17"/>
    <n v="0.308"/>
    <n v="0.34899999999999998"/>
    <n v="0.47399999999999998"/>
    <n v="0.82299999999999995"/>
  </r>
  <r>
    <x v="243"/>
    <x v="14"/>
    <s v="3B"/>
    <s v="3B"/>
    <n v="-9.3000000000000007"/>
    <n v="28"/>
    <n v="93"/>
    <x v="52"/>
    <n v="13"/>
    <n v="19"/>
    <x v="10"/>
    <x v="34"/>
    <n v="0"/>
    <n v="0"/>
    <n v="6"/>
    <n v="31"/>
    <n v="0.221"/>
    <n v="0.26900000000000002"/>
    <n v="0.47699999999999998"/>
    <n v="0.746"/>
  </r>
  <r>
    <x v="244"/>
    <x v="25"/>
    <s v="SS/3B"/>
    <s v="SS/3B"/>
    <n v="-9.6999999999999993"/>
    <n v="37"/>
    <n v="114"/>
    <x v="107"/>
    <n v="10"/>
    <n v="30"/>
    <x v="12"/>
    <x v="32"/>
    <n v="1"/>
    <n v="0"/>
    <n v="2"/>
    <n v="26"/>
    <n v="0.27500000000000002"/>
    <n v="0.29799999999999999"/>
    <n v="0.42199999999999999"/>
    <n v="0.72"/>
  </r>
  <r>
    <x v="245"/>
    <x v="22"/>
    <s v="OF"/>
    <s v="OF"/>
    <n v="-9.6999999999999993"/>
    <n v="43"/>
    <n v="112"/>
    <x v="102"/>
    <n v="13"/>
    <n v="22"/>
    <x v="8"/>
    <x v="31"/>
    <n v="4"/>
    <n v="0"/>
    <n v="12"/>
    <n v="31"/>
    <n v="0.23200000000000001"/>
    <n v="0.33"/>
    <n v="0.36799999999999999"/>
    <n v="0.69799999999999995"/>
  </r>
  <r>
    <x v="246"/>
    <x v="13"/>
    <s v="OF"/>
    <s v="OF"/>
    <n v="-10"/>
    <n v="36"/>
    <n v="143"/>
    <x v="49"/>
    <n v="13"/>
    <n v="28"/>
    <x v="13"/>
    <x v="32"/>
    <n v="3"/>
    <n v="0"/>
    <n v="5"/>
    <n v="46"/>
    <n v="0.20599999999999999"/>
    <n v="0.245"/>
    <n v="0.39700000000000002"/>
    <n v="0.64200000000000002"/>
  </r>
  <r>
    <x v="247"/>
    <x v="26"/>
    <s v="DH"/>
    <s v="DH"/>
    <n v="-10.4"/>
    <n v="32"/>
    <n v="104"/>
    <x v="97"/>
    <n v="7"/>
    <n v="25"/>
    <x v="12"/>
    <x v="27"/>
    <n v="1"/>
    <n v="0"/>
    <n v="3"/>
    <n v="33"/>
    <n v="0.253"/>
    <n v="0.27900000000000003"/>
    <n v="0.40400000000000003"/>
    <n v="0.68300000000000005"/>
  </r>
  <r>
    <x v="248"/>
    <x v="29"/>
    <s v="OF"/>
    <s v="OF"/>
    <n v="-10.5"/>
    <n v="36"/>
    <n v="118"/>
    <x v="84"/>
    <n v="13"/>
    <n v="25"/>
    <x v="8"/>
    <x v="34"/>
    <n v="4"/>
    <n v="0"/>
    <n v="16"/>
    <n v="25"/>
    <n v="0.245"/>
    <n v="0.34699999999999998"/>
    <n v="0.33300000000000002"/>
    <n v="0.68"/>
  </r>
  <r>
    <x v="249"/>
    <x v="13"/>
    <s v="3B"/>
    <s v="3B/OF"/>
    <n v="-10.8"/>
    <n v="44"/>
    <n v="155"/>
    <x v="90"/>
    <n v="13"/>
    <n v="28"/>
    <x v="12"/>
    <x v="28"/>
    <n v="4"/>
    <n v="1"/>
    <n v="18"/>
    <n v="41"/>
    <n v="0.20699999999999999"/>
    <n v="0.30299999999999999"/>
    <n v="0.30399999999999999"/>
    <n v="0.60699999999999998"/>
  </r>
  <r>
    <x v="250"/>
    <x v="0"/>
    <s v="OF"/>
    <s v="OF"/>
    <n v="-10.8"/>
    <n v="27"/>
    <n v="75"/>
    <x v="109"/>
    <n v="11"/>
    <n v="17"/>
    <x v="12"/>
    <x v="36"/>
    <n v="4"/>
    <n v="0"/>
    <n v="6"/>
    <n v="32"/>
    <n v="0.246"/>
    <n v="0.307"/>
    <n v="0.44900000000000001"/>
    <n v="0.75600000000000001"/>
  </r>
  <r>
    <x v="251"/>
    <x v="12"/>
    <s v="OF"/>
    <s v="OF"/>
    <n v="-10.9"/>
    <n v="32"/>
    <n v="76"/>
    <x v="105"/>
    <n v="11"/>
    <n v="18"/>
    <x v="8"/>
    <x v="37"/>
    <n v="5"/>
    <n v="0"/>
    <n v="8"/>
    <n v="15"/>
    <n v="0.26500000000000001"/>
    <n v="0.34200000000000003"/>
    <n v="0.35299999999999998"/>
    <n v="0.69499999999999995"/>
  </r>
  <r>
    <x v="252"/>
    <x v="10"/>
    <s v="OF"/>
    <s v="OF"/>
    <n v="-10.9"/>
    <n v="38"/>
    <n v="122"/>
    <x v="112"/>
    <n v="15"/>
    <n v="26"/>
    <x v="12"/>
    <x v="28"/>
    <n v="0"/>
    <n v="1"/>
    <n v="8"/>
    <n v="14"/>
    <n v="0.23"/>
    <n v="0.28699999999999998"/>
    <n v="0.38100000000000001"/>
    <n v="0.66800000000000004"/>
  </r>
  <r>
    <x v="253"/>
    <x v="21"/>
    <s v="2B"/>
    <s v="2B"/>
    <n v="-10.9"/>
    <n v="44"/>
    <n v="148"/>
    <x v="90"/>
    <n v="13"/>
    <n v="29"/>
    <x v="12"/>
    <x v="30"/>
    <n v="2"/>
    <n v="0"/>
    <n v="8"/>
    <n v="49"/>
    <n v="0.215"/>
    <n v="0.26400000000000001"/>
    <n v="0.311"/>
    <n v="0.57499999999999996"/>
  </r>
  <r>
    <x v="254"/>
    <x v="18"/>
    <s v="1B"/>
    <s v="1B"/>
    <n v="-11"/>
    <n v="34"/>
    <n v="142"/>
    <x v="45"/>
    <n v="8"/>
    <n v="31"/>
    <x v="15"/>
    <x v="16"/>
    <n v="0"/>
    <n v="0"/>
    <n v="7"/>
    <n v="42"/>
    <n v="0.23300000000000001"/>
    <n v="0.27500000000000002"/>
    <n v="0.376"/>
    <n v="0.65100000000000002"/>
  </r>
  <r>
    <x v="255"/>
    <x v="12"/>
    <s v="2B"/>
    <s v="2B"/>
    <n v="-11.1"/>
    <n v="23"/>
    <n v="71"/>
    <x v="91"/>
    <n v="6"/>
    <n v="18"/>
    <x v="12"/>
    <x v="34"/>
    <n v="3"/>
    <n v="0"/>
    <n v="4"/>
    <n v="17"/>
    <n v="0.27300000000000002"/>
    <n v="0.32400000000000001"/>
    <n v="0.47"/>
    <n v="0.79400000000000004"/>
  </r>
  <r>
    <x v="256"/>
    <x v="27"/>
    <s v="OF"/>
    <s v="OF"/>
    <n v="-11.3"/>
    <n v="18"/>
    <n v="77"/>
    <x v="105"/>
    <n v="12"/>
    <n v="22"/>
    <x v="8"/>
    <x v="37"/>
    <n v="1"/>
    <n v="0"/>
    <n v="8"/>
    <n v="15"/>
    <n v="0.32400000000000001"/>
    <n v="0.39"/>
    <n v="0.441"/>
    <n v="0.83099999999999996"/>
  </r>
  <r>
    <x v="257"/>
    <x v="11"/>
    <s v="SS"/>
    <s v="SS"/>
    <n v="-11.3"/>
    <n v="32"/>
    <n v="138"/>
    <x v="113"/>
    <n v="14"/>
    <n v="32"/>
    <x v="16"/>
    <x v="37"/>
    <n v="6"/>
    <n v="1"/>
    <n v="7"/>
    <n v="26"/>
    <n v="0.24399999999999999"/>
    <n v="0.28299999999999997"/>
    <n v="0.28199999999999997"/>
    <n v="0.56499999999999995"/>
  </r>
  <r>
    <x v="258"/>
    <x v="4"/>
    <s v="3B"/>
    <s v="3B"/>
    <n v="-11.4"/>
    <n v="29"/>
    <n v="89"/>
    <x v="114"/>
    <n v="10"/>
    <n v="18"/>
    <x v="15"/>
    <x v="28"/>
    <n v="1"/>
    <n v="0"/>
    <n v="6"/>
    <n v="17"/>
    <n v="0.22"/>
    <n v="0.27"/>
    <n v="0.41499999999999998"/>
    <n v="0.68500000000000005"/>
  </r>
  <r>
    <x v="259"/>
    <x v="23"/>
    <s v="C"/>
    <s v="C"/>
    <n v="-11.4"/>
    <n v="25"/>
    <n v="70"/>
    <x v="115"/>
    <n v="7"/>
    <n v="21"/>
    <x v="8"/>
    <x v="33"/>
    <n v="0"/>
    <n v="0"/>
    <n v="4"/>
    <n v="13"/>
    <n v="0.32800000000000001"/>
    <n v="0.371"/>
    <n v="0.46899999999999997"/>
    <n v="0.84"/>
  </r>
  <r>
    <x v="260"/>
    <x v="15"/>
    <s v="3B"/>
    <s v="SS/3B"/>
    <n v="-11.4"/>
    <n v="15"/>
    <n v="58"/>
    <x v="116"/>
    <n v="7"/>
    <n v="19"/>
    <x v="14"/>
    <x v="34"/>
    <n v="1"/>
    <n v="1"/>
    <n v="0"/>
    <n v="11"/>
    <n v="0.32800000000000001"/>
    <n v="0.32800000000000001"/>
    <n v="0.5"/>
    <n v="0.82799999999999996"/>
  </r>
  <r>
    <x v="261"/>
    <x v="4"/>
    <s v="3B"/>
    <s v="3B"/>
    <n v="-11.4"/>
    <n v="31"/>
    <n v="112"/>
    <x v="101"/>
    <n v="12"/>
    <n v="24"/>
    <x v="15"/>
    <x v="34"/>
    <n v="0"/>
    <n v="0"/>
    <n v="11"/>
    <n v="23"/>
    <n v="0.24"/>
    <n v="0.32100000000000001"/>
    <n v="0.4"/>
    <n v="0.72099999999999997"/>
  </r>
  <r>
    <x v="262"/>
    <x v="10"/>
    <s v="3B/OF"/>
    <s v="3B/OF"/>
    <n v="-11.5"/>
    <n v="20"/>
    <n v="78"/>
    <x v="82"/>
    <n v="8"/>
    <n v="20"/>
    <x v="14"/>
    <x v="32"/>
    <n v="2"/>
    <n v="0"/>
    <n v="3"/>
    <n v="20"/>
    <n v="0.27400000000000002"/>
    <n v="0.32100000000000001"/>
    <n v="0.39700000000000002"/>
    <n v="0.71799999999999997"/>
  </r>
  <r>
    <x v="263"/>
    <x v="6"/>
    <s v="C"/>
    <s v="C"/>
    <n v="-11.6"/>
    <n v="30"/>
    <n v="102"/>
    <x v="68"/>
    <n v="11"/>
    <n v="21"/>
    <x v="12"/>
    <x v="32"/>
    <n v="0"/>
    <n v="0"/>
    <n v="6"/>
    <n v="13"/>
    <n v="0.219"/>
    <n v="0.26500000000000001"/>
    <n v="0.33300000000000002"/>
    <n v="0.59799999999999998"/>
  </r>
  <r>
    <x v="264"/>
    <x v="9"/>
    <s v="1B"/>
    <s v="1B"/>
    <n v="-11.7"/>
    <n v="34"/>
    <n v="127"/>
    <x v="83"/>
    <n v="13"/>
    <n v="29"/>
    <x v="14"/>
    <x v="34"/>
    <n v="0"/>
    <n v="0"/>
    <n v="16"/>
    <n v="49"/>
    <n v="0.26400000000000001"/>
    <n v="0.36199999999999999"/>
    <n v="0.40899999999999997"/>
    <n v="0.77100000000000002"/>
  </r>
  <r>
    <x v="265"/>
    <x v="29"/>
    <s v="C"/>
    <s v="C"/>
    <n v="-11.7"/>
    <n v="32"/>
    <n v="97"/>
    <x v="52"/>
    <n v="9"/>
    <n v="14"/>
    <x v="13"/>
    <x v="30"/>
    <n v="0"/>
    <n v="0"/>
    <n v="10"/>
    <n v="35"/>
    <n v="0.16300000000000001"/>
    <n v="0.25800000000000001"/>
    <n v="0.38400000000000001"/>
    <n v="0.64200000000000002"/>
  </r>
  <r>
    <x v="266"/>
    <x v="6"/>
    <s v="OF"/>
    <s v="OF"/>
    <n v="-11.8"/>
    <n v="13"/>
    <n v="54"/>
    <x v="117"/>
    <n v="7"/>
    <n v="14"/>
    <x v="15"/>
    <x v="32"/>
    <n v="0"/>
    <n v="0"/>
    <n v="2"/>
    <n v="11"/>
    <n v="0.26900000000000002"/>
    <n v="0.29599999999999999"/>
    <n v="0.55800000000000005"/>
    <n v="0.85399999999999998"/>
  </r>
  <r>
    <x v="267"/>
    <x v="28"/>
    <s v="OF"/>
    <s v="OF"/>
    <n v="-11.8"/>
    <n v="41"/>
    <n v="115"/>
    <x v="44"/>
    <n v="12"/>
    <n v="23"/>
    <x v="14"/>
    <x v="32"/>
    <n v="4"/>
    <n v="1"/>
    <n v="4"/>
    <n v="18"/>
    <n v="0.21299999999999999"/>
    <n v="0.252"/>
    <n v="0.30599999999999999"/>
    <n v="0.55800000000000005"/>
  </r>
  <r>
    <x v="268"/>
    <x v="28"/>
    <s v="1B"/>
    <s v="1B"/>
    <n v="-12"/>
    <n v="47"/>
    <n v="194"/>
    <x v="33"/>
    <n v="7"/>
    <n v="37"/>
    <x v="12"/>
    <x v="25"/>
    <n v="0"/>
    <n v="0"/>
    <n v="29"/>
    <n v="39"/>
    <n v="0.22600000000000001"/>
    <n v="0.34"/>
    <n v="0.34100000000000003"/>
    <n v="0.68100000000000005"/>
  </r>
  <r>
    <x v="269"/>
    <x v="2"/>
    <s v="OF"/>
    <s v="OF"/>
    <n v="-12"/>
    <n v="41"/>
    <n v="124"/>
    <x v="43"/>
    <n v="11"/>
    <n v="24"/>
    <x v="14"/>
    <x v="20"/>
    <n v="1"/>
    <n v="0"/>
    <n v="7"/>
    <n v="21"/>
    <n v="0.20899999999999999"/>
    <n v="0.25"/>
    <n v="0.32200000000000001"/>
    <n v="0.57199999999999995"/>
  </r>
  <r>
    <x v="270"/>
    <x v="14"/>
    <s v="3B"/>
    <s v="3B"/>
    <n v="-12"/>
    <n v="20"/>
    <n v="65"/>
    <x v="118"/>
    <n v="10"/>
    <n v="20"/>
    <x v="8"/>
    <x v="34"/>
    <n v="0"/>
    <n v="0"/>
    <n v="3"/>
    <n v="7"/>
    <n v="0.32300000000000001"/>
    <n v="0.35399999999999998"/>
    <n v="0.45200000000000001"/>
    <n v="0.80600000000000005"/>
  </r>
  <r>
    <x v="271"/>
    <x v="19"/>
    <s v="OF"/>
    <s v="OF"/>
    <n v="-12.1"/>
    <n v="24"/>
    <n v="91"/>
    <x v="119"/>
    <n v="16"/>
    <n v="21"/>
    <x v="8"/>
    <x v="35"/>
    <n v="1"/>
    <n v="0"/>
    <n v="6"/>
    <n v="29"/>
    <n v="0.253"/>
    <n v="0.31900000000000001"/>
    <n v="0.32500000000000001"/>
    <n v="0.64400000000000002"/>
  </r>
  <r>
    <x v="272"/>
    <x v="25"/>
    <s v="1B/3B"/>
    <s v="1B/2B/ 3B/OF"/>
    <n v="-12.1"/>
    <n v="23"/>
    <n v="62"/>
    <x v="120"/>
    <n v="9"/>
    <n v="14"/>
    <x v="15"/>
    <x v="34"/>
    <n v="0"/>
    <n v="0"/>
    <n v="5"/>
    <n v="17"/>
    <n v="0.246"/>
    <n v="0.30599999999999999"/>
    <n v="0.49099999999999999"/>
    <n v="0.79700000000000004"/>
  </r>
  <r>
    <x v="273"/>
    <x v="10"/>
    <s v="C"/>
    <s v="C"/>
    <n v="-12.1"/>
    <n v="24"/>
    <n v="73"/>
    <x v="121"/>
    <n v="10"/>
    <n v="15"/>
    <x v="12"/>
    <x v="34"/>
    <n v="0"/>
    <n v="0"/>
    <n v="3"/>
    <n v="20"/>
    <n v="0.214"/>
    <n v="0.247"/>
    <n v="0.4"/>
    <n v="0.64700000000000002"/>
  </r>
  <r>
    <x v="274"/>
    <x v="11"/>
    <s v="3B"/>
    <s v="3B"/>
    <n v="-12.3"/>
    <n v="21"/>
    <n v="86"/>
    <x v="122"/>
    <n v="10"/>
    <n v="22"/>
    <x v="14"/>
    <x v="33"/>
    <n v="1"/>
    <n v="0"/>
    <n v="4"/>
    <n v="18"/>
    <n v="0.27500000000000002"/>
    <n v="0.32600000000000001"/>
    <n v="0.438"/>
    <n v="0.76400000000000001"/>
  </r>
  <r>
    <x v="275"/>
    <x v="12"/>
    <s v="2B"/>
    <s v="1B/2B/ SS/3B/OF"/>
    <n v="-12.4"/>
    <n v="26"/>
    <n v="78"/>
    <x v="123"/>
    <n v="12"/>
    <n v="19"/>
    <x v="8"/>
    <x v="32"/>
    <n v="1"/>
    <n v="0"/>
    <n v="4"/>
    <n v="17"/>
    <n v="0.25700000000000001"/>
    <n v="0.29499999999999998"/>
    <n v="0.36499999999999999"/>
    <n v="0.66"/>
  </r>
  <r>
    <x v="276"/>
    <x v="23"/>
    <s v="2B/SS/ OF"/>
    <s v="2B/SS/ OF"/>
    <n v="-12.4"/>
    <n v="32"/>
    <n v="83"/>
    <x v="123"/>
    <n v="10"/>
    <n v="19"/>
    <x v="14"/>
    <x v="33"/>
    <n v="2"/>
    <n v="0"/>
    <n v="6"/>
    <n v="10"/>
    <n v="0.25700000000000001"/>
    <n v="0.33700000000000002"/>
    <n v="0.41899999999999998"/>
    <n v="0.75600000000000001"/>
  </r>
  <r>
    <x v="277"/>
    <x v="9"/>
    <s v="C"/>
    <s v="C"/>
    <n v="-12.5"/>
    <n v="38"/>
    <n v="135"/>
    <x v="112"/>
    <n v="10"/>
    <n v="26"/>
    <x v="14"/>
    <x v="28"/>
    <n v="0"/>
    <n v="0"/>
    <n v="19"/>
    <n v="18"/>
    <n v="0.23"/>
    <n v="0.34799999999999998"/>
    <n v="0.31900000000000001"/>
    <n v="0.66700000000000004"/>
  </r>
  <r>
    <x v="278"/>
    <x v="29"/>
    <s v="3B/OF"/>
    <s v="2B/3B/ OF"/>
    <n v="-12.6"/>
    <n v="44"/>
    <n v="148"/>
    <x v="124"/>
    <n v="13"/>
    <n v="21"/>
    <x v="13"/>
    <x v="16"/>
    <n v="0"/>
    <n v="0"/>
    <n v="20"/>
    <n v="41"/>
    <n v="0.16700000000000001"/>
    <n v="0.28399999999999997"/>
    <n v="0.33300000000000002"/>
    <n v="0.61699999999999999"/>
  </r>
  <r>
    <x v="279"/>
    <x v="10"/>
    <s v="OF"/>
    <s v="OF"/>
    <n v="-12.6"/>
    <n v="32"/>
    <n v="108"/>
    <x v="101"/>
    <n v="12"/>
    <n v="23"/>
    <x v="14"/>
    <x v="28"/>
    <n v="1"/>
    <n v="0"/>
    <n v="6"/>
    <n v="22"/>
    <n v="0.23"/>
    <n v="0.27800000000000002"/>
    <n v="0.35"/>
    <n v="0.628"/>
  </r>
  <r>
    <x v="280"/>
    <x v="27"/>
    <s v="1B/3B"/>
    <s v="1B/3B"/>
    <n v="-12.9"/>
    <n v="29"/>
    <n v="87"/>
    <x v="123"/>
    <n v="13"/>
    <n v="17"/>
    <x v="14"/>
    <x v="32"/>
    <n v="0"/>
    <n v="0"/>
    <n v="10"/>
    <n v="22"/>
    <n v="0.23"/>
    <n v="0.31"/>
    <n v="0.378"/>
    <n v="0.68799999999999994"/>
  </r>
  <r>
    <x v="281"/>
    <x v="26"/>
    <s v="OF"/>
    <s v="OF"/>
    <n v="-12.9"/>
    <n v="47"/>
    <n v="178"/>
    <x v="12"/>
    <n v="18"/>
    <n v="29"/>
    <x v="15"/>
    <x v="28"/>
    <n v="0"/>
    <n v="0"/>
    <n v="25"/>
    <n v="54"/>
    <n v="0.191"/>
    <n v="0.309"/>
    <n v="0.34899999999999998"/>
    <n v="0.65800000000000003"/>
  </r>
  <r>
    <x v="282"/>
    <x v="5"/>
    <s v="OF"/>
    <s v="OF"/>
    <n v="-13"/>
    <n v="21"/>
    <n v="81"/>
    <x v="82"/>
    <n v="7"/>
    <n v="16"/>
    <x v="14"/>
    <x v="32"/>
    <n v="4"/>
    <n v="0"/>
    <n v="7"/>
    <n v="19"/>
    <n v="0.219"/>
    <n v="0.29599999999999999"/>
    <n v="0.38400000000000001"/>
    <n v="0.68"/>
  </r>
  <r>
    <x v="283"/>
    <x v="22"/>
    <s v="C"/>
    <s v="C"/>
    <n v="-13.2"/>
    <n v="22"/>
    <n v="52"/>
    <x v="125"/>
    <n v="6"/>
    <n v="13"/>
    <x v="12"/>
    <x v="38"/>
    <n v="1"/>
    <n v="0"/>
    <n v="3"/>
    <n v="15"/>
    <n v="0.27700000000000002"/>
    <n v="0.34599999999999997"/>
    <n v="0.51100000000000001"/>
    <n v="0.85699999999999998"/>
  </r>
  <r>
    <x v="284"/>
    <x v="6"/>
    <s v="SS/OF"/>
    <s v="SS/OF"/>
    <n v="-13.2"/>
    <n v="37"/>
    <n v="97"/>
    <x v="126"/>
    <n v="11"/>
    <n v="19"/>
    <x v="12"/>
    <x v="36"/>
    <n v="4"/>
    <n v="1"/>
    <n v="6"/>
    <n v="14"/>
    <n v="0.21099999999999999"/>
    <n v="0.26800000000000002"/>
    <n v="0.36699999999999999"/>
    <n v="0.63500000000000001"/>
  </r>
  <r>
    <x v="285"/>
    <x v="22"/>
    <s v="SS"/>
    <s v="SS"/>
    <n v="-13.2"/>
    <n v="36"/>
    <n v="122"/>
    <x v="44"/>
    <n v="11"/>
    <n v="24"/>
    <x v="8"/>
    <x v="28"/>
    <n v="3"/>
    <n v="0"/>
    <n v="13"/>
    <n v="37"/>
    <n v="0.222"/>
    <n v="0.30299999999999999"/>
    <n v="0.315"/>
    <n v="0.61799999999999999"/>
  </r>
  <r>
    <x v="286"/>
    <x v="11"/>
    <s v="2B/3B"/>
    <s v="2B/3B"/>
    <n v="-13.3"/>
    <n v="27"/>
    <n v="79"/>
    <x v="82"/>
    <n v="10"/>
    <n v="16"/>
    <x v="12"/>
    <x v="28"/>
    <n v="0"/>
    <n v="0"/>
    <n v="4"/>
    <n v="12"/>
    <n v="0.219"/>
    <n v="0.26600000000000001"/>
    <n v="0.39700000000000002"/>
    <n v="0.66300000000000003"/>
  </r>
  <r>
    <x v="287"/>
    <x v="24"/>
    <s v="1B/3B"/>
    <s v="1B/3B"/>
    <n v="-13.3"/>
    <n v="35"/>
    <n v="142"/>
    <x v="71"/>
    <n v="12"/>
    <n v="29"/>
    <x v="12"/>
    <x v="31"/>
    <n v="0"/>
    <n v="0"/>
    <n v="9"/>
    <n v="23"/>
    <n v="0.22"/>
    <n v="0.27500000000000002"/>
    <n v="0.318"/>
    <n v="0.59299999999999997"/>
  </r>
  <r>
    <x v="288"/>
    <x v="11"/>
    <s v="2B/SS"/>
    <s v="2B/SS"/>
    <n v="-13.4"/>
    <n v="39"/>
    <n v="150"/>
    <x v="30"/>
    <n v="11"/>
    <n v="27"/>
    <x v="8"/>
    <x v="31"/>
    <n v="5"/>
    <n v="0"/>
    <n v="12"/>
    <n v="26"/>
    <n v="0.20100000000000001"/>
    <n v="0.28000000000000003"/>
    <n v="0.254"/>
    <n v="0.53400000000000003"/>
  </r>
  <r>
    <x v="289"/>
    <x v="27"/>
    <s v="1B/2B/ 3B"/>
    <s v="1B/2B/ SS/3B"/>
    <n v="-13.6"/>
    <n v="31"/>
    <n v="92"/>
    <x v="93"/>
    <n v="9"/>
    <n v="23"/>
    <x v="16"/>
    <x v="29"/>
    <n v="0"/>
    <n v="0"/>
    <n v="3"/>
    <n v="16"/>
    <n v="0.26400000000000001"/>
    <n v="0.28299999999999997"/>
    <n v="0.33300000000000002"/>
    <n v="0.61599999999999999"/>
  </r>
  <r>
    <x v="290"/>
    <x v="13"/>
    <s v="1B"/>
    <s v="1B"/>
    <n v="-13.7"/>
    <n v="34"/>
    <n v="111"/>
    <x v="127"/>
    <n v="8"/>
    <n v="23"/>
    <x v="13"/>
    <x v="33"/>
    <n v="0"/>
    <n v="0"/>
    <n v="8"/>
    <n v="31"/>
    <n v="0.22800000000000001"/>
    <n v="0.28799999999999998"/>
    <n v="0.39600000000000002"/>
    <n v="0.68400000000000005"/>
  </r>
  <r>
    <x v="291"/>
    <x v="14"/>
    <s v="OF"/>
    <s v="OF"/>
    <n v="-13.7"/>
    <n v="39"/>
    <n v="123"/>
    <x v="112"/>
    <n v="14"/>
    <n v="22"/>
    <x v="14"/>
    <x v="34"/>
    <n v="3"/>
    <n v="0"/>
    <n v="8"/>
    <n v="27"/>
    <n v="0.19500000000000001"/>
    <n v="0.252"/>
    <n v="0.32700000000000001"/>
    <n v="0.57899999999999996"/>
  </r>
  <r>
    <x v="292"/>
    <x v="14"/>
    <s v="SS"/>
    <s v="SS"/>
    <n v="-13.8"/>
    <n v="29"/>
    <n v="88"/>
    <x v="100"/>
    <n v="9"/>
    <n v="20"/>
    <x v="8"/>
    <x v="34"/>
    <n v="3"/>
    <n v="0"/>
    <n v="4"/>
    <n v="19"/>
    <n v="0.23799999999999999"/>
    <n v="0.27300000000000002"/>
    <n v="0.32100000000000001"/>
    <n v="0.59399999999999997"/>
  </r>
  <r>
    <x v="293"/>
    <x v="24"/>
    <s v="C"/>
    <s v="C"/>
    <n v="-13.8"/>
    <n v="25"/>
    <n v="76"/>
    <x v="128"/>
    <n v="11"/>
    <n v="15"/>
    <x v="14"/>
    <x v="38"/>
    <n v="0"/>
    <n v="1"/>
    <n v="10"/>
    <n v="21"/>
    <n v="0.246"/>
    <n v="0.39500000000000002"/>
    <n v="0.42599999999999999"/>
    <n v="0.82099999999999995"/>
  </r>
  <r>
    <x v="294"/>
    <x v="20"/>
    <s v="2B/3B"/>
    <s v="2B/3B"/>
    <n v="-13.9"/>
    <n v="34"/>
    <n v="98"/>
    <x v="129"/>
    <n v="13"/>
    <n v="23"/>
    <x v="16"/>
    <x v="33"/>
    <n v="2"/>
    <n v="0"/>
    <n v="3"/>
    <n v="9"/>
    <n v="0.247"/>
    <n v="0.28599999999999998"/>
    <n v="0.30099999999999999"/>
    <n v="0.58699999999999997"/>
  </r>
  <r>
    <x v="295"/>
    <x v="4"/>
    <s v="DH"/>
    <s v="DH"/>
    <n v="-14"/>
    <n v="39"/>
    <n v="117"/>
    <x v="68"/>
    <n v="10"/>
    <n v="22"/>
    <x v="14"/>
    <x v="31"/>
    <n v="0"/>
    <n v="0"/>
    <n v="21"/>
    <n v="29"/>
    <n v="0.22900000000000001"/>
    <n v="0.36799999999999999"/>
    <n v="0.33300000000000002"/>
    <n v="0.70099999999999996"/>
  </r>
  <r>
    <x v="296"/>
    <x v="18"/>
    <s v="SS/OF"/>
    <s v="2B/SS/ 3B/OF"/>
    <n v="-14"/>
    <n v="35"/>
    <n v="97"/>
    <x v="129"/>
    <n v="12"/>
    <n v="22"/>
    <x v="8"/>
    <x v="37"/>
    <n v="3"/>
    <n v="0"/>
    <n v="3"/>
    <n v="27"/>
    <n v="0.23699999999999999"/>
    <n v="0.26800000000000002"/>
    <n v="0.36599999999999999"/>
    <n v="0.63400000000000001"/>
  </r>
  <r>
    <x v="297"/>
    <x v="16"/>
    <s v="OF"/>
    <s v="OF"/>
    <n v="-14"/>
    <n v="16"/>
    <n v="62"/>
    <x v="116"/>
    <n v="9"/>
    <n v="15"/>
    <x v="12"/>
    <x v="36"/>
    <n v="1"/>
    <n v="0"/>
    <n v="4"/>
    <n v="24"/>
    <n v="0.25900000000000001"/>
    <n v="0.30599999999999999"/>
    <n v="0.46600000000000003"/>
    <n v="0.77200000000000002"/>
  </r>
  <r>
    <x v="298"/>
    <x v="21"/>
    <s v="SS/3B"/>
    <s v="SS/3B"/>
    <n v="-14"/>
    <n v="19"/>
    <n v="78"/>
    <x v="105"/>
    <n v="6"/>
    <n v="19"/>
    <x v="16"/>
    <x v="33"/>
    <n v="4"/>
    <n v="0"/>
    <n v="7"/>
    <n v="17"/>
    <n v="0.27900000000000003"/>
    <n v="0.34599999999999997"/>
    <n v="0.36799999999999999"/>
    <n v="0.71399999999999997"/>
  </r>
  <r>
    <x v="299"/>
    <x v="24"/>
    <s v="C"/>
    <s v="C/1B"/>
    <n v="-14.2"/>
    <n v="33"/>
    <n v="121"/>
    <x v="44"/>
    <n v="13"/>
    <n v="25"/>
    <x v="16"/>
    <x v="34"/>
    <n v="0"/>
    <n v="0"/>
    <n v="12"/>
    <n v="29"/>
    <n v="0.23100000000000001"/>
    <n v="0.30599999999999999"/>
    <n v="0.25900000000000001"/>
    <n v="0.56499999999999995"/>
  </r>
  <r>
    <x v="300"/>
    <x v="8"/>
    <s v="C"/>
    <s v="C"/>
    <n v="-14.3"/>
    <n v="17"/>
    <n v="51"/>
    <x v="130"/>
    <n v="7"/>
    <n v="11"/>
    <x v="12"/>
    <x v="37"/>
    <n v="0"/>
    <n v="0"/>
    <n v="2"/>
    <n v="18"/>
    <n v="0.224"/>
    <n v="0.255"/>
    <n v="0.42899999999999999"/>
    <n v="0.68400000000000005"/>
  </r>
  <r>
    <x v="301"/>
    <x v="18"/>
    <s v="C"/>
    <s v="C"/>
    <n v="-14.4"/>
    <n v="32"/>
    <n v="100"/>
    <x v="131"/>
    <n v="8"/>
    <n v="21"/>
    <x v="14"/>
    <x v="37"/>
    <n v="2"/>
    <n v="1"/>
    <n v="6"/>
    <n v="20"/>
    <n v="0.223"/>
    <n v="0.27"/>
    <n v="0.28699999999999998"/>
    <n v="0.55700000000000005"/>
  </r>
  <r>
    <x v="302"/>
    <x v="5"/>
    <s v="C"/>
    <s v="C"/>
    <n v="-14.4"/>
    <n v="36"/>
    <n v="125"/>
    <x v="55"/>
    <n v="10"/>
    <n v="24"/>
    <x v="12"/>
    <x v="35"/>
    <n v="0"/>
    <n v="0"/>
    <n v="11"/>
    <n v="37"/>
    <n v="0.216"/>
    <n v="0.30399999999999999"/>
    <n v="0.33300000000000002"/>
    <n v="0.63700000000000001"/>
  </r>
  <r>
    <x v="303"/>
    <x v="17"/>
    <s v="OF"/>
    <s v="OF"/>
    <n v="-14.4"/>
    <n v="29"/>
    <n v="94"/>
    <x v="100"/>
    <n v="11"/>
    <n v="14"/>
    <x v="15"/>
    <x v="31"/>
    <n v="0"/>
    <n v="0"/>
    <n v="8"/>
    <n v="20"/>
    <n v="0.16700000000000001"/>
    <n v="0.23400000000000001"/>
    <n v="0.34499999999999997"/>
    <n v="0.57899999999999996"/>
  </r>
  <r>
    <x v="304"/>
    <x v="7"/>
    <s v="OF"/>
    <s v="OF"/>
    <n v="-14.7"/>
    <n v="36"/>
    <n v="56"/>
    <x v="132"/>
    <n v="10"/>
    <n v="15"/>
    <x v="8"/>
    <x v="36"/>
    <n v="1"/>
    <n v="0"/>
    <n v="2"/>
    <n v="16"/>
    <n v="0.29399999999999998"/>
    <n v="0.33900000000000002"/>
    <n v="0.45100000000000001"/>
    <n v="0.79"/>
  </r>
  <r>
    <x v="305"/>
    <x v="30"/>
    <s v="1B"/>
    <s v="1B"/>
    <n v="-14.8"/>
    <n v="31"/>
    <n v="100"/>
    <x v="131"/>
    <n v="7"/>
    <n v="22"/>
    <x v="14"/>
    <x v="30"/>
    <n v="0"/>
    <n v="0"/>
    <n v="6"/>
    <n v="25"/>
    <n v="0.23400000000000001"/>
    <n v="0.28000000000000003"/>
    <n v="0.33"/>
    <n v="0.61"/>
  </r>
  <r>
    <x v="306"/>
    <x v="12"/>
    <s v="C"/>
    <s v="C"/>
    <n v="-14.9"/>
    <n v="27"/>
    <n v="77"/>
    <x v="123"/>
    <n v="6"/>
    <n v="22"/>
    <x v="16"/>
    <x v="35"/>
    <n v="0"/>
    <n v="0"/>
    <n v="3"/>
    <n v="24"/>
    <n v="0.29699999999999999"/>
    <n v="0.32500000000000001"/>
    <n v="0.35099999999999998"/>
    <n v="0.67600000000000005"/>
  </r>
  <r>
    <x v="307"/>
    <x v="6"/>
    <s v="C"/>
    <s v="C"/>
    <n v="-15"/>
    <n v="26"/>
    <n v="78"/>
    <x v="133"/>
    <n v="7"/>
    <n v="13"/>
    <x v="12"/>
    <x v="32"/>
    <n v="0"/>
    <n v="0"/>
    <n v="6"/>
    <n v="27"/>
    <n v="0.18099999999999999"/>
    <n v="0.24399999999999999"/>
    <n v="0.34699999999999998"/>
    <n v="0.59099999999999997"/>
  </r>
  <r>
    <x v="308"/>
    <x v="22"/>
    <s v="1B/OF"/>
    <s v="1B/OF"/>
    <n v="-15.1"/>
    <n v="37"/>
    <n v="140"/>
    <x v="108"/>
    <n v="11"/>
    <n v="24"/>
    <x v="12"/>
    <x v="28"/>
    <n v="2"/>
    <n v="0"/>
    <n v="12"/>
    <n v="48"/>
    <n v="0.189"/>
    <n v="0.25700000000000001"/>
    <n v="0.28299999999999997"/>
    <n v="0.54"/>
  </r>
  <r>
    <x v="309"/>
    <x v="3"/>
    <s v="C"/>
    <s v="C"/>
    <n v="-15.1"/>
    <n v="23"/>
    <n v="82"/>
    <x v="123"/>
    <n v="13"/>
    <n v="16"/>
    <x v="8"/>
    <x v="36"/>
    <n v="0"/>
    <n v="0"/>
    <n v="6"/>
    <n v="19"/>
    <n v="0.216"/>
    <n v="0.26800000000000002"/>
    <n v="0.33800000000000002"/>
    <n v="0.60599999999999998"/>
  </r>
  <r>
    <x v="310"/>
    <x v="4"/>
    <s v="OF"/>
    <s v="OF"/>
    <n v="-15.1"/>
    <n v="34"/>
    <n v="94"/>
    <x v="96"/>
    <n v="5"/>
    <n v="17"/>
    <x v="12"/>
    <x v="34"/>
    <n v="3"/>
    <n v="0"/>
    <n v="11"/>
    <n v="21"/>
    <n v="0.21"/>
    <n v="0.29799999999999999"/>
    <n v="0.35799999999999998"/>
    <n v="0.65600000000000003"/>
  </r>
  <r>
    <x v="311"/>
    <x v="15"/>
    <s v="SS"/>
    <s v="SS"/>
    <n v="-15.1"/>
    <n v="29"/>
    <n v="103"/>
    <x v="129"/>
    <n v="6"/>
    <n v="16"/>
    <x v="15"/>
    <x v="28"/>
    <n v="3"/>
    <n v="0"/>
    <n v="10"/>
    <n v="34"/>
    <n v="0.17199999999999999"/>
    <n v="0.252"/>
    <n v="0.32300000000000001"/>
    <n v="0.57499999999999996"/>
  </r>
  <r>
    <x v="312"/>
    <x v="24"/>
    <s v="1B/OF"/>
    <s v="1B/OF"/>
    <n v="-15.1"/>
    <n v="17"/>
    <n v="61"/>
    <x v="63"/>
    <n v="7"/>
    <n v="15"/>
    <x v="12"/>
    <x v="36"/>
    <n v="0"/>
    <n v="0"/>
    <n v="6"/>
    <n v="16"/>
    <n v="0.28299999999999997"/>
    <n v="0.377"/>
    <n v="0.50900000000000001"/>
    <n v="0.88600000000000001"/>
  </r>
  <r>
    <x v="313"/>
    <x v="29"/>
    <s v="OF"/>
    <s v="OF"/>
    <n v="-15.2"/>
    <n v="20"/>
    <n v="75"/>
    <x v="109"/>
    <n v="8"/>
    <n v="15"/>
    <x v="15"/>
    <x v="35"/>
    <n v="0"/>
    <n v="0"/>
    <n v="5"/>
    <n v="22"/>
    <n v="0.217"/>
    <n v="0.28000000000000003"/>
    <n v="0.46400000000000002"/>
    <n v="0.74399999999999999"/>
  </r>
  <r>
    <x v="314"/>
    <x v="21"/>
    <s v="C"/>
    <s v="C"/>
    <n v="-15.3"/>
    <n v="14"/>
    <n v="41"/>
    <x v="134"/>
    <n v="4"/>
    <n v="10"/>
    <x v="12"/>
    <x v="38"/>
    <n v="0"/>
    <n v="0"/>
    <n v="5"/>
    <n v="8"/>
    <n v="0.27800000000000002"/>
    <n v="0.36599999999999999"/>
    <n v="0.58299999999999996"/>
    <n v="0.94899999999999995"/>
  </r>
  <r>
    <x v="315"/>
    <x v="1"/>
    <s v="SS/3B/ OF"/>
    <s v="SS/3B/ OF"/>
    <n v="-15.4"/>
    <n v="35"/>
    <n v="98"/>
    <x v="98"/>
    <n v="14"/>
    <n v="16"/>
    <x v="12"/>
    <x v="39"/>
    <n v="1"/>
    <n v="0"/>
    <n v="12"/>
    <n v="29"/>
    <n v="0.20499999999999999"/>
    <n v="0.36699999999999999"/>
    <n v="0.35899999999999999"/>
    <n v="0.72599999999999998"/>
  </r>
  <r>
    <x v="316"/>
    <x v="26"/>
    <s v="2B"/>
    <s v="2B"/>
    <n v="-15.5"/>
    <n v="26"/>
    <n v="71"/>
    <x v="135"/>
    <n v="10"/>
    <n v="13"/>
    <x v="14"/>
    <x v="33"/>
    <n v="1"/>
    <n v="1"/>
    <n v="8"/>
    <n v="16"/>
    <n v="0.20599999999999999"/>
    <n v="0.29599999999999999"/>
    <n v="0.36499999999999999"/>
    <n v="0.66100000000000003"/>
  </r>
  <r>
    <x v="317"/>
    <x v="15"/>
    <s v="OF"/>
    <s v="OF"/>
    <n v="-15.6"/>
    <n v="23"/>
    <n v="89"/>
    <x v="136"/>
    <n v="10"/>
    <n v="17"/>
    <x v="14"/>
    <x v="32"/>
    <n v="1"/>
    <n v="0"/>
    <n v="3"/>
    <n v="26"/>
    <n v="0.2"/>
    <n v="0.22500000000000001"/>
    <n v="0.30599999999999999"/>
    <n v="0.53100000000000003"/>
  </r>
  <r>
    <x v="318"/>
    <x v="5"/>
    <s v="1B"/>
    <s v="1B"/>
    <n v="-15.6"/>
    <n v="48"/>
    <n v="200"/>
    <x v="58"/>
    <n v="13"/>
    <n v="41"/>
    <x v="16"/>
    <x v="16"/>
    <n v="0"/>
    <n v="0"/>
    <n v="14"/>
    <n v="47"/>
    <n v="0.222"/>
    <n v="0.28000000000000003"/>
    <n v="0.25900000000000001"/>
    <n v="0.53900000000000003"/>
  </r>
  <r>
    <x v="319"/>
    <x v="22"/>
    <s v="SS"/>
    <s v="SS"/>
    <n v="-15.6"/>
    <n v="8"/>
    <n v="37"/>
    <x v="137"/>
    <n v="9"/>
    <n v="9"/>
    <x v="14"/>
    <x v="36"/>
    <n v="0"/>
    <n v="1"/>
    <n v="4"/>
    <n v="14"/>
    <n v="0.28100000000000003"/>
    <n v="0.378"/>
    <n v="0.59399999999999997"/>
    <n v="0.97199999999999998"/>
  </r>
  <r>
    <x v="320"/>
    <x v="10"/>
    <s v="OF"/>
    <s v="OF"/>
    <n v="-15.7"/>
    <n v="29"/>
    <n v="99"/>
    <x v="103"/>
    <n v="12"/>
    <n v="21"/>
    <x v="14"/>
    <x v="36"/>
    <n v="1"/>
    <n v="0"/>
    <n v="7"/>
    <n v="34"/>
    <n v="0.22800000000000001"/>
    <n v="0.28299999999999997"/>
    <n v="0.33700000000000002"/>
    <n v="0.62"/>
  </r>
  <r>
    <x v="321"/>
    <x v="20"/>
    <s v="OF"/>
    <s v="OF"/>
    <n v="-15.8"/>
    <n v="13"/>
    <n v="32"/>
    <x v="138"/>
    <n v="8"/>
    <n v="7"/>
    <x v="12"/>
    <x v="36"/>
    <n v="0"/>
    <n v="0"/>
    <n v="3"/>
    <n v="8"/>
    <n v="0.24099999999999999"/>
    <n v="0.312"/>
    <n v="0.621"/>
    <n v="0.93300000000000005"/>
  </r>
  <r>
    <x v="322"/>
    <x v="7"/>
    <s v="DH"/>
    <s v="1B/OF"/>
    <n v="-16"/>
    <n v="14"/>
    <n v="35"/>
    <x v="110"/>
    <n v="3"/>
    <n v="9"/>
    <x v="14"/>
    <x v="32"/>
    <n v="0"/>
    <n v="0"/>
    <n v="3"/>
    <n v="7"/>
    <n v="0.28999999999999998"/>
    <n v="0.34300000000000003"/>
    <n v="0.51600000000000001"/>
    <n v="0.85899999999999999"/>
  </r>
  <r>
    <x v="323"/>
    <x v="19"/>
    <s v="C"/>
    <s v="C"/>
    <n v="-16.100000000000001"/>
    <n v="8"/>
    <n v="32"/>
    <x v="139"/>
    <n v="3"/>
    <n v="9"/>
    <x v="14"/>
    <x v="36"/>
    <n v="0"/>
    <n v="0"/>
    <n v="2"/>
    <n v="10"/>
    <n v="0.3"/>
    <n v="0.34399999999999997"/>
    <n v="0.6"/>
    <n v="0.94399999999999995"/>
  </r>
  <r>
    <x v="324"/>
    <x v="2"/>
    <s v="OF"/>
    <s v="OF"/>
    <n v="-16.2"/>
    <n v="29"/>
    <n v="78"/>
    <x v="115"/>
    <n v="11"/>
    <n v="7"/>
    <x v="15"/>
    <x v="28"/>
    <n v="0"/>
    <n v="0"/>
    <n v="13"/>
    <n v="34"/>
    <n v="0.109"/>
    <n v="0.26900000000000002"/>
    <n v="0.29699999999999999"/>
    <n v="0.56599999999999995"/>
  </r>
  <r>
    <x v="325"/>
    <x v="21"/>
    <s v="1B/3B"/>
    <s v="1B/2B/ 3B"/>
    <n v="-16.3"/>
    <n v="24"/>
    <n v="70"/>
    <x v="140"/>
    <n v="6"/>
    <n v="20"/>
    <x v="8"/>
    <x v="37"/>
    <n v="0"/>
    <n v="0"/>
    <n v="4"/>
    <n v="18"/>
    <n v="0.308"/>
    <n v="0.34300000000000003"/>
    <n v="0.4"/>
    <n v="0.74299999999999999"/>
  </r>
  <r>
    <x v="326"/>
    <x v="14"/>
    <s v="C"/>
    <s v="C"/>
    <n v="-16.3"/>
    <n v="18"/>
    <n v="52"/>
    <x v="141"/>
    <n v="9"/>
    <n v="10"/>
    <x v="16"/>
    <x v="36"/>
    <n v="1"/>
    <n v="0"/>
    <n v="7"/>
    <n v="17"/>
    <n v="0.22700000000000001"/>
    <n v="0.32700000000000001"/>
    <n v="0.318"/>
    <n v="0.64500000000000002"/>
  </r>
  <r>
    <x v="327"/>
    <x v="13"/>
    <s v="2B"/>
    <s v="2B"/>
    <n v="-16.3"/>
    <n v="23"/>
    <n v="72"/>
    <x v="109"/>
    <n v="6"/>
    <n v="15"/>
    <x v="15"/>
    <x v="35"/>
    <n v="0"/>
    <n v="1"/>
    <n v="2"/>
    <n v="17"/>
    <n v="0.217"/>
    <n v="0.25"/>
    <n v="0.42"/>
    <n v="0.67"/>
  </r>
  <r>
    <x v="328"/>
    <x v="16"/>
    <s v="OF"/>
    <s v="OF"/>
    <n v="-16.5"/>
    <n v="36"/>
    <n v="118"/>
    <x v="97"/>
    <n v="11"/>
    <n v="22"/>
    <x v="16"/>
    <x v="31"/>
    <n v="0"/>
    <n v="0"/>
    <n v="15"/>
    <n v="27"/>
    <n v="0.222"/>
    <n v="0.33900000000000002"/>
    <n v="0.253"/>
    <n v="0.59199999999999997"/>
  </r>
  <r>
    <x v="329"/>
    <x v="15"/>
    <s v="2B/3B"/>
    <s v="1B/2B/ 3B"/>
    <n v="-16.5"/>
    <n v="29"/>
    <n v="100"/>
    <x v="64"/>
    <n v="10"/>
    <n v="13"/>
    <x v="15"/>
    <x v="32"/>
    <n v="1"/>
    <n v="0"/>
    <n v="8"/>
    <n v="33"/>
    <n v="0.14799999999999999"/>
    <n v="0.24"/>
    <n v="0.318"/>
    <n v="0.55800000000000005"/>
  </r>
  <r>
    <x v="330"/>
    <x v="0"/>
    <s v="C"/>
    <s v="C"/>
    <n v="-16.5"/>
    <n v="14"/>
    <n v="57"/>
    <x v="142"/>
    <n v="4"/>
    <n v="16"/>
    <x v="8"/>
    <x v="36"/>
    <n v="0"/>
    <n v="0"/>
    <n v="1"/>
    <n v="11"/>
    <n v="0.29099999999999998"/>
    <n v="0.316"/>
    <n v="0.4"/>
    <n v="0.71599999999999997"/>
  </r>
  <r>
    <x v="331"/>
    <x v="6"/>
    <s v="1B/OF"/>
    <s v="1B/OF"/>
    <n v="-16.8"/>
    <n v="17"/>
    <n v="55"/>
    <x v="63"/>
    <n v="6"/>
    <n v="8"/>
    <x v="15"/>
    <x v="32"/>
    <n v="0"/>
    <n v="0"/>
    <n v="2"/>
    <n v="20"/>
    <n v="0.151"/>
    <n v="0.182"/>
    <n v="0.39600000000000002"/>
    <n v="0.57799999999999996"/>
  </r>
  <r>
    <x v="332"/>
    <x v="16"/>
    <s v="3B"/>
    <s v="3B"/>
    <n v="-16.8"/>
    <n v="25"/>
    <n v="66"/>
    <x v="118"/>
    <n v="4"/>
    <n v="14"/>
    <x v="15"/>
    <x v="35"/>
    <n v="0"/>
    <n v="0"/>
    <n v="4"/>
    <n v="17"/>
    <n v="0.22600000000000001"/>
    <n v="0.27300000000000002"/>
    <n v="0.45200000000000001"/>
    <n v="0.72499999999999998"/>
  </r>
  <r>
    <x v="333"/>
    <x v="23"/>
    <s v="SS"/>
    <s v="SS"/>
    <n v="-16.899999999999999"/>
    <n v="9"/>
    <n v="40"/>
    <x v="137"/>
    <n v="7"/>
    <n v="8"/>
    <x v="8"/>
    <x v="39"/>
    <n v="3"/>
    <n v="0"/>
    <n v="7"/>
    <n v="8"/>
    <n v="0.25"/>
    <n v="0.375"/>
    <n v="0.375"/>
    <n v="0.75"/>
  </r>
  <r>
    <x v="334"/>
    <x v="16"/>
    <s v="C"/>
    <s v="C"/>
    <n v="-17"/>
    <n v="17"/>
    <n v="64"/>
    <x v="143"/>
    <n v="5"/>
    <n v="13"/>
    <x v="14"/>
    <x v="36"/>
    <n v="0"/>
    <n v="0"/>
    <n v="7"/>
    <n v="18"/>
    <n v="0.23200000000000001"/>
    <n v="0.32800000000000001"/>
    <n v="0.33900000000000002"/>
    <n v="0.66700000000000004"/>
  </r>
  <r>
    <x v="335"/>
    <x v="19"/>
    <s v="3B"/>
    <s v="SS/3B"/>
    <n v="-17.100000000000001"/>
    <n v="14"/>
    <n v="37"/>
    <x v="134"/>
    <n v="5"/>
    <n v="12"/>
    <x v="8"/>
    <x v="37"/>
    <n v="0"/>
    <n v="0"/>
    <n v="1"/>
    <n v="1"/>
    <n v="0.33300000000000002"/>
    <n v="0.35099999999999998"/>
    <n v="0.5"/>
    <n v="0.85099999999999998"/>
  </r>
  <r>
    <x v="336"/>
    <x v="6"/>
    <s v="DH"/>
    <s v="DH"/>
    <n v="-17.100000000000001"/>
    <n v="26"/>
    <n v="91"/>
    <x v="122"/>
    <n v="8"/>
    <n v="17"/>
    <x v="12"/>
    <x v="35"/>
    <n v="0"/>
    <n v="0"/>
    <n v="10"/>
    <n v="13"/>
    <n v="0.21199999999999999"/>
    <n v="0.29699999999999999"/>
    <n v="0.35"/>
    <n v="0.64700000000000002"/>
  </r>
  <r>
    <x v="337"/>
    <x v="27"/>
    <s v="OF"/>
    <s v="OF"/>
    <n v="-17.2"/>
    <n v="24"/>
    <n v="79"/>
    <x v="123"/>
    <n v="8"/>
    <n v="20"/>
    <x v="16"/>
    <x v="37"/>
    <n v="1"/>
    <n v="0"/>
    <n v="3"/>
    <n v="13"/>
    <n v="0.27"/>
    <n v="0.30399999999999999"/>
    <n v="0.35099999999999998"/>
    <n v="0.65500000000000003"/>
  </r>
  <r>
    <x v="338"/>
    <x v="28"/>
    <s v="C"/>
    <s v="C"/>
    <n v="-17.399999999999999"/>
    <n v="32"/>
    <n v="107"/>
    <x v="131"/>
    <n v="8"/>
    <n v="16"/>
    <x v="12"/>
    <x v="33"/>
    <n v="0"/>
    <n v="0"/>
    <n v="12"/>
    <n v="48"/>
    <n v="0.17"/>
    <n v="0.27100000000000002"/>
    <n v="0.34"/>
    <n v="0.61099999999999999"/>
  </r>
  <r>
    <x v="339"/>
    <x v="27"/>
    <s v="2B/SS"/>
    <s v="2B/SS"/>
    <n v="-17.399999999999999"/>
    <n v="33"/>
    <n v="93"/>
    <x v="99"/>
    <n v="8"/>
    <n v="20"/>
    <x v="16"/>
    <x v="34"/>
    <n v="2"/>
    <n v="0"/>
    <n v="3"/>
    <n v="21"/>
    <n v="0.22500000000000001"/>
    <n v="0.247"/>
    <n v="0.28100000000000003"/>
    <n v="0.52800000000000002"/>
  </r>
  <r>
    <x v="340"/>
    <x v="30"/>
    <s v="1B/3B/ OF"/>
    <s v="1B/3B/ OF"/>
    <n v="-17.7"/>
    <n v="29"/>
    <n v="91"/>
    <x v="114"/>
    <n v="8"/>
    <n v="15"/>
    <x v="14"/>
    <x v="33"/>
    <n v="2"/>
    <n v="0"/>
    <n v="8"/>
    <n v="29"/>
    <n v="0.183"/>
    <n v="0.253"/>
    <n v="0.30499999999999999"/>
    <n v="0.55800000000000005"/>
  </r>
  <r>
    <x v="341"/>
    <x v="10"/>
    <s v="OF"/>
    <s v="OF"/>
    <n v="-17.7"/>
    <n v="8"/>
    <n v="20"/>
    <x v="144"/>
    <n v="3"/>
    <n v="9"/>
    <x v="16"/>
    <x v="38"/>
    <n v="2"/>
    <n v="1"/>
    <n v="0"/>
    <n v="1"/>
    <n v="0.45"/>
    <n v="0.45"/>
    <n v="0.6"/>
    <n v="1.05"/>
  </r>
  <r>
    <x v="342"/>
    <x v="21"/>
    <s v="OF"/>
    <s v="OF"/>
    <n v="-17.8"/>
    <n v="26"/>
    <n v="96"/>
    <x v="145"/>
    <n v="8"/>
    <n v="19"/>
    <x v="8"/>
    <x v="33"/>
    <n v="2"/>
    <n v="0"/>
    <n v="4"/>
    <n v="19"/>
    <n v="0.20899999999999999"/>
    <n v="0.25"/>
    <n v="0.35199999999999998"/>
    <n v="0.60199999999999998"/>
  </r>
  <r>
    <x v="343"/>
    <x v="13"/>
    <s v="OF"/>
    <s v="OF"/>
    <n v="-17.8"/>
    <n v="17"/>
    <n v="60"/>
    <x v="146"/>
    <n v="8"/>
    <n v="13"/>
    <x v="12"/>
    <x v="40"/>
    <n v="0"/>
    <n v="0"/>
    <n v="6"/>
    <n v="14"/>
    <n v="0.24099999999999999"/>
    <n v="0.317"/>
    <n v="0.46300000000000002"/>
    <n v="0.78"/>
  </r>
  <r>
    <x v="344"/>
    <x v="9"/>
    <s v="2B"/>
    <s v="2B/3B"/>
    <n v="-17.8"/>
    <n v="25"/>
    <n v="79"/>
    <x v="82"/>
    <n v="9"/>
    <n v="15"/>
    <x v="8"/>
    <x v="37"/>
    <n v="2"/>
    <n v="0"/>
    <n v="5"/>
    <n v="12"/>
    <n v="0.20499999999999999"/>
    <n v="0.26600000000000001"/>
    <n v="0.27400000000000002"/>
    <n v="0.54"/>
  </r>
  <r>
    <x v="345"/>
    <x v="25"/>
    <s v="OF"/>
    <s v="OF"/>
    <n v="-17.899999999999999"/>
    <n v="20"/>
    <n v="70"/>
    <x v="135"/>
    <n v="3"/>
    <n v="14"/>
    <x v="8"/>
    <x v="33"/>
    <n v="3"/>
    <n v="0"/>
    <n v="6"/>
    <n v="16"/>
    <n v="0.222"/>
    <n v="0.28599999999999998"/>
    <n v="0.33300000000000002"/>
    <n v="0.61899999999999999"/>
  </r>
  <r>
    <x v="346"/>
    <x v="17"/>
    <s v="OF"/>
    <s v="OF"/>
    <n v="-17.899999999999999"/>
    <n v="15"/>
    <n v="42"/>
    <x v="147"/>
    <n v="5"/>
    <n v="5"/>
    <x v="12"/>
    <x v="34"/>
    <n v="0"/>
    <n v="0"/>
    <n v="6"/>
    <n v="15"/>
    <n v="0.14299999999999999"/>
    <n v="0.28599999999999998"/>
    <n v="0.4"/>
    <n v="0.68600000000000005"/>
  </r>
  <r>
    <x v="347"/>
    <x v="18"/>
    <s v="OF"/>
    <s v="OF"/>
    <n v="-18"/>
    <n v="22"/>
    <n v="74"/>
    <x v="109"/>
    <n v="6"/>
    <n v="13"/>
    <x v="12"/>
    <x v="35"/>
    <n v="1"/>
    <n v="0"/>
    <n v="3"/>
    <n v="23"/>
    <n v="0.188"/>
    <n v="0.24299999999999999"/>
    <n v="0.33300000000000002"/>
    <n v="0.57599999999999996"/>
  </r>
  <r>
    <x v="348"/>
    <x v="24"/>
    <s v="2B"/>
    <s v="2B"/>
    <n v="-18"/>
    <n v="13"/>
    <n v="44"/>
    <x v="148"/>
    <n v="6"/>
    <n v="8"/>
    <x v="12"/>
    <x v="36"/>
    <n v="0"/>
    <n v="0"/>
    <n v="3"/>
    <n v="15"/>
    <n v="0.20499999999999999"/>
    <n v="0.27300000000000002"/>
    <n v="0.436"/>
    <n v="0.70899999999999996"/>
  </r>
  <r>
    <x v="349"/>
    <x v="7"/>
    <s v="C"/>
    <s v="C"/>
    <n v="-18.100000000000001"/>
    <n v="21"/>
    <n v="68"/>
    <x v="91"/>
    <n v="7"/>
    <n v="12"/>
    <x v="14"/>
    <x v="38"/>
    <n v="1"/>
    <n v="0"/>
    <n v="1"/>
    <n v="11"/>
    <n v="0.182"/>
    <n v="0.20599999999999999"/>
    <n v="0.30299999999999999"/>
    <n v="0.50900000000000001"/>
  </r>
  <r>
    <x v="350"/>
    <x v="13"/>
    <s v="SS/3B"/>
    <s v="SS/3B"/>
    <n v="-18.100000000000001"/>
    <n v="25"/>
    <n v="78"/>
    <x v="149"/>
    <n v="8"/>
    <n v="14"/>
    <x v="12"/>
    <x v="37"/>
    <n v="1"/>
    <n v="0"/>
    <n v="2"/>
    <n v="30"/>
    <n v="0.184"/>
    <n v="0.20499999999999999"/>
    <n v="0.316"/>
    <n v="0.52100000000000002"/>
  </r>
  <r>
    <x v="351"/>
    <x v="11"/>
    <s v="OF"/>
    <s v="OF"/>
    <n v="-18.2"/>
    <n v="25"/>
    <n v="83"/>
    <x v="149"/>
    <n v="8"/>
    <n v="16"/>
    <x v="8"/>
    <x v="37"/>
    <n v="2"/>
    <n v="0"/>
    <n v="5"/>
    <n v="20"/>
    <n v="0.21099999999999999"/>
    <n v="0.26500000000000001"/>
    <n v="0.27600000000000002"/>
    <n v="0.54100000000000004"/>
  </r>
  <r>
    <x v="352"/>
    <x v="29"/>
    <s v="SS"/>
    <s v="SS"/>
    <n v="-18.399999999999999"/>
    <n v="16"/>
    <n v="29"/>
    <x v="150"/>
    <n v="6"/>
    <n v="7"/>
    <x v="14"/>
    <x v="39"/>
    <n v="0"/>
    <n v="0"/>
    <n v="4"/>
    <n v="10"/>
    <n v="0.28000000000000003"/>
    <n v="0.379"/>
    <n v="0.56000000000000005"/>
    <n v="0.93899999999999995"/>
  </r>
  <r>
    <x v="353"/>
    <x v="24"/>
    <s v="1B"/>
    <s v="1B/2B/ 3B"/>
    <n v="-18.600000000000001"/>
    <n v="39"/>
    <n v="122"/>
    <x v="44"/>
    <n v="9"/>
    <n v="29"/>
    <x v="16"/>
    <x v="38"/>
    <n v="0"/>
    <n v="0"/>
    <n v="11"/>
    <n v="28"/>
    <n v="0.26900000000000002"/>
    <n v="0.35199999999999998"/>
    <n v="0.34300000000000003"/>
    <n v="0.69499999999999995"/>
  </r>
  <r>
    <x v="354"/>
    <x v="1"/>
    <s v="DH"/>
    <s v="C"/>
    <n v="-18.7"/>
    <n v="6"/>
    <n v="22"/>
    <x v="151"/>
    <n v="4"/>
    <n v="5"/>
    <x v="14"/>
    <x v="36"/>
    <n v="0"/>
    <n v="0"/>
    <n v="3"/>
    <n v="7"/>
    <n v="0.26300000000000001"/>
    <n v="0.36399999999999999"/>
    <n v="0.57899999999999996"/>
    <n v="0.94299999999999995"/>
  </r>
  <r>
    <x v="355"/>
    <x v="20"/>
    <s v="1B"/>
    <s v="1B"/>
    <n v="-18.7"/>
    <n v="15"/>
    <n v="59"/>
    <x v="146"/>
    <n v="6"/>
    <n v="12"/>
    <x v="14"/>
    <x v="37"/>
    <n v="0"/>
    <n v="0"/>
    <n v="5"/>
    <n v="19"/>
    <n v="0.222"/>
    <n v="0.28799999999999998"/>
    <n v="0.35199999999999998"/>
    <n v="0.64"/>
  </r>
  <r>
    <x v="356"/>
    <x v="7"/>
    <s v="2B/OF"/>
    <s v="2B/OF"/>
    <n v="-18.7"/>
    <n v="22"/>
    <n v="47"/>
    <x v="152"/>
    <n v="9"/>
    <n v="11"/>
    <x v="16"/>
    <x v="39"/>
    <n v="1"/>
    <n v="0"/>
    <n v="5"/>
    <n v="9"/>
    <n v="0.26200000000000001"/>
    <n v="0.34"/>
    <n v="0.26200000000000001"/>
    <n v="0.60199999999999998"/>
  </r>
  <r>
    <x v="357"/>
    <x v="22"/>
    <s v="1B/3B"/>
    <s v="1B/3B"/>
    <n v="-18.8"/>
    <n v="20"/>
    <n v="65"/>
    <x v="118"/>
    <n v="6"/>
    <n v="10"/>
    <x v="12"/>
    <x v="34"/>
    <n v="0"/>
    <n v="0"/>
    <n v="3"/>
    <n v="25"/>
    <n v="0.161"/>
    <n v="0.2"/>
    <n v="0.371"/>
    <n v="0.57099999999999995"/>
  </r>
  <r>
    <x v="358"/>
    <x v="24"/>
    <s v="2B/OF"/>
    <s v="2B/SS/ OF"/>
    <n v="-18.8"/>
    <n v="34"/>
    <n v="92"/>
    <x v="145"/>
    <n v="13"/>
    <n v="16"/>
    <x v="14"/>
    <x v="37"/>
    <n v="0"/>
    <n v="0"/>
    <n v="1"/>
    <n v="11"/>
    <n v="0.17599999999999999"/>
    <n v="0.185"/>
    <n v="0.31900000000000001"/>
    <n v="0.504"/>
  </r>
  <r>
    <x v="359"/>
    <x v="5"/>
    <s v="C"/>
    <s v="C"/>
    <n v="-18.8"/>
    <n v="19"/>
    <n v="61"/>
    <x v="142"/>
    <n v="7"/>
    <n v="12"/>
    <x v="8"/>
    <x v="39"/>
    <n v="0"/>
    <n v="0"/>
    <n v="2"/>
    <n v="11"/>
    <n v="0.218"/>
    <n v="0.246"/>
    <n v="0.32700000000000001"/>
    <n v="0.57299999999999995"/>
  </r>
  <r>
    <x v="360"/>
    <x v="12"/>
    <s v="2B/SS"/>
    <s v="1B/2B/SS"/>
    <n v="-18.899999999999999"/>
    <n v="17"/>
    <n v="46"/>
    <x v="141"/>
    <n v="5"/>
    <n v="6"/>
    <x v="12"/>
    <x v="35"/>
    <n v="1"/>
    <n v="0"/>
    <n v="1"/>
    <n v="12"/>
    <n v="0.13600000000000001"/>
    <n v="0.17399999999999999"/>
    <n v="0.34100000000000003"/>
    <n v="0.51500000000000001"/>
  </r>
  <r>
    <x v="361"/>
    <x v="9"/>
    <s v="1B/2B"/>
    <s v="1B/2B/ OF"/>
    <n v="-19"/>
    <n v="28"/>
    <n v="71"/>
    <x v="91"/>
    <n v="10"/>
    <n v="10"/>
    <x v="12"/>
    <x v="38"/>
    <n v="1"/>
    <n v="1"/>
    <n v="4"/>
    <n v="27"/>
    <n v="0.152"/>
    <n v="0.21099999999999999"/>
    <n v="0.30299999999999999"/>
    <n v="0.51400000000000001"/>
  </r>
  <r>
    <x v="362"/>
    <x v="22"/>
    <s v="OF"/>
    <s v="OF"/>
    <n v="-19.2"/>
    <n v="18"/>
    <n v="73"/>
    <x v="118"/>
    <n v="8"/>
    <n v="15"/>
    <x v="16"/>
    <x v="39"/>
    <n v="2"/>
    <n v="1"/>
    <n v="10"/>
    <n v="15"/>
    <n v="0.24199999999999999"/>
    <n v="0.35599999999999998"/>
    <n v="0.30599999999999999"/>
    <n v="0.66200000000000003"/>
  </r>
  <r>
    <x v="363"/>
    <x v="26"/>
    <s v="OF"/>
    <s v="OF"/>
    <n v="-19.2"/>
    <n v="22"/>
    <n v="45"/>
    <x v="141"/>
    <n v="6"/>
    <n v="10"/>
    <x v="16"/>
    <x v="41"/>
    <n v="5"/>
    <n v="0"/>
    <n v="1"/>
    <n v="8"/>
    <n v="0.22700000000000001"/>
    <n v="0.24399999999999999"/>
    <n v="0.27300000000000002"/>
    <n v="0.51700000000000002"/>
  </r>
  <r>
    <x v="364"/>
    <x v="27"/>
    <s v="3B"/>
    <s v="1B/3B"/>
    <n v="-19.2"/>
    <n v="16"/>
    <n v="54"/>
    <x v="132"/>
    <n v="7"/>
    <n v="13"/>
    <x v="8"/>
    <x v="38"/>
    <n v="0"/>
    <n v="0"/>
    <n v="2"/>
    <n v="21"/>
    <n v="0.255"/>
    <n v="0.29599999999999999"/>
    <n v="0.373"/>
    <n v="0.66900000000000004"/>
  </r>
  <r>
    <x v="365"/>
    <x v="8"/>
    <s v="1B/OF"/>
    <s v="1B/OF"/>
    <n v="-19.3"/>
    <n v="19"/>
    <n v="54"/>
    <x v="132"/>
    <n v="7"/>
    <n v="11"/>
    <x v="14"/>
    <x v="38"/>
    <n v="0"/>
    <n v="0"/>
    <n v="3"/>
    <n v="15"/>
    <n v="0.216"/>
    <n v="0.25900000000000001"/>
    <n v="0.35299999999999998"/>
    <n v="0.61199999999999999"/>
  </r>
  <r>
    <x v="366"/>
    <x v="13"/>
    <s v="OF"/>
    <s v="OF"/>
    <n v="-19.3"/>
    <n v="26"/>
    <n v="75"/>
    <x v="91"/>
    <n v="4"/>
    <n v="17"/>
    <x v="16"/>
    <x v="40"/>
    <n v="4"/>
    <n v="0"/>
    <n v="9"/>
    <n v="22"/>
    <n v="0.25800000000000001"/>
    <n v="0.34699999999999998"/>
    <n v="0.318"/>
    <n v="0.66500000000000004"/>
  </r>
  <r>
    <x v="367"/>
    <x v="1"/>
    <s v="OF"/>
    <s v="OF"/>
    <n v="-19.3"/>
    <n v="31"/>
    <n v="55"/>
    <x v="130"/>
    <n v="9"/>
    <n v="8"/>
    <x v="16"/>
    <x v="39"/>
    <n v="4"/>
    <n v="0"/>
    <n v="4"/>
    <n v="15"/>
    <n v="0.16300000000000001"/>
    <n v="0.23599999999999999"/>
    <n v="0.28599999999999998"/>
    <n v="0.52200000000000002"/>
  </r>
  <r>
    <x v="368"/>
    <x v="11"/>
    <s v="C"/>
    <s v="C"/>
    <n v="-19.399999999999999"/>
    <n v="31"/>
    <n v="81"/>
    <x v="149"/>
    <n v="6"/>
    <n v="12"/>
    <x v="14"/>
    <x v="37"/>
    <n v="1"/>
    <n v="0"/>
    <n v="4"/>
    <n v="31"/>
    <n v="0.158"/>
    <n v="0.19800000000000001"/>
    <n v="0.25"/>
    <n v="0.44800000000000001"/>
  </r>
  <r>
    <x v="369"/>
    <x v="15"/>
    <s v="C"/>
    <s v="C"/>
    <n v="-19.5"/>
    <n v="26"/>
    <n v="84"/>
    <x v="98"/>
    <n v="8"/>
    <n v="18"/>
    <x v="16"/>
    <x v="39"/>
    <n v="0"/>
    <n v="0"/>
    <n v="2"/>
    <n v="21"/>
    <n v="0.23100000000000001"/>
    <n v="0.28599999999999998"/>
    <n v="0.29499999999999998"/>
    <n v="0.58099999999999996"/>
  </r>
  <r>
    <x v="370"/>
    <x v="0"/>
    <s v="2B/SS"/>
    <s v="2B/SS"/>
    <n v="-19.5"/>
    <n v="19"/>
    <n v="70"/>
    <x v="140"/>
    <n v="5"/>
    <n v="18"/>
    <x v="16"/>
    <x v="37"/>
    <n v="0"/>
    <n v="0"/>
    <n v="2"/>
    <n v="13"/>
    <n v="0.27700000000000002"/>
    <n v="0.314"/>
    <n v="0.308"/>
    <n v="0.622"/>
  </r>
  <r>
    <x v="371"/>
    <x v="21"/>
    <s v="2B/SS/ 3B"/>
    <s v="2B/SS/ 3B"/>
    <n v="-20"/>
    <n v="26"/>
    <n v="69"/>
    <x v="116"/>
    <n v="6"/>
    <n v="12"/>
    <x v="16"/>
    <x v="37"/>
    <n v="2"/>
    <n v="0"/>
    <n v="9"/>
    <n v="13"/>
    <n v="0.20699999999999999"/>
    <n v="0.33300000000000002"/>
    <n v="0.32800000000000001"/>
    <n v="0.66100000000000003"/>
  </r>
  <r>
    <x v="372"/>
    <x v="16"/>
    <s v="OF"/>
    <s v="OF"/>
    <n v="-20.100000000000001"/>
    <n v="20"/>
    <n v="59"/>
    <x v="143"/>
    <n v="5"/>
    <n v="10"/>
    <x v="8"/>
    <x v="39"/>
    <n v="4"/>
    <n v="0"/>
    <n v="2"/>
    <n v="12"/>
    <n v="0.17899999999999999"/>
    <n v="0.20300000000000001"/>
    <n v="0.26800000000000002"/>
    <n v="0.47099999999999997"/>
  </r>
  <r>
    <x v="373"/>
    <x v="28"/>
    <s v="1B/3B"/>
    <s v="1B/3B"/>
    <n v="-20.100000000000001"/>
    <n v="35"/>
    <n v="87"/>
    <x v="98"/>
    <n v="7"/>
    <n v="16"/>
    <x v="12"/>
    <x v="39"/>
    <n v="0"/>
    <n v="0"/>
    <n v="9"/>
    <n v="32"/>
    <n v="0.20499999999999999"/>
    <n v="0.28699999999999998"/>
    <n v="0.372"/>
    <n v="0.65900000000000003"/>
  </r>
  <r>
    <x v="374"/>
    <x v="6"/>
    <s v="1B/OF"/>
    <s v="1B/OF"/>
    <n v="-20.3"/>
    <n v="18"/>
    <n v="52"/>
    <x v="141"/>
    <n v="6"/>
    <n v="8"/>
    <x v="14"/>
    <x v="39"/>
    <n v="1"/>
    <n v="0"/>
    <n v="7"/>
    <n v="19"/>
    <n v="0.182"/>
    <n v="0.28799999999999998"/>
    <n v="0.34100000000000003"/>
    <n v="0.629"/>
  </r>
  <r>
    <x v="375"/>
    <x v="26"/>
    <s v="C"/>
    <s v="C"/>
    <n v="-20.399999999999999"/>
    <n v="17"/>
    <n v="41"/>
    <x v="153"/>
    <n v="4"/>
    <n v="8"/>
    <x v="8"/>
    <x v="39"/>
    <n v="0"/>
    <n v="0"/>
    <n v="1"/>
    <n v="9"/>
    <n v="0.2"/>
    <n v="0.22"/>
    <n v="0.35"/>
    <n v="0.56999999999999995"/>
  </r>
  <r>
    <x v="376"/>
    <x v="25"/>
    <s v="OF"/>
    <s v="OF"/>
    <n v="-20.399999999999999"/>
    <n v="18"/>
    <n v="25"/>
    <x v="150"/>
    <n v="2"/>
    <n v="9"/>
    <x v="8"/>
    <x v="39"/>
    <n v="0"/>
    <n v="0"/>
    <n v="0"/>
    <n v="6"/>
    <n v="0.36"/>
    <n v="0.36"/>
    <n v="0.6"/>
    <n v="0.96"/>
  </r>
  <r>
    <x v="377"/>
    <x v="11"/>
    <s v="2B"/>
    <s v="2B"/>
    <n v="-20.5"/>
    <n v="26"/>
    <n v="52"/>
    <x v="154"/>
    <n v="4"/>
    <n v="10"/>
    <x v="16"/>
    <x v="35"/>
    <n v="2"/>
    <n v="0"/>
    <n v="1"/>
    <n v="18"/>
    <n v="0.2"/>
    <n v="0.21199999999999999"/>
    <n v="0.32"/>
    <n v="0.53200000000000003"/>
  </r>
  <r>
    <x v="378"/>
    <x v="0"/>
    <s v="OF"/>
    <s v="OF"/>
    <n v="-20.5"/>
    <n v="27"/>
    <n v="98"/>
    <x v="99"/>
    <n v="8"/>
    <n v="15"/>
    <x v="8"/>
    <x v="38"/>
    <n v="4"/>
    <n v="0"/>
    <n v="8"/>
    <n v="20"/>
    <n v="0.16900000000000001"/>
    <n v="0.245"/>
    <n v="0.247"/>
    <n v="0.49199999999999999"/>
  </r>
  <r>
    <x v="379"/>
    <x v="15"/>
    <s v="OF"/>
    <s v="OF"/>
    <n v="-20.6"/>
    <n v="7"/>
    <n v="22"/>
    <x v="151"/>
    <n v="3"/>
    <n v="7"/>
    <x v="16"/>
    <x v="42"/>
    <n v="2"/>
    <n v="0"/>
    <n v="3"/>
    <n v="3"/>
    <n v="0.36799999999999999"/>
    <n v="0.45500000000000002"/>
    <n v="0.42099999999999999"/>
    <n v="0.876"/>
  </r>
  <r>
    <x v="380"/>
    <x v="10"/>
    <s v="OF"/>
    <s v="1B/OF"/>
    <n v="-20.6"/>
    <n v="14"/>
    <n v="34"/>
    <x v="137"/>
    <n v="5"/>
    <n v="8"/>
    <x v="14"/>
    <x v="42"/>
    <n v="0"/>
    <n v="0"/>
    <n v="2"/>
    <n v="9"/>
    <n v="0.25"/>
    <n v="0.29399999999999998"/>
    <n v="0.438"/>
    <n v="0.73199999999999998"/>
  </r>
  <r>
    <x v="381"/>
    <x v="26"/>
    <s v="C"/>
    <s v="C"/>
    <n v="-20.6"/>
    <n v="7"/>
    <n v="22"/>
    <x v="155"/>
    <n v="3"/>
    <n v="5"/>
    <x v="8"/>
    <x v="42"/>
    <n v="0"/>
    <n v="0"/>
    <n v="0"/>
    <n v="6"/>
    <n v="0.23799999999999999"/>
    <n v="0.22700000000000001"/>
    <n v="0.42899999999999999"/>
    <n v="0.65600000000000003"/>
  </r>
  <r>
    <x v="382"/>
    <x v="17"/>
    <s v="C"/>
    <s v="C"/>
    <n v="-20.9"/>
    <n v="18"/>
    <n v="58"/>
    <x v="143"/>
    <n v="4"/>
    <n v="13"/>
    <x v="8"/>
    <x v="42"/>
    <n v="0"/>
    <n v="0"/>
    <n v="2"/>
    <n v="18"/>
    <n v="0.23200000000000001"/>
    <n v="0.25900000000000001"/>
    <n v="0.39300000000000002"/>
    <n v="0.65200000000000002"/>
  </r>
  <r>
    <x v="383"/>
    <x v="19"/>
    <s v="DH"/>
    <s v="OF"/>
    <n v="-20.9"/>
    <n v="19"/>
    <n v="65"/>
    <x v="156"/>
    <n v="5"/>
    <n v="11"/>
    <x v="14"/>
    <x v="37"/>
    <n v="0"/>
    <n v="0"/>
    <n v="4"/>
    <n v="24"/>
    <n v="0.186"/>
    <n v="0.23100000000000001"/>
    <n v="0.28799999999999998"/>
    <n v="0.51900000000000002"/>
  </r>
  <r>
    <x v="384"/>
    <x v="15"/>
    <s v="C"/>
    <s v="C"/>
    <n v="-21.1"/>
    <n v="5"/>
    <n v="14"/>
    <x v="157"/>
    <n v="1"/>
    <n v="3"/>
    <x v="8"/>
    <x v="40"/>
    <n v="0"/>
    <n v="0"/>
    <n v="1"/>
    <n v="3"/>
    <n v="0.23100000000000001"/>
    <n v="0.28599999999999998"/>
    <n v="0.46200000000000002"/>
    <n v="0.748"/>
  </r>
  <r>
    <x v="385"/>
    <x v="30"/>
    <s v="OF"/>
    <s v="OF"/>
    <n v="-21.4"/>
    <n v="28"/>
    <n v="76"/>
    <x v="109"/>
    <n v="9"/>
    <n v="13"/>
    <x v="8"/>
    <x v="38"/>
    <n v="0"/>
    <n v="0"/>
    <n v="7"/>
    <n v="20"/>
    <n v="0.188"/>
    <n v="0.26300000000000001"/>
    <n v="0.26100000000000001"/>
    <n v="0.52400000000000002"/>
  </r>
  <r>
    <x v="386"/>
    <x v="29"/>
    <s v="3B"/>
    <s v="1B/3B"/>
    <n v="-21.4"/>
    <n v="22"/>
    <n v="75"/>
    <x v="133"/>
    <n v="9"/>
    <n v="13"/>
    <x v="8"/>
    <x v="36"/>
    <n v="0"/>
    <n v="0"/>
    <n v="2"/>
    <n v="13"/>
    <n v="0.18099999999999999"/>
    <n v="0.21299999999999999"/>
    <n v="0.29199999999999998"/>
    <n v="0.505"/>
  </r>
  <r>
    <x v="387"/>
    <x v="27"/>
    <s v="C"/>
    <s v="C"/>
    <n v="-21.4"/>
    <n v="11"/>
    <n v="31"/>
    <x v="158"/>
    <n v="3"/>
    <n v="5"/>
    <x v="16"/>
    <x v="38"/>
    <n v="0"/>
    <n v="0"/>
    <n v="3"/>
    <n v="14"/>
    <n v="0.185"/>
    <n v="0.25800000000000001"/>
    <n v="0.222"/>
    <n v="0.48"/>
  </r>
  <r>
    <x v="388"/>
    <x v="23"/>
    <s v="2B"/>
    <s v="2B"/>
    <n v="-21.5"/>
    <n v="15"/>
    <n v="46"/>
    <x v="153"/>
    <n v="3"/>
    <n v="11"/>
    <x v="16"/>
    <x v="39"/>
    <n v="1"/>
    <n v="0"/>
    <n v="6"/>
    <n v="9"/>
    <n v="0.27500000000000002"/>
    <n v="0.37"/>
    <n v="0.32500000000000001"/>
    <n v="0.69499999999999995"/>
  </r>
  <r>
    <x v="389"/>
    <x v="23"/>
    <s v="C"/>
    <s v="C"/>
    <n v="-21.7"/>
    <n v="28"/>
    <n v="86"/>
    <x v="98"/>
    <n v="7"/>
    <n v="12"/>
    <x v="16"/>
    <x v="37"/>
    <n v="1"/>
    <n v="0"/>
    <n v="7"/>
    <n v="20"/>
    <n v="0.154"/>
    <n v="0.23300000000000001"/>
    <n v="0.192"/>
    <n v="0.42499999999999999"/>
  </r>
  <r>
    <x v="390"/>
    <x v="13"/>
    <s v="2B/OF"/>
    <s v="2B/OF"/>
    <n v="-21.8"/>
    <n v="42"/>
    <n v="151"/>
    <x v="30"/>
    <n v="9"/>
    <n v="22"/>
    <x v="8"/>
    <x v="32"/>
    <n v="2"/>
    <n v="0"/>
    <n v="16"/>
    <n v="21"/>
    <n v="0.16400000000000001"/>
    <n v="0.252"/>
    <n v="0.224"/>
    <n v="0.47599999999999998"/>
  </r>
  <r>
    <x v="391"/>
    <x v="18"/>
    <s v="2B/3B"/>
    <s v="2B/3B"/>
    <n v="-21.8"/>
    <n v="42"/>
    <n v="157"/>
    <x v="35"/>
    <n v="11"/>
    <n v="28"/>
    <x v="16"/>
    <x v="38"/>
    <n v="3"/>
    <n v="1"/>
    <n v="11"/>
    <n v="26"/>
    <n v="0.19400000000000001"/>
    <n v="0.26100000000000001"/>
    <n v="0.22900000000000001"/>
    <n v="0.49"/>
  </r>
  <r>
    <x v="392"/>
    <x v="16"/>
    <s v="1B"/>
    <s v="1B"/>
    <n v="-21.9"/>
    <n v="22"/>
    <n v="74"/>
    <x v="105"/>
    <n v="5"/>
    <n v="15"/>
    <x v="16"/>
    <x v="39"/>
    <n v="2"/>
    <n v="0"/>
    <n v="4"/>
    <n v="27"/>
    <n v="0.221"/>
    <n v="0.28399999999999997"/>
    <n v="0.26500000000000001"/>
    <n v="0.54900000000000004"/>
  </r>
  <r>
    <x v="393"/>
    <x v="4"/>
    <s v="2B/3B"/>
    <s v="2B/3B"/>
    <n v="-21.9"/>
    <n v="27"/>
    <n v="68"/>
    <x v="95"/>
    <n v="8"/>
    <n v="14"/>
    <x v="16"/>
    <x v="40"/>
    <n v="0"/>
    <n v="0"/>
    <n v="8"/>
    <n v="15"/>
    <n v="0.23300000000000001"/>
    <n v="0.32400000000000001"/>
    <n v="0.26700000000000002"/>
    <n v="0.59099999999999997"/>
  </r>
  <r>
    <x v="394"/>
    <x v="13"/>
    <s v="2B/SS/ 3B/OF"/>
    <s v="1B/2B/ SS/3B/OF"/>
    <n v="-22"/>
    <n v="33"/>
    <n v="119"/>
    <x v="55"/>
    <n v="8"/>
    <n v="21"/>
    <x v="8"/>
    <x v="37"/>
    <n v="1"/>
    <n v="0"/>
    <n v="6"/>
    <n v="24"/>
    <n v="0.189"/>
    <n v="0.24399999999999999"/>
    <n v="0.24299999999999999"/>
    <n v="0.48699999999999999"/>
  </r>
  <r>
    <x v="395"/>
    <x v="19"/>
    <s v="OF"/>
    <s v="OF"/>
    <n v="-22.1"/>
    <n v="7"/>
    <n v="20"/>
    <x v="151"/>
    <n v="3"/>
    <n v="5"/>
    <x v="8"/>
    <x v="40"/>
    <n v="0"/>
    <n v="0"/>
    <n v="1"/>
    <n v="6"/>
    <n v="0.26300000000000001"/>
    <n v="0.3"/>
    <n v="0.47399999999999998"/>
    <n v="0.77400000000000002"/>
  </r>
  <r>
    <x v="396"/>
    <x v="4"/>
    <s v="C"/>
    <s v="C"/>
    <n v="-22.1"/>
    <n v="2"/>
    <n v="7"/>
    <x v="159"/>
    <n v="1"/>
    <n v="4"/>
    <x v="16"/>
    <x v="43"/>
    <n v="0"/>
    <n v="0"/>
    <n v="0"/>
    <n v="1"/>
    <n v="0.57099999999999995"/>
    <n v="0.57099999999999995"/>
    <n v="0.71399999999999997"/>
    <n v="1.2849999999999999"/>
  </r>
  <r>
    <x v="397"/>
    <x v="23"/>
    <s v="OF"/>
    <s v="OF"/>
    <n v="-22.1"/>
    <n v="13"/>
    <n v="33"/>
    <x v="110"/>
    <n v="2"/>
    <n v="5"/>
    <x v="14"/>
    <x v="36"/>
    <n v="0"/>
    <n v="0"/>
    <n v="2"/>
    <n v="5"/>
    <n v="0.161"/>
    <n v="0.21199999999999999"/>
    <n v="0.38700000000000001"/>
    <n v="0.59899999999999998"/>
  </r>
  <r>
    <x v="398"/>
    <x v="24"/>
    <s v="OF"/>
    <s v="OF"/>
    <n v="-22.1"/>
    <n v="7"/>
    <n v="16"/>
    <x v="160"/>
    <n v="2"/>
    <n v="3"/>
    <x v="14"/>
    <x v="40"/>
    <n v="0"/>
    <n v="0"/>
    <n v="1"/>
    <n v="6"/>
    <n v="0.2"/>
    <n v="0.25"/>
    <n v="0.6"/>
    <n v="0.85"/>
  </r>
  <r>
    <x v="399"/>
    <x v="19"/>
    <s v="C"/>
    <s v="C"/>
    <n v="-22.2"/>
    <n v="13"/>
    <n v="22"/>
    <x v="144"/>
    <n v="1"/>
    <n v="5"/>
    <x v="16"/>
    <x v="40"/>
    <n v="0"/>
    <n v="0"/>
    <n v="1"/>
    <n v="8"/>
    <n v="0.25"/>
    <n v="0.318"/>
    <n v="0.3"/>
    <n v="0.61799999999999999"/>
  </r>
  <r>
    <x v="400"/>
    <x v="1"/>
    <s v="3B/OF"/>
    <s v="3B/OF"/>
    <n v="-22.3"/>
    <n v="21"/>
    <n v="55"/>
    <x v="125"/>
    <n v="5"/>
    <n v="9"/>
    <x v="8"/>
    <x v="38"/>
    <n v="0"/>
    <n v="0"/>
    <n v="7"/>
    <n v="9"/>
    <n v="0.191"/>
    <n v="0.29099999999999998"/>
    <n v="0.29799999999999999"/>
    <n v="0.58899999999999997"/>
  </r>
  <r>
    <x v="401"/>
    <x v="4"/>
    <s v="C"/>
    <s v="C"/>
    <n v="-22.3"/>
    <n v="5"/>
    <n v="17"/>
    <x v="161"/>
    <n v="1"/>
    <n v="4"/>
    <x v="16"/>
    <x v="42"/>
    <n v="0"/>
    <n v="0"/>
    <n v="2"/>
    <n v="2"/>
    <n v="0.28599999999999998"/>
    <n v="0.35299999999999998"/>
    <n v="0.28599999999999998"/>
    <n v="0.63900000000000001"/>
  </r>
  <r>
    <x v="402"/>
    <x v="25"/>
    <s v="C"/>
    <s v="C"/>
    <n v="-22.3"/>
    <n v="11"/>
    <n v="33"/>
    <x v="110"/>
    <n v="3"/>
    <n v="7"/>
    <x v="16"/>
    <x v="42"/>
    <n v="0"/>
    <n v="0"/>
    <n v="1"/>
    <n v="11"/>
    <n v="0.22600000000000001"/>
    <n v="0.27300000000000002"/>
    <n v="0.32300000000000001"/>
    <n v="0.59599999999999997"/>
  </r>
  <r>
    <x v="403"/>
    <x v="18"/>
    <s v="OF"/>
    <s v="OF"/>
    <n v="-22.3"/>
    <n v="2"/>
    <n v="4"/>
    <x v="162"/>
    <n v="2"/>
    <n v="3"/>
    <x v="8"/>
    <x v="41"/>
    <n v="0"/>
    <n v="0"/>
    <n v="0"/>
    <n v="1"/>
    <n v="0.75"/>
    <n v="0.75"/>
    <n v="0.999"/>
    <n v="2.25"/>
  </r>
  <r>
    <x v="404"/>
    <x v="17"/>
    <s v="OF"/>
    <s v="OF"/>
    <n v="-22.3"/>
    <n v="20"/>
    <n v="42"/>
    <x v="163"/>
    <n v="4"/>
    <n v="6"/>
    <x v="16"/>
    <x v="42"/>
    <n v="4"/>
    <n v="0"/>
    <n v="5"/>
    <n v="10"/>
    <n v="0.16200000000000001"/>
    <n v="0.26200000000000001"/>
    <n v="0.216"/>
    <n v="0.47799999999999998"/>
  </r>
  <r>
    <x v="405"/>
    <x v="7"/>
    <s v="SS"/>
    <s v="SS"/>
    <n v="-22.3"/>
    <n v="11"/>
    <n v="28"/>
    <x v="158"/>
    <n v="4"/>
    <n v="7"/>
    <x v="16"/>
    <x v="39"/>
    <n v="0"/>
    <n v="0"/>
    <n v="0"/>
    <n v="7"/>
    <n v="0.25900000000000001"/>
    <n v="0.25"/>
    <n v="0.29599999999999999"/>
    <n v="0.54600000000000004"/>
  </r>
  <r>
    <x v="406"/>
    <x v="11"/>
    <s v="OF"/>
    <s v="OF"/>
    <n v="-22.4"/>
    <n v="24"/>
    <n v="39"/>
    <x v="134"/>
    <n v="6"/>
    <n v="8"/>
    <x v="16"/>
    <x v="42"/>
    <n v="1"/>
    <n v="0"/>
    <n v="3"/>
    <n v="8"/>
    <n v="0.222"/>
    <n v="0.28199999999999997"/>
    <n v="0.27800000000000002"/>
    <n v="0.56000000000000005"/>
  </r>
  <r>
    <x v="407"/>
    <x v="3"/>
    <s v="2B/OF"/>
    <s v="2B/OF"/>
    <n v="-22.4"/>
    <n v="11"/>
    <n v="21"/>
    <x v="144"/>
    <n v="5"/>
    <n v="5"/>
    <x v="16"/>
    <x v="40"/>
    <n v="0"/>
    <n v="0"/>
    <n v="0"/>
    <n v="7"/>
    <n v="0.25"/>
    <n v="0.28599999999999998"/>
    <n v="0.25"/>
    <n v="0.53600000000000003"/>
  </r>
  <r>
    <x v="408"/>
    <x v="4"/>
    <s v="OF"/>
    <s v="OF"/>
    <n v="-22.6"/>
    <n v="11"/>
    <n v="10"/>
    <x v="159"/>
    <n v="3"/>
    <n v="0"/>
    <x v="16"/>
    <x v="43"/>
    <n v="4"/>
    <n v="0"/>
    <n v="0"/>
    <n v="2"/>
    <n v="0"/>
    <n v="0.3"/>
    <n v="0"/>
    <n v="0.3"/>
  </r>
  <r>
    <x v="409"/>
    <x v="6"/>
    <s v="C"/>
    <s v="C"/>
    <n v="-22.6"/>
    <n v="3"/>
    <n v="5"/>
    <x v="164"/>
    <n v="2"/>
    <n v="2"/>
    <x v="16"/>
    <x v="43"/>
    <n v="0"/>
    <n v="0"/>
    <n v="0"/>
    <n v="2"/>
    <n v="0.4"/>
    <n v="0.4"/>
    <n v="0.6"/>
    <n v="1"/>
  </r>
  <r>
    <x v="410"/>
    <x v="2"/>
    <s v="2B"/>
    <s v="2B"/>
    <n v="-22.6"/>
    <n v="7"/>
    <n v="23"/>
    <x v="151"/>
    <n v="5"/>
    <n v="4"/>
    <x v="16"/>
    <x v="42"/>
    <n v="1"/>
    <n v="0"/>
    <n v="4"/>
    <n v="9"/>
    <n v="0.21099999999999999"/>
    <n v="0.34799999999999998"/>
    <n v="0.21099999999999999"/>
    <n v="0.55900000000000005"/>
  </r>
  <r>
    <x v="411"/>
    <x v="12"/>
    <s v="SS"/>
    <s v="SS"/>
    <n v="-22.7"/>
    <n v="9"/>
    <n v="32"/>
    <x v="110"/>
    <n v="2"/>
    <n v="9"/>
    <x v="16"/>
    <x v="39"/>
    <n v="0"/>
    <n v="1"/>
    <n v="1"/>
    <n v="4"/>
    <n v="0.28999999999999998"/>
    <n v="0.312"/>
    <n v="0.38700000000000001"/>
    <n v="0.69899999999999995"/>
  </r>
  <r>
    <x v="412"/>
    <x v="18"/>
    <s v="2B"/>
    <s v="2B"/>
    <n v="-22.7"/>
    <n v="7"/>
    <n v="15"/>
    <x v="160"/>
    <n v="3"/>
    <n v="5"/>
    <x v="16"/>
    <x v="41"/>
    <n v="1"/>
    <n v="0"/>
    <n v="0"/>
    <n v="2"/>
    <n v="0.33300000000000002"/>
    <n v="0.33300000000000002"/>
    <n v="0.4"/>
    <n v="0.73299999999999998"/>
  </r>
  <r>
    <x v="413"/>
    <x v="6"/>
    <s v="SS"/>
    <s v="SS"/>
    <n v="-22.7"/>
    <n v="12"/>
    <n v="38"/>
    <x v="137"/>
    <n v="4"/>
    <n v="6"/>
    <x v="16"/>
    <x v="40"/>
    <n v="2"/>
    <n v="0"/>
    <n v="3"/>
    <n v="6"/>
    <n v="0.188"/>
    <n v="0.316"/>
    <n v="0.219"/>
    <n v="0.53500000000000003"/>
  </r>
  <r>
    <x v="414"/>
    <x v="8"/>
    <s v="OF"/>
    <s v="OF"/>
    <n v="-22.8"/>
    <n v="19"/>
    <n v="16"/>
    <x v="157"/>
    <n v="3"/>
    <n v="1"/>
    <x v="16"/>
    <x v="42"/>
    <n v="3"/>
    <n v="0"/>
    <n v="3"/>
    <n v="8"/>
    <n v="7.6999999999999999E-2"/>
    <n v="0.25"/>
    <n v="7.6999999999999999E-2"/>
    <n v="0.32700000000000001"/>
  </r>
  <r>
    <x v="415"/>
    <x v="11"/>
    <s v="OF"/>
    <s v="OF"/>
    <n v="-22.8"/>
    <n v="3"/>
    <n v="13"/>
    <x v="165"/>
    <n v="3"/>
    <n v="3"/>
    <x v="16"/>
    <x v="43"/>
    <n v="2"/>
    <n v="0"/>
    <n v="3"/>
    <n v="3"/>
    <n v="0.3"/>
    <n v="0.46200000000000002"/>
    <n v="0.3"/>
    <n v="0.76200000000000001"/>
  </r>
  <r>
    <x v="416"/>
    <x v="14"/>
    <s v="OF"/>
    <s v="OF"/>
    <n v="-22.9"/>
    <n v="22"/>
    <n v="70"/>
    <x v="135"/>
    <n v="8"/>
    <n v="9"/>
    <x v="8"/>
    <x v="40"/>
    <n v="2"/>
    <n v="1"/>
    <n v="5"/>
    <n v="12"/>
    <n v="0.14299999999999999"/>
    <n v="0.22900000000000001"/>
    <n v="0.23799999999999999"/>
    <n v="0.46700000000000003"/>
  </r>
  <r>
    <x v="417"/>
    <x v="25"/>
    <s v="2B/3B"/>
    <s v="2B/3B"/>
    <n v="-22.9"/>
    <n v="24"/>
    <n v="59"/>
    <x v="146"/>
    <n v="4"/>
    <n v="10"/>
    <x v="8"/>
    <x v="36"/>
    <n v="0"/>
    <n v="0"/>
    <n v="1"/>
    <n v="13"/>
    <n v="0.185"/>
    <n v="0.23699999999999999"/>
    <n v="0.25900000000000001"/>
    <n v="0.496"/>
  </r>
  <r>
    <x v="418"/>
    <x v="1"/>
    <s v="C"/>
    <s v="C"/>
    <n v="-23"/>
    <n v="15"/>
    <n v="31"/>
    <x v="138"/>
    <n v="3"/>
    <n v="4"/>
    <x v="16"/>
    <x v="39"/>
    <n v="0"/>
    <n v="0"/>
    <n v="1"/>
    <n v="15"/>
    <n v="0.13800000000000001"/>
    <n v="0.19400000000000001"/>
    <n v="0.20699999999999999"/>
    <n v="0.40100000000000002"/>
  </r>
  <r>
    <x v="419"/>
    <x v="18"/>
    <s v="OF"/>
    <s v="OF"/>
    <n v="-23.1"/>
    <n v="14"/>
    <n v="37"/>
    <x v="89"/>
    <n v="4"/>
    <n v="6"/>
    <x v="8"/>
    <x v="42"/>
    <n v="1"/>
    <n v="0"/>
    <n v="3"/>
    <n v="18"/>
    <n v="0.182"/>
    <n v="0.27"/>
    <n v="0.33300000000000002"/>
    <n v="0.60299999999999998"/>
  </r>
  <r>
    <x v="420"/>
    <x v="13"/>
    <s v="1B/OF"/>
    <s v="1B/OF"/>
    <n v="-23.3"/>
    <n v="11"/>
    <n v="41"/>
    <x v="148"/>
    <n v="2"/>
    <n v="8"/>
    <x v="8"/>
    <x v="40"/>
    <n v="1"/>
    <n v="0"/>
    <n v="2"/>
    <n v="11"/>
    <n v="0.20499999999999999"/>
    <n v="0.24399999999999999"/>
    <n v="0.33300000000000002"/>
    <n v="0.57699999999999996"/>
  </r>
  <r>
    <x v="421"/>
    <x v="2"/>
    <s v="SS"/>
    <s v="SS"/>
    <n v="-23.3"/>
    <n v="29"/>
    <n v="98"/>
    <x v="103"/>
    <n v="9"/>
    <n v="19"/>
    <x v="16"/>
    <x v="42"/>
    <n v="1"/>
    <n v="0"/>
    <n v="6"/>
    <n v="13"/>
    <n v="0.20699999999999999"/>
    <n v="0.255"/>
    <n v="0.25"/>
    <n v="0.505"/>
  </r>
  <r>
    <x v="422"/>
    <x v="20"/>
    <s v="C"/>
    <s v="C"/>
    <n v="-23.4"/>
    <n v="6"/>
    <n v="16"/>
    <x v="157"/>
    <n v="0"/>
    <n v="3"/>
    <x v="16"/>
    <x v="42"/>
    <n v="0"/>
    <n v="0"/>
    <n v="0"/>
    <n v="2"/>
    <n v="0.23100000000000001"/>
    <n v="0.312"/>
    <n v="0.23100000000000001"/>
    <n v="0.54300000000000004"/>
  </r>
  <r>
    <x v="423"/>
    <x v="13"/>
    <s v="2B/SS"/>
    <s v="2B/SS"/>
    <n v="-23.4"/>
    <n v="27"/>
    <n v="77"/>
    <x v="82"/>
    <n v="7"/>
    <n v="15"/>
    <x v="8"/>
    <x v="42"/>
    <n v="0"/>
    <n v="0"/>
    <n v="4"/>
    <n v="13"/>
    <n v="0.20499999999999999"/>
    <n v="0.247"/>
    <n v="0.26"/>
    <n v="0.50700000000000001"/>
  </r>
  <r>
    <x v="424"/>
    <x v="5"/>
    <s v="3B"/>
    <s v="3B"/>
    <n v="-23.5"/>
    <n v="26"/>
    <n v="86"/>
    <x v="166"/>
    <n v="12"/>
    <n v="10"/>
    <x v="8"/>
    <x v="40"/>
    <n v="1"/>
    <n v="0"/>
    <n v="9"/>
    <n v="32"/>
    <n v="0.13"/>
    <n v="0.221"/>
    <n v="0.182"/>
    <n v="0.40300000000000002"/>
  </r>
  <r>
    <x v="425"/>
    <x v="16"/>
    <s v="1B/OF"/>
    <s v="1B/OF"/>
    <n v="-23.5"/>
    <n v="15"/>
    <n v="41"/>
    <x v="134"/>
    <n v="2"/>
    <n v="10"/>
    <x v="16"/>
    <x v="40"/>
    <n v="0"/>
    <n v="0"/>
    <n v="5"/>
    <n v="11"/>
    <n v="0.27800000000000002"/>
    <n v="0.36599999999999999"/>
    <n v="0.36099999999999999"/>
    <n v="0.72699999999999998"/>
  </r>
  <r>
    <x v="426"/>
    <x v="28"/>
    <s v="OF"/>
    <s v="OF"/>
    <n v="-23.6"/>
    <n v="25"/>
    <n v="75"/>
    <x v="82"/>
    <n v="5"/>
    <n v="14"/>
    <x v="8"/>
    <x v="38"/>
    <n v="0"/>
    <n v="0"/>
    <n v="2"/>
    <n v="15"/>
    <n v="0.192"/>
    <n v="0.21299999999999999"/>
    <n v="0.28799999999999998"/>
    <n v="0.501"/>
  </r>
  <r>
    <x v="427"/>
    <x v="9"/>
    <s v="C"/>
    <s v="C"/>
    <n v="-23.7"/>
    <n v="3"/>
    <n v="10"/>
    <x v="167"/>
    <n v="1"/>
    <n v="1"/>
    <x v="16"/>
    <x v="43"/>
    <n v="1"/>
    <n v="0"/>
    <n v="1"/>
    <n v="1"/>
    <n v="0.111"/>
    <n v="0.2"/>
    <n v="0.111"/>
    <n v="0.311"/>
  </r>
  <r>
    <x v="428"/>
    <x v="20"/>
    <s v="OF"/>
    <s v="OF"/>
    <n v="-23.7"/>
    <n v="5"/>
    <n v="14"/>
    <x v="168"/>
    <n v="1"/>
    <n v="4"/>
    <x v="16"/>
    <x v="41"/>
    <n v="1"/>
    <n v="0"/>
    <n v="3"/>
    <n v="3"/>
    <n v="0.36399999999999999"/>
    <n v="0.5"/>
    <n v="0.45500000000000002"/>
    <n v="0.95499999999999996"/>
  </r>
  <r>
    <x v="429"/>
    <x v="15"/>
    <s v="OF"/>
    <s v="OF"/>
    <n v="-23.7"/>
    <n v="20"/>
    <n v="37"/>
    <x v="169"/>
    <n v="4"/>
    <n v="6"/>
    <x v="8"/>
    <x v="40"/>
    <n v="0"/>
    <n v="0"/>
    <n v="2"/>
    <n v="13"/>
    <n v="0.17599999999999999"/>
    <n v="0.216"/>
    <n v="0.29399999999999998"/>
    <n v="0.51"/>
  </r>
  <r>
    <x v="430"/>
    <x v="17"/>
    <s v="2B"/>
    <s v="2B"/>
    <n v="-23.9"/>
    <n v="34"/>
    <n v="112"/>
    <x v="101"/>
    <n v="9"/>
    <n v="17"/>
    <x v="16"/>
    <x v="35"/>
    <n v="0"/>
    <n v="0"/>
    <n v="8"/>
    <n v="23"/>
    <n v="0.17"/>
    <n v="0.25"/>
    <n v="0.2"/>
    <n v="0.45"/>
  </r>
  <r>
    <x v="431"/>
    <x v="11"/>
    <s v="OF"/>
    <s v="OF"/>
    <n v="-24"/>
    <n v="3"/>
    <n v="2"/>
    <x v="170"/>
    <n v="2"/>
    <n v="0"/>
    <x v="16"/>
    <x v="43"/>
    <n v="2"/>
    <n v="0"/>
    <n v="0"/>
    <n v="1"/>
    <n v="0"/>
    <n v="0"/>
    <n v="0"/>
    <n v="0"/>
  </r>
  <r>
    <x v="432"/>
    <x v="6"/>
    <s v="OF"/>
    <s v="OF"/>
    <n v="-24"/>
    <n v="3"/>
    <n v="1"/>
    <x v="171"/>
    <n v="2"/>
    <n v="1"/>
    <x v="16"/>
    <x v="43"/>
    <n v="1"/>
    <n v="0"/>
    <n v="0"/>
    <n v="0"/>
    <n v="0.999"/>
    <n v="0.999"/>
    <n v="0.999"/>
    <n v="4"/>
  </r>
  <r>
    <x v="433"/>
    <x v="15"/>
    <s v="2B/OF"/>
    <s v="2B/OF"/>
    <n v="-24"/>
    <n v="25"/>
    <n v="64"/>
    <x v="118"/>
    <n v="3"/>
    <n v="11"/>
    <x v="8"/>
    <x v="40"/>
    <n v="2"/>
    <n v="0"/>
    <n v="2"/>
    <n v="16"/>
    <n v="0.17699999999999999"/>
    <n v="0.20300000000000001"/>
    <n v="0.25800000000000001"/>
    <n v="0.46100000000000002"/>
  </r>
  <r>
    <x v="434"/>
    <x v="4"/>
    <s v="C"/>
    <s v="C"/>
    <n v="-24.1"/>
    <n v="3"/>
    <n v="7"/>
    <x v="172"/>
    <n v="0"/>
    <n v="1"/>
    <x v="16"/>
    <x v="41"/>
    <n v="0"/>
    <n v="0"/>
    <n v="0"/>
    <n v="3"/>
    <n v="0.16700000000000001"/>
    <n v="0.14299999999999999"/>
    <n v="0.16700000000000001"/>
    <n v="0.31"/>
  </r>
  <r>
    <x v="435"/>
    <x v="13"/>
    <s v="2B"/>
    <s v="2B/SS/ 3B/OF"/>
    <n v="-24.1"/>
    <n v="10"/>
    <n v="16"/>
    <x v="157"/>
    <n v="1"/>
    <n v="1"/>
    <x v="16"/>
    <x v="43"/>
    <n v="4"/>
    <n v="0"/>
    <n v="3"/>
    <n v="8"/>
    <n v="7.6999999999999999E-2"/>
    <n v="0.25"/>
    <n v="7.6999999999999999E-2"/>
    <n v="0.32700000000000001"/>
  </r>
  <r>
    <x v="436"/>
    <x v="9"/>
    <s v="OF"/>
    <s v="OF"/>
    <n v="-24.1"/>
    <n v="16"/>
    <n v="12"/>
    <x v="165"/>
    <n v="4"/>
    <n v="3"/>
    <x v="16"/>
    <x v="43"/>
    <n v="0"/>
    <n v="0"/>
    <n v="2"/>
    <n v="4"/>
    <n v="0.3"/>
    <n v="0.41699999999999998"/>
    <n v="0.5"/>
    <n v="0.91700000000000004"/>
  </r>
  <r>
    <x v="437"/>
    <x v="1"/>
    <s v="C"/>
    <s v="C"/>
    <n v="-24.1"/>
    <n v="5"/>
    <n v="11"/>
    <x v="165"/>
    <n v="0"/>
    <n v="2"/>
    <x v="16"/>
    <x v="41"/>
    <n v="0"/>
    <n v="0"/>
    <n v="1"/>
    <n v="5"/>
    <n v="0.2"/>
    <n v="0.27300000000000002"/>
    <n v="0.2"/>
    <n v="0.47299999999999998"/>
  </r>
  <r>
    <x v="438"/>
    <x v="18"/>
    <s v="C"/>
    <s v="C"/>
    <n v="-24.2"/>
    <n v="25"/>
    <n v="81"/>
    <x v="123"/>
    <n v="5"/>
    <n v="11"/>
    <x v="16"/>
    <x v="36"/>
    <n v="0"/>
    <n v="0"/>
    <n v="6"/>
    <n v="21"/>
    <n v="0.14899999999999999"/>
    <n v="0.21"/>
    <n v="0.216"/>
    <n v="0.42599999999999999"/>
  </r>
  <r>
    <x v="439"/>
    <x v="23"/>
    <s v="OF"/>
    <s v="OF"/>
    <n v="-24.2"/>
    <n v="8"/>
    <n v="19"/>
    <x v="173"/>
    <n v="1"/>
    <n v="5"/>
    <x v="16"/>
    <x v="40"/>
    <n v="0"/>
    <n v="0"/>
    <n v="1"/>
    <n v="5"/>
    <n v="0.27800000000000002"/>
    <n v="0.316"/>
    <n v="0.27800000000000002"/>
    <n v="0.59399999999999997"/>
  </r>
  <r>
    <x v="241"/>
    <x v="11"/>
    <s v="C"/>
    <s v="C"/>
    <n v="-24.2"/>
    <n v="3"/>
    <n v="4"/>
    <x v="162"/>
    <n v="0"/>
    <n v="1"/>
    <x v="16"/>
    <x v="43"/>
    <n v="0"/>
    <n v="0"/>
    <n v="0"/>
    <n v="1"/>
    <n v="0.25"/>
    <n v="0.25"/>
    <n v="0.25"/>
    <n v="0.5"/>
  </r>
  <r>
    <x v="440"/>
    <x v="4"/>
    <s v="3B"/>
    <s v="3B"/>
    <n v="-24.2"/>
    <n v="4"/>
    <n v="14"/>
    <x v="157"/>
    <n v="1"/>
    <n v="2"/>
    <x v="8"/>
    <x v="40"/>
    <n v="0"/>
    <n v="0"/>
    <n v="1"/>
    <n v="4"/>
    <n v="0.154"/>
    <n v="0.214"/>
    <n v="0.38500000000000001"/>
    <n v="0.59899999999999998"/>
  </r>
  <r>
    <x v="441"/>
    <x v="28"/>
    <s v="3B"/>
    <s v="SS/3B"/>
    <n v="-24.2"/>
    <n v="6"/>
    <n v="20"/>
    <x v="151"/>
    <n v="3"/>
    <n v="6"/>
    <x v="16"/>
    <x v="43"/>
    <n v="0"/>
    <n v="0"/>
    <n v="1"/>
    <n v="4"/>
    <n v="0.316"/>
    <n v="0.35"/>
    <n v="0.42099999999999999"/>
    <n v="0.77100000000000002"/>
  </r>
  <r>
    <x v="442"/>
    <x v="21"/>
    <s v="OF"/>
    <s v="OF"/>
    <n v="-24.3"/>
    <n v="38"/>
    <n v="102"/>
    <x v="102"/>
    <n v="10"/>
    <n v="14"/>
    <x v="8"/>
    <x v="36"/>
    <n v="0"/>
    <n v="0"/>
    <n v="5"/>
    <n v="24"/>
    <n v="0.14699999999999999"/>
    <n v="0.20599999999999999"/>
    <n v="0.23200000000000001"/>
    <n v="0.438"/>
  </r>
  <r>
    <x v="443"/>
    <x v="5"/>
    <s v="C"/>
    <s v="C"/>
    <n v="-24.3"/>
    <n v="9"/>
    <n v="12"/>
    <x v="168"/>
    <n v="1"/>
    <n v="2"/>
    <x v="16"/>
    <x v="43"/>
    <n v="0"/>
    <n v="0"/>
    <n v="1"/>
    <n v="2"/>
    <n v="0.182"/>
    <n v="0.25"/>
    <n v="0.182"/>
    <n v="0.432"/>
  </r>
  <r>
    <x v="444"/>
    <x v="26"/>
    <s v="C"/>
    <s v="C"/>
    <n v="-24.5"/>
    <n v="35"/>
    <n v="108"/>
    <x v="129"/>
    <n v="5"/>
    <n v="13"/>
    <x v="8"/>
    <x v="37"/>
    <n v="0"/>
    <n v="0"/>
    <n v="14"/>
    <n v="28"/>
    <n v="0.14000000000000001"/>
    <n v="0.25900000000000001"/>
    <n v="0.19400000000000001"/>
    <n v="0.45300000000000001"/>
  </r>
  <r>
    <x v="445"/>
    <x v="23"/>
    <s v="OF"/>
    <s v="OF"/>
    <n v="-24.5"/>
    <n v="14"/>
    <n v="37"/>
    <x v="137"/>
    <n v="3"/>
    <n v="4"/>
    <x v="16"/>
    <x v="38"/>
    <n v="1"/>
    <n v="0"/>
    <n v="4"/>
    <n v="16"/>
    <n v="0.125"/>
    <n v="0.216"/>
    <n v="0.219"/>
    <n v="0.435"/>
  </r>
  <r>
    <x v="446"/>
    <x v="28"/>
    <s v="C"/>
    <s v="C"/>
    <n v="-24.5"/>
    <n v="6"/>
    <n v="13"/>
    <x v="174"/>
    <n v="1"/>
    <n v="2"/>
    <x v="16"/>
    <x v="43"/>
    <n v="0"/>
    <n v="0"/>
    <n v="1"/>
    <n v="3"/>
    <n v="0.16700000000000001"/>
    <n v="0.23100000000000001"/>
    <n v="0.16700000000000001"/>
    <n v="0.39800000000000002"/>
  </r>
  <r>
    <x v="447"/>
    <x v="23"/>
    <s v="1B"/>
    <s v="1B"/>
    <n v="-24.6"/>
    <n v="9"/>
    <n v="32"/>
    <x v="137"/>
    <n v="3"/>
    <n v="4"/>
    <x v="14"/>
    <x v="42"/>
    <n v="0"/>
    <n v="0"/>
    <n v="0"/>
    <n v="15"/>
    <n v="0.125"/>
    <n v="0.125"/>
    <n v="0.34399999999999997"/>
    <n v="0.46899999999999997"/>
  </r>
  <r>
    <x v="448"/>
    <x v="8"/>
    <s v="C"/>
    <s v="C"/>
    <n v="-24.6"/>
    <n v="2"/>
    <n v="2"/>
    <x v="170"/>
    <n v="0"/>
    <n v="0"/>
    <x v="16"/>
    <x v="43"/>
    <n v="0"/>
    <n v="0"/>
    <n v="0"/>
    <n v="2"/>
    <n v="0"/>
    <n v="0"/>
    <n v="0"/>
    <n v="0"/>
  </r>
  <r>
    <x v="449"/>
    <x v="30"/>
    <s v="C"/>
    <s v="C"/>
    <n v="-24.6"/>
    <n v="2"/>
    <n v="3"/>
    <x v="170"/>
    <n v="0"/>
    <n v="0"/>
    <x v="16"/>
    <x v="43"/>
    <n v="0"/>
    <n v="0"/>
    <n v="1"/>
    <n v="0"/>
    <n v="0"/>
    <n v="0.33300000000000002"/>
    <n v="0"/>
    <n v="0.33300000000000002"/>
  </r>
  <r>
    <x v="450"/>
    <x v="19"/>
    <s v="1B"/>
    <s v="1B/2B/ 3B"/>
    <n v="-24.6"/>
    <n v="14"/>
    <n v="30"/>
    <x v="175"/>
    <n v="3"/>
    <n v="7"/>
    <x v="16"/>
    <x v="41"/>
    <n v="0"/>
    <n v="0"/>
    <n v="2"/>
    <n v="9"/>
    <n v="0.25"/>
    <n v="0.3"/>
    <n v="0.25"/>
    <n v="0.55000000000000004"/>
  </r>
  <r>
    <x v="451"/>
    <x v="28"/>
    <s v="C"/>
    <s v="C"/>
    <n v="-24.6"/>
    <n v="1"/>
    <n v="2"/>
    <x v="170"/>
    <n v="0"/>
    <n v="0"/>
    <x v="16"/>
    <x v="43"/>
    <n v="0"/>
    <n v="0"/>
    <n v="0"/>
    <n v="0"/>
    <n v="0"/>
    <n v="0"/>
    <n v="0"/>
    <n v="0"/>
  </r>
  <r>
    <x v="452"/>
    <x v="10"/>
    <s v="C"/>
    <s v="C"/>
    <n v="-24.6"/>
    <n v="5"/>
    <n v="2"/>
    <x v="170"/>
    <n v="0"/>
    <n v="0"/>
    <x v="16"/>
    <x v="43"/>
    <n v="0"/>
    <n v="0"/>
    <n v="0"/>
    <n v="0"/>
    <n v="0"/>
    <n v="0"/>
    <n v="0"/>
    <n v="0"/>
  </r>
  <r>
    <x v="453"/>
    <x v="20"/>
    <s v="2B"/>
    <s v="2B"/>
    <n v="-24.6"/>
    <n v="18"/>
    <n v="42"/>
    <x v="134"/>
    <n v="2"/>
    <n v="6"/>
    <x v="16"/>
    <x v="41"/>
    <n v="3"/>
    <n v="0"/>
    <n v="6"/>
    <n v="10"/>
    <n v="0.16700000000000001"/>
    <n v="0.28599999999999998"/>
    <n v="0.222"/>
    <n v="0.50800000000000001"/>
  </r>
  <r>
    <x v="454"/>
    <x v="0"/>
    <s v="C"/>
    <s v="C"/>
    <n v="-24.7"/>
    <n v="6"/>
    <n v="16"/>
    <x v="176"/>
    <n v="1"/>
    <n v="2"/>
    <x v="16"/>
    <x v="41"/>
    <n v="0"/>
    <n v="0"/>
    <n v="0"/>
    <n v="7"/>
    <n v="0.125"/>
    <n v="0.125"/>
    <n v="0.188"/>
    <n v="0.313"/>
  </r>
  <r>
    <x v="455"/>
    <x v="20"/>
    <s v="C"/>
    <s v="C"/>
    <n v="-24.8"/>
    <n v="22"/>
    <n v="63"/>
    <x v="63"/>
    <n v="1"/>
    <n v="10"/>
    <x v="16"/>
    <x v="40"/>
    <n v="0"/>
    <n v="0"/>
    <n v="8"/>
    <n v="19"/>
    <n v="0.189"/>
    <n v="0.30199999999999999"/>
    <n v="0.20799999999999999"/>
    <n v="0.51"/>
  </r>
  <r>
    <x v="456"/>
    <x v="29"/>
    <s v="2B"/>
    <s v="2B"/>
    <n v="-24.8"/>
    <n v="29"/>
    <n v="79"/>
    <x v="133"/>
    <n v="5"/>
    <n v="16"/>
    <x v="16"/>
    <x v="42"/>
    <n v="0"/>
    <n v="0"/>
    <n v="7"/>
    <n v="20"/>
    <n v="0.222"/>
    <n v="0.29099999999999998"/>
    <n v="0.27800000000000002"/>
    <n v="0.56899999999999995"/>
  </r>
  <r>
    <x v="457"/>
    <x v="18"/>
    <s v="2B/SS/ 3B"/>
    <s v="2B/SS/ 3B"/>
    <n v="-24.8"/>
    <n v="18"/>
    <n v="53"/>
    <x v="130"/>
    <n v="3"/>
    <n v="8"/>
    <x v="16"/>
    <x v="38"/>
    <n v="1"/>
    <n v="0"/>
    <n v="4"/>
    <n v="13"/>
    <n v="0.16300000000000001"/>
    <n v="0.22600000000000001"/>
    <n v="0.28599999999999998"/>
    <n v="0.51200000000000001"/>
  </r>
  <r>
    <x v="458"/>
    <x v="15"/>
    <s v="C"/>
    <s v="C"/>
    <n v="-25"/>
    <n v="5"/>
    <n v="17"/>
    <x v="160"/>
    <n v="0"/>
    <n v="2"/>
    <x v="16"/>
    <x v="41"/>
    <n v="0"/>
    <n v="0"/>
    <n v="2"/>
    <n v="6"/>
    <n v="0.13300000000000001"/>
    <n v="0.23499999999999999"/>
    <n v="0.13300000000000001"/>
    <n v="0.36799999999999999"/>
  </r>
  <r>
    <x v="459"/>
    <x v="14"/>
    <s v="DH"/>
    <s v="DH"/>
    <n v="-25"/>
    <n v="6"/>
    <n v="18"/>
    <x v="173"/>
    <n v="1"/>
    <n v="3"/>
    <x v="8"/>
    <x v="42"/>
    <n v="0"/>
    <n v="0"/>
    <n v="0"/>
    <n v="9"/>
    <n v="0.16700000000000001"/>
    <n v="0.16700000000000001"/>
    <n v="0.38900000000000001"/>
    <n v="0.55600000000000005"/>
  </r>
  <r>
    <x v="460"/>
    <x v="26"/>
    <s v="OF"/>
    <s v="OF"/>
    <n v="-25.2"/>
    <n v="4"/>
    <n v="9"/>
    <x v="167"/>
    <n v="1"/>
    <n v="1"/>
    <x v="8"/>
    <x v="41"/>
    <n v="0"/>
    <n v="0"/>
    <n v="0"/>
    <n v="2"/>
    <n v="0.111"/>
    <n v="0.111"/>
    <n v="0.44400000000000001"/>
    <n v="0.55500000000000005"/>
  </r>
  <r>
    <x v="461"/>
    <x v="23"/>
    <s v="SS"/>
    <s v="SS"/>
    <n v="-25.2"/>
    <n v="3"/>
    <n v="6"/>
    <x v="172"/>
    <n v="1"/>
    <n v="2"/>
    <x v="16"/>
    <x v="41"/>
    <n v="0"/>
    <n v="0"/>
    <n v="0"/>
    <n v="1"/>
    <n v="0.33300000000000002"/>
    <n v="0.33300000000000002"/>
    <n v="0.5"/>
    <n v="0.83299999999999996"/>
  </r>
  <r>
    <x v="462"/>
    <x v="20"/>
    <s v="DH"/>
    <s v="DH"/>
    <n v="-25.2"/>
    <n v="13"/>
    <n v="26"/>
    <x v="155"/>
    <n v="3"/>
    <n v="2"/>
    <x v="8"/>
    <x v="42"/>
    <n v="0"/>
    <n v="0"/>
    <n v="5"/>
    <n v="10"/>
    <n v="9.5000000000000001E-2"/>
    <n v="0.26900000000000002"/>
    <n v="0.28599999999999998"/>
    <n v="0.55500000000000005"/>
  </r>
  <r>
    <x v="463"/>
    <x v="6"/>
    <s v="3B"/>
    <s v="3B"/>
    <n v="-25.3"/>
    <n v="5"/>
    <n v="17"/>
    <x v="176"/>
    <n v="2"/>
    <n v="2"/>
    <x v="8"/>
    <x v="41"/>
    <n v="0"/>
    <n v="0"/>
    <n v="1"/>
    <n v="6"/>
    <n v="0.125"/>
    <n v="0.17599999999999999"/>
    <n v="0.312"/>
    <n v="0.48799999999999999"/>
  </r>
  <r>
    <x v="464"/>
    <x v="26"/>
    <s v="1B/OF"/>
    <s v="1B/OF"/>
    <n v="-25.3"/>
    <n v="8"/>
    <n v="21"/>
    <x v="144"/>
    <n v="2"/>
    <n v="3"/>
    <x v="8"/>
    <x v="41"/>
    <n v="0"/>
    <n v="0"/>
    <n v="0"/>
    <n v="9"/>
    <n v="0.15"/>
    <n v="0.19"/>
    <n v="0.3"/>
    <n v="0.49"/>
  </r>
  <r>
    <x v="465"/>
    <x v="29"/>
    <s v="3B"/>
    <s v="1B/3B"/>
    <n v="-25.4"/>
    <n v="10"/>
    <n v="27"/>
    <x v="177"/>
    <n v="1"/>
    <n v="2"/>
    <x v="8"/>
    <x v="39"/>
    <n v="0"/>
    <n v="0"/>
    <n v="3"/>
    <n v="7"/>
    <n v="9.0999999999999998E-2"/>
    <n v="0.222"/>
    <n v="0.22700000000000001"/>
    <n v="0.44900000000000001"/>
  </r>
  <r>
    <x v="466"/>
    <x v="30"/>
    <s v="DH"/>
    <s v="DH"/>
    <n v="-25.5"/>
    <n v="12"/>
    <n v="24"/>
    <x v="155"/>
    <n v="2"/>
    <n v="4"/>
    <x v="16"/>
    <x v="42"/>
    <n v="0"/>
    <n v="0"/>
    <n v="3"/>
    <n v="5"/>
    <n v="0.19"/>
    <n v="0.29199999999999998"/>
    <n v="0.23799999999999999"/>
    <n v="0.53"/>
  </r>
  <r>
    <x v="467"/>
    <x v="8"/>
    <s v="SS"/>
    <s v="SS"/>
    <n v="-25.5"/>
    <n v="1"/>
    <n v="2"/>
    <x v="171"/>
    <n v="1"/>
    <n v="1"/>
    <x v="16"/>
    <x v="43"/>
    <n v="0"/>
    <n v="0"/>
    <n v="1"/>
    <n v="0"/>
    <n v="0.999"/>
    <n v="0.999"/>
    <n v="0.999"/>
    <n v="2"/>
  </r>
  <r>
    <x v="468"/>
    <x v="5"/>
    <s v="2B"/>
    <s v="2B"/>
    <n v="-25.6"/>
    <n v="4"/>
    <n v="16"/>
    <x v="174"/>
    <n v="1"/>
    <n v="3"/>
    <x v="16"/>
    <x v="41"/>
    <n v="0"/>
    <n v="0"/>
    <n v="4"/>
    <n v="4"/>
    <n v="0.25"/>
    <n v="0.438"/>
    <n v="0.33300000000000002"/>
    <n v="0.77100000000000002"/>
  </r>
  <r>
    <x v="469"/>
    <x v="24"/>
    <s v="OF"/>
    <s v="OF"/>
    <n v="-25.6"/>
    <n v="8"/>
    <n v="16"/>
    <x v="174"/>
    <n v="2"/>
    <n v="1"/>
    <x v="16"/>
    <x v="41"/>
    <n v="1"/>
    <n v="0"/>
    <n v="1"/>
    <n v="4"/>
    <n v="8.3000000000000004E-2"/>
    <n v="0.312"/>
    <n v="0.16700000000000001"/>
    <n v="0.47899999999999998"/>
  </r>
  <r>
    <x v="470"/>
    <x v="15"/>
    <s v="OF"/>
    <s v="OF"/>
    <n v="-25.7"/>
    <n v="4"/>
    <n v="5"/>
    <x v="164"/>
    <n v="1"/>
    <n v="1"/>
    <x v="16"/>
    <x v="41"/>
    <n v="0"/>
    <n v="0"/>
    <n v="0"/>
    <n v="2"/>
    <n v="0.2"/>
    <n v="0.2"/>
    <n v="0.2"/>
    <n v="0.4"/>
  </r>
  <r>
    <x v="471"/>
    <x v="12"/>
    <s v="1B/3B"/>
    <s v="1B/3B"/>
    <n v="-25.7"/>
    <n v="8"/>
    <n v="13"/>
    <x v="168"/>
    <n v="1"/>
    <n v="2"/>
    <x v="16"/>
    <x v="43"/>
    <n v="1"/>
    <n v="0"/>
    <n v="2"/>
    <n v="7"/>
    <n v="0.182"/>
    <n v="0.308"/>
    <n v="0.182"/>
    <n v="0.49"/>
  </r>
  <r>
    <x v="472"/>
    <x v="27"/>
    <s v="C"/>
    <s v="C"/>
    <n v="-25.8"/>
    <n v="10"/>
    <n v="23"/>
    <x v="178"/>
    <n v="0"/>
    <n v="3"/>
    <x v="16"/>
    <x v="41"/>
    <n v="0"/>
    <n v="0"/>
    <n v="0"/>
    <n v="10"/>
    <n v="0.13"/>
    <n v="0.13"/>
    <n v="0.17399999999999999"/>
    <n v="0.30399999999999999"/>
  </r>
  <r>
    <x v="473"/>
    <x v="29"/>
    <s v="OF"/>
    <s v="OF"/>
    <n v="-25.9"/>
    <n v="7"/>
    <n v="21"/>
    <x v="155"/>
    <n v="0"/>
    <n v="5"/>
    <x v="16"/>
    <x v="42"/>
    <n v="0"/>
    <n v="0"/>
    <n v="0"/>
    <n v="3"/>
    <n v="0.23799999999999999"/>
    <n v="0.23799999999999999"/>
    <n v="0.28599999999999998"/>
    <n v="0.52400000000000002"/>
  </r>
  <r>
    <x v="474"/>
    <x v="19"/>
    <s v="3B"/>
    <s v="3B"/>
    <n v="-25.9"/>
    <n v="4"/>
    <n v="14"/>
    <x v="157"/>
    <n v="0"/>
    <n v="3"/>
    <x v="16"/>
    <x v="43"/>
    <n v="1"/>
    <n v="0"/>
    <n v="1"/>
    <n v="3"/>
    <n v="0.23100000000000001"/>
    <n v="0.28599999999999998"/>
    <n v="0.23100000000000001"/>
    <n v="0.51700000000000002"/>
  </r>
  <r>
    <x v="475"/>
    <x v="9"/>
    <s v="DH"/>
    <s v="2B/3B/ OF"/>
    <n v="-25.9"/>
    <n v="2"/>
    <n v="3"/>
    <x v="179"/>
    <n v="1"/>
    <n v="1"/>
    <x v="16"/>
    <x v="43"/>
    <n v="0"/>
    <n v="0"/>
    <n v="0"/>
    <n v="1"/>
    <n v="0.33300000000000002"/>
    <n v="0.33300000000000002"/>
    <n v="0.33300000000000002"/>
    <n v="0.66600000000000004"/>
  </r>
  <r>
    <x v="476"/>
    <x v="25"/>
    <s v="DH"/>
    <s v="DH"/>
    <n v="-26"/>
    <n v="6"/>
    <n v="19"/>
    <x v="173"/>
    <n v="1"/>
    <n v="4"/>
    <x v="16"/>
    <x v="41"/>
    <n v="0"/>
    <n v="0"/>
    <n v="1"/>
    <n v="2"/>
    <n v="0.222"/>
    <n v="0.26300000000000001"/>
    <n v="0.27800000000000002"/>
    <n v="0.54100000000000004"/>
  </r>
  <r>
    <x v="477"/>
    <x v="27"/>
    <s v="OF"/>
    <s v="OF"/>
    <n v="-26"/>
    <n v="9"/>
    <n v="21"/>
    <x v="144"/>
    <n v="4"/>
    <n v="3"/>
    <x v="16"/>
    <x v="43"/>
    <n v="0"/>
    <n v="0"/>
    <n v="1"/>
    <n v="8"/>
    <n v="0.15"/>
    <n v="0.19"/>
    <n v="0.2"/>
    <n v="0.39"/>
  </r>
  <r>
    <x v="478"/>
    <x v="22"/>
    <s v="2B"/>
    <s v="1B/2B/ SS/3B/OF"/>
    <n v="-26.2"/>
    <n v="2"/>
    <n v="5"/>
    <x v="164"/>
    <n v="1"/>
    <n v="1"/>
    <x v="16"/>
    <x v="43"/>
    <n v="0"/>
    <n v="0"/>
    <n v="0"/>
    <n v="3"/>
    <n v="0.2"/>
    <n v="0.2"/>
    <n v="0.2"/>
    <n v="0.4"/>
  </r>
  <r>
    <x v="479"/>
    <x v="4"/>
    <s v="C"/>
    <s v="C"/>
    <n v="-26.2"/>
    <n v="19"/>
    <n v="54"/>
    <x v="132"/>
    <n v="5"/>
    <n v="6"/>
    <x v="16"/>
    <x v="41"/>
    <n v="0"/>
    <n v="0"/>
    <n v="2"/>
    <n v="16"/>
    <n v="0.11799999999999999"/>
    <n v="0.14799999999999999"/>
    <n v="0.11799999999999999"/>
    <n v="0.26600000000000001"/>
  </r>
  <r>
    <x v="480"/>
    <x v="22"/>
    <s v="C"/>
    <s v="C"/>
    <n v="-26.3"/>
    <n v="23"/>
    <n v="50"/>
    <x v="180"/>
    <n v="3"/>
    <n v="6"/>
    <x v="16"/>
    <x v="43"/>
    <n v="0"/>
    <n v="0"/>
    <n v="5"/>
    <n v="12"/>
    <n v="0.14000000000000001"/>
    <n v="0.26"/>
    <n v="0.14000000000000001"/>
    <n v="0.4"/>
  </r>
  <r>
    <x v="481"/>
    <x v="30"/>
    <s v="OF"/>
    <s v="OF"/>
    <n v="-26.4"/>
    <n v="9"/>
    <n v="2"/>
    <x v="170"/>
    <n v="1"/>
    <n v="0"/>
    <x v="16"/>
    <x v="43"/>
    <n v="0"/>
    <n v="0"/>
    <n v="0"/>
    <n v="1"/>
    <n v="0"/>
    <n v="0"/>
    <n v="0"/>
    <n v="0"/>
  </r>
  <r>
    <x v="482"/>
    <x v="28"/>
    <s v="SS"/>
    <s v="SS"/>
    <n v="-26.5"/>
    <n v="3"/>
    <n v="10"/>
    <x v="165"/>
    <n v="0"/>
    <n v="2"/>
    <x v="16"/>
    <x v="41"/>
    <n v="0"/>
    <n v="0"/>
    <n v="0"/>
    <n v="0"/>
    <n v="0.2"/>
    <n v="0.2"/>
    <n v="0.2"/>
    <n v="0.4"/>
  </r>
  <r>
    <x v="483"/>
    <x v="2"/>
    <s v="3B"/>
    <s v="2B/3B"/>
    <n v="-26.7"/>
    <n v="1"/>
    <n v="1"/>
    <x v="171"/>
    <n v="0"/>
    <n v="0"/>
    <x v="16"/>
    <x v="43"/>
    <n v="0"/>
    <n v="0"/>
    <n v="0"/>
    <n v="0"/>
    <n v="0"/>
    <n v="0"/>
    <n v="0"/>
    <n v="0"/>
  </r>
  <r>
    <x v="484"/>
    <x v="19"/>
    <s v="2B"/>
    <s v="2B"/>
    <n v="-26.7"/>
    <n v="1"/>
    <n v="2"/>
    <x v="171"/>
    <n v="0"/>
    <n v="0"/>
    <x v="16"/>
    <x v="43"/>
    <n v="0"/>
    <n v="0"/>
    <n v="1"/>
    <n v="1"/>
    <n v="0"/>
    <n v="0.5"/>
    <n v="0"/>
    <n v="0.5"/>
  </r>
  <r>
    <x v="485"/>
    <x v="2"/>
    <s v="3B/OF"/>
    <s v="2B/3B/ OF"/>
    <n v="-26.8"/>
    <n v="4"/>
    <n v="10"/>
    <x v="165"/>
    <n v="0"/>
    <n v="1"/>
    <x v="16"/>
    <x v="43"/>
    <n v="1"/>
    <n v="0"/>
    <n v="0"/>
    <n v="3"/>
    <n v="0.1"/>
    <n v="0.1"/>
    <n v="0.1"/>
    <n v="0.2"/>
  </r>
  <r>
    <x v="486"/>
    <x v="15"/>
    <s v="OF"/>
    <s v="OF"/>
    <n v="-26.8"/>
    <n v="9"/>
    <n v="27"/>
    <x v="181"/>
    <n v="1"/>
    <n v="5"/>
    <x v="16"/>
    <x v="41"/>
    <n v="0"/>
    <n v="0"/>
    <n v="1"/>
    <n v="8"/>
    <n v="0.192"/>
    <n v="0.222"/>
    <n v="0.23100000000000001"/>
    <n v="0.45300000000000001"/>
  </r>
  <r>
    <x v="487"/>
    <x v="2"/>
    <s v="C"/>
    <s v="C"/>
    <n v="-26.9"/>
    <n v="23"/>
    <n v="74"/>
    <x v="140"/>
    <n v="3"/>
    <n v="6"/>
    <x v="16"/>
    <x v="40"/>
    <n v="2"/>
    <n v="0"/>
    <n v="8"/>
    <n v="19"/>
    <n v="9.1999999999999998E-2"/>
    <n v="0.189"/>
    <n v="0.108"/>
    <n v="0.29699999999999999"/>
  </r>
  <r>
    <x v="488"/>
    <x v="10"/>
    <s v="OF"/>
    <s v="OF"/>
    <n v="-26.9"/>
    <n v="8"/>
    <n v="22"/>
    <x v="144"/>
    <n v="0"/>
    <n v="4"/>
    <x v="16"/>
    <x v="41"/>
    <n v="0"/>
    <n v="0"/>
    <n v="2"/>
    <n v="8"/>
    <n v="0.2"/>
    <n v="0.27300000000000002"/>
    <n v="0.3"/>
    <n v="0.57299999999999995"/>
  </r>
  <r>
    <x v="489"/>
    <x v="25"/>
    <s v="3B"/>
    <s v="3B"/>
    <n v="-26.9"/>
    <n v="10"/>
    <n v="17"/>
    <x v="160"/>
    <n v="2"/>
    <n v="2"/>
    <x v="16"/>
    <x v="43"/>
    <n v="0"/>
    <n v="0"/>
    <n v="2"/>
    <n v="6"/>
    <n v="0.13300000000000001"/>
    <n v="0.23499999999999999"/>
    <n v="0.2"/>
    <n v="0.435"/>
  </r>
  <r>
    <x v="490"/>
    <x v="8"/>
    <s v="DH"/>
    <s v="C"/>
    <n v="-27.1"/>
    <n v="10"/>
    <n v="4"/>
    <x v="179"/>
    <n v="0"/>
    <n v="0"/>
    <x v="16"/>
    <x v="43"/>
    <n v="0"/>
    <n v="0"/>
    <n v="1"/>
    <n v="0"/>
    <n v="0"/>
    <n v="0.25"/>
    <n v="0"/>
    <n v="0.25"/>
  </r>
  <r>
    <x v="491"/>
    <x v="9"/>
    <s v="OF"/>
    <s v="OF"/>
    <n v="-27.2"/>
    <n v="4"/>
    <n v="7"/>
    <x v="172"/>
    <n v="1"/>
    <n v="0"/>
    <x v="16"/>
    <x v="43"/>
    <n v="0"/>
    <n v="0"/>
    <n v="1"/>
    <n v="4"/>
    <n v="0"/>
    <n v="0.14299999999999999"/>
    <n v="0"/>
    <n v="0.14299999999999999"/>
  </r>
  <r>
    <x v="492"/>
    <x v="16"/>
    <s v="2B/SS/ 3B"/>
    <s v="2B/SS/ 3B"/>
    <n v="-27.3"/>
    <n v="1"/>
    <n v="4"/>
    <x v="162"/>
    <n v="0"/>
    <n v="0"/>
    <x v="16"/>
    <x v="43"/>
    <n v="0"/>
    <n v="0"/>
    <n v="0"/>
    <n v="0"/>
    <n v="0"/>
    <n v="0"/>
    <n v="0"/>
    <n v="0"/>
  </r>
  <r>
    <x v="493"/>
    <x v="0"/>
    <s v="SS"/>
    <s v="SS"/>
    <n v="-27.3"/>
    <n v="2"/>
    <n v="4"/>
    <x v="162"/>
    <n v="0"/>
    <n v="0"/>
    <x v="16"/>
    <x v="43"/>
    <n v="0"/>
    <n v="0"/>
    <n v="0"/>
    <n v="1"/>
    <n v="0"/>
    <n v="0"/>
    <n v="0"/>
    <n v="0"/>
  </r>
  <r>
    <x v="494"/>
    <x v="8"/>
    <s v="1B"/>
    <s v="1B"/>
    <n v="-27.4"/>
    <n v="5"/>
    <n v="17"/>
    <x v="160"/>
    <n v="0"/>
    <n v="2"/>
    <x v="16"/>
    <x v="41"/>
    <n v="0"/>
    <n v="0"/>
    <n v="2"/>
    <n v="6"/>
    <n v="0.13300000000000001"/>
    <n v="0.23499999999999999"/>
    <n v="0.13300000000000001"/>
    <n v="0.36799999999999999"/>
  </r>
  <r>
    <x v="495"/>
    <x v="29"/>
    <s v="SS"/>
    <s v="SS/3B"/>
    <n v="-27.4"/>
    <n v="11"/>
    <n v="18"/>
    <x v="173"/>
    <n v="2"/>
    <n v="2"/>
    <x v="16"/>
    <x v="43"/>
    <n v="0"/>
    <n v="0"/>
    <n v="0"/>
    <n v="7"/>
    <n v="0.111"/>
    <n v="0.111"/>
    <n v="0.111"/>
    <n v="0.222"/>
  </r>
  <r>
    <x v="496"/>
    <x v="28"/>
    <s v="C"/>
    <s v="C"/>
    <n v="-27.5"/>
    <n v="19"/>
    <n v="54"/>
    <x v="132"/>
    <n v="1"/>
    <n v="5"/>
    <x v="16"/>
    <x v="39"/>
    <n v="0"/>
    <n v="0"/>
    <n v="2"/>
    <n v="15"/>
    <n v="9.8000000000000004E-2"/>
    <n v="0.14799999999999999"/>
    <n v="0.11799999999999999"/>
    <n v="0.26600000000000001"/>
  </r>
  <r>
    <x v="497"/>
    <x v="17"/>
    <s v="OF"/>
    <s v="C/OF"/>
    <n v="-27.5"/>
    <n v="10"/>
    <n v="26"/>
    <x v="178"/>
    <n v="2"/>
    <n v="2"/>
    <x v="16"/>
    <x v="43"/>
    <n v="1"/>
    <n v="0"/>
    <n v="2"/>
    <n v="9"/>
    <n v="8.6999999999999994E-2"/>
    <n v="0.192"/>
    <n v="0.13"/>
    <n v="0.32200000000000001"/>
  </r>
  <r>
    <x v="498"/>
    <x v="16"/>
    <s v="OF"/>
    <s v="OF"/>
    <n v="-27.6"/>
    <n v="10"/>
    <n v="12"/>
    <x v="174"/>
    <n v="1"/>
    <n v="1"/>
    <x v="16"/>
    <x v="43"/>
    <n v="0"/>
    <n v="0"/>
    <n v="0"/>
    <n v="5"/>
    <n v="8.3000000000000004E-2"/>
    <n v="8.3000000000000004E-2"/>
    <n v="8.3000000000000004E-2"/>
    <n v="0.16600000000000001"/>
  </r>
  <r>
    <x v="499"/>
    <x v="8"/>
    <s v="2B/SS"/>
    <s v="2B/SS"/>
    <n v="-27.6"/>
    <n v="8"/>
    <n v="16"/>
    <x v="176"/>
    <n v="0"/>
    <n v="2"/>
    <x v="16"/>
    <x v="41"/>
    <n v="0"/>
    <n v="0"/>
    <n v="0"/>
    <n v="3"/>
    <n v="0.125"/>
    <n v="0.125"/>
    <n v="0.125"/>
    <n v="0.25"/>
  </r>
  <r>
    <x v="500"/>
    <x v="30"/>
    <s v="OF"/>
    <s v="OF"/>
    <n v="-27.7"/>
    <n v="5"/>
    <n v="6"/>
    <x v="172"/>
    <n v="0"/>
    <n v="0"/>
    <x v="16"/>
    <x v="43"/>
    <n v="0"/>
    <n v="1"/>
    <n v="0"/>
    <n v="2"/>
    <n v="0"/>
    <n v="0"/>
    <n v="0"/>
    <n v="0"/>
  </r>
  <r>
    <x v="501"/>
    <x v="30"/>
    <s v="OF"/>
    <s v="OF"/>
    <n v="-27.7"/>
    <n v="5"/>
    <n v="12"/>
    <x v="167"/>
    <n v="1"/>
    <n v="0"/>
    <x v="16"/>
    <x v="43"/>
    <n v="0"/>
    <n v="0"/>
    <n v="3"/>
    <n v="2"/>
    <n v="0"/>
    <n v="0.25"/>
    <n v="0"/>
    <n v="0.25"/>
  </r>
  <r>
    <x v="502"/>
    <x v="5"/>
    <s v="3B"/>
    <s v="3B"/>
    <n v="-27.7"/>
    <n v="2"/>
    <n v="6"/>
    <x v="172"/>
    <n v="0"/>
    <n v="0"/>
    <x v="16"/>
    <x v="43"/>
    <n v="0"/>
    <n v="0"/>
    <n v="0"/>
    <n v="3"/>
    <n v="0"/>
    <n v="0"/>
    <n v="0"/>
    <n v="0"/>
  </r>
  <r>
    <x v="503"/>
    <x v="23"/>
    <s v="2B"/>
    <s v="2B/SS"/>
    <n v="-27.8"/>
    <n v="8"/>
    <n v="18"/>
    <x v="173"/>
    <n v="0"/>
    <n v="3"/>
    <x v="16"/>
    <x v="43"/>
    <n v="0"/>
    <n v="0"/>
    <n v="0"/>
    <n v="8"/>
    <n v="0.16700000000000001"/>
    <n v="0.16700000000000001"/>
    <n v="0.16700000000000001"/>
    <n v="0.33400000000000002"/>
  </r>
  <r>
    <x v="504"/>
    <x v="11"/>
    <s v="2B"/>
    <s v="2B"/>
    <n v="-27.8"/>
    <n v="22"/>
    <n v="69"/>
    <x v="105"/>
    <n v="4"/>
    <n v="9"/>
    <x v="8"/>
    <x v="40"/>
    <n v="0"/>
    <n v="0"/>
    <n v="1"/>
    <n v="16"/>
    <n v="0.13200000000000001"/>
    <n v="0.14499999999999999"/>
    <n v="0.221"/>
    <n v="0.36599999999999999"/>
  </r>
  <r>
    <x v="505"/>
    <x v="0"/>
    <s v="OF"/>
    <s v="OF"/>
    <n v="-28"/>
    <n v="6"/>
    <n v="17"/>
    <x v="161"/>
    <n v="1"/>
    <n v="1"/>
    <x v="16"/>
    <x v="43"/>
    <n v="0"/>
    <n v="0"/>
    <n v="2"/>
    <n v="7"/>
    <n v="7.0999999999999994E-2"/>
    <n v="0.23499999999999999"/>
    <n v="7.0999999999999994E-2"/>
    <n v="0.30599999999999999"/>
  </r>
  <r>
    <x v="506"/>
    <x v="29"/>
    <s v="DH"/>
    <s v="DH"/>
    <n v="-28.1"/>
    <n v="24"/>
    <n v="90"/>
    <x v="119"/>
    <n v="2"/>
    <n v="15"/>
    <x v="16"/>
    <x v="39"/>
    <n v="0"/>
    <n v="0"/>
    <n v="7"/>
    <n v="19"/>
    <n v="0.18099999999999999"/>
    <n v="0.24399999999999999"/>
    <n v="0.217"/>
    <n v="0.46100000000000002"/>
  </r>
  <r>
    <x v="507"/>
    <x v="0"/>
    <s v="3B"/>
    <s v="2B/3B"/>
    <n v="-28.5"/>
    <n v="5"/>
    <n v="11"/>
    <x v="165"/>
    <n v="0"/>
    <n v="0"/>
    <x v="16"/>
    <x v="43"/>
    <n v="0"/>
    <n v="0"/>
    <n v="1"/>
    <n v="4"/>
    <n v="0"/>
    <n v="9.0999999999999998E-2"/>
    <n v="0"/>
    <n v="9.0999999999999998E-2"/>
  </r>
  <r>
    <x v="508"/>
    <x v="7"/>
    <s v="OF"/>
    <s v="OF"/>
    <n v="-30.2"/>
    <n v="13"/>
    <n v="33"/>
    <x v="139"/>
    <n v="1"/>
    <n v="2"/>
    <x v="16"/>
    <x v="43"/>
    <n v="0"/>
    <n v="0"/>
    <n v="3"/>
    <n v="12"/>
    <n v="6.7000000000000004E-2"/>
    <n v="0.152"/>
    <n v="6.7000000000000004E-2"/>
    <n v="0.219"/>
  </r>
  <r>
    <x v="509"/>
    <x v="22"/>
    <s v="OF"/>
    <s v="OF"/>
    <n v="-30.6"/>
    <n v="10"/>
    <n v="26"/>
    <x v="150"/>
    <n v="0"/>
    <n v="1"/>
    <x v="16"/>
    <x v="43"/>
    <n v="0"/>
    <n v="0"/>
    <n v="1"/>
    <n v="14"/>
    <n v="0.04"/>
    <n v="7.6999999999999999E-2"/>
    <n v="0.04"/>
    <n v="0.11700000000000001"/>
  </r>
  <r>
    <x v="510"/>
    <x v="21"/>
    <s v="OF"/>
    <s v="3B/OF"/>
    <n v="-30.7"/>
    <n v="24"/>
    <n v="55"/>
    <x v="117"/>
    <n v="2"/>
    <n v="3"/>
    <x v="16"/>
    <x v="41"/>
    <n v="2"/>
    <n v="0"/>
    <n v="2"/>
    <n v="21"/>
    <n v="5.8000000000000003E-2"/>
    <n v="0.109"/>
    <n v="5.8000000000000003E-2"/>
    <n v="0.16700000000000001"/>
  </r>
  <r>
    <x v="511"/>
    <x v="31"/>
    <m/>
    <m/>
    <m/>
    <m/>
    <m/>
    <x v="182"/>
    <m/>
    <m/>
    <x v="17"/>
    <x v="44"/>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
  <r>
    <n v="1"/>
    <s v="Sonny Gray"/>
    <x v="0"/>
    <s v="P"/>
    <n v="1.93"/>
  </r>
  <r>
    <n v="2"/>
    <s v="Zac Gallen"/>
    <x v="1"/>
    <s v="P"/>
    <n v="2.02"/>
  </r>
  <r>
    <n v="3"/>
    <s v="Spencer Strider"/>
    <x v="2"/>
    <s v="P"/>
    <n v="2.16"/>
  </r>
  <r>
    <n v="4"/>
    <s v="Joe Ryan"/>
    <x v="0"/>
    <s v="P"/>
    <n v="2.2999999999999998"/>
  </r>
  <r>
    <n v="5"/>
    <s v="Nathan Eovaldi"/>
    <x v="3"/>
    <s v="P"/>
    <n v="2.38"/>
  </r>
  <r>
    <n v="6"/>
    <s v="Kevin Gausman"/>
    <x v="4"/>
    <s v="P"/>
    <n v="2.39"/>
  </r>
  <r>
    <n v="7"/>
    <s v="Mitch Keller"/>
    <x v="5"/>
    <s v="P"/>
    <n v="2.59"/>
  </r>
  <r>
    <n v="8"/>
    <s v="Logan Gilbert"/>
    <x v="6"/>
    <s v="P"/>
    <n v="2.6"/>
  </r>
  <r>
    <n v="9"/>
    <s v="George Kirby"/>
    <x v="6"/>
    <s v="P"/>
    <n v="2.62"/>
  </r>
  <r>
    <n v="10"/>
    <s v="Zack Wheeler"/>
    <x v="7"/>
    <s v="P"/>
    <n v="2.81"/>
  </r>
  <r>
    <n v="11"/>
    <s v="Framber Valdez"/>
    <x v="8"/>
    <s v="P"/>
    <n v="2.84"/>
  </r>
  <r>
    <n v="12"/>
    <s v="Justin Steele"/>
    <x v="9"/>
    <s v="P"/>
    <n v="2.87"/>
  </r>
  <r>
    <n v="13"/>
    <s v="Eduardo Rodriguez"/>
    <x v="10"/>
    <s v="P"/>
    <n v="2.96"/>
  </r>
  <r>
    <n v="14"/>
    <s v="Luis Castillo"/>
    <x v="6"/>
    <s v="P"/>
    <n v="2.99"/>
  </r>
  <r>
    <n v="15"/>
    <s v="Hunter Brown"/>
    <x v="8"/>
    <s v="P"/>
    <n v="3"/>
  </r>
  <r>
    <n v="16"/>
    <s v="Clayton Kershaw"/>
    <x v="11"/>
    <s v="P"/>
    <n v="3.22"/>
  </r>
  <r>
    <n v="17"/>
    <s v="Shane McClanahan"/>
    <x v="12"/>
    <s v="P"/>
    <n v="3.25"/>
  </r>
  <r>
    <n v="18"/>
    <s v="Alex Cobb"/>
    <x v="13"/>
    <s v="P"/>
    <n v="3.3"/>
  </r>
  <r>
    <n v="19"/>
    <s v="Bryce Elder"/>
    <x v="2"/>
    <s v="P"/>
    <n v="3.37"/>
  </r>
  <r>
    <n v="20"/>
    <s v="Gerrit Cole"/>
    <x v="14"/>
    <s v="P"/>
    <n v="3.39"/>
  </r>
  <r>
    <n v="21"/>
    <s v="Michael Wacha"/>
    <x v="15"/>
    <s v="P"/>
    <n v="3.4"/>
  </r>
  <r>
    <n v="22"/>
    <s v="Anthony DeSclafani"/>
    <x v="13"/>
    <s v="P"/>
    <n v="3.48"/>
  </r>
  <r>
    <n v="23"/>
    <s v="Pablo Lopez"/>
    <x v="0"/>
    <s v="P"/>
    <n v="3.48"/>
  </r>
  <r>
    <n v="24"/>
    <s v="Logan Webb"/>
    <x v="13"/>
    <s v="P"/>
    <n v="3.49"/>
  </r>
  <r>
    <n v="25"/>
    <s v="Cristian Javier"/>
    <x v="8"/>
    <s v="P"/>
    <n v="3.51"/>
  </r>
  <r>
    <n v="26"/>
    <s v="Drew Smyly"/>
    <x v="9"/>
    <s v="P"/>
    <n v="3.53"/>
  </r>
  <r>
    <n v="27"/>
    <s v="Merrill Kelly"/>
    <x v="1"/>
    <s v="P"/>
    <n v="3.58"/>
  </r>
  <r>
    <n v="28"/>
    <s v="Marcus Stroman"/>
    <x v="9"/>
    <s v="P"/>
    <n v="3.65"/>
  </r>
  <r>
    <n v="29"/>
    <s v="Jose Berrios"/>
    <x v="4"/>
    <s v="P"/>
    <n v="3.67"/>
  </r>
  <r>
    <n v="30"/>
    <s v="Sandy Alcantara"/>
    <x v="16"/>
    <s v="P"/>
    <n v="3.72"/>
  </r>
  <r>
    <n v="31"/>
    <s v="Lucas Giolito"/>
    <x v="17"/>
    <s v="P"/>
    <n v="3.74"/>
  </r>
  <r>
    <n v="32"/>
    <s v="Jesus Luzardo"/>
    <x v="16"/>
    <s v="P"/>
    <n v="3.77"/>
  </r>
  <r>
    <n v="33"/>
    <s v="Aaron Nola"/>
    <x v="7"/>
    <s v="P"/>
    <n v="3.84"/>
  </r>
  <r>
    <n v="34"/>
    <s v="Charlie Morton"/>
    <x v="2"/>
    <s v="P"/>
    <n v="3.89"/>
  </r>
  <r>
    <n v="35"/>
    <s v="Shane Bieber"/>
    <x v="18"/>
    <s v="P"/>
    <n v="3.9"/>
  </r>
  <r>
    <n v="36"/>
    <s v="Hunter Greene"/>
    <x v="19"/>
    <s v="P"/>
    <n v="3.9"/>
  </r>
  <r>
    <n v="37"/>
    <s v="Shohei Ohtani"/>
    <x v="20"/>
    <s v="P"/>
    <n v="3.93"/>
  </r>
  <r>
    <n v="38"/>
    <s v="Chris Sale"/>
    <x v="21"/>
    <s v="P"/>
    <n v="3.94"/>
  </r>
  <r>
    <n v="39"/>
    <s v="Yu Darvish"/>
    <x v="15"/>
    <s v="P"/>
    <n v="3.94"/>
  </r>
  <r>
    <n v="40"/>
    <s v="Jordan Montgomery"/>
    <x v="22"/>
    <s v="P"/>
    <n v="3.94"/>
  </r>
  <r>
    <n v="41"/>
    <s v="Johan Oviedo"/>
    <x v="5"/>
    <s v="P"/>
    <n v="3.96"/>
  </r>
  <r>
    <n v="42"/>
    <s v="Freddy Peralta"/>
    <x v="23"/>
    <s v="P"/>
    <n v="4.01"/>
  </r>
  <r>
    <n v="43"/>
    <s v="Kyle Gibson"/>
    <x v="24"/>
    <s v="P"/>
    <n v="4.0999999999999996"/>
  </r>
  <r>
    <n v="44"/>
    <s v="MacKenzie Gore"/>
    <x v="25"/>
    <s v="P"/>
    <n v="4.0999999999999996"/>
  </r>
  <r>
    <n v="45"/>
    <s v="Rich Hill"/>
    <x v="5"/>
    <s v="P"/>
    <n v="4.17"/>
  </r>
  <r>
    <n v="46"/>
    <s v="Dylan Cease"/>
    <x v="17"/>
    <s v="P"/>
    <n v="4.1900000000000004"/>
  </r>
  <r>
    <n v="47"/>
    <s v="Josiah Gray"/>
    <x v="25"/>
    <s v="P"/>
    <n v="4.21"/>
  </r>
  <r>
    <n v="48"/>
    <s v="Patrick Corbin"/>
    <x v="25"/>
    <s v="P"/>
    <n v="4.37"/>
  </r>
  <r>
    <n v="49"/>
    <s v="Kyle Freeland"/>
    <x v="26"/>
    <s v="P"/>
    <n v="4.4000000000000004"/>
  </r>
  <r>
    <n v="50"/>
    <s v="Graham Ashcraft"/>
    <x v="19"/>
    <s v="P"/>
    <n v="4.42"/>
  </r>
  <r>
    <n v="51"/>
    <s v="Ryne Nelson"/>
    <x v="1"/>
    <s v="P"/>
    <n v="4.43"/>
  </r>
  <r>
    <n v="52"/>
    <s v="Miles Mikolas"/>
    <x v="22"/>
    <s v="P"/>
    <n v="4.46"/>
  </r>
  <r>
    <n v="53"/>
    <s v="Roansy Contreras"/>
    <x v="5"/>
    <s v="P"/>
    <n v="4.4800000000000004"/>
  </r>
  <r>
    <n v="54"/>
    <s v="Martin Perez"/>
    <x v="3"/>
    <s v="P"/>
    <n v="4.5"/>
  </r>
  <r>
    <n v="55"/>
    <s v="Zack Greinke"/>
    <x v="27"/>
    <s v="P"/>
    <n v="4.51"/>
  </r>
  <r>
    <n v="56"/>
    <s v="Lance Lynn"/>
    <x v="17"/>
    <s v="P"/>
    <n v="4.63"/>
  </r>
  <r>
    <n v="57"/>
    <s v="Nestor Cortes Jr."/>
    <x v="14"/>
    <s v="P"/>
    <n v="4.6900000000000004"/>
  </r>
  <r>
    <n v="58"/>
    <s v="Corbin Burnes"/>
    <x v="23"/>
    <s v="P"/>
    <n v="4.74"/>
  </r>
  <r>
    <n v="59"/>
    <s v="Jon Gray"/>
    <x v="3"/>
    <s v="P"/>
    <n v="4.74"/>
  </r>
  <r>
    <n v="60"/>
    <s v="Dean Kremer"/>
    <x v="24"/>
    <s v="P"/>
    <n v="4.76"/>
  </r>
  <r>
    <n v="61"/>
    <s v="Jack Flaherty"/>
    <x v="22"/>
    <s v="P"/>
    <n v="4.79"/>
  </r>
  <r>
    <n v="62"/>
    <s v="Chris Bassitt"/>
    <x v="4"/>
    <s v="P"/>
    <n v="4.8499999999999996"/>
  </r>
  <r>
    <n v="63"/>
    <s v="Cal Quantrill"/>
    <x v="18"/>
    <s v="P"/>
    <n v="4.93"/>
  </r>
  <r>
    <n v="64"/>
    <s v="Tyler Wells"/>
    <x v="24"/>
    <s v="P"/>
    <n v="4.95"/>
  </r>
  <r>
    <n v="65"/>
    <s v="Trevor Williams"/>
    <x v="25"/>
    <s v="P"/>
    <n v="4.96"/>
  </r>
  <r>
    <n v="66"/>
    <s v="Julio Urias"/>
    <x v="11"/>
    <s v="P"/>
    <n v="5.22"/>
  </r>
  <r>
    <n v="67"/>
    <s v="Tylor Megill"/>
    <x v="28"/>
    <s v="P"/>
    <n v="5.36"/>
  </r>
  <r>
    <n v="68"/>
    <s v="Michael Kopech"/>
    <x v="17"/>
    <s v="P"/>
    <n v="5.55"/>
  </r>
  <r>
    <n v="69"/>
    <s v="Yusei Kikuchi"/>
    <x v="4"/>
    <s v="P"/>
    <n v="5.75"/>
  </r>
  <r>
    <n v="70"/>
    <s v="Austin Gomber"/>
    <x v="26"/>
    <s v="P"/>
    <n v="5.96"/>
  </r>
  <r>
    <n v="71"/>
    <s v="Jordan Lyles"/>
    <x v="27"/>
    <s v="P"/>
    <n v="6.01"/>
  </r>
  <r>
    <n v="72"/>
    <s v="Alek Manoah"/>
    <x v="4"/>
    <s v="P"/>
    <n v="6.18"/>
  </r>
  <r>
    <m/>
    <m/>
    <x v="29"/>
    <m/>
    <m/>
  </r>
  <r>
    <m/>
    <m/>
    <x v="29"/>
    <m/>
    <m/>
  </r>
  <r>
    <m/>
    <m/>
    <x v="29"/>
    <m/>
    <m/>
  </r>
  <r>
    <m/>
    <m/>
    <x v="29"/>
    <m/>
    <m/>
  </r>
  <r>
    <m/>
    <m/>
    <x v="29"/>
    <m/>
    <m/>
  </r>
  <r>
    <m/>
    <m/>
    <x v="29"/>
    <m/>
    <m/>
  </r>
  <r>
    <m/>
    <m/>
    <x v="29"/>
    <m/>
    <m/>
  </r>
  <r>
    <m/>
    <m/>
    <x v="29"/>
    <m/>
    <m/>
  </r>
  <r>
    <m/>
    <m/>
    <x v="29"/>
    <m/>
    <m/>
  </r>
  <r>
    <m/>
    <m/>
    <x v="29"/>
    <m/>
    <m/>
  </r>
  <r>
    <m/>
    <m/>
    <x v="29"/>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2">
  <r>
    <x v="0"/>
    <x v="0"/>
    <s v="SP"/>
    <s v="SP"/>
    <n v="34.1"/>
    <n v="11"/>
    <n v="11"/>
    <n v="8"/>
    <n v="8"/>
    <n v="0"/>
    <n v="0"/>
    <n v="0"/>
    <n v="64"/>
    <n v="47"/>
    <n v="14"/>
    <n v="6"/>
    <n v="75"/>
    <n v="25"/>
    <n v="1.97"/>
    <n v="3.32"/>
    <n v="1.1299999999999999"/>
    <n v="0.27"/>
    <n v="100"/>
    <n v="3.1428571428571428"/>
    <n v="6.6"/>
    <n v="0.4"/>
  </r>
  <r>
    <x v="1"/>
    <x v="1"/>
    <s v="SP"/>
    <s v="SP"/>
    <n v="33.4"/>
    <n v="10"/>
    <n v="10"/>
    <n v="8"/>
    <n v="7"/>
    <n v="1"/>
    <n v="0"/>
    <n v="0"/>
    <n v="61"/>
    <n v="48"/>
    <n v="15"/>
    <n v="4"/>
    <n v="70"/>
    <n v="10"/>
    <n v="2.21"/>
    <n v="2.38"/>
    <n v="0.95"/>
    <n v="0.28399999999999997"/>
    <n v="100"/>
    <n v="7"/>
    <n v="7"/>
    <n v="0.7"/>
  </r>
  <r>
    <x v="2"/>
    <x v="2"/>
    <s v="SP"/>
    <s v="SP"/>
    <n v="28.3"/>
    <n v="10"/>
    <n v="10"/>
    <n v="7"/>
    <n v="6"/>
    <n v="2"/>
    <n v="0"/>
    <n v="0"/>
    <n v="69.3"/>
    <n v="56"/>
    <n v="20"/>
    <n v="3"/>
    <n v="66"/>
    <n v="11"/>
    <n v="2.6"/>
    <n v="2.46"/>
    <n v="0.97"/>
    <n v="0.28799999999999998"/>
    <n v="100"/>
    <n v="6"/>
    <n v="6.6"/>
    <n v="0.6"/>
  </r>
  <r>
    <x v="3"/>
    <x v="3"/>
    <s v="SP"/>
    <s v="SP"/>
    <n v="27.3"/>
    <n v="10"/>
    <n v="10"/>
    <n v="8"/>
    <n v="5"/>
    <n v="1"/>
    <n v="0"/>
    <n v="0"/>
    <n v="62.7"/>
    <n v="48"/>
    <n v="17"/>
    <n v="5"/>
    <n v="77"/>
    <n v="14"/>
    <n v="2.44"/>
    <n v="2.67"/>
    <n v="0.99"/>
    <n v="0.28299999999999997"/>
    <n v="100"/>
    <n v="5.5"/>
    <n v="7.7"/>
    <n v="0.5"/>
  </r>
  <r>
    <x v="4"/>
    <x v="4"/>
    <s v="SP"/>
    <s v="SP"/>
    <n v="27.3"/>
    <n v="10"/>
    <n v="10"/>
    <n v="6"/>
    <n v="5"/>
    <n v="1"/>
    <n v="0"/>
    <n v="0"/>
    <n v="59"/>
    <n v="28"/>
    <n v="20"/>
    <n v="8"/>
    <n v="80"/>
    <n v="25"/>
    <n v="3.05"/>
    <n v="4.01"/>
    <n v="0.9"/>
    <n v="0.18"/>
    <n v="100"/>
    <n v="9.3333333333333339"/>
    <n v="5.6"/>
    <n v="0.6"/>
  </r>
  <r>
    <x v="5"/>
    <x v="5"/>
    <s v="SP"/>
    <s v="SP"/>
    <n v="26.7"/>
    <n v="11"/>
    <n v="11"/>
    <n v="6"/>
    <n v="6"/>
    <n v="2"/>
    <n v="0"/>
    <n v="0"/>
    <n v="66.7"/>
    <n v="54"/>
    <n v="22"/>
    <n v="2"/>
    <n v="75"/>
    <n v="14"/>
    <n v="2.97"/>
    <n v="2.09"/>
    <n v="1.02"/>
    <n v="0.30099999999999999"/>
    <n v="100"/>
    <n v="3.4"/>
    <s v="STELLAR"/>
    <s v="Didn't Start"/>
  </r>
  <r>
    <x v="6"/>
    <x v="6"/>
    <s v="RP"/>
    <s v="RP"/>
    <n v="26.3"/>
    <n v="24"/>
    <n v="0"/>
    <n v="0"/>
    <n v="3"/>
    <n v="1"/>
    <n v="12"/>
    <n v="0"/>
    <n v="25"/>
    <n v="14"/>
    <n v="4"/>
    <n v="2"/>
    <n v="50"/>
    <n v="17"/>
    <n v="1.44"/>
    <n v="2.36"/>
    <n v="1.24"/>
    <n v="0.308"/>
    <n v="100"/>
    <n v="2.8"/>
    <s v="STELLAR"/>
    <s v="Didn't Start"/>
  </r>
  <r>
    <x v="7"/>
    <x v="7"/>
    <s v="SP"/>
    <s v="SP"/>
    <n v="25.2"/>
    <n v="10"/>
    <n v="10"/>
    <n v="8"/>
    <n v="6"/>
    <n v="1"/>
    <n v="0"/>
    <n v="0"/>
    <n v="61.3"/>
    <n v="46"/>
    <n v="15"/>
    <n v="2"/>
    <n v="53"/>
    <n v="16"/>
    <n v="2.2000000000000002"/>
    <n v="2.95"/>
    <n v="1.01"/>
    <n v="0.27200000000000002"/>
    <n v="100"/>
    <n v="3.3125"/>
    <n v="5.3"/>
    <n v="0.6"/>
  </r>
  <r>
    <x v="8"/>
    <x v="8"/>
    <s v="SP"/>
    <s v="SP"/>
    <n v="24.9"/>
    <n v="10"/>
    <n v="10"/>
    <n v="5"/>
    <n v="4"/>
    <n v="2"/>
    <n v="0"/>
    <n v="0"/>
    <n v="57.7"/>
    <n v="39"/>
    <n v="19"/>
    <n v="5"/>
    <n v="97"/>
    <n v="21"/>
    <n v="2.97"/>
    <n v="2.29"/>
    <n v="1.04"/>
    <n v="0.312"/>
    <n v="100"/>
    <n v="4.6190476190476186"/>
    <n v="9.6999999999999993"/>
    <n v="0.4"/>
  </r>
  <r>
    <x v="9"/>
    <x v="9"/>
    <s v="SP"/>
    <s v="SP"/>
    <n v="22.8"/>
    <n v="10"/>
    <n v="10"/>
    <n v="6"/>
    <n v="6"/>
    <n v="4"/>
    <n v="0"/>
    <n v="0"/>
    <n v="57.3"/>
    <n v="49"/>
    <n v="19"/>
    <n v="7"/>
    <n v="69"/>
    <n v="14"/>
    <n v="2.98"/>
    <n v="3.3"/>
    <n v="1.1000000000000001"/>
    <n v="0.29599999999999999"/>
    <n v="100"/>
    <n v="4.9285714285714288"/>
    <n v="6.9"/>
    <n v="0.6"/>
  </r>
  <r>
    <x v="10"/>
    <x v="10"/>
    <s v="SP"/>
    <s v="SP"/>
    <n v="22.5"/>
    <n v="10"/>
    <n v="10"/>
    <n v="8"/>
    <n v="4"/>
    <n v="4"/>
    <n v="0"/>
    <n v="0"/>
    <n v="66"/>
    <n v="56"/>
    <n v="18"/>
    <n v="6"/>
    <n v="72"/>
    <n v="12"/>
    <n v="2.4500000000000002"/>
    <n v="2.91"/>
    <n v="1.03"/>
    <n v="0.29799999999999999"/>
    <n v="100"/>
    <n v="6"/>
    <n v="7.2"/>
    <n v="0.4"/>
  </r>
  <r>
    <x v="11"/>
    <x v="11"/>
    <s v="SP"/>
    <s v="SP"/>
    <n v="22.4"/>
    <n v="10"/>
    <n v="10"/>
    <n v="5"/>
    <n v="4"/>
    <n v="4"/>
    <n v="0"/>
    <n v="0"/>
    <n v="61.7"/>
    <n v="46"/>
    <n v="15"/>
    <n v="5"/>
    <n v="61"/>
    <n v="14"/>
    <n v="2.19"/>
    <n v="3.03"/>
    <n v="0.97"/>
    <n v="0.25900000000000001"/>
    <n v="100"/>
    <n v="3.5"/>
    <s v="STELLAR"/>
    <s v="Didn't Start"/>
  </r>
  <r>
    <x v="12"/>
    <x v="10"/>
    <s v="SP"/>
    <s v="SP"/>
    <n v="22.2"/>
    <n v="10"/>
    <n v="10"/>
    <n v="6"/>
    <n v="5"/>
    <n v="1"/>
    <n v="0"/>
    <n v="0"/>
    <n v="58.7"/>
    <n v="43"/>
    <n v="20"/>
    <n v="8"/>
    <n v="64"/>
    <n v="13"/>
    <n v="3.07"/>
    <n v="3.58"/>
    <n v="0.95"/>
    <n v="0.246"/>
    <n v="100"/>
    <n v="2.347826086956522"/>
    <n v="4.9090909090909092"/>
    <n v="0.36363636363636365"/>
  </r>
  <r>
    <x v="13"/>
    <x v="12"/>
    <s v="SP"/>
    <s v="SP"/>
    <n v="21.6"/>
    <n v="11"/>
    <n v="11"/>
    <n v="7"/>
    <n v="5"/>
    <n v="0"/>
    <n v="0"/>
    <n v="0"/>
    <n v="67.7"/>
    <n v="54"/>
    <n v="19"/>
    <n v="6"/>
    <n v="70"/>
    <n v="23"/>
    <n v="2.5299999999999998"/>
    <n v="3.47"/>
    <n v="1.1399999999999999"/>
    <n v="0.27700000000000002"/>
    <n v="100"/>
    <n v="3"/>
    <s v="STELLAR"/>
    <s v="Didn't Start"/>
  </r>
  <r>
    <x v="14"/>
    <x v="7"/>
    <s v="SP"/>
    <s v="SP"/>
    <n v="19.5"/>
    <n v="10"/>
    <n v="10"/>
    <n v="4"/>
    <n v="5"/>
    <n v="1"/>
    <n v="0"/>
    <n v="0"/>
    <n v="55.3"/>
    <n v="41"/>
    <n v="18"/>
    <n v="6"/>
    <n v="51"/>
    <n v="12"/>
    <n v="2.93"/>
    <n v="3.6"/>
    <n v="0.96"/>
    <n v="0.23799999999999999"/>
    <n v="100"/>
    <n v="4.25"/>
    <n v="5.0999999999999996"/>
    <n v="0.5"/>
  </r>
  <r>
    <x v="15"/>
    <x v="0"/>
    <s v="SP"/>
    <s v="SP"/>
    <n v="19.2"/>
    <n v="8"/>
    <n v="8"/>
    <n v="3"/>
    <n v="6"/>
    <n v="1"/>
    <n v="0"/>
    <n v="0"/>
    <n v="47"/>
    <n v="42"/>
    <n v="18"/>
    <n v="8"/>
    <n v="52"/>
    <n v="5"/>
    <n v="3.45"/>
    <n v="3.66"/>
    <n v="1"/>
    <n v="0.28799999999999998"/>
    <n v="100"/>
    <n v="24"/>
    <s v="STELLAR"/>
    <s v="Didn't Start"/>
  </r>
  <r>
    <x v="16"/>
    <x v="1"/>
    <s v="SP"/>
    <s v="SP"/>
    <n v="18.8"/>
    <n v="10"/>
    <n v="10"/>
    <n v="3"/>
    <n v="4"/>
    <n v="0"/>
    <n v="0"/>
    <n v="0"/>
    <n v="54.3"/>
    <n v="44"/>
    <n v="11"/>
    <n v="0"/>
    <n v="66"/>
    <n v="21"/>
    <n v="1.82"/>
    <n v="2.0099999999999998"/>
    <n v="1.2"/>
    <n v="0.31900000000000001"/>
    <n v="100"/>
    <n v="3.1428571428571428"/>
    <n v="6.6"/>
    <n v="0.4"/>
  </r>
  <r>
    <x v="17"/>
    <x v="13"/>
    <s v="SP"/>
    <s v="SP"/>
    <n v="18.8"/>
    <n v="9"/>
    <n v="9"/>
    <n v="8"/>
    <n v="5"/>
    <n v="3"/>
    <n v="0"/>
    <n v="0"/>
    <n v="58.3"/>
    <n v="54"/>
    <n v="17"/>
    <n v="3"/>
    <n v="47"/>
    <n v="5"/>
    <n v="2.62"/>
    <n v="2.7"/>
    <n v="1.01"/>
    <n v="0.29699999999999999"/>
    <n v="100"/>
    <n v="9.4"/>
    <n v="5.2222222222222223"/>
    <n v="0.55555555555555558"/>
  </r>
  <r>
    <x v="18"/>
    <x v="5"/>
    <s v="SP"/>
    <s v="SP"/>
    <n v="18.2"/>
    <n v="10"/>
    <n v="10"/>
    <n v="5"/>
    <n v="5"/>
    <n v="3"/>
    <n v="0"/>
    <n v="0"/>
    <n v="57.3"/>
    <n v="39"/>
    <n v="19"/>
    <n v="5"/>
    <n v="59"/>
    <n v="23"/>
    <n v="2.98"/>
    <n v="3.66"/>
    <n v="1.08"/>
    <n v="0.24299999999999999"/>
    <n v="100"/>
    <n v="2.5652173913043477"/>
    <n v="5.9"/>
    <n v="0.5"/>
  </r>
  <r>
    <x v="19"/>
    <x v="14"/>
    <s v="SP"/>
    <s v="SP"/>
    <n v="18"/>
    <n v="10"/>
    <n v="10"/>
    <n v="8"/>
    <n v="5"/>
    <n v="3"/>
    <n v="0"/>
    <n v="0"/>
    <n v="62.3"/>
    <n v="40"/>
    <n v="21"/>
    <n v="9"/>
    <n v="52"/>
    <n v="24"/>
    <n v="3.03"/>
    <n v="4.93"/>
    <n v="1.03"/>
    <n v="0.193"/>
    <n v="100"/>
    <n v="2.1666666666666665"/>
    <n v="5.2"/>
    <n v="0.5"/>
  </r>
  <r>
    <x v="20"/>
    <x v="13"/>
    <s v="SP"/>
    <s v="SP"/>
    <n v="17.5"/>
    <n v="5"/>
    <n v="5"/>
    <n v="5"/>
    <n v="3"/>
    <n v="1"/>
    <n v="0"/>
    <n v="0"/>
    <n v="31.3"/>
    <n v="13"/>
    <n v="4"/>
    <n v="0"/>
    <n v="28"/>
    <n v="3"/>
    <n v="1.1499999999999999"/>
    <n v="1.87"/>
    <n v="0.51"/>
    <n v="0.16500000000000001"/>
    <n v="100"/>
    <n v="9.3333333333333339"/>
    <n v="5.6"/>
    <n v="0.6"/>
  </r>
  <r>
    <x v="21"/>
    <x v="15"/>
    <s v="RP"/>
    <s v="RP"/>
    <n v="17.3"/>
    <n v="23"/>
    <n v="0"/>
    <n v="0"/>
    <n v="1"/>
    <n v="2"/>
    <n v="13"/>
    <n v="0"/>
    <n v="22.7"/>
    <n v="13"/>
    <n v="5"/>
    <n v="2"/>
    <n v="34"/>
    <n v="10"/>
    <n v="1.98"/>
    <n v="3.01"/>
    <n v="1.01"/>
    <n v="0.22"/>
    <n v="100"/>
    <n v="3.4"/>
    <s v="STELLAR"/>
    <s v="Didn't Start"/>
  </r>
  <r>
    <x v="22"/>
    <x v="11"/>
    <s v="RP"/>
    <s v="RP"/>
    <n v="15.6"/>
    <n v="21"/>
    <n v="0"/>
    <n v="0"/>
    <n v="2"/>
    <n v="0"/>
    <n v="9"/>
    <n v="1"/>
    <n v="21.3"/>
    <n v="10"/>
    <n v="3"/>
    <n v="0"/>
    <n v="28"/>
    <n v="10"/>
    <n v="1.27"/>
    <n v="2.2000000000000002"/>
    <n v="0.94"/>
    <n v="0.23300000000000001"/>
    <n v="100"/>
    <n v="3.5714285714285716"/>
    <s v="STELLAR"/>
    <s v="Didn't Start"/>
  </r>
  <r>
    <x v="23"/>
    <x v="13"/>
    <s v="SP"/>
    <s v="SP"/>
    <n v="15.1"/>
    <n v="10"/>
    <n v="10"/>
    <n v="4"/>
    <n v="3"/>
    <n v="2"/>
    <n v="0"/>
    <n v="0"/>
    <n v="57.7"/>
    <n v="47"/>
    <n v="19"/>
    <n v="6"/>
    <n v="66"/>
    <n v="13"/>
    <n v="2.97"/>
    <n v="3.07"/>
    <n v="1.04"/>
    <n v="0.27900000000000003"/>
    <n v="100"/>
    <n v="5.0769230769230766"/>
    <n v="6.6"/>
    <n v="0.3"/>
  </r>
  <r>
    <x v="24"/>
    <x v="6"/>
    <s v="SP"/>
    <s v="SP"/>
    <n v="15.1"/>
    <n v="10"/>
    <n v="9"/>
    <n v="2"/>
    <n v="3"/>
    <n v="1"/>
    <n v="0"/>
    <n v="1"/>
    <n v="57"/>
    <n v="36"/>
    <n v="22"/>
    <n v="13"/>
    <n v="54"/>
    <n v="12"/>
    <n v="3.47"/>
    <n v="5.03"/>
    <n v="0.84"/>
    <n v="0.16700000000000001"/>
    <n v="100"/>
    <n v="4.5"/>
    <n v="6"/>
    <n v="0.33333333333333331"/>
  </r>
  <r>
    <x v="25"/>
    <x v="6"/>
    <s v="RP"/>
    <s v="RP"/>
    <n v="14.5"/>
    <n v="20"/>
    <n v="0"/>
    <n v="0"/>
    <n v="1"/>
    <n v="0"/>
    <n v="3"/>
    <n v="10"/>
    <n v="25.7"/>
    <n v="10"/>
    <n v="1"/>
    <n v="0"/>
    <n v="28"/>
    <n v="0"/>
    <n v="0.35"/>
    <n v="1.21"/>
    <n v="0.39"/>
    <n v="0.182"/>
    <n v="88"/>
    <s v="STELLAR"/>
    <s v="STELLAR"/>
    <s v="Didn't Start"/>
  </r>
  <r>
    <x v="26"/>
    <x v="4"/>
    <s v="RP"/>
    <s v="RP"/>
    <n v="14.4"/>
    <n v="22"/>
    <n v="0"/>
    <n v="0"/>
    <n v="1"/>
    <n v="1"/>
    <n v="12"/>
    <n v="2"/>
    <n v="22"/>
    <n v="16"/>
    <n v="3"/>
    <n v="1"/>
    <n v="29"/>
    <n v="9"/>
    <n v="1.23"/>
    <n v="2.46"/>
    <n v="1.1399999999999999"/>
    <n v="0.29399999999999998"/>
    <n v="100"/>
    <n v="3.2222222222222223"/>
    <s v="STELLAR"/>
    <s v="Didn't Start"/>
  </r>
  <r>
    <x v="27"/>
    <x v="16"/>
    <s v="RP"/>
    <s v="RP"/>
    <n v="14.3"/>
    <n v="19"/>
    <n v="0"/>
    <n v="0"/>
    <n v="1"/>
    <n v="1"/>
    <n v="10"/>
    <n v="1"/>
    <n v="18.7"/>
    <n v="6"/>
    <n v="4"/>
    <n v="0"/>
    <n v="35"/>
    <n v="10"/>
    <n v="1.93"/>
    <n v="1.3"/>
    <n v="0.86"/>
    <n v="0.222"/>
    <n v="100"/>
    <n v="3.5"/>
    <s v="STELLAR"/>
    <s v="Didn't Start"/>
  </r>
  <r>
    <x v="28"/>
    <x v="7"/>
    <s v="SP"/>
    <s v="SP"/>
    <n v="14.2"/>
    <n v="11"/>
    <n v="11"/>
    <n v="9"/>
    <n v="4"/>
    <n v="4"/>
    <n v="0"/>
    <n v="0"/>
    <n v="64"/>
    <n v="47"/>
    <n v="21"/>
    <n v="5"/>
    <n v="54"/>
    <n v="23"/>
    <n v="2.95"/>
    <n v="3.73"/>
    <n v="1.0900000000000001"/>
    <n v="0.247"/>
    <n v="100"/>
    <n v="2.347826086956522"/>
    <n v="4.9090909090909092"/>
    <n v="0.36363636363636365"/>
  </r>
  <r>
    <x v="29"/>
    <x v="17"/>
    <s v="RP"/>
    <s v="RP"/>
    <n v="14.2"/>
    <n v="20"/>
    <n v="0"/>
    <n v="0"/>
    <n v="0"/>
    <n v="0"/>
    <n v="12"/>
    <n v="0"/>
    <n v="20"/>
    <n v="7"/>
    <n v="2"/>
    <n v="1"/>
    <n v="27"/>
    <n v="9"/>
    <n v="0.9"/>
    <n v="2.58"/>
    <n v="0.8"/>
    <n v="0.154"/>
    <n v="100"/>
    <n v="11.25"/>
    <n v="7.5"/>
    <n v="0.33333333333333331"/>
  </r>
  <r>
    <x v="30"/>
    <x v="0"/>
    <s v="SP"/>
    <s v="SP"/>
    <n v="14.1"/>
    <n v="8"/>
    <n v="8"/>
    <n v="3"/>
    <n v="4"/>
    <n v="2"/>
    <n v="0"/>
    <n v="0"/>
    <n v="44.7"/>
    <n v="36"/>
    <n v="13"/>
    <n v="2"/>
    <n v="47"/>
    <n v="11"/>
    <n v="2.62"/>
    <n v="2.56"/>
    <n v="1.05"/>
    <n v="0.29799999999999999"/>
    <n v="10"/>
    <n v="4.2727272727272725"/>
    <n v="5.875"/>
    <n v="0.5"/>
  </r>
  <r>
    <x v="31"/>
    <x v="3"/>
    <s v="RP"/>
    <s v="RP"/>
    <n v="14.1"/>
    <n v="18"/>
    <n v="0"/>
    <n v="0"/>
    <n v="2"/>
    <n v="0"/>
    <n v="9"/>
    <n v="0"/>
    <n v="18"/>
    <n v="14"/>
    <n v="3"/>
    <n v="1"/>
    <n v="24"/>
    <n v="1"/>
    <n v="1.5"/>
    <n v="1.5"/>
    <n v="0.83"/>
    <n v="0.29499999999999998"/>
    <n v="100"/>
    <n v="3.2941176470588234"/>
    <n v="6.2222222222222223"/>
    <n v="0.44444444444444442"/>
  </r>
  <r>
    <x v="32"/>
    <x v="14"/>
    <s v="SP"/>
    <s v="SP"/>
    <n v="14"/>
    <n v="10"/>
    <n v="10"/>
    <n v="8"/>
    <n v="2"/>
    <n v="3"/>
    <n v="0"/>
    <n v="0"/>
    <n v="63"/>
    <n v="57"/>
    <n v="22"/>
    <n v="6"/>
    <n v="81"/>
    <n v="11"/>
    <n v="3.14"/>
    <n v="2.4700000000000002"/>
    <n v="1.08"/>
    <n v="0.32300000000000001"/>
    <n v="100"/>
    <n v="7.3636363636363633"/>
    <n v="8.1"/>
    <n v="0.2"/>
  </r>
  <r>
    <x v="33"/>
    <x v="2"/>
    <s v="SP"/>
    <s v="SP"/>
    <n v="13.9"/>
    <n v="12"/>
    <n v="4"/>
    <n v="2"/>
    <n v="4"/>
    <n v="0"/>
    <n v="0"/>
    <n v="3"/>
    <n v="43"/>
    <n v="32"/>
    <n v="8"/>
    <n v="0"/>
    <n v="26"/>
    <n v="10"/>
    <n v="1.67"/>
    <n v="2.98"/>
    <n v="0.98"/>
    <n v="0.246"/>
    <n v="98"/>
    <n v="2.6"/>
    <n v="6.5"/>
    <n v="1"/>
  </r>
  <r>
    <x v="34"/>
    <x v="18"/>
    <s v="RP"/>
    <s v="RP"/>
    <n v="13.8"/>
    <n v="15"/>
    <n v="0"/>
    <n v="0"/>
    <n v="3"/>
    <n v="0"/>
    <n v="7"/>
    <n v="0"/>
    <n v="15.3"/>
    <n v="7"/>
    <n v="1"/>
    <n v="1"/>
    <n v="19"/>
    <n v="6"/>
    <n v="0.59"/>
    <n v="2.82"/>
    <n v="0.85"/>
    <n v="0.17599999999999999"/>
    <n v="100"/>
    <n v="5"/>
    <n v="6"/>
    <n v="0.3"/>
  </r>
  <r>
    <x v="35"/>
    <x v="9"/>
    <s v="SP"/>
    <s v="SP"/>
    <n v="13.8"/>
    <n v="9"/>
    <n v="9"/>
    <n v="4"/>
    <n v="4"/>
    <n v="1"/>
    <n v="0"/>
    <n v="0"/>
    <n v="48"/>
    <n v="29"/>
    <n v="14"/>
    <n v="1"/>
    <n v="34"/>
    <n v="16"/>
    <n v="2.63"/>
    <n v="3.26"/>
    <n v="0.94"/>
    <n v="0.21099999999999999"/>
    <n v="72"/>
    <n v="6.3"/>
    <n v="7"/>
    <n v="0.22222222222222221"/>
  </r>
  <r>
    <x v="36"/>
    <x v="15"/>
    <s v="SP"/>
    <s v="SP"/>
    <n v="13.7"/>
    <n v="10"/>
    <n v="10"/>
    <n v="7"/>
    <n v="3"/>
    <n v="5"/>
    <n v="0"/>
    <n v="0"/>
    <n v="65"/>
    <n v="59"/>
    <n v="21"/>
    <n v="8"/>
    <n v="65"/>
    <n v="13"/>
    <n v="2.91"/>
    <n v="3.57"/>
    <n v="1.1100000000000001"/>
    <n v="0.29799999999999999"/>
    <n v="100"/>
    <n v="5"/>
    <n v="6.5"/>
    <n v="0.3"/>
  </r>
  <r>
    <x v="37"/>
    <x v="19"/>
    <s v="SP"/>
    <s v="SP"/>
    <n v="13.5"/>
    <n v="12"/>
    <n v="7"/>
    <n v="0"/>
    <n v="4"/>
    <n v="3"/>
    <n v="1"/>
    <n v="0"/>
    <n v="35"/>
    <n v="25"/>
    <n v="12"/>
    <n v="3"/>
    <n v="50"/>
    <n v="10"/>
    <n v="3.09"/>
    <n v="2.48"/>
    <n v="1"/>
    <n v="0.30099999999999999"/>
    <n v="39"/>
    <n v="4.4117647058823533"/>
    <n v="7.5"/>
    <n v="0.2"/>
  </r>
  <r>
    <x v="38"/>
    <x v="20"/>
    <s v="RP"/>
    <s v="RP"/>
    <n v="13.3"/>
    <n v="19"/>
    <n v="0"/>
    <n v="0"/>
    <n v="2"/>
    <n v="0"/>
    <n v="8"/>
    <n v="4"/>
    <n v="21.3"/>
    <n v="13"/>
    <n v="3"/>
    <n v="1"/>
    <n v="25"/>
    <n v="7"/>
    <n v="1.27"/>
    <n v="2.67"/>
    <n v="0.94"/>
    <n v="0.25"/>
    <n v="100"/>
    <n v="3.5714285714285716"/>
    <s v="STELLAR"/>
    <s v="Didn't Start"/>
  </r>
  <r>
    <x v="39"/>
    <x v="13"/>
    <s v="RP"/>
    <s v="RP"/>
    <n v="13.1"/>
    <n v="22"/>
    <n v="0"/>
    <n v="0"/>
    <n v="2"/>
    <n v="0"/>
    <n v="10"/>
    <n v="0"/>
    <n v="21.7"/>
    <n v="15"/>
    <n v="8"/>
    <n v="2"/>
    <n v="28"/>
    <n v="5"/>
    <n v="3.32"/>
    <n v="2.59"/>
    <n v="0.92"/>
    <n v="0.27100000000000002"/>
    <n v="100"/>
    <n v="5.6"/>
    <s v="STELLAR"/>
    <s v="Didn't Start"/>
  </r>
  <r>
    <x v="40"/>
    <x v="8"/>
    <s v="SP"/>
    <s v="SP"/>
    <n v="12.8"/>
    <n v="10"/>
    <n v="10"/>
    <n v="6"/>
    <n v="3"/>
    <n v="0"/>
    <n v="0"/>
    <n v="0"/>
    <n v="58.3"/>
    <n v="52"/>
    <n v="13"/>
    <n v="4"/>
    <n v="51"/>
    <n v="16"/>
    <n v="2.0099999999999998"/>
    <n v="3.45"/>
    <n v="1.17"/>
    <n v="0.28899999999999998"/>
    <n v="100"/>
    <n v="3.2666666666666666"/>
    <n v="5.4444444444444446"/>
    <n v="0.22222222222222221"/>
  </r>
  <r>
    <x v="41"/>
    <x v="14"/>
    <s v="RP"/>
    <s v="RP"/>
    <n v="12.3"/>
    <n v="20"/>
    <n v="0"/>
    <n v="0"/>
    <n v="3"/>
    <n v="2"/>
    <n v="10"/>
    <n v="1"/>
    <n v="19"/>
    <n v="17"/>
    <n v="7"/>
    <n v="2"/>
    <n v="24"/>
    <n v="6"/>
    <n v="3.32"/>
    <n v="3.23"/>
    <n v="1.21"/>
    <n v="0.30599999999999999"/>
    <n v="100"/>
    <n v="4"/>
    <s v="STELLAR"/>
    <s v="Didn't Start"/>
  </r>
  <r>
    <x v="42"/>
    <x v="15"/>
    <s v="SP"/>
    <s v="SP"/>
    <n v="11.5"/>
    <n v="10"/>
    <n v="10"/>
    <n v="5"/>
    <n v="4"/>
    <n v="1"/>
    <n v="0"/>
    <n v="0"/>
    <n v="58"/>
    <n v="62"/>
    <n v="14"/>
    <n v="5"/>
    <n v="52"/>
    <n v="14"/>
    <n v="2.17"/>
    <n v="3.38"/>
    <n v="1.31"/>
    <n v="0.32600000000000001"/>
    <n v="100"/>
    <n v="3.7142857142857144"/>
    <n v="5.2"/>
    <n v="0.4"/>
  </r>
  <r>
    <x v="43"/>
    <x v="10"/>
    <s v="RP"/>
    <s v="RP"/>
    <n v="11.1"/>
    <n v="23"/>
    <n v="0"/>
    <n v="0"/>
    <n v="2"/>
    <n v="0"/>
    <n v="2"/>
    <n v="8"/>
    <n v="23.7"/>
    <n v="11"/>
    <n v="3"/>
    <n v="2"/>
    <n v="38"/>
    <n v="8"/>
    <n v="1.1399999999999999"/>
    <n v="2.4300000000000002"/>
    <n v="0.8"/>
    <n v="0.22500000000000001"/>
    <n v="43"/>
    <n v="4.75"/>
    <s v="STELLAR"/>
    <s v="Didn't Start"/>
  </r>
  <r>
    <x v="44"/>
    <x v="17"/>
    <s v="SP"/>
    <s v="SP"/>
    <n v="11"/>
    <n v="9"/>
    <n v="9"/>
    <n v="5"/>
    <n v="5"/>
    <n v="1"/>
    <n v="0"/>
    <n v="0"/>
    <n v="50.3"/>
    <n v="44"/>
    <n v="20"/>
    <n v="4"/>
    <n v="45"/>
    <n v="14"/>
    <n v="3.58"/>
    <n v="3.48"/>
    <n v="1.1499999999999999"/>
    <n v="0.28199999999999997"/>
    <n v="94"/>
    <n v="3.2142857142857144"/>
    <n v="5"/>
    <n v="0.55555555555555558"/>
  </r>
  <r>
    <x v="45"/>
    <x v="2"/>
    <s v="SP"/>
    <s v="SP"/>
    <n v="10.8"/>
    <n v="6"/>
    <n v="6"/>
    <n v="3"/>
    <n v="2"/>
    <n v="0"/>
    <n v="0"/>
    <n v="0"/>
    <n v="30.3"/>
    <n v="19"/>
    <n v="9"/>
    <n v="2"/>
    <n v="45"/>
    <n v="4"/>
    <n v="2.67"/>
    <n v="1.56"/>
    <n v="0.76"/>
    <n v="0.26600000000000001"/>
    <n v="100"/>
    <n v="11.25"/>
    <n v="7.5"/>
    <n v="0.33333333333333331"/>
  </r>
  <r>
    <x v="46"/>
    <x v="21"/>
    <s v="RP"/>
    <s v="RP"/>
    <n v="10.5"/>
    <n v="25"/>
    <n v="0"/>
    <n v="0"/>
    <n v="1"/>
    <n v="4"/>
    <n v="16"/>
    <n v="0"/>
    <n v="24"/>
    <n v="25"/>
    <n v="9"/>
    <n v="1"/>
    <n v="16"/>
    <n v="5"/>
    <n v="3.38"/>
    <n v="3.11"/>
    <n v="1.25"/>
    <n v="0.308"/>
    <n v="100"/>
    <n v="3.2"/>
    <s v="STELLAR"/>
    <s v="Didn't Start"/>
  </r>
  <r>
    <x v="47"/>
    <x v="10"/>
    <s v="SP"/>
    <s v="SP"/>
    <n v="9.6"/>
    <n v="9"/>
    <n v="9"/>
    <n v="4"/>
    <n v="4"/>
    <n v="1"/>
    <n v="0"/>
    <n v="0"/>
    <n v="50.7"/>
    <n v="47"/>
    <n v="18"/>
    <n v="3"/>
    <n v="56"/>
    <n v="17"/>
    <n v="3.2"/>
    <n v="3.08"/>
    <n v="1.26"/>
    <n v="0.34100000000000003"/>
    <n v="100"/>
    <n v="3.2941176470588234"/>
    <n v="6.2222222222222223"/>
    <n v="0.44444444444444442"/>
  </r>
  <r>
    <x v="48"/>
    <x v="9"/>
    <s v="SP"/>
    <s v="SP"/>
    <n v="9.1"/>
    <n v="10"/>
    <n v="10"/>
    <n v="5"/>
    <n v="5"/>
    <n v="4"/>
    <n v="0"/>
    <n v="0"/>
    <n v="55.3"/>
    <n v="53"/>
    <n v="27"/>
    <n v="14"/>
    <n v="53"/>
    <n v="11"/>
    <n v="4.3899999999999997"/>
    <n v="5.3"/>
    <n v="1.1599999999999999"/>
    <n v="0.26900000000000002"/>
    <n v="100"/>
    <n v="4.8181818181818183"/>
    <n v="5.3"/>
    <n v="0.5"/>
  </r>
  <r>
    <x v="49"/>
    <x v="2"/>
    <s v="SP"/>
    <s v="SP"/>
    <n v="8.9"/>
    <n v="9"/>
    <n v="9"/>
    <n v="4"/>
    <n v="4"/>
    <n v="1"/>
    <n v="0"/>
    <n v="0"/>
    <n v="50.7"/>
    <n v="40"/>
    <n v="17"/>
    <n v="7"/>
    <n v="38"/>
    <n v="18"/>
    <n v="3.02"/>
    <n v="4.82"/>
    <n v="1.1399999999999999"/>
    <n v="0.24099999999999999"/>
    <n v="100"/>
    <n v="2.1111111111111112"/>
    <n v="4.2222222222222223"/>
    <n v="0.44444444444444442"/>
  </r>
  <r>
    <x v="50"/>
    <x v="22"/>
    <s v="SP"/>
    <s v="SP"/>
    <n v="8.9"/>
    <n v="10"/>
    <n v="10"/>
    <n v="6"/>
    <n v="3"/>
    <n v="3"/>
    <n v="0"/>
    <n v="0"/>
    <n v="59.7"/>
    <n v="55"/>
    <n v="24"/>
    <n v="8"/>
    <n v="60"/>
    <n v="12"/>
    <n v="3.62"/>
    <n v="3.81"/>
    <n v="1.1200000000000001"/>
    <n v="0.28999999999999998"/>
    <n v="100"/>
    <n v="5"/>
    <n v="6"/>
    <n v="0.3"/>
  </r>
  <r>
    <x v="51"/>
    <x v="13"/>
    <s v="SP"/>
    <s v="SP"/>
    <n v="8.9"/>
    <n v="9"/>
    <n v="9"/>
    <n v="5"/>
    <n v="2"/>
    <n v="2"/>
    <n v="0"/>
    <n v="0"/>
    <n v="52"/>
    <n v="42"/>
    <n v="22"/>
    <n v="5"/>
    <n v="63"/>
    <n v="10"/>
    <n v="3.81"/>
    <n v="2.68"/>
    <n v="1"/>
    <n v="0.28899999999999998"/>
    <n v="100"/>
    <n v="4.7692307692307692"/>
    <n v="6.8888888888888893"/>
    <n v="0.44444444444444442"/>
  </r>
  <r>
    <x v="52"/>
    <x v="15"/>
    <s v="SP"/>
    <s v="SP"/>
    <n v="8.8000000000000007"/>
    <n v="10"/>
    <n v="10"/>
    <n v="5"/>
    <n v="3"/>
    <n v="4"/>
    <n v="0"/>
    <n v="0"/>
    <n v="60.3"/>
    <n v="54"/>
    <n v="23"/>
    <n v="6"/>
    <n v="47"/>
    <n v="9"/>
    <n v="3.43"/>
    <n v="3.56"/>
    <n v="1.04"/>
    <n v="0.26700000000000002"/>
    <n v="99"/>
    <n v="4.833333333333333"/>
    <s v="STELLAR"/>
    <s v="Didn't Start"/>
  </r>
  <r>
    <x v="53"/>
    <x v="1"/>
    <s v="SP"/>
    <s v="SP"/>
    <n v="8.6999999999999993"/>
    <n v="10"/>
    <n v="10"/>
    <n v="6"/>
    <n v="2"/>
    <n v="3"/>
    <n v="0"/>
    <n v="0"/>
    <n v="60"/>
    <n v="49"/>
    <n v="26"/>
    <n v="8"/>
    <n v="75"/>
    <n v="17"/>
    <n v="3.9"/>
    <n v="3.61"/>
    <n v="1.1000000000000001"/>
    <n v="0.29699999999999999"/>
    <n v="100"/>
    <n v="4.4117647058823533"/>
    <n v="7.5"/>
    <n v="0.2"/>
  </r>
  <r>
    <x v="54"/>
    <x v="19"/>
    <s v="SP"/>
    <s v="SP"/>
    <n v="8.4"/>
    <n v="10"/>
    <n v="10"/>
    <n v="7"/>
    <n v="4"/>
    <n v="3"/>
    <n v="0"/>
    <n v="0"/>
    <n v="62.7"/>
    <n v="54"/>
    <n v="30"/>
    <n v="8"/>
    <n v="53"/>
    <n v="13"/>
    <n v="4.3099999999999996"/>
    <n v="3.92"/>
    <n v="1.07"/>
    <n v="0.26600000000000001"/>
    <n v="100"/>
    <n v="4.0769230769230766"/>
    <n v="5.3"/>
    <n v="0.4"/>
  </r>
  <r>
    <x v="55"/>
    <x v="10"/>
    <s v="RP"/>
    <s v="RP"/>
    <n v="8.1999999999999993"/>
    <n v="20"/>
    <n v="0"/>
    <n v="0"/>
    <n v="3"/>
    <n v="1"/>
    <n v="2"/>
    <n v="6"/>
    <n v="20.3"/>
    <n v="10"/>
    <n v="3"/>
    <n v="2"/>
    <n v="24"/>
    <n v="8"/>
    <n v="1.33"/>
    <n v="3.38"/>
    <n v="0.89"/>
    <n v="0.186"/>
    <n v="2"/>
    <n v="3"/>
    <s v="STELLAR"/>
    <s v="Didn't Start"/>
  </r>
  <r>
    <x v="56"/>
    <x v="12"/>
    <s v="SP"/>
    <s v="SP"/>
    <n v="8.1999999999999993"/>
    <n v="9"/>
    <n v="9"/>
    <n v="2"/>
    <n v="2"/>
    <n v="3"/>
    <n v="0"/>
    <n v="0"/>
    <n v="48"/>
    <n v="28"/>
    <n v="20"/>
    <n v="7"/>
    <n v="49"/>
    <n v="15"/>
    <n v="3.75"/>
    <n v="4.1900000000000004"/>
    <n v="0.9"/>
    <n v="0.184"/>
    <n v="98"/>
    <n v="3.2666666666666666"/>
    <n v="5.4444444444444446"/>
    <n v="0.22222222222222221"/>
  </r>
  <r>
    <x v="57"/>
    <x v="17"/>
    <s v="SP"/>
    <s v="SP"/>
    <n v="8"/>
    <n v="9"/>
    <n v="9"/>
    <n v="5"/>
    <n v="3"/>
    <n v="3"/>
    <n v="0"/>
    <n v="0"/>
    <n v="54"/>
    <n v="44"/>
    <n v="22"/>
    <n v="7"/>
    <n v="57"/>
    <n v="17"/>
    <n v="3.67"/>
    <n v="4.0199999999999996"/>
    <n v="1.1299999999999999"/>
    <n v="0.28699999999999998"/>
    <n v="100"/>
    <n v="3.3529411764705883"/>
    <n v="6.333333333333333"/>
    <n v="0.33333333333333331"/>
  </r>
  <r>
    <x v="58"/>
    <x v="0"/>
    <s v="SP"/>
    <s v="SP"/>
    <n v="8"/>
    <n v="3"/>
    <n v="3"/>
    <n v="2"/>
    <n v="2"/>
    <n v="0"/>
    <n v="0"/>
    <n v="0"/>
    <n v="16"/>
    <n v="4"/>
    <n v="1"/>
    <n v="1"/>
    <n v="24"/>
    <n v="4"/>
    <n v="0.56000000000000005"/>
    <n v="1.84"/>
    <n v="0.5"/>
    <n v="0.12"/>
    <n v="2"/>
    <n v="6"/>
    <n v="8"/>
    <n v="0.66666666666666663"/>
  </r>
  <r>
    <x v="59"/>
    <x v="1"/>
    <s v="SP"/>
    <s v="SP"/>
    <n v="7.9"/>
    <n v="6"/>
    <n v="6"/>
    <n v="3"/>
    <n v="3"/>
    <n v="1"/>
    <n v="0"/>
    <n v="0"/>
    <n v="35.299999999999997"/>
    <n v="25"/>
    <n v="10"/>
    <n v="3"/>
    <n v="30"/>
    <n v="10"/>
    <n v="2.5499999999999998"/>
    <n v="3.53"/>
    <n v="0.99"/>
    <n v="0.22900000000000001"/>
    <n v="100"/>
    <n v="3"/>
    <n v="5"/>
    <n v="0.5"/>
  </r>
  <r>
    <x v="60"/>
    <x v="3"/>
    <s v="SP"/>
    <s v="SP"/>
    <n v="7.5"/>
    <n v="7"/>
    <n v="7"/>
    <n v="4"/>
    <n v="4"/>
    <n v="3"/>
    <n v="0"/>
    <n v="0"/>
    <n v="35.299999999999997"/>
    <n v="28"/>
    <n v="12"/>
    <n v="4"/>
    <n v="34"/>
    <n v="13"/>
    <n v="3.06"/>
    <n v="4.01"/>
    <n v="1.1599999999999999"/>
    <n v="0.253"/>
    <n v="22"/>
    <n v="2.6153846153846154"/>
    <n v="4.8571428571428568"/>
    <n v="0.5714285714285714"/>
  </r>
  <r>
    <x v="61"/>
    <x v="9"/>
    <s v="RP"/>
    <s v="RP"/>
    <n v="7.1"/>
    <n v="20"/>
    <n v="0"/>
    <n v="0"/>
    <n v="1"/>
    <n v="0"/>
    <n v="7"/>
    <n v="3"/>
    <n v="19"/>
    <n v="11"/>
    <n v="4"/>
    <n v="2"/>
    <n v="24"/>
    <n v="5"/>
    <n v="1.9"/>
    <n v="3.07"/>
    <n v="0.84"/>
    <n v="0.23100000000000001"/>
    <n v="100"/>
    <n v="4.8"/>
    <s v="STELLAR"/>
    <s v="Didn't Start"/>
  </r>
  <r>
    <x v="62"/>
    <x v="18"/>
    <s v="SP"/>
    <s v="SP"/>
    <n v="7.1"/>
    <n v="9"/>
    <n v="9"/>
    <n v="6"/>
    <n v="5"/>
    <n v="3"/>
    <n v="0"/>
    <n v="0"/>
    <n v="52"/>
    <n v="46"/>
    <n v="24"/>
    <n v="6"/>
    <n v="54"/>
    <n v="22"/>
    <n v="4.1500000000000004"/>
    <n v="4.09"/>
    <n v="1.31"/>
    <n v="0.29199999999999998"/>
    <n v="100"/>
    <n v="2.4545454545454546"/>
    <n v="6"/>
    <n v="0.55555555555555558"/>
  </r>
  <r>
    <x v="63"/>
    <x v="23"/>
    <s v="SP"/>
    <s v="SP"/>
    <n v="6.9"/>
    <n v="10"/>
    <n v="10"/>
    <n v="5"/>
    <n v="4"/>
    <n v="5"/>
    <n v="0"/>
    <n v="0"/>
    <n v="57.7"/>
    <n v="51"/>
    <n v="17"/>
    <n v="5"/>
    <n v="47"/>
    <n v="28"/>
    <n v="2.65"/>
    <n v="4.34"/>
    <n v="1.37"/>
    <n v="0.27500000000000002"/>
    <n v="100"/>
    <n v="1.6785714285714286"/>
    <n v="4.7"/>
    <n v="0.4"/>
  </r>
  <r>
    <x v="64"/>
    <x v="4"/>
    <s v="RP"/>
    <s v="RP"/>
    <n v="6.8"/>
    <n v="22"/>
    <n v="0"/>
    <n v="0"/>
    <n v="3"/>
    <n v="1"/>
    <n v="0"/>
    <n v="12"/>
    <n v="25"/>
    <n v="13"/>
    <n v="4"/>
    <n v="2"/>
    <n v="21"/>
    <n v="7"/>
    <n v="1.44"/>
    <n v="3.72"/>
    <n v="0.8"/>
    <n v="0.18"/>
    <n v="1"/>
    <n v="3"/>
    <s v="STELLAR"/>
    <s v="Didn't Start"/>
  </r>
  <r>
    <x v="65"/>
    <x v="8"/>
    <s v="SP"/>
    <s v="SP"/>
    <n v="6.8"/>
    <n v="9"/>
    <n v="9"/>
    <n v="5"/>
    <n v="5"/>
    <n v="4"/>
    <n v="0"/>
    <n v="0"/>
    <n v="52.3"/>
    <n v="54"/>
    <n v="21"/>
    <n v="6"/>
    <n v="54"/>
    <n v="20"/>
    <n v="3.61"/>
    <n v="3.97"/>
    <n v="1.41"/>
    <n v="0.33100000000000002"/>
    <n v="100"/>
    <n v="2.7"/>
    <n v="6"/>
    <n v="0.55555555555555558"/>
  </r>
  <r>
    <x v="66"/>
    <x v="5"/>
    <s v="RP"/>
    <s v="RP"/>
    <n v="6.4"/>
    <n v="24"/>
    <n v="0"/>
    <n v="0"/>
    <n v="3"/>
    <n v="1"/>
    <n v="4"/>
    <n v="8"/>
    <n v="22.3"/>
    <n v="15"/>
    <n v="6"/>
    <n v="1"/>
    <n v="20"/>
    <n v="8"/>
    <n v="2.42"/>
    <n v="3.14"/>
    <n v="1.03"/>
    <n v="0.23300000000000001"/>
    <n v="84"/>
    <n v="2.5"/>
    <s v="STELLAR"/>
    <s v="Didn't Start"/>
  </r>
  <r>
    <x v="67"/>
    <x v="24"/>
    <s v="SP"/>
    <s v="SP"/>
    <n v="6"/>
    <n v="9"/>
    <n v="9"/>
    <n v="5"/>
    <n v="4"/>
    <n v="2"/>
    <n v="0"/>
    <n v="0"/>
    <n v="50.3"/>
    <n v="46"/>
    <n v="28"/>
    <n v="8"/>
    <n v="62"/>
    <n v="13"/>
    <n v="5.01"/>
    <n v="4.01"/>
    <n v="1.17"/>
    <n v="0.309"/>
    <n v="100"/>
    <n v="4.7692307692307692"/>
    <n v="6.8888888888888893"/>
    <n v="0.44444444444444442"/>
  </r>
  <r>
    <x v="68"/>
    <x v="5"/>
    <s v="RP"/>
    <s v="RP"/>
    <n v="6"/>
    <n v="24"/>
    <n v="0"/>
    <n v="0"/>
    <n v="2"/>
    <n v="1"/>
    <n v="7"/>
    <n v="5"/>
    <n v="19.3"/>
    <n v="17"/>
    <n v="7"/>
    <n v="2"/>
    <n v="29"/>
    <n v="6"/>
    <n v="3.26"/>
    <n v="2.5499999999999998"/>
    <n v="1.19"/>
    <n v="0.33300000000000002"/>
    <n v="90"/>
    <n v="4.833333333333333"/>
    <s v="STELLAR"/>
    <s v="Didn't Start"/>
  </r>
  <r>
    <x v="69"/>
    <x v="18"/>
    <s v="SP"/>
    <s v="SP"/>
    <n v="6"/>
    <n v="10"/>
    <n v="10"/>
    <n v="5"/>
    <n v="4"/>
    <n v="4"/>
    <n v="0"/>
    <n v="0"/>
    <n v="56.7"/>
    <n v="48"/>
    <n v="25"/>
    <n v="9"/>
    <n v="51"/>
    <n v="21"/>
    <n v="3.97"/>
    <n v="4.8099999999999996"/>
    <n v="1.22"/>
    <n v="0.25700000000000001"/>
    <n v="100"/>
    <n v="2.4285714285714284"/>
    <n v="5.0999999999999996"/>
    <n v="0.4"/>
  </r>
  <r>
    <x v="70"/>
    <x v="21"/>
    <s v="SP"/>
    <s v="SP"/>
    <n v="6"/>
    <n v="10"/>
    <n v="10"/>
    <n v="8"/>
    <n v="3"/>
    <n v="3"/>
    <n v="0"/>
    <n v="0"/>
    <n v="64.3"/>
    <n v="63"/>
    <n v="22"/>
    <n v="7"/>
    <n v="47"/>
    <n v="15"/>
    <n v="3.08"/>
    <n v="3.98"/>
    <n v="1.21"/>
    <n v="0.29299999999999998"/>
    <n v="100"/>
    <n v="3.1333333333333333"/>
    <n v="4.7"/>
    <n v="0.3"/>
  </r>
  <r>
    <x v="71"/>
    <x v="14"/>
    <s v="SP"/>
    <s v="SP"/>
    <n v="5.8"/>
    <n v="10"/>
    <n v="10"/>
    <n v="5"/>
    <n v="4"/>
    <n v="4"/>
    <n v="0"/>
    <n v="0"/>
    <n v="59.7"/>
    <n v="59"/>
    <n v="28"/>
    <n v="7"/>
    <n v="57"/>
    <n v="14"/>
    <n v="4.22"/>
    <n v="3.75"/>
    <n v="1.22"/>
    <n v="0.311"/>
    <n v="100"/>
    <n v="4.0714285714285712"/>
    <n v="5.7"/>
    <n v="0.4"/>
  </r>
  <r>
    <x v="72"/>
    <x v="9"/>
    <s v="SP"/>
    <s v="SP"/>
    <n v="5.7"/>
    <n v="6"/>
    <n v="6"/>
    <n v="1"/>
    <n v="2"/>
    <n v="1"/>
    <n v="0"/>
    <n v="0"/>
    <n v="29.7"/>
    <n v="16"/>
    <n v="6"/>
    <n v="4"/>
    <n v="23"/>
    <n v="11"/>
    <n v="1.82"/>
    <n v="4.6900000000000004"/>
    <n v="0.91"/>
    <n v="0.15"/>
    <n v="100"/>
    <n v="2.0909090909090908"/>
    <n v="3.8333333333333335"/>
    <n v="0.33333333333333331"/>
  </r>
  <r>
    <x v="73"/>
    <x v="25"/>
    <s v="RP"/>
    <s v="RP"/>
    <n v="5.5"/>
    <n v="15"/>
    <n v="0"/>
    <n v="0"/>
    <n v="3"/>
    <n v="1"/>
    <n v="6"/>
    <n v="0"/>
    <n v="14.7"/>
    <n v="15"/>
    <n v="5"/>
    <n v="2"/>
    <n v="19"/>
    <n v="3"/>
    <n v="3.07"/>
    <n v="3.28"/>
    <n v="1.23"/>
    <n v="0.34200000000000003"/>
    <n v="86"/>
    <n v="6.333333333333333"/>
    <s v="STELLAR"/>
    <s v="Didn't Start"/>
  </r>
  <r>
    <x v="74"/>
    <x v="19"/>
    <s v="SP"/>
    <s v="SP"/>
    <n v="5.2"/>
    <n v="10"/>
    <n v="10"/>
    <n v="5"/>
    <n v="3"/>
    <n v="4"/>
    <n v="0"/>
    <n v="0"/>
    <n v="57"/>
    <n v="56"/>
    <n v="26"/>
    <n v="4"/>
    <n v="64"/>
    <n v="14"/>
    <n v="4.1100000000000003"/>
    <n v="2.89"/>
    <n v="1.23"/>
    <n v="0.33500000000000002"/>
    <n v="100"/>
    <n v="4.5714285714285712"/>
    <n v="6.4"/>
    <n v="0.3"/>
  </r>
  <r>
    <x v="75"/>
    <x v="26"/>
    <s v="RP"/>
    <s v="RP"/>
    <n v="5.0999999999999996"/>
    <n v="20"/>
    <n v="0"/>
    <n v="0"/>
    <n v="2"/>
    <n v="0"/>
    <n v="0"/>
    <n v="2"/>
    <n v="30.7"/>
    <n v="20"/>
    <n v="3"/>
    <n v="0"/>
    <n v="28"/>
    <n v="11"/>
    <n v="0.88"/>
    <n v="2.63"/>
    <n v="1.01"/>
    <n v="0.247"/>
    <n v="0"/>
    <n v="2.5454545454545454"/>
    <s v="STELLAR"/>
    <s v="Didn't Start"/>
  </r>
  <r>
    <x v="76"/>
    <x v="27"/>
    <s v="RP"/>
    <s v="RP"/>
    <n v="4.8"/>
    <n v="18"/>
    <n v="0"/>
    <n v="0"/>
    <n v="2"/>
    <n v="3"/>
    <n v="6"/>
    <n v="2"/>
    <n v="21"/>
    <n v="16"/>
    <n v="7"/>
    <n v="1"/>
    <n v="28"/>
    <n v="9"/>
    <n v="3"/>
    <n v="2.66"/>
    <n v="1.19"/>
    <n v="0.32600000000000001"/>
    <n v="100"/>
    <n v="3.1111111111111112"/>
    <s v="STELLAR"/>
    <s v="Didn't Start"/>
  </r>
  <r>
    <x v="77"/>
    <x v="17"/>
    <s v="SP"/>
    <s v="SP"/>
    <n v="4.7"/>
    <n v="15"/>
    <n v="4"/>
    <n v="2"/>
    <n v="2"/>
    <n v="1"/>
    <n v="1"/>
    <n v="3"/>
    <n v="41.3"/>
    <n v="29"/>
    <n v="13"/>
    <n v="4"/>
    <n v="36"/>
    <n v="15"/>
    <n v="2.83"/>
    <n v="3.88"/>
    <n v="1.06"/>
    <n v="0.223"/>
    <n v="7"/>
    <n v="2.4"/>
    <n v="9"/>
    <n v="0.5"/>
  </r>
  <r>
    <x v="78"/>
    <x v="4"/>
    <s v="SP"/>
    <s v="SP"/>
    <n v="4.5999999999999996"/>
    <n v="11"/>
    <n v="1"/>
    <n v="0"/>
    <n v="1"/>
    <n v="1"/>
    <n v="0"/>
    <n v="1"/>
    <n v="28"/>
    <n v="18"/>
    <n v="5"/>
    <n v="2"/>
    <n v="27"/>
    <n v="6"/>
    <n v="1.61"/>
    <n v="3.03"/>
    <n v="0.86"/>
    <n v="0.22500000000000001"/>
    <n v="0"/>
    <n v="4.5"/>
    <n v="27"/>
    <n v="1"/>
  </r>
  <r>
    <x v="79"/>
    <x v="25"/>
    <s v="RP"/>
    <s v="RP"/>
    <n v="4.2"/>
    <n v="21"/>
    <n v="0"/>
    <n v="0"/>
    <n v="2"/>
    <n v="2"/>
    <n v="5"/>
    <n v="5"/>
    <n v="21.7"/>
    <n v="17"/>
    <n v="6"/>
    <n v="2"/>
    <n v="20"/>
    <n v="5"/>
    <n v="2.4900000000000002"/>
    <n v="3.46"/>
    <n v="1.02"/>
    <n v="0.26800000000000002"/>
    <n v="99"/>
    <n v="4"/>
    <s v="STELLAR"/>
    <s v="Didn't Start"/>
  </r>
  <r>
    <x v="80"/>
    <x v="9"/>
    <s v="RP"/>
    <s v="RP"/>
    <n v="4.0999999999999996"/>
    <n v="21"/>
    <n v="0"/>
    <n v="0"/>
    <n v="3"/>
    <n v="0"/>
    <n v="1"/>
    <n v="8"/>
    <n v="18.3"/>
    <n v="15"/>
    <n v="2"/>
    <n v="0"/>
    <n v="22"/>
    <n v="5"/>
    <n v="0.98"/>
    <n v="2.19"/>
    <n v="1.0900000000000001"/>
    <n v="0.31900000000000001"/>
    <n v="1"/>
    <n v="4.4000000000000004"/>
    <s v="STELLAR"/>
    <s v="Didn't Start"/>
  </r>
  <r>
    <x v="81"/>
    <x v="2"/>
    <s v="SP"/>
    <s v="SP"/>
    <n v="3.8"/>
    <n v="10"/>
    <n v="10"/>
    <n v="4"/>
    <n v="6"/>
    <n v="1"/>
    <n v="0"/>
    <n v="0"/>
    <n v="56.3"/>
    <n v="67"/>
    <n v="24"/>
    <n v="8"/>
    <n v="41"/>
    <n v="16"/>
    <n v="3.83"/>
    <n v="4.57"/>
    <n v="1.47"/>
    <n v="0.33300000000000002"/>
    <n v="92"/>
    <n v="2.5625"/>
    <n v="4.0999999999999996"/>
    <n v="0.6"/>
  </r>
  <r>
    <x v="82"/>
    <x v="22"/>
    <s v="SP"/>
    <s v="SP"/>
    <n v="3.8"/>
    <n v="10"/>
    <n v="10"/>
    <n v="4"/>
    <n v="3"/>
    <n v="4"/>
    <n v="0"/>
    <n v="0"/>
    <n v="57.3"/>
    <n v="41"/>
    <n v="27"/>
    <n v="12"/>
    <n v="60"/>
    <n v="29"/>
    <n v="4.24"/>
    <n v="5.63"/>
    <n v="1.22"/>
    <n v="0.218"/>
    <n v="96"/>
    <n v="2.0689655172413794"/>
    <n v="6"/>
    <n v="0.3"/>
  </r>
  <r>
    <x v="83"/>
    <x v="2"/>
    <s v="SP"/>
    <s v="SP"/>
    <n v="3.7"/>
    <n v="9"/>
    <n v="9"/>
    <n v="5"/>
    <n v="3"/>
    <n v="3"/>
    <n v="0"/>
    <n v="0"/>
    <n v="48"/>
    <n v="38"/>
    <n v="22"/>
    <n v="8"/>
    <n v="52"/>
    <n v="20"/>
    <n v="4.13"/>
    <n v="4.78"/>
    <n v="1.21"/>
    <n v="0.254"/>
    <n v="100"/>
    <n v="2.6"/>
    <n v="5.7777777777777777"/>
    <n v="0.33333333333333331"/>
  </r>
  <r>
    <x v="84"/>
    <x v="2"/>
    <s v="RP"/>
    <s v="RP"/>
    <n v="3.3"/>
    <n v="17"/>
    <n v="0"/>
    <n v="0"/>
    <n v="0"/>
    <n v="2"/>
    <n v="9"/>
    <n v="4"/>
    <n v="17"/>
    <n v="10"/>
    <n v="5"/>
    <n v="1"/>
    <n v="21"/>
    <n v="5"/>
    <n v="2.65"/>
    <n v="2.4500000000000002"/>
    <n v="0.88"/>
    <n v="0.23699999999999999"/>
    <n v="100"/>
    <n v="4.2"/>
    <s v="STELLAR"/>
    <s v="Didn't Start"/>
  </r>
  <r>
    <x v="85"/>
    <x v="26"/>
    <s v="SP"/>
    <s v="SP"/>
    <n v="3.2"/>
    <n v="10"/>
    <n v="10"/>
    <n v="6"/>
    <n v="4"/>
    <n v="5"/>
    <n v="0"/>
    <n v="0"/>
    <n v="53.3"/>
    <n v="54"/>
    <n v="23"/>
    <n v="8"/>
    <n v="38"/>
    <n v="12"/>
    <n v="3.88"/>
    <n v="4.4800000000000004"/>
    <n v="1.24"/>
    <n v="0.29099999999999998"/>
    <n v="25"/>
    <n v="3.1666666666666665"/>
    <n v="3.8"/>
    <n v="0.4"/>
  </r>
  <r>
    <x v="86"/>
    <x v="1"/>
    <s v="RP"/>
    <s v="RP"/>
    <n v="3.1"/>
    <n v="18"/>
    <n v="0"/>
    <n v="0"/>
    <n v="0"/>
    <n v="1"/>
    <n v="7"/>
    <n v="0"/>
    <n v="18.3"/>
    <n v="8"/>
    <n v="3"/>
    <n v="2"/>
    <n v="24"/>
    <n v="9"/>
    <n v="1.47"/>
    <n v="3.55"/>
    <n v="0.93"/>
    <n v="0.182"/>
    <n v="100"/>
    <n v="2.6666666666666665"/>
    <s v="STELLAR"/>
    <s v="Didn't Start"/>
  </r>
  <r>
    <x v="87"/>
    <x v="8"/>
    <s v="SP"/>
    <s v="SP"/>
    <n v="2.8"/>
    <n v="5"/>
    <n v="5"/>
    <n v="2"/>
    <n v="2"/>
    <n v="1"/>
    <n v="0"/>
    <n v="0"/>
    <n v="26"/>
    <n v="22"/>
    <n v="6"/>
    <n v="2"/>
    <n v="25"/>
    <n v="6"/>
    <n v="2.08"/>
    <n v="3.05"/>
    <n v="1.08"/>
    <n v="0.29399999999999998"/>
    <n v="81"/>
    <n v="4.166666666666667"/>
    <n v="5"/>
    <n v="0.4"/>
  </r>
  <r>
    <x v="88"/>
    <x v="24"/>
    <s v="RP"/>
    <s v="RP"/>
    <n v="2.8"/>
    <n v="17"/>
    <n v="0"/>
    <n v="0"/>
    <n v="2"/>
    <n v="0"/>
    <n v="2"/>
    <n v="6"/>
    <n v="29.3"/>
    <n v="23"/>
    <n v="7"/>
    <n v="2"/>
    <n v="22"/>
    <n v="6"/>
    <n v="2.15"/>
    <n v="3.38"/>
    <n v="0.99"/>
    <n v="0.247"/>
    <n v="1"/>
    <n v="3.6666666666666665"/>
    <s v="STELLAR"/>
    <s v="Didn't Start"/>
  </r>
  <r>
    <x v="89"/>
    <x v="25"/>
    <s v="SP"/>
    <s v="SP"/>
    <n v="2.7"/>
    <n v="10"/>
    <n v="10"/>
    <n v="5"/>
    <n v="3"/>
    <n v="3"/>
    <n v="0"/>
    <n v="0"/>
    <n v="56.3"/>
    <n v="59"/>
    <n v="24"/>
    <n v="8"/>
    <n v="63"/>
    <n v="18"/>
    <n v="3.83"/>
    <n v="3.9"/>
    <n v="1.37"/>
    <n v="0.34200000000000003"/>
    <n v="100"/>
    <n v="3.5"/>
    <n v="6.3"/>
    <n v="0.3"/>
  </r>
  <r>
    <x v="90"/>
    <x v="14"/>
    <s v="SP"/>
    <s v="SP"/>
    <n v="2.6"/>
    <n v="10"/>
    <n v="10"/>
    <n v="3"/>
    <n v="5"/>
    <n v="2"/>
    <n v="0"/>
    <n v="0"/>
    <n v="51.3"/>
    <n v="57"/>
    <n v="26"/>
    <n v="14"/>
    <n v="48"/>
    <n v="14"/>
    <n v="4.5599999999999996"/>
    <n v="5.83"/>
    <n v="1.38"/>
    <n v="0.29699999999999999"/>
    <n v="78"/>
    <n v="3.4285714285714284"/>
    <n v="4.8"/>
    <n v="0.5"/>
  </r>
  <r>
    <x v="91"/>
    <x v="20"/>
    <s v="SP"/>
    <s v="SP"/>
    <n v="2.6"/>
    <n v="9"/>
    <n v="9"/>
    <n v="3"/>
    <n v="4"/>
    <n v="3"/>
    <n v="0"/>
    <n v="0"/>
    <n v="48"/>
    <n v="42"/>
    <n v="21"/>
    <n v="6"/>
    <n v="61"/>
    <n v="31"/>
    <n v="3.94"/>
    <n v="4.3"/>
    <n v="1.52"/>
    <n v="0.30299999999999999"/>
    <n v="100"/>
    <n v="1.967741935483871"/>
    <n v="6.7777777777777777"/>
    <n v="0.44444444444444442"/>
  </r>
  <r>
    <x v="92"/>
    <x v="23"/>
    <s v="RP"/>
    <s v="RP"/>
    <n v="2.4"/>
    <n v="21"/>
    <n v="0"/>
    <n v="0"/>
    <n v="2"/>
    <n v="1"/>
    <n v="2"/>
    <n v="9"/>
    <n v="22.3"/>
    <n v="13"/>
    <n v="7"/>
    <n v="2"/>
    <n v="26"/>
    <n v="7"/>
    <n v="2.82"/>
    <n v="3.05"/>
    <n v="0.9"/>
    <n v="0.23400000000000001"/>
    <n v="38"/>
    <n v="3.7142857142857144"/>
    <s v="STELLAR"/>
    <s v="Didn't Start"/>
  </r>
  <r>
    <x v="93"/>
    <x v="12"/>
    <s v="RP"/>
    <s v="RP"/>
    <n v="2.2000000000000002"/>
    <n v="16"/>
    <n v="0"/>
    <n v="0"/>
    <n v="1"/>
    <n v="1"/>
    <n v="3"/>
    <n v="1"/>
    <n v="27.7"/>
    <n v="21"/>
    <n v="6"/>
    <n v="1"/>
    <n v="30"/>
    <n v="8"/>
    <n v="1.95"/>
    <n v="2.66"/>
    <n v="1.05"/>
    <n v="0.28599999999999998"/>
    <n v="88"/>
    <n v="3.75"/>
    <s v="STELLAR"/>
    <s v="Didn't Start"/>
  </r>
  <r>
    <x v="94"/>
    <x v="19"/>
    <s v="RP"/>
    <s v="RP"/>
    <n v="2.1"/>
    <n v="14"/>
    <n v="0"/>
    <n v="0"/>
    <n v="0"/>
    <n v="0"/>
    <n v="5"/>
    <n v="4"/>
    <n v="14.3"/>
    <n v="10"/>
    <n v="1"/>
    <n v="1"/>
    <n v="24"/>
    <n v="0"/>
    <n v="0.63"/>
    <n v="0.84"/>
    <n v="0.7"/>
    <n v="0.33300000000000002"/>
    <n v="98"/>
    <s v="STELLAR"/>
    <s v="STELLAR"/>
    <s v="Didn't Start"/>
  </r>
  <r>
    <x v="95"/>
    <x v="7"/>
    <s v="RP"/>
    <s v="RP"/>
    <n v="2"/>
    <n v="20"/>
    <n v="0"/>
    <n v="0"/>
    <n v="1"/>
    <n v="0"/>
    <n v="2"/>
    <n v="8"/>
    <n v="20.3"/>
    <n v="12"/>
    <n v="4"/>
    <n v="1"/>
    <n v="31"/>
    <n v="6"/>
    <n v="1.77"/>
    <n v="2.2000000000000002"/>
    <n v="0.89"/>
    <n v="0.26800000000000002"/>
    <n v="64"/>
    <n v="5.166666666666667"/>
    <s v="STELLAR"/>
    <s v="Didn't Start"/>
  </r>
  <r>
    <x v="96"/>
    <x v="0"/>
    <s v="SP"/>
    <s v="SP"/>
    <n v="2"/>
    <n v="5"/>
    <n v="5"/>
    <n v="0"/>
    <n v="3"/>
    <n v="1"/>
    <n v="0"/>
    <n v="0"/>
    <n v="24.3"/>
    <n v="24"/>
    <n v="12"/>
    <n v="4"/>
    <n v="34"/>
    <n v="4"/>
    <n v="4.4400000000000004"/>
    <n v="3.24"/>
    <n v="1.1499999999999999"/>
    <n v="0.34499999999999997"/>
    <n v="100"/>
    <n v="8.5"/>
    <n v="6.8"/>
    <n v="0.6"/>
  </r>
  <r>
    <x v="97"/>
    <x v="6"/>
    <s v="SP"/>
    <s v="SP"/>
    <n v="1.6"/>
    <n v="10"/>
    <n v="10"/>
    <n v="6"/>
    <n v="5"/>
    <n v="3"/>
    <n v="0"/>
    <n v="0"/>
    <n v="59"/>
    <n v="62"/>
    <n v="28"/>
    <n v="6"/>
    <n v="41"/>
    <n v="18"/>
    <n v="4.2699999999999996"/>
    <n v="4.18"/>
    <n v="1.36"/>
    <n v="0.313"/>
    <n v="41"/>
    <n v="2.2777777777777777"/>
    <n v="4.0999999999999996"/>
    <n v="0.5"/>
  </r>
  <r>
    <x v="98"/>
    <x v="3"/>
    <s v="SP"/>
    <s v="SP"/>
    <n v="1.5"/>
    <n v="10"/>
    <n v="10"/>
    <n v="4"/>
    <n v="4"/>
    <n v="4"/>
    <n v="0"/>
    <n v="0"/>
    <n v="52.7"/>
    <n v="56"/>
    <n v="25"/>
    <n v="8"/>
    <n v="52"/>
    <n v="17"/>
    <n v="4.2699999999999996"/>
    <n v="4.25"/>
    <n v="1.39"/>
    <n v="0.32"/>
    <n v="8"/>
    <n v="3.0588235294117645"/>
    <n v="5.2"/>
    <n v="0.4"/>
  </r>
  <r>
    <x v="99"/>
    <x v="18"/>
    <s v="RP"/>
    <s v="RP"/>
    <n v="1.5"/>
    <n v="23"/>
    <n v="0"/>
    <n v="0"/>
    <n v="2"/>
    <n v="0"/>
    <n v="1"/>
    <n v="6"/>
    <n v="24.3"/>
    <n v="21"/>
    <n v="6"/>
    <n v="3"/>
    <n v="28"/>
    <n v="4"/>
    <n v="2.2200000000000002"/>
    <n v="3.32"/>
    <n v="1.03"/>
    <n v="0.28599999999999998"/>
    <n v="0"/>
    <n v="7"/>
    <s v="STELLAR"/>
    <s v="Didn't Start"/>
  </r>
  <r>
    <x v="100"/>
    <x v="10"/>
    <s v="RP"/>
    <s v="RP"/>
    <n v="1.5"/>
    <n v="20"/>
    <n v="0"/>
    <n v="0"/>
    <n v="0"/>
    <n v="0"/>
    <n v="0"/>
    <n v="2"/>
    <n v="23.3"/>
    <n v="10"/>
    <n v="2"/>
    <n v="1"/>
    <n v="25"/>
    <n v="2"/>
    <n v="0.77"/>
    <n v="2.34"/>
    <n v="0.51"/>
    <n v="0.17"/>
    <n v="0"/>
    <n v="12.5"/>
    <s v="STELLAR"/>
    <s v="Didn't Start"/>
  </r>
  <r>
    <x v="101"/>
    <x v="4"/>
    <s v="SP"/>
    <s v="SP"/>
    <n v="1.4"/>
    <n v="9"/>
    <n v="9"/>
    <n v="3"/>
    <n v="3"/>
    <n v="3"/>
    <n v="0"/>
    <n v="0"/>
    <n v="49.3"/>
    <n v="41"/>
    <n v="19"/>
    <n v="3"/>
    <n v="34"/>
    <n v="20"/>
    <n v="3.47"/>
    <n v="4.03"/>
    <n v="1.24"/>
    <n v="0.252"/>
    <n v="98"/>
    <n v="1.7"/>
    <n v="3.7777777777777777"/>
    <n v="0.33333333333333331"/>
  </r>
  <r>
    <x v="102"/>
    <x v="5"/>
    <s v="RP"/>
    <s v="RP"/>
    <n v="1.3"/>
    <n v="23"/>
    <n v="0"/>
    <n v="0"/>
    <n v="4"/>
    <n v="1"/>
    <n v="0"/>
    <n v="5"/>
    <n v="19.3"/>
    <n v="20"/>
    <n v="5"/>
    <n v="2"/>
    <n v="22"/>
    <n v="6"/>
    <n v="2.33"/>
    <n v="3.43"/>
    <n v="1.34"/>
    <n v="0.36"/>
    <n v="1"/>
    <n v="3.6666666666666665"/>
    <s v="STELLAR"/>
    <s v="Didn't Start"/>
  </r>
  <r>
    <x v="103"/>
    <x v="16"/>
    <s v="SP"/>
    <s v="SP"/>
    <n v="1.1000000000000001"/>
    <n v="4"/>
    <n v="2"/>
    <n v="1"/>
    <n v="2"/>
    <n v="2"/>
    <n v="0"/>
    <n v="0"/>
    <n v="17"/>
    <n v="12"/>
    <n v="5"/>
    <n v="3"/>
    <n v="18"/>
    <n v="3"/>
    <n v="2.65"/>
    <n v="3.98"/>
    <n v="0.88"/>
    <n v="0.214"/>
    <n v="4"/>
    <n v="6"/>
    <n v="9"/>
    <n v="1"/>
  </r>
  <r>
    <x v="104"/>
    <x v="6"/>
    <s v="RP"/>
    <s v="RP"/>
    <n v="1.1000000000000001"/>
    <n v="22"/>
    <n v="0"/>
    <n v="0"/>
    <n v="4"/>
    <n v="0"/>
    <n v="0"/>
    <n v="1"/>
    <n v="26"/>
    <n v="18"/>
    <n v="11"/>
    <n v="3"/>
    <n v="27"/>
    <n v="13"/>
    <n v="3.81"/>
    <n v="4.2"/>
    <n v="1.19"/>
    <n v="0.23100000000000001"/>
    <n v="0"/>
    <n v="2.0769230769230771"/>
    <s v="STELLAR"/>
    <s v="Didn't Start"/>
  </r>
  <r>
    <x v="105"/>
    <x v="20"/>
    <s v="SP"/>
    <s v="SP"/>
    <n v="1"/>
    <n v="7"/>
    <n v="7"/>
    <n v="2"/>
    <n v="3"/>
    <n v="2"/>
    <n v="0"/>
    <n v="0"/>
    <n v="33.700000000000003"/>
    <n v="27"/>
    <n v="15"/>
    <n v="6"/>
    <n v="31"/>
    <n v="13"/>
    <n v="4.01"/>
    <n v="5"/>
    <n v="1.19"/>
    <n v="0.24099999999999999"/>
    <n v="100"/>
    <n v="2.3846153846153846"/>
    <n v="4.4285714285714288"/>
    <n v="0.42857142857142855"/>
  </r>
  <r>
    <x v="106"/>
    <x v="18"/>
    <s v="SP"/>
    <s v="SP"/>
    <n v="1"/>
    <n v="8"/>
    <n v="8"/>
    <n v="4"/>
    <n v="3"/>
    <n v="2"/>
    <n v="0"/>
    <n v="0"/>
    <n v="41.7"/>
    <n v="38"/>
    <n v="17"/>
    <n v="6"/>
    <n v="24"/>
    <n v="9"/>
    <n v="3.67"/>
    <n v="4.79"/>
    <n v="1.1299999999999999"/>
    <n v="0.246"/>
    <n v="16"/>
    <n v="2.6666666666666665"/>
    <n v="3"/>
    <n v="0.375"/>
  </r>
  <r>
    <x v="107"/>
    <x v="25"/>
    <s v="RP"/>
    <s v="RP"/>
    <n v="1"/>
    <n v="22"/>
    <n v="0"/>
    <n v="0"/>
    <n v="3"/>
    <n v="1"/>
    <n v="2"/>
    <n v="7"/>
    <n v="22"/>
    <n v="14"/>
    <n v="10"/>
    <n v="2"/>
    <n v="28"/>
    <n v="11"/>
    <n v="4.09"/>
    <n v="3.55"/>
    <n v="1.1399999999999999"/>
    <n v="0.26100000000000001"/>
    <n v="1"/>
    <n v="2.5454545454545454"/>
    <s v="STELLAR"/>
    <s v="Didn't Start"/>
  </r>
  <r>
    <x v="108"/>
    <x v="16"/>
    <s v="RP"/>
    <s v="RP"/>
    <n v="1"/>
    <n v="22"/>
    <n v="0"/>
    <n v="0"/>
    <n v="4"/>
    <n v="1"/>
    <n v="1"/>
    <n v="5"/>
    <n v="22.3"/>
    <n v="19"/>
    <n v="9"/>
    <n v="3"/>
    <n v="22"/>
    <n v="9"/>
    <n v="3.63"/>
    <n v="4.53"/>
    <n v="1.25"/>
    <n v="0.28100000000000003"/>
    <n v="0"/>
    <n v="2.4444444444444446"/>
    <s v="STELLAR"/>
    <s v="Didn't Start"/>
  </r>
  <r>
    <x v="109"/>
    <x v="19"/>
    <s v="RP"/>
    <s v="RP"/>
    <n v="0.9"/>
    <n v="20"/>
    <n v="0"/>
    <n v="0"/>
    <n v="3"/>
    <n v="1"/>
    <n v="5"/>
    <n v="3"/>
    <n v="18"/>
    <n v="14"/>
    <n v="12"/>
    <n v="4"/>
    <n v="30"/>
    <n v="10"/>
    <n v="6"/>
    <n v="4.5"/>
    <n v="1.33"/>
    <n v="0.32300000000000001"/>
    <n v="95"/>
    <n v="3"/>
    <s v="STELLAR"/>
    <s v="Didn't Start"/>
  </r>
  <r>
    <x v="110"/>
    <x v="12"/>
    <s v="RP"/>
    <s v="RP"/>
    <n v="0.6"/>
    <n v="23"/>
    <n v="0"/>
    <n v="0"/>
    <n v="2"/>
    <n v="1"/>
    <n v="3"/>
    <n v="5"/>
    <n v="19.7"/>
    <n v="13"/>
    <n v="4"/>
    <n v="2"/>
    <n v="20"/>
    <n v="10"/>
    <n v="1.83"/>
    <n v="4.4000000000000004"/>
    <n v="1.17"/>
    <n v="0.224"/>
    <n v="40"/>
    <n v="2"/>
    <s v="STELLAR"/>
    <s v="Didn't Start"/>
  </r>
  <r>
    <x v="111"/>
    <x v="20"/>
    <s v="SP"/>
    <s v="SP"/>
    <n v="0.4"/>
    <n v="4"/>
    <n v="4"/>
    <n v="2"/>
    <n v="2"/>
    <n v="2"/>
    <n v="0"/>
    <n v="0"/>
    <n v="25"/>
    <n v="18"/>
    <n v="10"/>
    <n v="5"/>
    <n v="20"/>
    <n v="5"/>
    <n v="3.6"/>
    <n v="4.88"/>
    <n v="0.92"/>
    <n v="0.19400000000000001"/>
    <n v="100"/>
    <n v="4"/>
    <n v="5"/>
    <n v="0.5"/>
  </r>
  <r>
    <x v="112"/>
    <x v="3"/>
    <s v="RP"/>
    <s v="RP"/>
    <n v="0.4"/>
    <n v="20"/>
    <n v="0"/>
    <n v="0"/>
    <n v="1"/>
    <n v="1"/>
    <n v="1"/>
    <n v="2"/>
    <n v="22.3"/>
    <n v="9"/>
    <n v="5"/>
    <n v="2"/>
    <n v="33"/>
    <n v="12"/>
    <n v="2.02"/>
    <n v="3.1"/>
    <n v="0.94"/>
    <n v="0.16300000000000001"/>
    <n v="0"/>
    <n v="2.75"/>
    <s v="STELLAR"/>
    <s v="Didn't Start"/>
  </r>
  <r>
    <x v="113"/>
    <x v="10"/>
    <s v="RP"/>
    <s v="RP"/>
    <n v="0.1"/>
    <n v="20"/>
    <n v="0"/>
    <n v="0"/>
    <n v="0"/>
    <n v="2"/>
    <n v="8"/>
    <n v="0"/>
    <n v="19.3"/>
    <n v="15"/>
    <n v="7"/>
    <n v="2"/>
    <n v="17"/>
    <n v="2"/>
    <n v="3.26"/>
    <n v="3.17"/>
    <n v="0.88"/>
    <n v="0.255"/>
    <n v="100"/>
    <n v="8.5"/>
    <s v="STELLAR"/>
    <s v="Didn't Start"/>
  </r>
  <r>
    <x v="114"/>
    <x v="0"/>
    <s v="SP"/>
    <s v="SP"/>
    <n v="-0.1"/>
    <n v="7"/>
    <n v="1"/>
    <n v="0"/>
    <n v="2"/>
    <n v="1"/>
    <n v="0"/>
    <n v="1"/>
    <n v="29"/>
    <n v="17"/>
    <n v="9"/>
    <n v="2"/>
    <n v="11"/>
    <n v="11"/>
    <n v="2.79"/>
    <n v="4.66"/>
    <n v="0.97"/>
    <n v="0.17"/>
    <n v="2"/>
    <n v="1"/>
    <n v="11"/>
    <n v="2"/>
  </r>
  <r>
    <x v="115"/>
    <x v="12"/>
    <s v="SP"/>
    <s v="SP"/>
    <n v="-0.1"/>
    <n v="10"/>
    <n v="10"/>
    <n v="4"/>
    <n v="4"/>
    <n v="2"/>
    <n v="0"/>
    <n v="0"/>
    <n v="54.3"/>
    <n v="53"/>
    <n v="32"/>
    <n v="10"/>
    <n v="53"/>
    <n v="16"/>
    <n v="5.3"/>
    <n v="4.7699999999999996"/>
    <n v="1.27"/>
    <n v="0.29499999999999998"/>
    <n v="100"/>
    <n v="3.3125"/>
    <n v="5.3"/>
    <n v="0.4"/>
  </r>
  <r>
    <x v="116"/>
    <x v="20"/>
    <s v="SP"/>
    <s v="SP"/>
    <n v="-0.2"/>
    <n v="10"/>
    <n v="10"/>
    <n v="3"/>
    <n v="5"/>
    <n v="3"/>
    <n v="0"/>
    <n v="0"/>
    <n v="50"/>
    <n v="49"/>
    <n v="24"/>
    <n v="8"/>
    <n v="40"/>
    <n v="25"/>
    <n v="4.32"/>
    <n v="5.44"/>
    <n v="1.48"/>
    <n v="0.28299999999999997"/>
    <n v="54"/>
    <n v="1.6"/>
    <n v="4"/>
    <n v="0.5"/>
  </r>
  <r>
    <x v="117"/>
    <x v="27"/>
    <s v="RP"/>
    <s v="RP"/>
    <n v="-0.3"/>
    <n v="18"/>
    <n v="0"/>
    <n v="0"/>
    <n v="1"/>
    <n v="2"/>
    <n v="4"/>
    <n v="4"/>
    <n v="19.3"/>
    <n v="15"/>
    <n v="4"/>
    <n v="2"/>
    <n v="18"/>
    <n v="4"/>
    <n v="1.86"/>
    <n v="3.38"/>
    <n v="0.98"/>
    <n v="0.255"/>
    <n v="79"/>
    <n v="4.5"/>
    <s v="STELLAR"/>
    <s v="Didn't Start"/>
  </r>
  <r>
    <x v="118"/>
    <x v="6"/>
    <s v="RP"/>
    <s v="RP"/>
    <n v="-0.3"/>
    <n v="24"/>
    <n v="0"/>
    <n v="0"/>
    <n v="3"/>
    <n v="2"/>
    <n v="0"/>
    <n v="9"/>
    <n v="22.7"/>
    <n v="14"/>
    <n v="7"/>
    <n v="1"/>
    <n v="28"/>
    <n v="14"/>
    <n v="2.78"/>
    <n v="3.37"/>
    <n v="1.24"/>
    <n v="0.28899999999999998"/>
    <n v="0"/>
    <n v="2"/>
    <s v="STELLAR"/>
    <s v="Didn't Start"/>
  </r>
  <r>
    <x v="119"/>
    <x v="8"/>
    <s v="RP"/>
    <s v="RP"/>
    <n v="-0.4"/>
    <n v="13"/>
    <n v="0"/>
    <n v="0"/>
    <n v="3"/>
    <n v="2"/>
    <n v="0"/>
    <n v="1"/>
    <n v="26.3"/>
    <n v="19"/>
    <n v="10"/>
    <n v="4"/>
    <n v="19"/>
    <n v="6"/>
    <n v="3.42"/>
    <n v="4.49"/>
    <n v="0.95"/>
    <n v="0.21099999999999999"/>
    <m/>
    <n v="3.1666666666666665"/>
    <s v="STELLAR"/>
    <s v="Didn't Start"/>
  </r>
  <r>
    <x v="120"/>
    <x v="21"/>
    <s v="RP"/>
    <s v="RP"/>
    <n v="-0.4"/>
    <n v="22"/>
    <n v="0"/>
    <n v="0"/>
    <n v="2"/>
    <n v="2"/>
    <n v="2"/>
    <n v="7"/>
    <n v="20.7"/>
    <n v="18"/>
    <n v="5"/>
    <n v="4"/>
    <n v="25"/>
    <n v="7"/>
    <n v="2.1800000000000002"/>
    <n v="4.3899999999999997"/>
    <n v="1.21"/>
    <n v="0.29199999999999998"/>
    <n v="1"/>
    <n v="3.5714285714285716"/>
    <s v="STELLAR"/>
    <s v="Didn't Start"/>
  </r>
  <r>
    <x v="121"/>
    <x v="23"/>
    <s v="SP"/>
    <s v="SP"/>
    <n v="-0.4"/>
    <n v="10"/>
    <n v="10"/>
    <n v="4"/>
    <n v="3"/>
    <n v="3"/>
    <n v="0"/>
    <n v="0"/>
    <n v="51"/>
    <n v="51"/>
    <n v="22"/>
    <n v="7"/>
    <n v="63"/>
    <n v="27"/>
    <n v="3.88"/>
    <n v="4.18"/>
    <n v="1.53"/>
    <n v="0.34599999999999997"/>
    <n v="100"/>
    <n v="2.3333333333333335"/>
    <n v="6.3"/>
    <n v="0.3"/>
  </r>
  <r>
    <x v="122"/>
    <x v="25"/>
    <s v="RP"/>
    <s v="RP"/>
    <n v="-0.4"/>
    <n v="24"/>
    <n v="0"/>
    <n v="0"/>
    <n v="3"/>
    <n v="1"/>
    <n v="1"/>
    <n v="1"/>
    <n v="22.3"/>
    <n v="19"/>
    <n v="8"/>
    <n v="4"/>
    <n v="25"/>
    <n v="8"/>
    <n v="3.22"/>
    <n v="4.58"/>
    <n v="1.21"/>
    <n v="0.27800000000000002"/>
    <n v="0"/>
    <n v="3.125"/>
    <s v="STELLAR"/>
    <s v="Didn't Start"/>
  </r>
  <r>
    <x v="123"/>
    <x v="20"/>
    <s v="RP"/>
    <s v="RP"/>
    <n v="-0.6"/>
    <n v="19"/>
    <n v="0"/>
    <n v="0"/>
    <n v="3"/>
    <n v="1"/>
    <n v="1"/>
    <n v="7"/>
    <n v="17.3"/>
    <n v="12"/>
    <n v="6"/>
    <n v="2"/>
    <n v="23"/>
    <n v="9"/>
    <n v="3.12"/>
    <n v="4.37"/>
    <n v="1.21"/>
    <n v="0.26300000000000001"/>
    <n v="0"/>
    <n v="2.5555555555555554"/>
    <s v="STELLAR"/>
    <s v="Didn't Start"/>
  </r>
  <r>
    <x v="124"/>
    <x v="12"/>
    <s v="RP"/>
    <s v="RP"/>
    <n v="-0.6"/>
    <n v="16"/>
    <n v="0"/>
    <n v="0"/>
    <n v="1"/>
    <n v="1"/>
    <n v="1"/>
    <n v="1"/>
    <n v="22"/>
    <n v="15"/>
    <n v="3"/>
    <n v="0"/>
    <n v="30"/>
    <n v="9"/>
    <n v="1.23"/>
    <n v="1.78"/>
    <n v="1.0900000000000001"/>
    <n v="0.312"/>
    <n v="2"/>
    <n v="3.3333333333333335"/>
    <s v="STELLAR"/>
    <s v="Didn't Start"/>
  </r>
  <r>
    <x v="125"/>
    <x v="16"/>
    <s v="SP"/>
    <s v="SP"/>
    <n v="-0.8"/>
    <n v="20"/>
    <n v="2"/>
    <n v="0"/>
    <n v="3"/>
    <n v="4"/>
    <n v="1"/>
    <n v="2"/>
    <n v="21"/>
    <n v="18"/>
    <n v="6"/>
    <n v="3"/>
    <n v="20"/>
    <n v="13"/>
    <n v="2.57"/>
    <n v="5.09"/>
    <n v="1.48"/>
    <n v="0.27800000000000002"/>
    <n v="0"/>
    <n v="1.5384615384615385"/>
    <n v="10"/>
    <n v="1.5"/>
  </r>
  <r>
    <x v="126"/>
    <x v="12"/>
    <s v="RP"/>
    <s v="RP"/>
    <n v="-0.8"/>
    <n v="21"/>
    <n v="0"/>
    <n v="0"/>
    <n v="2"/>
    <n v="2"/>
    <n v="5"/>
    <n v="3"/>
    <n v="19.3"/>
    <n v="20"/>
    <n v="7"/>
    <n v="0"/>
    <n v="25"/>
    <n v="8"/>
    <n v="3.26"/>
    <n v="2.2400000000000002"/>
    <n v="1.45"/>
    <n v="0.377"/>
    <n v="98"/>
    <n v="3.125"/>
    <s v="STELLAR"/>
    <s v="Didn't Start"/>
  </r>
  <r>
    <x v="127"/>
    <x v="24"/>
    <s v="RP"/>
    <s v="RP"/>
    <n v="-0.9"/>
    <n v="16"/>
    <n v="0"/>
    <n v="0"/>
    <n v="1"/>
    <n v="2"/>
    <n v="10"/>
    <n v="0"/>
    <n v="14.7"/>
    <n v="14"/>
    <n v="6"/>
    <n v="1"/>
    <n v="17"/>
    <n v="10"/>
    <n v="3.68"/>
    <n v="3.89"/>
    <n v="1.64"/>
    <n v="0.29499999999999998"/>
    <n v="100"/>
    <n v="1.7"/>
    <s v="STELLAR"/>
    <s v="Didn't Start"/>
  </r>
  <r>
    <x v="128"/>
    <x v="15"/>
    <s v="RP"/>
    <s v="RP"/>
    <n v="-0.9"/>
    <n v="21"/>
    <n v="0"/>
    <n v="0"/>
    <n v="4"/>
    <n v="0"/>
    <n v="1"/>
    <n v="3"/>
    <n v="18.3"/>
    <n v="14"/>
    <n v="9"/>
    <n v="1"/>
    <n v="9"/>
    <n v="4"/>
    <n v="4.42"/>
    <n v="3.82"/>
    <n v="0.98"/>
    <n v="0.22"/>
    <n v="0"/>
    <n v="2.25"/>
    <s v="STELLAR"/>
    <s v="Didn't Start"/>
  </r>
  <r>
    <x v="129"/>
    <x v="9"/>
    <s v="RP"/>
    <s v="RP"/>
    <n v="-1"/>
    <n v="22"/>
    <n v="0"/>
    <n v="0"/>
    <n v="2"/>
    <n v="1"/>
    <n v="3"/>
    <n v="5"/>
    <n v="20.7"/>
    <n v="21"/>
    <n v="5"/>
    <n v="0"/>
    <n v="16"/>
    <n v="3"/>
    <n v="2.1800000000000002"/>
    <n v="2.17"/>
    <n v="1.1599999999999999"/>
    <n v="0.32300000000000001"/>
    <n v="43"/>
    <n v="5.333333333333333"/>
    <s v="STELLAR"/>
    <s v="Didn't Start"/>
  </r>
  <r>
    <x v="130"/>
    <x v="6"/>
    <s v="SP"/>
    <s v="SP"/>
    <n v="-1.2"/>
    <n v="10"/>
    <n v="10"/>
    <n v="3"/>
    <n v="5"/>
    <n v="1"/>
    <n v="0"/>
    <n v="0"/>
    <n v="52.7"/>
    <n v="63"/>
    <n v="27"/>
    <n v="9"/>
    <n v="43"/>
    <n v="15"/>
    <n v="4.6100000000000003"/>
    <n v="4.84"/>
    <n v="1.48"/>
    <n v="0.33800000000000002"/>
    <n v="16"/>
    <n v="2.8666666666666667"/>
    <n v="4.3"/>
    <n v="0.5"/>
  </r>
  <r>
    <x v="131"/>
    <x v="27"/>
    <s v="RP"/>
    <s v="RP"/>
    <n v="-1.3"/>
    <n v="22"/>
    <n v="0"/>
    <n v="0"/>
    <n v="3"/>
    <n v="0"/>
    <n v="0"/>
    <n v="5"/>
    <n v="25"/>
    <n v="20"/>
    <n v="10"/>
    <n v="1"/>
    <n v="26"/>
    <n v="8"/>
    <n v="3.6"/>
    <n v="2.68"/>
    <n v="1.1200000000000001"/>
    <n v="0.27500000000000002"/>
    <n v="0"/>
    <n v="3.25"/>
    <s v="STELLAR"/>
    <s v="Didn't Start"/>
  </r>
  <r>
    <x v="132"/>
    <x v="1"/>
    <s v="SP"/>
    <s v="SP"/>
    <n v="-1.3"/>
    <n v="5"/>
    <n v="5"/>
    <n v="1"/>
    <n v="1"/>
    <n v="2"/>
    <n v="0"/>
    <n v="0"/>
    <n v="25.7"/>
    <n v="22"/>
    <n v="9"/>
    <n v="5"/>
    <n v="28"/>
    <n v="5"/>
    <n v="3.16"/>
    <n v="4.21"/>
    <n v="1.05"/>
    <n v="0.26600000000000001"/>
    <n v="4"/>
    <n v="5.6"/>
    <n v="5.6"/>
    <n v="0.2"/>
  </r>
  <r>
    <x v="133"/>
    <x v="8"/>
    <s v="RP"/>
    <s v="RP"/>
    <n v="-1.4"/>
    <n v="20"/>
    <n v="0"/>
    <n v="0"/>
    <n v="2"/>
    <n v="0"/>
    <n v="1"/>
    <n v="8"/>
    <n v="21.3"/>
    <n v="16"/>
    <n v="9"/>
    <n v="2"/>
    <n v="25"/>
    <n v="3"/>
    <n v="3.8"/>
    <n v="2.57"/>
    <n v="0.89"/>
    <n v="0.27500000000000002"/>
    <n v="4"/>
    <n v="8.3333333333333339"/>
    <s v="STELLAR"/>
    <s v="Didn't Start"/>
  </r>
  <r>
    <x v="134"/>
    <x v="22"/>
    <s v="SP"/>
    <s v="SP"/>
    <n v="-1.5"/>
    <n v="11"/>
    <n v="11"/>
    <n v="5"/>
    <n v="3"/>
    <n v="3"/>
    <n v="0"/>
    <n v="0"/>
    <n v="58.7"/>
    <n v="55"/>
    <n v="30"/>
    <n v="7"/>
    <n v="60"/>
    <n v="25"/>
    <n v="4.5999999999999996"/>
    <n v="4.32"/>
    <n v="1.36"/>
    <n v="0.29399999999999998"/>
    <n v="100"/>
    <n v="2.4"/>
    <n v="5.4545454545454541"/>
    <n v="0.27272727272727271"/>
  </r>
  <r>
    <x v="135"/>
    <x v="17"/>
    <s v="SP"/>
    <s v="SP"/>
    <n v="-1.8"/>
    <n v="8"/>
    <n v="8"/>
    <n v="5"/>
    <n v="3"/>
    <n v="3"/>
    <n v="0"/>
    <n v="0"/>
    <n v="41.7"/>
    <n v="46"/>
    <n v="19"/>
    <n v="5"/>
    <n v="38"/>
    <n v="11"/>
    <n v="4.0999999999999996"/>
    <n v="3.95"/>
    <n v="1.37"/>
    <n v="0.33300000000000002"/>
    <n v="40"/>
    <n v="3.4545454545454546"/>
    <n v="4.75"/>
    <n v="0.375"/>
  </r>
  <r>
    <x v="136"/>
    <x v="24"/>
    <s v="SP"/>
    <s v="SP"/>
    <n v="-1.9"/>
    <n v="9"/>
    <n v="9"/>
    <n v="2"/>
    <n v="3"/>
    <n v="3"/>
    <n v="0"/>
    <n v="0"/>
    <n v="48.7"/>
    <n v="44"/>
    <n v="27"/>
    <n v="5"/>
    <n v="46"/>
    <n v="17"/>
    <n v="4.99"/>
    <n v="3.83"/>
    <n v="1.25"/>
    <n v="0.29799999999999999"/>
    <n v="42"/>
    <n v="2.7058823529411766"/>
    <n v="5.1111111111111107"/>
    <n v="0.33333333333333331"/>
  </r>
  <r>
    <x v="137"/>
    <x v="21"/>
    <s v="RP"/>
    <s v="RP"/>
    <n v="-1.9"/>
    <n v="17"/>
    <n v="0"/>
    <n v="0"/>
    <n v="2"/>
    <n v="0"/>
    <n v="1"/>
    <n v="2"/>
    <n v="21"/>
    <n v="22"/>
    <n v="4"/>
    <n v="3"/>
    <n v="23"/>
    <n v="4"/>
    <n v="1.71"/>
    <n v="3.52"/>
    <n v="1.24"/>
    <n v="0.311"/>
    <n v="0"/>
    <n v="5.75"/>
    <s v="STELLAR"/>
    <s v="Didn't Start"/>
  </r>
  <r>
    <x v="138"/>
    <x v="24"/>
    <s v="SP"/>
    <s v="SP"/>
    <n v="-1.9"/>
    <n v="8"/>
    <n v="2"/>
    <n v="0"/>
    <n v="1"/>
    <n v="2"/>
    <n v="0"/>
    <n v="0"/>
    <n v="27.7"/>
    <n v="24"/>
    <n v="11"/>
    <n v="6"/>
    <n v="27"/>
    <n v="4"/>
    <n v="3.58"/>
    <n v="4.58"/>
    <n v="1.01"/>
    <n v="0.24"/>
    <n v="1"/>
    <n v="6.75"/>
    <n v="13.5"/>
    <n v="0.5"/>
  </r>
  <r>
    <x v="139"/>
    <x v="12"/>
    <s v="RP"/>
    <s v="RP"/>
    <n v="-2"/>
    <n v="20"/>
    <n v="1"/>
    <n v="0"/>
    <n v="3"/>
    <n v="2"/>
    <n v="0"/>
    <n v="3"/>
    <n v="21.3"/>
    <n v="16"/>
    <n v="9"/>
    <n v="1"/>
    <n v="21"/>
    <n v="6"/>
    <n v="3.8"/>
    <n v="3.04"/>
    <n v="1.03"/>
    <n v="0.25900000000000001"/>
    <n v="0"/>
    <n v="3.5"/>
    <n v="21"/>
    <n v="3"/>
  </r>
  <r>
    <x v="140"/>
    <x v="24"/>
    <s v="SP"/>
    <s v="SP"/>
    <n v="-2.2000000000000002"/>
    <n v="7"/>
    <n v="7"/>
    <n v="2"/>
    <n v="3"/>
    <n v="2"/>
    <n v="0"/>
    <n v="0"/>
    <n v="35.299999999999997"/>
    <n v="39"/>
    <n v="16"/>
    <n v="7"/>
    <n v="37"/>
    <n v="12"/>
    <n v="4.08"/>
    <n v="4.95"/>
    <n v="1.44"/>
    <n v="0.33700000000000002"/>
    <n v="98"/>
    <n v="3.0833333333333335"/>
    <n v="5.2857142857142856"/>
    <n v="0.42857142857142855"/>
  </r>
  <r>
    <x v="141"/>
    <x v="28"/>
    <s v="RP"/>
    <s v="RP"/>
    <n v="-2.2999999999999998"/>
    <n v="18"/>
    <n v="0"/>
    <n v="0"/>
    <n v="1"/>
    <n v="3"/>
    <n v="6"/>
    <n v="0"/>
    <n v="19"/>
    <n v="14"/>
    <n v="9"/>
    <n v="2"/>
    <n v="27"/>
    <n v="10"/>
    <n v="4.26"/>
    <n v="3.38"/>
    <n v="1.26"/>
    <n v="0.3"/>
    <n v="100"/>
    <n v="2.7"/>
    <s v="STELLAR"/>
    <s v="Didn't Start"/>
  </r>
  <r>
    <x v="142"/>
    <x v="18"/>
    <s v="SP"/>
    <s v="SP"/>
    <n v="-2.2999999999999998"/>
    <n v="2"/>
    <n v="2"/>
    <n v="1"/>
    <n v="1"/>
    <n v="0"/>
    <n v="0"/>
    <n v="0"/>
    <n v="11.3"/>
    <n v="7"/>
    <n v="1"/>
    <n v="1"/>
    <n v="12"/>
    <n v="3"/>
    <n v="0.79"/>
    <n v="3.1"/>
    <n v="0.88"/>
    <n v="0.23100000000000001"/>
    <n v="100"/>
    <n v="4"/>
    <n v="6"/>
    <n v="0.5"/>
  </r>
  <r>
    <x v="143"/>
    <x v="0"/>
    <s v="RP"/>
    <s v="RP"/>
    <n v="-2.4"/>
    <n v="22"/>
    <n v="0"/>
    <n v="0"/>
    <n v="1"/>
    <n v="1"/>
    <n v="5"/>
    <n v="4"/>
    <n v="20"/>
    <n v="17"/>
    <n v="8"/>
    <n v="4"/>
    <n v="25"/>
    <n v="7"/>
    <n v="3.6"/>
    <n v="4.88"/>
    <n v="1.2"/>
    <n v="0.255"/>
    <n v="97"/>
    <n v="3.5714285714285716"/>
    <s v="STELLAR"/>
    <s v="Didn't Start"/>
  </r>
  <r>
    <x v="144"/>
    <x v="22"/>
    <s v="RP"/>
    <s v="RP"/>
    <n v="-2.5"/>
    <n v="21"/>
    <n v="0"/>
    <n v="0"/>
    <n v="1"/>
    <n v="2"/>
    <n v="4"/>
    <n v="6"/>
    <n v="20.3"/>
    <n v="12"/>
    <n v="7"/>
    <n v="3"/>
    <n v="20"/>
    <n v="9"/>
    <n v="3.1"/>
    <n v="4.8499999999999996"/>
    <n v="1.03"/>
    <n v="0.184"/>
    <n v="41"/>
    <n v="2.2222222222222223"/>
    <s v="STELLAR"/>
    <s v="Didn't Start"/>
  </r>
  <r>
    <x v="145"/>
    <x v="1"/>
    <s v="SP"/>
    <s v="SP"/>
    <n v="-2.6"/>
    <n v="5"/>
    <n v="5"/>
    <n v="3"/>
    <n v="2"/>
    <n v="0"/>
    <n v="0"/>
    <n v="0"/>
    <n v="28"/>
    <n v="28"/>
    <n v="13"/>
    <n v="7"/>
    <n v="31"/>
    <n v="7"/>
    <n v="4.18"/>
    <n v="5.17"/>
    <n v="1.25"/>
    <n v="0.28799999999999998"/>
    <n v="100"/>
    <n v="4.4285714285714288"/>
    <n v="6.2"/>
    <n v="0.4"/>
  </r>
  <r>
    <x v="146"/>
    <x v="12"/>
    <s v="RP"/>
    <s v="RP"/>
    <n v="-2.7"/>
    <n v="21"/>
    <n v="0"/>
    <n v="0"/>
    <n v="2"/>
    <n v="1"/>
    <n v="1"/>
    <n v="4"/>
    <n v="24"/>
    <n v="15"/>
    <n v="10"/>
    <n v="2"/>
    <n v="30"/>
    <n v="12"/>
    <n v="3.75"/>
    <n v="3.61"/>
    <n v="1.1299999999999999"/>
    <n v="0.25"/>
    <n v="1"/>
    <n v="2.5"/>
    <s v="STELLAR"/>
    <s v="Didn't Start"/>
  </r>
  <r>
    <x v="147"/>
    <x v="10"/>
    <s v="SP"/>
    <s v="SP"/>
    <n v="-2.7"/>
    <n v="6"/>
    <n v="6"/>
    <n v="2"/>
    <n v="2"/>
    <n v="2"/>
    <n v="0"/>
    <n v="0"/>
    <n v="27"/>
    <n v="25"/>
    <n v="12"/>
    <n v="3"/>
    <n v="31"/>
    <n v="10"/>
    <n v="4"/>
    <n v="3.65"/>
    <n v="1.3"/>
    <n v="0.32400000000000001"/>
    <n v="11"/>
    <n v="3.1"/>
    <n v="5.166666666666667"/>
    <n v="0.33333333333333331"/>
  </r>
  <r>
    <x v="148"/>
    <x v="1"/>
    <s v="RP"/>
    <s v="RP"/>
    <n v="-2.9"/>
    <n v="23"/>
    <n v="0"/>
    <n v="0"/>
    <n v="1"/>
    <n v="2"/>
    <n v="3"/>
    <n v="6"/>
    <n v="22"/>
    <n v="16"/>
    <n v="6"/>
    <n v="2"/>
    <n v="19"/>
    <n v="7"/>
    <n v="2.4500000000000002"/>
    <n v="3.82"/>
    <n v="1.05"/>
    <n v="0.23300000000000001"/>
    <n v="39"/>
    <n v="2.7142857142857144"/>
    <s v="STELLAR"/>
    <s v="Didn't Start"/>
  </r>
  <r>
    <x v="149"/>
    <x v="11"/>
    <s v="SP"/>
    <s v="SP"/>
    <n v="-3"/>
    <n v="7"/>
    <n v="7"/>
    <n v="3"/>
    <n v="2"/>
    <n v="2"/>
    <n v="0"/>
    <n v="0"/>
    <n v="39.700000000000003"/>
    <n v="37"/>
    <n v="18"/>
    <n v="6"/>
    <n v="31"/>
    <n v="11"/>
    <n v="4.08"/>
    <n v="4.59"/>
    <n v="1.21"/>
    <n v="0.27700000000000002"/>
    <n v="78"/>
    <n v="2.8181818181818183"/>
    <n v="4.4285714285714288"/>
    <n v="0.2857142857142857"/>
  </r>
  <r>
    <x v="150"/>
    <x v="7"/>
    <s v="RP"/>
    <s v="RP"/>
    <n v="-3.1"/>
    <n v="18"/>
    <n v="0"/>
    <n v="0"/>
    <n v="1"/>
    <n v="3"/>
    <n v="1"/>
    <n v="6"/>
    <n v="23.7"/>
    <n v="17"/>
    <n v="7"/>
    <n v="2"/>
    <n v="22"/>
    <n v="4"/>
    <n v="2.66"/>
    <n v="3.02"/>
    <n v="0.89"/>
    <n v="0.25"/>
    <n v="18"/>
    <n v="5.5"/>
    <s v="STELLAR"/>
    <s v="Didn't Start"/>
  </r>
  <r>
    <x v="151"/>
    <x v="14"/>
    <s v="RP"/>
    <s v="RP"/>
    <n v="-3.2"/>
    <n v="23"/>
    <n v="0"/>
    <n v="0"/>
    <n v="2"/>
    <n v="2"/>
    <n v="0"/>
    <n v="10"/>
    <n v="23"/>
    <n v="13"/>
    <n v="9"/>
    <n v="4"/>
    <n v="28"/>
    <n v="11"/>
    <n v="3.52"/>
    <n v="4.54"/>
    <n v="1.04"/>
    <n v="0.188"/>
    <n v="1"/>
    <n v="2.5454545454545454"/>
    <s v="STELLAR"/>
    <s v="Didn't Start"/>
  </r>
  <r>
    <x v="152"/>
    <x v="26"/>
    <s v="RP"/>
    <s v="RP"/>
    <n v="-3.3"/>
    <n v="23"/>
    <n v="0"/>
    <n v="0"/>
    <n v="1"/>
    <n v="0"/>
    <n v="0"/>
    <n v="2"/>
    <n v="32.700000000000003"/>
    <n v="26"/>
    <n v="9"/>
    <n v="1"/>
    <n v="34"/>
    <n v="11"/>
    <n v="2.48"/>
    <n v="2.79"/>
    <n v="1.1299999999999999"/>
    <n v="0.28699999999999998"/>
    <n v="0"/>
    <n v="3.0909090909090908"/>
    <s v="STELLAR"/>
    <s v="Didn't Start"/>
  </r>
  <r>
    <x v="153"/>
    <x v="22"/>
    <s v="RP"/>
    <s v="RP"/>
    <n v="-3.4"/>
    <n v="14"/>
    <n v="0"/>
    <n v="0"/>
    <n v="1"/>
    <n v="1"/>
    <n v="1"/>
    <n v="5"/>
    <n v="14.3"/>
    <n v="8"/>
    <n v="4"/>
    <n v="1"/>
    <n v="19"/>
    <n v="1"/>
    <n v="2.5099999999999998"/>
    <n v="1.74"/>
    <n v="0.63"/>
    <n v="0.22600000000000001"/>
    <n v="2"/>
    <n v="19"/>
    <s v="STELLAR"/>
    <s v="Didn't Start"/>
  </r>
  <r>
    <x v="154"/>
    <x v="4"/>
    <s v="RP"/>
    <s v="RP"/>
    <n v="-3.4"/>
    <n v="11"/>
    <n v="0"/>
    <n v="0"/>
    <n v="2"/>
    <n v="0"/>
    <n v="0"/>
    <n v="4"/>
    <n v="14.7"/>
    <n v="9"/>
    <n v="5"/>
    <n v="2"/>
    <n v="13"/>
    <n v="0"/>
    <n v="3.07"/>
    <n v="3.28"/>
    <n v="0.61"/>
    <n v="0.19400000000000001"/>
    <n v="0"/>
    <s v="STELLAR"/>
    <s v="STELLAR"/>
    <s v="Didn't Start"/>
  </r>
  <r>
    <x v="155"/>
    <x v="21"/>
    <s v="RP"/>
    <s v="RP"/>
    <n v="-3.4"/>
    <n v="18"/>
    <n v="0"/>
    <n v="0"/>
    <n v="2"/>
    <n v="1"/>
    <n v="0"/>
    <n v="1"/>
    <n v="18.3"/>
    <n v="9"/>
    <n v="7"/>
    <n v="3"/>
    <n v="17"/>
    <n v="5"/>
    <n v="3.44"/>
    <n v="4.37"/>
    <n v="0.76"/>
    <n v="0.15"/>
    <n v="0"/>
    <n v="3.4"/>
    <s v="STELLAR"/>
    <s v="Didn't Start"/>
  </r>
  <r>
    <x v="156"/>
    <x v="18"/>
    <s v="RP"/>
    <s v="RP"/>
    <n v="-3.5"/>
    <n v="15"/>
    <n v="0"/>
    <n v="0"/>
    <n v="1"/>
    <n v="0"/>
    <n v="2"/>
    <n v="2"/>
    <n v="26.7"/>
    <n v="21"/>
    <n v="8"/>
    <n v="2"/>
    <n v="24"/>
    <n v="8"/>
    <n v="2.7"/>
    <n v="3.47"/>
    <n v="1.0900000000000001"/>
    <n v="0.26800000000000002"/>
    <n v="0"/>
    <n v="3"/>
    <s v="STELLAR"/>
    <s v="Didn't Start"/>
  </r>
  <r>
    <x v="157"/>
    <x v="25"/>
    <s v="SP"/>
    <s v="SP"/>
    <n v="-3.6"/>
    <n v="10"/>
    <n v="10"/>
    <n v="5"/>
    <n v="2"/>
    <n v="5"/>
    <n v="0"/>
    <n v="0"/>
    <n v="63"/>
    <n v="58"/>
    <n v="34"/>
    <n v="6"/>
    <n v="57"/>
    <n v="20"/>
    <n v="4.8600000000000003"/>
    <n v="3.8"/>
    <n v="1.24"/>
    <n v="0.29699999999999999"/>
    <n v="100"/>
    <n v="2.85"/>
    <n v="5.7"/>
    <n v="0.2"/>
  </r>
  <r>
    <x v="158"/>
    <x v="25"/>
    <s v="SP"/>
    <s v="SP"/>
    <n v="-3.7"/>
    <n v="10"/>
    <n v="10"/>
    <n v="2"/>
    <n v="3"/>
    <n v="4"/>
    <n v="0"/>
    <n v="0"/>
    <n v="46.3"/>
    <n v="39"/>
    <n v="26"/>
    <n v="7"/>
    <n v="61"/>
    <n v="31"/>
    <n v="5.05"/>
    <n v="4.68"/>
    <n v="1.51"/>
    <n v="0.29399999999999998"/>
    <n v="92"/>
    <n v="1.967741935483871"/>
    <n v="6.1"/>
    <n v="0.3"/>
  </r>
  <r>
    <x v="159"/>
    <x v="23"/>
    <s v="RP"/>
    <s v="RP"/>
    <n v="-3.8"/>
    <n v="20"/>
    <n v="0"/>
    <n v="0"/>
    <n v="1"/>
    <n v="2"/>
    <n v="10"/>
    <n v="2"/>
    <n v="19"/>
    <n v="21"/>
    <n v="10"/>
    <n v="4"/>
    <n v="18"/>
    <n v="10"/>
    <n v="4.74"/>
    <n v="5.86"/>
    <n v="1.63"/>
    <n v="0.33300000000000002"/>
    <n v="96"/>
    <n v="1.8"/>
    <s v="STELLAR"/>
    <s v="Didn't Start"/>
  </r>
  <r>
    <x v="160"/>
    <x v="21"/>
    <s v="SP"/>
    <s v="SP"/>
    <n v="-3.9"/>
    <n v="5"/>
    <n v="5"/>
    <n v="3"/>
    <n v="1"/>
    <n v="1"/>
    <n v="0"/>
    <n v="0"/>
    <n v="28.3"/>
    <n v="26"/>
    <n v="10"/>
    <n v="1"/>
    <n v="25"/>
    <n v="8"/>
    <n v="3.18"/>
    <n v="3.03"/>
    <n v="1.2"/>
    <n v="0.312"/>
    <n v="100"/>
    <n v="3.125"/>
    <n v="5"/>
    <n v="0.2"/>
  </r>
  <r>
    <x v="161"/>
    <x v="0"/>
    <s v="RP"/>
    <s v="RP"/>
    <n v="-4"/>
    <n v="19"/>
    <n v="0"/>
    <n v="0"/>
    <n v="3"/>
    <n v="0"/>
    <n v="0"/>
    <n v="6"/>
    <n v="16.7"/>
    <n v="14"/>
    <n v="3"/>
    <n v="1"/>
    <n v="11"/>
    <n v="8"/>
    <n v="1.62"/>
    <n v="4.3600000000000003"/>
    <n v="1.32"/>
    <n v="0.25"/>
    <n v="0"/>
    <n v="1.375"/>
    <s v="STELLAR"/>
    <s v="Didn't Start"/>
  </r>
  <r>
    <x v="162"/>
    <x v="21"/>
    <s v="RP"/>
    <s v="RP"/>
    <n v="-4"/>
    <n v="18"/>
    <n v="0"/>
    <n v="0"/>
    <n v="2"/>
    <n v="0"/>
    <n v="0"/>
    <n v="1"/>
    <n v="17.3"/>
    <n v="10"/>
    <n v="4"/>
    <n v="1"/>
    <n v="17"/>
    <n v="8"/>
    <n v="2.08"/>
    <n v="3.97"/>
    <n v="1.04"/>
    <n v="0.23100000000000001"/>
    <n v="0"/>
    <n v="2.125"/>
    <s v="STELLAR"/>
    <s v="Didn't Start"/>
  </r>
  <r>
    <x v="163"/>
    <x v="26"/>
    <s v="RP"/>
    <s v="RP"/>
    <n v="-4"/>
    <n v="21"/>
    <n v="0"/>
    <n v="0"/>
    <n v="1"/>
    <n v="2"/>
    <n v="0"/>
    <n v="6"/>
    <n v="26"/>
    <n v="17"/>
    <n v="7"/>
    <n v="1"/>
    <n v="28"/>
    <n v="10"/>
    <n v="2.42"/>
    <n v="2.78"/>
    <n v="1.04"/>
    <n v="0.254"/>
    <n v="0"/>
    <n v="2.8"/>
    <s v="STELLAR"/>
    <s v="Didn't Start"/>
  </r>
  <r>
    <x v="164"/>
    <x v="23"/>
    <s v="SP"/>
    <s v="SP"/>
    <n v="-4.0999999999999996"/>
    <n v="10"/>
    <n v="10"/>
    <n v="2"/>
    <n v="2"/>
    <n v="2"/>
    <n v="0"/>
    <n v="0"/>
    <n v="50"/>
    <n v="49"/>
    <n v="24"/>
    <n v="9"/>
    <n v="37"/>
    <n v="13"/>
    <n v="4.32"/>
    <n v="5.04"/>
    <n v="1.24"/>
    <n v="0.26800000000000002"/>
    <n v="0"/>
    <n v="2.8461538461538463"/>
    <n v="3.7"/>
    <n v="0.2"/>
  </r>
  <r>
    <x v="165"/>
    <x v="19"/>
    <s v="RP"/>
    <s v="RP"/>
    <n v="-4.0999999999999996"/>
    <n v="15"/>
    <n v="0"/>
    <n v="0"/>
    <n v="1"/>
    <n v="0"/>
    <n v="0"/>
    <n v="0"/>
    <n v="22.3"/>
    <n v="15"/>
    <n v="3"/>
    <n v="1"/>
    <n v="20"/>
    <n v="8"/>
    <n v="1.21"/>
    <n v="3.82"/>
    <n v="1.03"/>
    <n v="0.23699999999999999"/>
    <n v="0"/>
    <n v="2.5"/>
    <s v="STELLAR"/>
    <s v="Didn't Start"/>
  </r>
  <r>
    <x v="166"/>
    <x v="11"/>
    <s v="RP"/>
    <s v="RP"/>
    <n v="-4.2"/>
    <n v="21"/>
    <n v="0"/>
    <n v="0"/>
    <n v="1"/>
    <n v="1"/>
    <n v="2"/>
    <n v="8"/>
    <n v="20.3"/>
    <n v="17"/>
    <n v="4"/>
    <n v="0"/>
    <n v="15"/>
    <n v="4"/>
    <n v="1.77"/>
    <n v="2.54"/>
    <n v="1.03"/>
    <n v="0.29799999999999999"/>
    <n v="0"/>
    <n v="3.75"/>
    <s v="STELLAR"/>
    <s v="Didn't Start"/>
  </r>
  <r>
    <x v="167"/>
    <x v="15"/>
    <s v="RP"/>
    <s v="RP"/>
    <n v="-4.3"/>
    <n v="22"/>
    <n v="3"/>
    <n v="0"/>
    <n v="2"/>
    <n v="0"/>
    <n v="0"/>
    <n v="7"/>
    <n v="20"/>
    <n v="15"/>
    <n v="9"/>
    <n v="1"/>
    <n v="30"/>
    <n v="7"/>
    <n v="4.05"/>
    <n v="1.98"/>
    <n v="1.1000000000000001"/>
    <n v="0.32600000000000001"/>
    <n v="0"/>
    <n v="4.2857142857142856"/>
    <n v="10"/>
    <n v="0.66666666666666663"/>
  </r>
  <r>
    <x v="168"/>
    <x v="4"/>
    <s v="SP"/>
    <s v="SP"/>
    <n v="-4.4000000000000004"/>
    <n v="7"/>
    <n v="7"/>
    <n v="1"/>
    <n v="3"/>
    <n v="2"/>
    <n v="0"/>
    <n v="0"/>
    <n v="36.299999999999997"/>
    <n v="34"/>
    <n v="20"/>
    <n v="5"/>
    <n v="30"/>
    <n v="14"/>
    <n v="4.95"/>
    <n v="4.74"/>
    <n v="1.32"/>
    <n v="0.27400000000000002"/>
    <n v="12"/>
    <n v="2.1428571428571428"/>
    <n v="4.2857142857142856"/>
    <n v="0.42857142857142855"/>
  </r>
  <r>
    <x v="169"/>
    <x v="13"/>
    <s v="RP"/>
    <s v="RP"/>
    <n v="-4.4000000000000004"/>
    <n v="25"/>
    <n v="0"/>
    <n v="0"/>
    <n v="3"/>
    <n v="3"/>
    <n v="1"/>
    <n v="4"/>
    <n v="21"/>
    <n v="26"/>
    <n v="11"/>
    <n v="1"/>
    <n v="40"/>
    <n v="9"/>
    <n v="4.71"/>
    <n v="1.94"/>
    <n v="1.67"/>
    <n v="0.53200000000000003"/>
    <n v="1"/>
    <n v="4.4444444444444446"/>
    <s v="STELLAR"/>
    <s v="Didn't Start"/>
  </r>
  <r>
    <x v="170"/>
    <x v="9"/>
    <s v="RP"/>
    <s v="RP"/>
    <n v="-4.5"/>
    <n v="19"/>
    <n v="0"/>
    <n v="0"/>
    <n v="1"/>
    <n v="0"/>
    <n v="1"/>
    <n v="2"/>
    <n v="23"/>
    <n v="8"/>
    <n v="7"/>
    <n v="2"/>
    <n v="23"/>
    <n v="15"/>
    <n v="2.74"/>
    <n v="4.5"/>
    <n v="1"/>
    <n v="0.11799999999999999"/>
    <n v="0"/>
    <n v="1.5333333333333334"/>
    <s v="STELLAR"/>
    <s v="Didn't Start"/>
  </r>
  <r>
    <x v="171"/>
    <x v="28"/>
    <s v="RP"/>
    <s v="RP"/>
    <n v="-4.5999999999999996"/>
    <n v="20"/>
    <n v="0"/>
    <n v="0"/>
    <n v="1"/>
    <n v="2"/>
    <n v="2"/>
    <n v="6"/>
    <n v="18.7"/>
    <n v="12"/>
    <n v="6"/>
    <n v="0"/>
    <n v="31"/>
    <n v="12"/>
    <n v="2.89"/>
    <n v="1.89"/>
    <n v="1.29"/>
    <n v="0.32400000000000001"/>
    <n v="40"/>
    <n v="2.5833333333333335"/>
    <s v="STELLAR"/>
    <s v="Didn't Start"/>
  </r>
  <r>
    <x v="172"/>
    <x v="25"/>
    <s v="RP"/>
    <s v="RP"/>
    <n v="-4.5999999999999996"/>
    <n v="17"/>
    <n v="0"/>
    <n v="0"/>
    <n v="1"/>
    <n v="0"/>
    <n v="0"/>
    <n v="3"/>
    <n v="14.3"/>
    <n v="4"/>
    <n v="3"/>
    <n v="1"/>
    <n v="21"/>
    <n v="7"/>
    <n v="1.88"/>
    <n v="2.72"/>
    <n v="0.77"/>
    <n v="0.115"/>
    <n v="0"/>
    <n v="3"/>
    <s v="STELLAR"/>
    <s v="Didn't Start"/>
  </r>
  <r>
    <x v="173"/>
    <x v="26"/>
    <s v="SP"/>
    <s v="SP"/>
    <n v="-4.5999999999999996"/>
    <n v="4"/>
    <n v="4"/>
    <n v="1"/>
    <n v="2"/>
    <n v="2"/>
    <n v="0"/>
    <n v="0"/>
    <n v="20"/>
    <n v="19"/>
    <n v="11"/>
    <n v="4"/>
    <n v="17"/>
    <n v="3"/>
    <n v="4.95"/>
    <n v="4.63"/>
    <n v="1.1000000000000001"/>
    <n v="0.28299999999999997"/>
    <n v="1"/>
    <n v="5.666666666666667"/>
    <n v="4.25"/>
    <n v="0.5"/>
  </r>
  <r>
    <x v="174"/>
    <x v="28"/>
    <s v="SP"/>
    <s v="SP"/>
    <n v="-4.5999999999999996"/>
    <n v="21"/>
    <n v="2"/>
    <n v="0"/>
    <n v="0"/>
    <n v="1"/>
    <n v="0"/>
    <n v="3"/>
    <n v="25"/>
    <n v="20"/>
    <n v="10"/>
    <n v="3"/>
    <n v="34"/>
    <n v="8"/>
    <n v="3.6"/>
    <n v="3.08"/>
    <n v="1.1200000000000001"/>
    <n v="0.30399999999999999"/>
    <n v="0"/>
    <n v="4.25"/>
    <n v="17"/>
    <n v="0"/>
  </r>
  <r>
    <x v="175"/>
    <x v="26"/>
    <s v="RP"/>
    <s v="RP"/>
    <n v="-5.0999999999999996"/>
    <n v="19"/>
    <n v="0"/>
    <n v="0"/>
    <n v="2"/>
    <n v="1"/>
    <n v="0"/>
    <n v="1"/>
    <n v="17.7"/>
    <n v="15"/>
    <n v="6"/>
    <n v="0"/>
    <n v="26"/>
    <n v="7"/>
    <n v="3.06"/>
    <n v="1.69"/>
    <n v="1.25"/>
    <n v="0.39500000000000002"/>
    <n v="0"/>
    <n v="3.7142857142857144"/>
    <s v="STELLAR"/>
    <s v="Didn't Start"/>
  </r>
  <r>
    <x v="176"/>
    <x v="18"/>
    <s v="SP"/>
    <s v="SP"/>
    <n v="-5.0999999999999996"/>
    <n v="4"/>
    <n v="4"/>
    <n v="1"/>
    <n v="1"/>
    <n v="0"/>
    <n v="0"/>
    <n v="0"/>
    <n v="20"/>
    <n v="21"/>
    <n v="5"/>
    <n v="1"/>
    <n v="14"/>
    <n v="4"/>
    <n v="2.25"/>
    <n v="3.13"/>
    <n v="1.25"/>
    <n v="0.312"/>
    <n v="2"/>
    <n v="3.5"/>
    <n v="3.5"/>
    <n v="0.25"/>
  </r>
  <r>
    <x v="177"/>
    <x v="11"/>
    <s v="RP"/>
    <s v="RP"/>
    <n v="-5.2"/>
    <n v="13"/>
    <n v="0"/>
    <n v="0"/>
    <n v="1"/>
    <n v="0"/>
    <n v="0"/>
    <n v="1"/>
    <n v="16"/>
    <n v="7"/>
    <n v="3"/>
    <n v="0"/>
    <n v="17"/>
    <n v="6"/>
    <n v="1.69"/>
    <n v="2.2799999999999998"/>
    <n v="0.81"/>
    <n v="0.184"/>
    <n v="0"/>
    <n v="2.8333333333333335"/>
    <s v="STELLAR"/>
    <s v="Didn't Start"/>
  </r>
  <r>
    <x v="178"/>
    <x v="19"/>
    <s v="RP"/>
    <s v="RP"/>
    <n v="-5.3"/>
    <n v="23"/>
    <n v="1"/>
    <n v="0"/>
    <n v="2"/>
    <n v="0"/>
    <n v="0"/>
    <n v="3"/>
    <n v="25.7"/>
    <n v="21"/>
    <n v="7"/>
    <n v="3"/>
    <n v="23"/>
    <n v="12"/>
    <n v="2.4500000000000002"/>
    <n v="4.5199999999999996"/>
    <n v="1.29"/>
    <n v="0.26900000000000002"/>
    <n v="0"/>
    <n v="1.9166666666666667"/>
    <n v="23"/>
    <n v="2"/>
  </r>
  <r>
    <x v="179"/>
    <x v="6"/>
    <s v="RP"/>
    <s v="RP"/>
    <n v="-5.5"/>
    <n v="22"/>
    <n v="0"/>
    <n v="0"/>
    <n v="1"/>
    <n v="1"/>
    <n v="0"/>
    <n v="10"/>
    <n v="18.7"/>
    <n v="16"/>
    <n v="5"/>
    <n v="2"/>
    <n v="27"/>
    <n v="4"/>
    <n v="2.41"/>
    <n v="2.74"/>
    <n v="1.07"/>
    <n v="0.32600000000000001"/>
    <n v="0"/>
    <n v="6.75"/>
    <s v="STELLAR"/>
    <s v="Didn't Start"/>
  </r>
  <r>
    <x v="180"/>
    <x v="29"/>
    <s v="SP"/>
    <s v="SP"/>
    <n v="-5.5"/>
    <n v="4"/>
    <n v="4"/>
    <n v="2"/>
    <n v="0"/>
    <n v="2"/>
    <n v="0"/>
    <n v="0"/>
    <n v="21.3"/>
    <n v="14"/>
    <n v="8"/>
    <n v="1"/>
    <n v="22"/>
    <n v="7"/>
    <n v="3.38"/>
    <n v="3.09"/>
    <n v="0.98"/>
    <n v="0.25"/>
    <n v="40"/>
    <n v="3.1428571428571428"/>
    <n v="5.5"/>
    <n v="0"/>
  </r>
  <r>
    <x v="181"/>
    <x v="8"/>
    <s v="RP"/>
    <s v="RP"/>
    <n v="-5.6"/>
    <n v="23"/>
    <n v="0"/>
    <n v="0"/>
    <n v="2"/>
    <n v="5"/>
    <n v="7"/>
    <n v="0"/>
    <n v="22"/>
    <n v="25"/>
    <n v="18"/>
    <n v="3"/>
    <n v="28"/>
    <n v="6"/>
    <n v="7.36"/>
    <n v="3.32"/>
    <n v="1.41"/>
    <n v="0.38600000000000001"/>
    <n v="16"/>
    <n v="4.666666666666667"/>
    <s v="STELLAR"/>
    <s v="Didn't Start"/>
  </r>
  <r>
    <x v="182"/>
    <x v="10"/>
    <s v="SP"/>
    <s v="SP"/>
    <n v="-5.6"/>
    <n v="4"/>
    <n v="4"/>
    <n v="1"/>
    <n v="1"/>
    <n v="1"/>
    <n v="0"/>
    <n v="0"/>
    <n v="21"/>
    <n v="20"/>
    <n v="8"/>
    <n v="5"/>
    <n v="18"/>
    <n v="5"/>
    <n v="3.43"/>
    <n v="5.52"/>
    <n v="1.19"/>
    <n v="0.24199999999999999"/>
    <n v="85"/>
    <n v="3.6"/>
    <n v="4.5"/>
    <n v="0.25"/>
  </r>
  <r>
    <x v="183"/>
    <x v="14"/>
    <s v="RP"/>
    <s v="RP"/>
    <n v="-5.6"/>
    <n v="22"/>
    <n v="0"/>
    <n v="0"/>
    <n v="1"/>
    <n v="1"/>
    <n v="1"/>
    <n v="3"/>
    <n v="17"/>
    <n v="16"/>
    <n v="2"/>
    <n v="0"/>
    <n v="16"/>
    <n v="3"/>
    <n v="1.06"/>
    <n v="1.93"/>
    <n v="1.1200000000000001"/>
    <n v="0.32700000000000001"/>
    <n v="0"/>
    <n v="5.333333333333333"/>
    <s v="STELLAR"/>
    <s v="Didn't Start"/>
  </r>
  <r>
    <x v="184"/>
    <x v="22"/>
    <s v="SP"/>
    <s v="SP"/>
    <n v="-5.8"/>
    <n v="9"/>
    <n v="9"/>
    <n v="3"/>
    <n v="3"/>
    <n v="3"/>
    <n v="0"/>
    <n v="0"/>
    <n v="47.3"/>
    <n v="47"/>
    <n v="24"/>
    <n v="7"/>
    <n v="40"/>
    <n v="22"/>
    <n v="4.5599999999999996"/>
    <n v="5.0999999999999996"/>
    <n v="1.46"/>
    <n v="0.28399999999999997"/>
    <n v="37"/>
    <n v="1.8181818181818181"/>
    <n v="4.4444444444444446"/>
    <n v="0.33333333333333331"/>
  </r>
  <r>
    <x v="185"/>
    <x v="21"/>
    <s v="SP"/>
    <s v="SP"/>
    <n v="-5.8"/>
    <n v="2"/>
    <n v="2"/>
    <n v="1"/>
    <n v="1"/>
    <n v="1"/>
    <n v="0"/>
    <n v="0"/>
    <n v="12.7"/>
    <n v="11"/>
    <n v="4"/>
    <n v="0"/>
    <n v="8"/>
    <n v="2"/>
    <n v="2.84"/>
    <n v="2.4900000000000002"/>
    <n v="1.03"/>
    <n v="0.27500000000000002"/>
    <n v="51"/>
    <n v="4"/>
    <n v="4"/>
    <n v="0.5"/>
  </r>
  <r>
    <x v="186"/>
    <x v="18"/>
    <s v="SP"/>
    <s v="SP"/>
    <n v="-5.9"/>
    <n v="9"/>
    <n v="8"/>
    <n v="2"/>
    <n v="4"/>
    <n v="5"/>
    <n v="0"/>
    <n v="0"/>
    <n v="42.7"/>
    <n v="45"/>
    <n v="26"/>
    <n v="13"/>
    <n v="41"/>
    <n v="20"/>
    <n v="5.48"/>
    <n v="6.72"/>
    <n v="1.52"/>
    <n v="0.28599999999999998"/>
    <n v="27"/>
    <n v="2.0499999999999998"/>
    <n v="5.125"/>
    <n v="0.5"/>
  </r>
  <r>
    <x v="187"/>
    <x v="28"/>
    <s v="RP"/>
    <s v="RP"/>
    <n v="-6"/>
    <n v="22"/>
    <n v="0"/>
    <n v="0"/>
    <n v="3"/>
    <n v="0"/>
    <n v="0"/>
    <n v="1"/>
    <n v="21.7"/>
    <n v="24"/>
    <n v="10"/>
    <n v="5"/>
    <n v="28"/>
    <n v="8"/>
    <n v="4.1500000000000004"/>
    <n v="4.9400000000000004"/>
    <n v="1.48"/>
    <n v="0.33900000000000002"/>
    <n v="0"/>
    <n v="3.5"/>
    <s v="STELLAR"/>
    <s v="Didn't Start"/>
  </r>
  <r>
    <x v="188"/>
    <x v="26"/>
    <s v="SP"/>
    <s v="SP"/>
    <n v="-6.1"/>
    <n v="4"/>
    <n v="2"/>
    <n v="0"/>
    <n v="0"/>
    <n v="0"/>
    <n v="1"/>
    <n v="0"/>
    <n v="15.7"/>
    <n v="11"/>
    <n v="2"/>
    <n v="0"/>
    <n v="6"/>
    <n v="4"/>
    <n v="1.1499999999999999"/>
    <n v="3.47"/>
    <n v="0.96"/>
    <n v="0.22"/>
    <n v="1"/>
    <n v="1.5"/>
    <n v="3"/>
    <n v="0"/>
  </r>
  <r>
    <x v="189"/>
    <x v="28"/>
    <s v="SP"/>
    <s v="SP"/>
    <n v="-6.2"/>
    <n v="11"/>
    <n v="11"/>
    <n v="1"/>
    <n v="1"/>
    <n v="5"/>
    <n v="0"/>
    <n v="0"/>
    <n v="57.3"/>
    <n v="59"/>
    <n v="29"/>
    <n v="10"/>
    <n v="41"/>
    <n v="8"/>
    <n v="4.55"/>
    <n v="4.59"/>
    <n v="1.17"/>
    <n v="0.28199999999999997"/>
    <n v="3"/>
    <n v="5.125"/>
    <n v="3.7272727272727271"/>
    <n v="9.0909090909090912E-2"/>
  </r>
  <r>
    <x v="190"/>
    <x v="21"/>
    <s v="SP"/>
    <s v="SP"/>
    <n v="-6.2"/>
    <n v="6"/>
    <n v="6"/>
    <n v="2"/>
    <n v="1"/>
    <n v="2"/>
    <n v="0"/>
    <n v="0"/>
    <n v="32.700000000000003"/>
    <n v="38"/>
    <n v="12"/>
    <n v="3"/>
    <n v="33"/>
    <n v="9"/>
    <n v="3.31"/>
    <n v="3.28"/>
    <n v="1.44"/>
    <n v="0.34300000000000003"/>
    <n v="100"/>
    <n v="3.6666666666666665"/>
    <n v="5.5"/>
    <n v="0.16666666666666666"/>
  </r>
  <r>
    <x v="191"/>
    <x v="25"/>
    <s v="SP"/>
    <s v="SP"/>
    <n v="-6.4"/>
    <n v="4"/>
    <n v="4"/>
    <n v="1"/>
    <n v="1"/>
    <n v="2"/>
    <n v="0"/>
    <n v="0"/>
    <n v="18"/>
    <n v="16"/>
    <n v="8"/>
    <n v="2"/>
    <n v="19"/>
    <n v="6"/>
    <n v="4"/>
    <n v="4.1100000000000003"/>
    <n v="1.22"/>
    <n v="0.28599999999999998"/>
    <n v="20"/>
    <n v="3.1666666666666665"/>
    <n v="4.75"/>
    <n v="0.25"/>
  </r>
  <r>
    <x v="192"/>
    <x v="3"/>
    <s v="SP"/>
    <s v="SP"/>
    <n v="-6.4"/>
    <n v="9"/>
    <n v="9"/>
    <n v="4"/>
    <n v="3"/>
    <n v="4"/>
    <n v="0"/>
    <n v="0"/>
    <n v="50"/>
    <n v="48"/>
    <n v="25"/>
    <n v="5"/>
    <n v="35"/>
    <n v="23"/>
    <n v="4.5"/>
    <n v="4.62"/>
    <n v="1.42"/>
    <n v="0.28899999999999998"/>
    <n v="73"/>
    <n v="1.5217391304347827"/>
    <n v="3.8888888888888888"/>
    <n v="0.33333333333333331"/>
  </r>
  <r>
    <x v="193"/>
    <x v="6"/>
    <s v="SP"/>
    <s v="SP"/>
    <n v="-6.4"/>
    <n v="8"/>
    <n v="8"/>
    <n v="3"/>
    <n v="2"/>
    <n v="1"/>
    <n v="0"/>
    <n v="0"/>
    <n v="37.299999999999997"/>
    <n v="39"/>
    <n v="18"/>
    <n v="5"/>
    <n v="32"/>
    <n v="13"/>
    <n v="4.34"/>
    <n v="4.51"/>
    <n v="1.39"/>
    <n v="0.312"/>
    <n v="95"/>
    <n v="2.4615384615384617"/>
    <n v="4"/>
    <n v="0.25"/>
  </r>
  <r>
    <x v="194"/>
    <x v="25"/>
    <s v="SP"/>
    <s v="SP"/>
    <n v="-6.4"/>
    <n v="3"/>
    <n v="3"/>
    <n v="0"/>
    <n v="1"/>
    <n v="1"/>
    <n v="0"/>
    <n v="0"/>
    <n v="14"/>
    <n v="11"/>
    <n v="6"/>
    <n v="3"/>
    <n v="16"/>
    <n v="6"/>
    <n v="3.86"/>
    <n v="5.0599999999999996"/>
    <n v="1.21"/>
    <n v="0.216"/>
    <n v="100"/>
    <n v="2.6666666666666665"/>
    <n v="5.333333333333333"/>
    <n v="0.33333333333333331"/>
  </r>
  <r>
    <x v="195"/>
    <x v="26"/>
    <s v="RP"/>
    <s v="RP"/>
    <n v="-6.5"/>
    <n v="21"/>
    <n v="0"/>
    <n v="0"/>
    <n v="0"/>
    <n v="1"/>
    <n v="10"/>
    <n v="0"/>
    <n v="20"/>
    <n v="22"/>
    <n v="11"/>
    <n v="3"/>
    <n v="27"/>
    <n v="12"/>
    <n v="4.95"/>
    <n v="4.33"/>
    <n v="1.7"/>
    <n v="0.373"/>
    <n v="97"/>
    <n v="2.25"/>
    <s v="STELLAR"/>
    <s v="Didn't Start"/>
  </r>
  <r>
    <x v="196"/>
    <x v="27"/>
    <s v="SP"/>
    <s v="SP"/>
    <n v="-6.5"/>
    <n v="10"/>
    <n v="10"/>
    <n v="5"/>
    <n v="2"/>
    <n v="6"/>
    <n v="0"/>
    <n v="0"/>
    <n v="55.3"/>
    <n v="62"/>
    <n v="28"/>
    <n v="7"/>
    <n v="52"/>
    <n v="16"/>
    <n v="4.55"/>
    <n v="4.0199999999999996"/>
    <n v="1.41"/>
    <n v="0.32200000000000001"/>
    <n v="100"/>
    <n v="3.25"/>
    <n v="5.2"/>
    <n v="0.2"/>
  </r>
  <r>
    <x v="197"/>
    <x v="13"/>
    <s v="SP"/>
    <s v="SP"/>
    <n v="-6.5"/>
    <n v="1"/>
    <n v="1"/>
    <n v="1"/>
    <n v="0"/>
    <n v="0"/>
    <n v="0"/>
    <n v="0"/>
    <n v="6.7"/>
    <n v="1"/>
    <n v="0"/>
    <n v="0"/>
    <n v="2"/>
    <n v="1"/>
    <n v="0"/>
    <n v="3.13"/>
    <n v="0.3"/>
    <n v="5.2999999999999999E-2"/>
    <n v="0"/>
    <n v="2"/>
    <n v="2"/>
    <n v="0"/>
  </r>
  <r>
    <x v="198"/>
    <x v="15"/>
    <s v="RP"/>
    <s v="RP"/>
    <n v="-6.6"/>
    <n v="21"/>
    <n v="0"/>
    <n v="0"/>
    <n v="0"/>
    <n v="4"/>
    <n v="2"/>
    <n v="9"/>
    <n v="25"/>
    <n v="17"/>
    <n v="6"/>
    <n v="2"/>
    <n v="20"/>
    <n v="9"/>
    <n v="2.16"/>
    <n v="3.8"/>
    <n v="1.04"/>
    <n v="0.224"/>
    <n v="1"/>
    <n v="2.2222222222222223"/>
    <s v="STELLAR"/>
    <s v="Didn't Start"/>
  </r>
  <r>
    <x v="199"/>
    <x v="9"/>
    <s v="SP"/>
    <s v="SP"/>
    <n v="-6.6"/>
    <n v="1"/>
    <n v="1"/>
    <n v="0"/>
    <n v="1"/>
    <n v="0"/>
    <n v="0"/>
    <n v="0"/>
    <n v="5"/>
    <n v="4"/>
    <n v="1"/>
    <n v="0"/>
    <n v="5"/>
    <n v="1"/>
    <n v="1.8"/>
    <n v="1.88"/>
    <n v="1"/>
    <n v="0.28599999999999998"/>
    <n v="1"/>
    <n v="5"/>
    <n v="5"/>
    <n v="1"/>
  </r>
  <r>
    <x v="200"/>
    <x v="29"/>
    <s v="RP"/>
    <s v="RP"/>
    <n v="-6.7"/>
    <n v="19"/>
    <n v="0"/>
    <n v="0"/>
    <n v="2"/>
    <n v="1"/>
    <n v="1"/>
    <n v="1"/>
    <n v="18"/>
    <n v="18"/>
    <n v="5"/>
    <n v="1"/>
    <n v="23"/>
    <n v="10"/>
    <n v="2.5"/>
    <n v="3.11"/>
    <n v="1.56"/>
    <n v="0.378"/>
    <n v="2"/>
    <n v="2.2999999999999998"/>
    <s v="STELLAR"/>
    <s v="Didn't Start"/>
  </r>
  <r>
    <x v="201"/>
    <x v="16"/>
    <s v="RP"/>
    <s v="RP"/>
    <n v="-6.8"/>
    <n v="9"/>
    <n v="0"/>
    <n v="0"/>
    <n v="1"/>
    <n v="1"/>
    <n v="1"/>
    <n v="0"/>
    <n v="16.7"/>
    <n v="12"/>
    <n v="3"/>
    <n v="1"/>
    <n v="10"/>
    <n v="4"/>
    <n v="1.62"/>
    <n v="3.76"/>
    <n v="0.96"/>
    <n v="0.216"/>
    <n v="0"/>
    <n v="2.5"/>
    <s v="STELLAR"/>
    <s v="Didn't Start"/>
  </r>
  <r>
    <x v="202"/>
    <x v="23"/>
    <s v="SP"/>
    <s v="SP"/>
    <n v="-6.9"/>
    <n v="10"/>
    <n v="10"/>
    <n v="6"/>
    <n v="3"/>
    <n v="5"/>
    <n v="0"/>
    <n v="0"/>
    <n v="56.3"/>
    <n v="68"/>
    <n v="28"/>
    <n v="8"/>
    <n v="34"/>
    <n v="10"/>
    <n v="4.47"/>
    <n v="4.45"/>
    <n v="1.38"/>
    <n v="0.308"/>
    <n v="6"/>
    <n v="3.4"/>
    <n v="3.4"/>
    <n v="0.3"/>
  </r>
  <r>
    <x v="203"/>
    <x v="18"/>
    <s v="RP"/>
    <s v="RP"/>
    <n v="-6.9"/>
    <n v="23"/>
    <n v="0"/>
    <n v="0"/>
    <n v="2"/>
    <n v="3"/>
    <n v="0"/>
    <n v="12"/>
    <n v="22"/>
    <n v="20"/>
    <n v="9"/>
    <n v="0"/>
    <n v="20"/>
    <n v="5"/>
    <n v="3.68"/>
    <n v="2.82"/>
    <n v="1.1399999999999999"/>
    <n v="0.29899999999999999"/>
    <n v="0"/>
    <n v="4"/>
    <s v="STELLAR"/>
    <s v="Didn't Start"/>
  </r>
  <r>
    <x v="204"/>
    <x v="25"/>
    <s v="SP"/>
    <s v="SP"/>
    <n v="-7.1"/>
    <n v="21"/>
    <n v="1"/>
    <n v="0"/>
    <n v="1"/>
    <n v="0"/>
    <n v="0"/>
    <n v="2"/>
    <n v="20.3"/>
    <n v="20"/>
    <n v="8"/>
    <n v="2"/>
    <n v="18"/>
    <n v="7"/>
    <n v="3.54"/>
    <n v="3.97"/>
    <n v="1.33"/>
    <n v="0.3"/>
    <n v="0"/>
    <n v="2.5714285714285716"/>
    <n v="18"/>
    <n v="1"/>
  </r>
  <r>
    <x v="205"/>
    <x v="17"/>
    <s v="RP"/>
    <s v="RP"/>
    <n v="-7.1"/>
    <n v="18"/>
    <n v="0"/>
    <n v="0"/>
    <n v="2"/>
    <n v="2"/>
    <n v="0"/>
    <n v="3"/>
    <n v="25.7"/>
    <n v="21"/>
    <n v="10"/>
    <n v="4"/>
    <n v="22"/>
    <n v="10"/>
    <n v="3.51"/>
    <n v="4.88"/>
    <n v="1.21"/>
    <n v="0.24299999999999999"/>
    <n v="0"/>
    <n v="2.2000000000000002"/>
    <s v="STELLAR"/>
    <s v="Didn't Start"/>
  </r>
  <r>
    <x v="206"/>
    <x v="29"/>
    <s v="SP"/>
    <s v="SP"/>
    <n v="-7.2"/>
    <n v="9"/>
    <n v="9"/>
    <n v="3"/>
    <n v="0"/>
    <n v="3"/>
    <n v="0"/>
    <n v="0"/>
    <n v="48.7"/>
    <n v="46"/>
    <n v="27"/>
    <n v="11"/>
    <n v="51"/>
    <n v="10"/>
    <n v="4.99"/>
    <n v="4.9800000000000004"/>
    <n v="1.1499999999999999"/>
    <n v="0.27800000000000002"/>
    <n v="37"/>
    <n v="5.0999999999999996"/>
    <n v="5.666666666666667"/>
    <n v="0"/>
  </r>
  <r>
    <x v="207"/>
    <x v="17"/>
    <s v="RP"/>
    <s v="RP"/>
    <n v="-7.3"/>
    <n v="9"/>
    <n v="0"/>
    <n v="0"/>
    <n v="1"/>
    <n v="0"/>
    <n v="0"/>
    <n v="0"/>
    <n v="9"/>
    <n v="4"/>
    <n v="0"/>
    <n v="0"/>
    <n v="8"/>
    <n v="1"/>
    <n v="0"/>
    <n v="1.83"/>
    <n v="0.56000000000000005"/>
    <n v="0.16700000000000001"/>
    <n v="0"/>
    <n v="8"/>
    <s v="STELLAR"/>
    <s v="Didn't Start"/>
  </r>
  <r>
    <x v="208"/>
    <x v="0"/>
    <s v="RP"/>
    <s v="RP"/>
    <n v="-7.4"/>
    <n v="20"/>
    <n v="0"/>
    <n v="0"/>
    <n v="3"/>
    <n v="1"/>
    <n v="2"/>
    <n v="5"/>
    <n v="24.3"/>
    <n v="30"/>
    <n v="12"/>
    <n v="0"/>
    <n v="18"/>
    <n v="6"/>
    <n v="4.4400000000000004"/>
    <n v="2.91"/>
    <n v="1.48"/>
    <n v="0.37"/>
    <n v="0"/>
    <n v="3"/>
    <s v="STELLAR"/>
    <s v="Didn't Start"/>
  </r>
  <r>
    <x v="209"/>
    <x v="11"/>
    <s v="RP"/>
    <s v="RP"/>
    <n v="-7.5"/>
    <n v="20"/>
    <n v="0"/>
    <n v="0"/>
    <n v="2"/>
    <n v="0"/>
    <n v="1"/>
    <n v="4"/>
    <n v="18"/>
    <n v="19"/>
    <n v="5"/>
    <n v="3"/>
    <n v="18"/>
    <n v="8"/>
    <n v="2.5"/>
    <n v="5.1100000000000003"/>
    <n v="1.5"/>
    <n v="0.314"/>
    <n v="0"/>
    <n v="2.25"/>
    <s v="STELLAR"/>
    <s v="Didn't Start"/>
  </r>
  <r>
    <x v="210"/>
    <x v="3"/>
    <s v="SP"/>
    <s v="SP"/>
    <n v="-7.5"/>
    <n v="10"/>
    <n v="10"/>
    <n v="4"/>
    <n v="3"/>
    <n v="4"/>
    <n v="0"/>
    <n v="0"/>
    <n v="53.7"/>
    <n v="57"/>
    <n v="28"/>
    <n v="5"/>
    <n v="48"/>
    <n v="25"/>
    <n v="4.7"/>
    <n v="4.0999999999999996"/>
    <n v="1.53"/>
    <n v="0.308"/>
    <n v="34"/>
    <n v="1.92"/>
    <n v="4.8"/>
    <n v="0.3"/>
  </r>
  <r>
    <x v="211"/>
    <x v="17"/>
    <s v="SP"/>
    <s v="SP"/>
    <n v="-7.5"/>
    <n v="7"/>
    <n v="5"/>
    <n v="1"/>
    <n v="1"/>
    <n v="3"/>
    <n v="0"/>
    <n v="1"/>
    <n v="29.7"/>
    <n v="25"/>
    <n v="13"/>
    <n v="2"/>
    <n v="18"/>
    <n v="11"/>
    <n v="3.94"/>
    <n v="4.1500000000000004"/>
    <n v="1.21"/>
    <n v="0.26700000000000002"/>
    <n v="2"/>
    <n v="1.6363636363636365"/>
    <n v="3.6"/>
    <n v="0.2"/>
  </r>
  <r>
    <x v="212"/>
    <x v="11"/>
    <s v="RP"/>
    <s v="RP"/>
    <n v="-7.6"/>
    <n v="13"/>
    <n v="0"/>
    <n v="0"/>
    <n v="0"/>
    <n v="0"/>
    <n v="0"/>
    <n v="1"/>
    <n v="24.3"/>
    <n v="16"/>
    <n v="6"/>
    <n v="2"/>
    <n v="17"/>
    <n v="4"/>
    <n v="2.2200000000000002"/>
    <n v="3.57"/>
    <n v="0.82"/>
    <n v="0.2"/>
    <n v="0"/>
    <n v="4.25"/>
    <s v="STELLAR"/>
    <s v="Didn't Start"/>
  </r>
  <r>
    <x v="213"/>
    <x v="27"/>
    <s v="SP"/>
    <s v="SP"/>
    <n v="-7.6"/>
    <n v="2"/>
    <n v="1"/>
    <n v="0"/>
    <n v="1"/>
    <n v="0"/>
    <n v="0"/>
    <n v="0"/>
    <n v="6"/>
    <n v="4"/>
    <n v="2"/>
    <n v="0"/>
    <n v="7"/>
    <n v="4"/>
    <n v="3"/>
    <n v="3.44"/>
    <n v="1.33"/>
    <n v="0.308"/>
    <n v="96"/>
    <n v="1.75"/>
    <n v="7"/>
    <n v="1"/>
  </r>
  <r>
    <x v="214"/>
    <x v="9"/>
    <s v="RP"/>
    <s v="RP"/>
    <n v="-7.7"/>
    <n v="13"/>
    <n v="0"/>
    <n v="0"/>
    <n v="1"/>
    <n v="1"/>
    <n v="0"/>
    <n v="1"/>
    <n v="13.7"/>
    <n v="8"/>
    <n v="3"/>
    <n v="1"/>
    <n v="14"/>
    <n v="4"/>
    <n v="1.98"/>
    <n v="3.28"/>
    <n v="0.88"/>
    <n v="0.22600000000000001"/>
    <n v="0"/>
    <n v="3.5"/>
    <s v="STELLAR"/>
    <s v="Didn't Start"/>
  </r>
  <r>
    <x v="215"/>
    <x v="25"/>
    <s v="SP"/>
    <s v="SP"/>
    <n v="-7.7"/>
    <n v="9"/>
    <n v="8"/>
    <n v="1"/>
    <n v="1"/>
    <n v="2"/>
    <n v="0"/>
    <n v="0"/>
    <n v="43"/>
    <n v="50"/>
    <n v="22"/>
    <n v="6"/>
    <n v="44"/>
    <n v="8"/>
    <n v="4.6100000000000003"/>
    <n v="3.74"/>
    <n v="1.35"/>
    <n v="0.34899999999999998"/>
    <n v="87"/>
    <n v="5.5"/>
    <n v="5.5"/>
    <n v="0.125"/>
  </r>
  <r>
    <x v="216"/>
    <x v="27"/>
    <s v="RP"/>
    <s v="RP"/>
    <n v="-7.8"/>
    <n v="19"/>
    <n v="0"/>
    <n v="0"/>
    <n v="1"/>
    <n v="0"/>
    <n v="0"/>
    <n v="1"/>
    <n v="28.3"/>
    <n v="24"/>
    <n v="13"/>
    <n v="2"/>
    <n v="29"/>
    <n v="5"/>
    <n v="4.13"/>
    <n v="2.78"/>
    <n v="1.02"/>
    <n v="0.29699999999999999"/>
    <n v="0"/>
    <n v="5.8"/>
    <s v="STELLAR"/>
    <s v="Didn't Start"/>
  </r>
  <r>
    <x v="217"/>
    <x v="13"/>
    <s v="RP"/>
    <s v="RP"/>
    <n v="-7.8"/>
    <n v="10"/>
    <n v="0"/>
    <n v="0"/>
    <n v="1"/>
    <n v="0"/>
    <n v="0"/>
    <n v="0"/>
    <n v="9"/>
    <n v="6"/>
    <n v="0"/>
    <n v="0"/>
    <n v="10"/>
    <n v="1"/>
    <n v="0"/>
    <n v="1.39"/>
    <n v="0.78"/>
    <n v="0.27300000000000002"/>
    <n v="0"/>
    <n v="10"/>
    <s v="STELLAR"/>
    <s v="Didn't Start"/>
  </r>
  <r>
    <x v="218"/>
    <x v="23"/>
    <s v="RP"/>
    <s v="RP"/>
    <n v="-7.8"/>
    <n v="18"/>
    <n v="0"/>
    <n v="0"/>
    <n v="2"/>
    <n v="2"/>
    <n v="1"/>
    <n v="1"/>
    <n v="24.3"/>
    <n v="23"/>
    <n v="12"/>
    <n v="2"/>
    <n v="23"/>
    <n v="7"/>
    <n v="4.4400000000000004"/>
    <n v="3.44"/>
    <n v="1.23"/>
    <n v="0.29599999999999999"/>
    <n v="0"/>
    <n v="3.2857142857142856"/>
    <s v="STELLAR"/>
    <s v="Didn't Start"/>
  </r>
  <r>
    <x v="219"/>
    <x v="4"/>
    <s v="RP"/>
    <s v="RP"/>
    <n v="-7.8"/>
    <n v="14"/>
    <n v="0"/>
    <n v="0"/>
    <n v="1"/>
    <n v="0"/>
    <n v="0"/>
    <n v="3"/>
    <n v="21.7"/>
    <n v="13"/>
    <n v="8"/>
    <n v="1"/>
    <n v="20"/>
    <n v="8"/>
    <n v="3.32"/>
    <n v="3.28"/>
    <n v="0.97"/>
    <n v="0.22600000000000001"/>
    <n v="0"/>
    <n v="2.5"/>
    <s v="STELLAR"/>
    <s v="Didn't Start"/>
  </r>
  <r>
    <x v="220"/>
    <x v="17"/>
    <s v="RP"/>
    <s v="RP"/>
    <n v="-7.9"/>
    <n v="22"/>
    <n v="0"/>
    <n v="0"/>
    <n v="1"/>
    <n v="0"/>
    <n v="0"/>
    <n v="8"/>
    <n v="22.7"/>
    <n v="14"/>
    <n v="8"/>
    <n v="3"/>
    <n v="26"/>
    <n v="12"/>
    <n v="3.18"/>
    <n v="4.43"/>
    <n v="1.1499999999999999"/>
    <n v="0.22"/>
    <n v="0"/>
    <n v="2.1666666666666665"/>
    <s v="STELLAR"/>
    <s v="Didn't Start"/>
  </r>
  <r>
    <x v="221"/>
    <x v="11"/>
    <s v="SP"/>
    <s v="SP"/>
    <n v="-8"/>
    <n v="9"/>
    <n v="9"/>
    <n v="1"/>
    <n v="3"/>
    <n v="3"/>
    <n v="0"/>
    <n v="0"/>
    <n v="42.3"/>
    <n v="42"/>
    <n v="27"/>
    <n v="6"/>
    <n v="39"/>
    <n v="18"/>
    <n v="5.74"/>
    <n v="4.7"/>
    <n v="1.42"/>
    <n v="0.28999999999999998"/>
    <n v="17"/>
    <n v="2.1666666666666665"/>
    <n v="4.333333333333333"/>
    <n v="0.33333333333333331"/>
  </r>
  <r>
    <x v="222"/>
    <x v="8"/>
    <s v="RP"/>
    <s v="RP"/>
    <n v="-8.1"/>
    <n v="23"/>
    <n v="1"/>
    <n v="0"/>
    <n v="0"/>
    <n v="0"/>
    <n v="1"/>
    <n v="10"/>
    <n v="21.3"/>
    <n v="18"/>
    <n v="5"/>
    <n v="1"/>
    <n v="25"/>
    <n v="6"/>
    <n v="2.11"/>
    <n v="2.67"/>
    <n v="1.1299999999999999"/>
    <n v="0.32100000000000001"/>
    <n v="0"/>
    <n v="4.166666666666667"/>
    <n v="25"/>
    <n v="0"/>
  </r>
  <r>
    <x v="223"/>
    <x v="20"/>
    <s v="RP"/>
    <s v="RP"/>
    <n v="-8.1"/>
    <n v="19"/>
    <n v="0"/>
    <n v="0"/>
    <n v="1"/>
    <n v="0"/>
    <n v="1"/>
    <n v="10"/>
    <n v="16.3"/>
    <n v="12"/>
    <n v="6"/>
    <n v="3"/>
    <n v="16"/>
    <n v="4"/>
    <n v="3.31"/>
    <n v="5.18"/>
    <n v="0.98"/>
    <n v="0.22500000000000001"/>
    <n v="0"/>
    <n v="4"/>
    <s v="STELLAR"/>
    <s v="Didn't Start"/>
  </r>
  <r>
    <x v="224"/>
    <x v="0"/>
    <s v="RP"/>
    <s v="RP"/>
    <n v="-8.1"/>
    <n v="12"/>
    <n v="0"/>
    <n v="0"/>
    <n v="0"/>
    <n v="1"/>
    <n v="5"/>
    <n v="1"/>
    <n v="10.7"/>
    <n v="8"/>
    <n v="2"/>
    <n v="1"/>
    <n v="9"/>
    <n v="5"/>
    <n v="1.69"/>
    <n v="4.5"/>
    <n v="1.22"/>
    <n v="0.219"/>
    <n v="100"/>
    <n v="1.8"/>
    <s v="STELLAR"/>
    <s v="Didn't Start"/>
  </r>
  <r>
    <x v="225"/>
    <x v="7"/>
    <s v="SP"/>
    <s v="SP"/>
    <n v="-8.1"/>
    <n v="8"/>
    <n v="8"/>
    <n v="3"/>
    <n v="2"/>
    <n v="2"/>
    <n v="0"/>
    <n v="0"/>
    <n v="39.299999999999997"/>
    <n v="42"/>
    <n v="22"/>
    <n v="10"/>
    <n v="28"/>
    <n v="9"/>
    <n v="5.03"/>
    <n v="5.92"/>
    <n v="1.3"/>
    <n v="0.27400000000000002"/>
    <n v="27"/>
    <n v="3.1111111111111112"/>
    <n v="3.5"/>
    <n v="0.25"/>
  </r>
  <r>
    <x v="226"/>
    <x v="24"/>
    <s v="SP"/>
    <s v="SP"/>
    <n v="-8.3000000000000007"/>
    <n v="3"/>
    <n v="3"/>
    <n v="1"/>
    <n v="1"/>
    <n v="1"/>
    <n v="0"/>
    <n v="0"/>
    <n v="14"/>
    <n v="13"/>
    <n v="8"/>
    <n v="4"/>
    <n v="19"/>
    <n v="6"/>
    <n v="5.14"/>
    <n v="5.56"/>
    <n v="1.36"/>
    <n v="0.3"/>
    <n v="100"/>
    <n v="3.1666666666666665"/>
    <n v="6.333333333333333"/>
    <n v="0.33333333333333331"/>
  </r>
  <r>
    <x v="227"/>
    <x v="4"/>
    <s v="SP"/>
    <s v="SP"/>
    <n v="-8.3000000000000007"/>
    <n v="6"/>
    <n v="1"/>
    <n v="0"/>
    <n v="1"/>
    <n v="1"/>
    <n v="0"/>
    <n v="1"/>
    <n v="13.7"/>
    <n v="11"/>
    <n v="7"/>
    <n v="1"/>
    <n v="12"/>
    <n v="6"/>
    <n v="4.6100000000000003"/>
    <n v="3.79"/>
    <n v="1.24"/>
    <n v="0.24399999999999999"/>
    <n v="7"/>
    <n v="2"/>
    <n v="12"/>
    <n v="1"/>
  </r>
  <r>
    <x v="228"/>
    <x v="13"/>
    <s v="RP"/>
    <s v="RP"/>
    <n v="-8.3000000000000007"/>
    <n v="15"/>
    <n v="0"/>
    <n v="0"/>
    <n v="1"/>
    <n v="2"/>
    <n v="0"/>
    <n v="1"/>
    <n v="13"/>
    <n v="5"/>
    <n v="2"/>
    <n v="1"/>
    <n v="15"/>
    <n v="9"/>
    <n v="1.39"/>
    <n v="4.28"/>
    <n v="1.08"/>
    <n v="0.14799999999999999"/>
    <n v="0"/>
    <n v="1.6666666666666667"/>
    <s v="STELLAR"/>
    <s v="Didn't Start"/>
  </r>
  <r>
    <x v="229"/>
    <x v="2"/>
    <s v="RP"/>
    <s v="RP"/>
    <n v="-8.4"/>
    <n v="16"/>
    <n v="0"/>
    <n v="0"/>
    <n v="2"/>
    <n v="2"/>
    <n v="0"/>
    <n v="6"/>
    <n v="19.3"/>
    <n v="18"/>
    <n v="8"/>
    <n v="3"/>
    <n v="15"/>
    <n v="4"/>
    <n v="3.72"/>
    <n v="4.5199999999999996"/>
    <n v="1.1399999999999999"/>
    <n v="0.26300000000000001"/>
    <n v="0"/>
    <n v="3.75"/>
    <s v="STELLAR"/>
    <s v="Didn't Start"/>
  </r>
  <r>
    <x v="230"/>
    <x v="11"/>
    <s v="SP"/>
    <s v="SP"/>
    <n v="-8.4"/>
    <n v="3"/>
    <n v="3"/>
    <n v="1"/>
    <n v="0"/>
    <n v="2"/>
    <n v="0"/>
    <n v="0"/>
    <n v="15.7"/>
    <n v="12"/>
    <n v="8"/>
    <n v="5"/>
    <n v="12"/>
    <n v="1"/>
    <n v="4.5999999999999996"/>
    <n v="6.09"/>
    <n v="0.83"/>
    <n v="0.16700000000000001"/>
    <n v="4"/>
    <n v="12"/>
    <n v="4"/>
    <n v="0"/>
  </r>
  <r>
    <x v="231"/>
    <x v="16"/>
    <s v="RP"/>
    <s v="RP"/>
    <n v="-8.5"/>
    <n v="21"/>
    <n v="0"/>
    <n v="0"/>
    <n v="1"/>
    <n v="0"/>
    <n v="0"/>
    <n v="5"/>
    <n v="20.3"/>
    <n v="21"/>
    <n v="7"/>
    <n v="3"/>
    <n v="25"/>
    <n v="3"/>
    <n v="3.1"/>
    <n v="3.33"/>
    <n v="1.18"/>
    <n v="0.32700000000000001"/>
    <m/>
    <n v="8.3333333333333339"/>
    <s v="STELLAR"/>
    <s v="Didn't Start"/>
  </r>
  <r>
    <x v="232"/>
    <x v="1"/>
    <s v="RP"/>
    <s v="RP"/>
    <n v="-8.6"/>
    <n v="13"/>
    <n v="0"/>
    <n v="0"/>
    <n v="1"/>
    <n v="0"/>
    <n v="0"/>
    <n v="4"/>
    <n v="13"/>
    <n v="6"/>
    <n v="0"/>
    <n v="0"/>
    <n v="14"/>
    <n v="11"/>
    <n v="0"/>
    <n v="3.89"/>
    <n v="1.31"/>
    <n v="0.20699999999999999"/>
    <n v="0"/>
    <n v="1.2727272727272727"/>
    <s v="STELLAR"/>
    <s v="Didn't Start"/>
  </r>
  <r>
    <x v="233"/>
    <x v="0"/>
    <s v="SP"/>
    <s v="SP"/>
    <n v="-8.6"/>
    <n v="10"/>
    <n v="2"/>
    <n v="0"/>
    <n v="1"/>
    <n v="0"/>
    <n v="0"/>
    <n v="1"/>
    <n v="42.7"/>
    <n v="39"/>
    <n v="17"/>
    <n v="4"/>
    <n v="21"/>
    <n v="17"/>
    <n v="3.59"/>
    <n v="4.71"/>
    <n v="1.31"/>
    <n v="0.26500000000000001"/>
    <n v="0"/>
    <n v="1.2352941176470589"/>
    <n v="10.5"/>
    <n v="0.5"/>
  </r>
  <r>
    <x v="234"/>
    <x v="18"/>
    <s v="SP"/>
    <s v="SP"/>
    <n v="-8.6999999999999993"/>
    <n v="8"/>
    <n v="7"/>
    <n v="1"/>
    <n v="1"/>
    <n v="3"/>
    <n v="0"/>
    <n v="0"/>
    <n v="36.299999999999997"/>
    <n v="31"/>
    <n v="19"/>
    <n v="6"/>
    <n v="29"/>
    <n v="15"/>
    <n v="4.71"/>
    <n v="5.23"/>
    <n v="1.27"/>
    <n v="0.25800000000000001"/>
    <n v="1"/>
    <n v="1.9333333333333333"/>
    <n v="4.1428571428571432"/>
    <n v="0.14285714285714285"/>
  </r>
  <r>
    <x v="235"/>
    <x v="16"/>
    <s v="RP"/>
    <s v="RP"/>
    <n v="-8.6999999999999993"/>
    <n v="21"/>
    <n v="0"/>
    <n v="0"/>
    <n v="0"/>
    <n v="3"/>
    <n v="0"/>
    <n v="3"/>
    <n v="24"/>
    <n v="14"/>
    <n v="8"/>
    <n v="3"/>
    <n v="24"/>
    <n v="8"/>
    <n v="3"/>
    <n v="4.03"/>
    <n v="0.92"/>
    <n v="0.19600000000000001"/>
    <n v="0"/>
    <n v="3"/>
    <s v="STELLAR"/>
    <s v="Didn't Start"/>
  </r>
  <r>
    <x v="236"/>
    <x v="1"/>
    <s v="RP"/>
    <s v="RP"/>
    <n v="-8.9"/>
    <n v="18"/>
    <n v="0"/>
    <n v="0"/>
    <n v="3"/>
    <n v="0"/>
    <n v="0"/>
    <n v="0"/>
    <n v="19.7"/>
    <n v="20"/>
    <n v="11"/>
    <n v="1"/>
    <n v="20"/>
    <n v="8"/>
    <n v="5.03"/>
    <n v="3.13"/>
    <n v="1.42"/>
    <n v="0.33300000000000002"/>
    <n v="0"/>
    <n v="2.5"/>
    <s v="STELLAR"/>
    <s v="Didn't Start"/>
  </r>
  <r>
    <x v="237"/>
    <x v="13"/>
    <s v="RP"/>
    <s v="RP"/>
    <n v="-9"/>
    <n v="23"/>
    <n v="0"/>
    <n v="0"/>
    <n v="1"/>
    <n v="1"/>
    <n v="0"/>
    <n v="6"/>
    <n v="17.7"/>
    <n v="15"/>
    <n v="6"/>
    <n v="0"/>
    <n v="15"/>
    <n v="2"/>
    <n v="3.06"/>
    <n v="2.09"/>
    <n v="0.96"/>
    <n v="0.31900000000000001"/>
    <n v="0"/>
    <n v="7.5"/>
    <s v="STELLAR"/>
    <s v="Didn't Start"/>
  </r>
  <r>
    <x v="238"/>
    <x v="19"/>
    <s v="SP"/>
    <s v="SP"/>
    <n v="-9.1"/>
    <n v="10"/>
    <n v="10"/>
    <n v="4"/>
    <n v="3"/>
    <n v="2"/>
    <n v="0"/>
    <n v="0"/>
    <n v="46.7"/>
    <n v="45"/>
    <n v="30"/>
    <n v="8"/>
    <n v="42"/>
    <n v="22"/>
    <n v="5.79"/>
    <n v="5.12"/>
    <n v="1.44"/>
    <n v="0.28699999999999998"/>
    <n v="67"/>
    <n v="1.9090909090909092"/>
    <n v="4.2"/>
    <n v="0.3"/>
  </r>
  <r>
    <x v="239"/>
    <x v="24"/>
    <s v="SP"/>
    <s v="SP"/>
    <n v="-9.1"/>
    <n v="10"/>
    <n v="8"/>
    <n v="1"/>
    <n v="3"/>
    <n v="3"/>
    <n v="0"/>
    <n v="0"/>
    <n v="45.3"/>
    <n v="47"/>
    <n v="31"/>
    <n v="10"/>
    <n v="48"/>
    <n v="19"/>
    <n v="6.15"/>
    <n v="5.48"/>
    <n v="1.46"/>
    <n v="0.30099999999999999"/>
    <n v="5"/>
    <n v="2.5263157894736841"/>
    <n v="6"/>
    <n v="0.375"/>
  </r>
  <r>
    <x v="240"/>
    <x v="24"/>
    <s v="RP"/>
    <s v="RP"/>
    <n v="-9.1"/>
    <n v="18"/>
    <n v="0"/>
    <n v="0"/>
    <n v="1"/>
    <n v="0"/>
    <n v="0"/>
    <n v="6"/>
    <n v="17"/>
    <n v="14"/>
    <n v="4"/>
    <n v="1"/>
    <n v="21"/>
    <n v="8"/>
    <n v="2.12"/>
    <n v="3.16"/>
    <n v="1.29"/>
    <n v="0.34200000000000003"/>
    <n v="0"/>
    <n v="2.625"/>
    <s v="STELLAR"/>
    <s v="Didn't Start"/>
  </r>
  <r>
    <x v="241"/>
    <x v="23"/>
    <s v="RP"/>
    <s v="RP"/>
    <n v="-9.1999999999999993"/>
    <n v="22"/>
    <n v="0"/>
    <n v="0"/>
    <n v="1"/>
    <n v="2"/>
    <n v="1"/>
    <n v="9"/>
    <n v="20.7"/>
    <n v="16"/>
    <n v="5"/>
    <n v="1"/>
    <n v="14"/>
    <n v="10"/>
    <n v="2.1800000000000002"/>
    <n v="4.1500000000000004"/>
    <n v="1.26"/>
    <n v="0.24199999999999999"/>
    <n v="0"/>
    <n v="1.4"/>
    <s v="STELLAR"/>
    <s v="Didn't Start"/>
  </r>
  <r>
    <x v="242"/>
    <x v="20"/>
    <s v="RP"/>
    <s v="RP"/>
    <n v="-9.1999999999999993"/>
    <n v="16"/>
    <n v="0"/>
    <n v="0"/>
    <n v="0"/>
    <n v="0"/>
    <n v="0"/>
    <n v="3"/>
    <n v="16.3"/>
    <n v="7"/>
    <n v="5"/>
    <n v="3"/>
    <n v="19"/>
    <n v="5"/>
    <n v="2.76"/>
    <n v="4.4400000000000004"/>
    <n v="0.73"/>
    <n v="0.121"/>
    <n v="0"/>
    <n v="3.8"/>
    <s v="STELLAR"/>
    <s v="Didn't Start"/>
  </r>
  <r>
    <x v="243"/>
    <x v="27"/>
    <s v="SP"/>
    <s v="SP"/>
    <n v="-9.1999999999999993"/>
    <n v="10"/>
    <n v="10"/>
    <n v="3"/>
    <n v="3"/>
    <n v="4"/>
    <n v="0"/>
    <n v="0"/>
    <n v="51"/>
    <n v="48"/>
    <n v="30"/>
    <n v="6"/>
    <n v="54"/>
    <n v="33"/>
    <n v="5.29"/>
    <n v="4.87"/>
    <n v="1.59"/>
    <n v="0.34399999999999997"/>
    <n v="94"/>
    <n v="1.6363636363636365"/>
    <n v="5.4"/>
    <n v="0.3"/>
  </r>
  <r>
    <x v="244"/>
    <x v="5"/>
    <s v="RP"/>
    <s v="RP"/>
    <n v="-9.3000000000000007"/>
    <n v="24"/>
    <n v="0"/>
    <n v="0"/>
    <n v="0"/>
    <n v="4"/>
    <n v="1"/>
    <n v="10"/>
    <n v="25.7"/>
    <n v="15"/>
    <n v="11"/>
    <n v="5"/>
    <n v="26"/>
    <n v="10"/>
    <n v="3.86"/>
    <n v="5.07"/>
    <n v="0.97"/>
    <n v="0.16400000000000001"/>
    <n v="1"/>
    <n v="2.6"/>
    <s v="STELLAR"/>
    <s v="Didn't Start"/>
  </r>
  <r>
    <x v="245"/>
    <x v="19"/>
    <s v="RP"/>
    <s v="RP"/>
    <n v="-9.3000000000000007"/>
    <n v="24"/>
    <n v="0"/>
    <n v="0"/>
    <n v="1"/>
    <n v="3"/>
    <n v="1"/>
    <n v="8"/>
    <n v="21.3"/>
    <n v="13"/>
    <n v="11"/>
    <n v="1"/>
    <n v="26"/>
    <n v="11"/>
    <n v="4.6399999999999997"/>
    <n v="3.14"/>
    <n v="1.1299999999999999"/>
    <n v="0.24"/>
    <n v="13"/>
    <n v="2.3636363636363638"/>
    <s v="STELLAR"/>
    <s v="Didn't Start"/>
  </r>
  <r>
    <x v="246"/>
    <x v="22"/>
    <s v="SP"/>
    <s v="SP"/>
    <n v="-9.4"/>
    <n v="10"/>
    <n v="10"/>
    <n v="4"/>
    <n v="3"/>
    <n v="5"/>
    <n v="0"/>
    <n v="0"/>
    <n v="57.3"/>
    <n v="65"/>
    <n v="40"/>
    <n v="12"/>
    <n v="67"/>
    <n v="19"/>
    <n v="6.28"/>
    <n v="4.71"/>
    <n v="1.47"/>
    <n v="0.34599999999999997"/>
    <n v="100"/>
    <n v="3.5263157894736841"/>
    <n v="6.7"/>
    <n v="0.3"/>
  </r>
  <r>
    <x v="247"/>
    <x v="13"/>
    <s v="SP"/>
    <s v="SP"/>
    <n v="-9.4"/>
    <n v="9"/>
    <n v="9"/>
    <n v="4"/>
    <n v="4"/>
    <n v="1"/>
    <n v="0"/>
    <n v="0"/>
    <n v="44.3"/>
    <n v="52"/>
    <n v="28"/>
    <n v="5"/>
    <n v="30"/>
    <n v="15"/>
    <n v="5.68"/>
    <n v="4.41"/>
    <n v="1.51"/>
    <n v="0.33100000000000002"/>
    <n v="23"/>
    <n v="2"/>
    <n v="3.3333333333333335"/>
    <n v="0.44444444444444442"/>
  </r>
  <r>
    <x v="248"/>
    <x v="10"/>
    <s v="SP"/>
    <s v="SP"/>
    <n v="-9.4"/>
    <n v="5"/>
    <n v="4"/>
    <n v="1"/>
    <n v="1"/>
    <n v="2"/>
    <n v="0"/>
    <n v="0"/>
    <n v="25.3"/>
    <n v="30"/>
    <n v="10"/>
    <n v="6"/>
    <n v="22"/>
    <n v="9"/>
    <n v="3.55"/>
    <n v="5.69"/>
    <n v="1.54"/>
    <n v="0.32900000000000001"/>
    <n v="16"/>
    <n v="2.4444444444444446"/>
    <n v="5.5"/>
    <n v="0.25"/>
  </r>
  <r>
    <x v="249"/>
    <x v="20"/>
    <s v="SP"/>
    <s v="SP"/>
    <n v="-9.4"/>
    <n v="5"/>
    <n v="5"/>
    <n v="1"/>
    <n v="1"/>
    <n v="0"/>
    <n v="0"/>
    <n v="0"/>
    <n v="22.3"/>
    <n v="22"/>
    <n v="11"/>
    <n v="4"/>
    <n v="17"/>
    <n v="8"/>
    <n v="4.43"/>
    <n v="5.16"/>
    <n v="1.34"/>
    <n v="0.28599999999999998"/>
    <n v="3"/>
    <n v="2.125"/>
    <n v="3.4"/>
    <n v="0.2"/>
  </r>
  <r>
    <x v="250"/>
    <x v="11"/>
    <s v="SP"/>
    <s v="SP"/>
    <n v="-9.4"/>
    <n v="2"/>
    <n v="2"/>
    <n v="0"/>
    <n v="1"/>
    <n v="1"/>
    <n v="0"/>
    <n v="0"/>
    <n v="11.7"/>
    <n v="12"/>
    <n v="6"/>
    <n v="4"/>
    <n v="7"/>
    <n v="3"/>
    <n v="4.63"/>
    <n v="7.31"/>
    <n v="1.29"/>
    <n v="0.23499999999999999"/>
    <n v="1"/>
    <n v="2.3333333333333335"/>
    <n v="3.5"/>
    <n v="0.5"/>
  </r>
  <r>
    <x v="251"/>
    <x v="18"/>
    <s v="SP"/>
    <s v="SP"/>
    <n v="-9.4"/>
    <n v="3"/>
    <n v="0"/>
    <n v="0"/>
    <n v="0"/>
    <n v="0"/>
    <n v="0"/>
    <n v="0"/>
    <n v="4.7"/>
    <n v="3"/>
    <n v="1"/>
    <n v="1"/>
    <n v="2"/>
    <n v="0"/>
    <n v="1.93"/>
    <n v="5.21"/>
    <n v="0.64"/>
    <n v="0.154"/>
    <n v="0"/>
    <s v="STELLAR"/>
    <s v="STELLAR"/>
    <s v="Didn't Start"/>
  </r>
  <r>
    <x v="252"/>
    <x v="8"/>
    <s v="SP"/>
    <s v="SP"/>
    <n v="-9.6"/>
    <n v="13"/>
    <n v="1"/>
    <n v="0"/>
    <n v="2"/>
    <n v="0"/>
    <n v="0"/>
    <n v="4"/>
    <n v="18"/>
    <n v="26"/>
    <n v="6"/>
    <n v="0"/>
    <n v="11"/>
    <n v="8"/>
    <n v="3"/>
    <n v="3.72"/>
    <n v="1.89"/>
    <n v="0.41299999999999998"/>
    <n v="0"/>
    <n v="1.375"/>
    <n v="11"/>
    <n v="2"/>
  </r>
  <r>
    <x v="253"/>
    <x v="8"/>
    <s v="RP"/>
    <s v="RP"/>
    <n v="-9.6"/>
    <n v="20"/>
    <n v="1"/>
    <n v="0"/>
    <n v="1"/>
    <n v="0"/>
    <n v="0"/>
    <n v="6"/>
    <n v="20.3"/>
    <n v="18"/>
    <n v="7"/>
    <n v="2"/>
    <n v="23"/>
    <n v="7"/>
    <n v="3.1"/>
    <n v="3.33"/>
    <n v="1.23"/>
    <n v="0.30199999999999999"/>
    <n v="0"/>
    <n v="3.2857142857142856"/>
    <n v="23"/>
    <n v="1"/>
  </r>
  <r>
    <x v="254"/>
    <x v="5"/>
    <s v="RP"/>
    <s v="RP"/>
    <n v="-9.6999999999999993"/>
    <n v="8"/>
    <n v="0"/>
    <n v="0"/>
    <n v="1"/>
    <n v="0"/>
    <n v="0"/>
    <n v="1"/>
    <n v="7.7"/>
    <n v="4"/>
    <n v="2"/>
    <n v="1"/>
    <n v="8"/>
    <n v="0"/>
    <n v="2.35"/>
    <n v="2.89"/>
    <n v="0.52"/>
    <n v="0.15"/>
    <n v="0"/>
    <s v="STELLAR"/>
    <s v="STELLAR"/>
    <s v="Didn't Start"/>
  </r>
  <r>
    <x v="255"/>
    <x v="12"/>
    <s v="SP"/>
    <s v="SP"/>
    <n v="-9.6999999999999993"/>
    <n v="1"/>
    <n v="1"/>
    <n v="0"/>
    <n v="0"/>
    <n v="0"/>
    <n v="0"/>
    <n v="0"/>
    <n v="4.7"/>
    <n v="4"/>
    <n v="1"/>
    <n v="0"/>
    <n v="5"/>
    <n v="1"/>
    <n v="1.93"/>
    <n v="1.78"/>
    <n v="1.07"/>
    <n v="0.308"/>
    <n v="100"/>
    <n v="5"/>
    <n v="5"/>
    <n v="0"/>
  </r>
  <r>
    <x v="256"/>
    <x v="28"/>
    <s v="RP"/>
    <s v="RP"/>
    <n v="-9.8000000000000007"/>
    <n v="21"/>
    <n v="1"/>
    <n v="0"/>
    <n v="1"/>
    <n v="0"/>
    <n v="0"/>
    <n v="5"/>
    <n v="23.7"/>
    <n v="23"/>
    <n v="9"/>
    <n v="3"/>
    <n v="29"/>
    <n v="8"/>
    <n v="3.42"/>
    <n v="3.62"/>
    <n v="1.31"/>
    <n v="0.33900000000000002"/>
    <n v="0"/>
    <n v="3.625"/>
    <n v="29"/>
    <n v="1"/>
  </r>
  <r>
    <x v="257"/>
    <x v="5"/>
    <s v="SP"/>
    <s v="SP"/>
    <n v="-9.8000000000000007"/>
    <n v="6"/>
    <n v="6"/>
    <n v="2"/>
    <n v="2"/>
    <n v="1"/>
    <n v="0"/>
    <n v="0"/>
    <n v="32.700000000000003"/>
    <n v="32"/>
    <n v="17"/>
    <n v="6"/>
    <n v="18"/>
    <n v="14"/>
    <n v="4.68"/>
    <n v="5.94"/>
    <n v="1.41"/>
    <n v="0.26300000000000001"/>
    <n v="1"/>
    <n v="1.2857142857142858"/>
    <n v="3"/>
    <n v="0.33333333333333331"/>
  </r>
  <r>
    <x v="258"/>
    <x v="16"/>
    <s v="SP"/>
    <s v="SP"/>
    <n v="-9.9"/>
    <n v="10"/>
    <n v="10"/>
    <n v="3"/>
    <n v="0"/>
    <n v="4"/>
    <n v="0"/>
    <n v="0"/>
    <n v="50"/>
    <n v="55"/>
    <n v="26"/>
    <n v="8"/>
    <n v="69"/>
    <n v="20"/>
    <n v="4.68"/>
    <n v="3.98"/>
    <n v="1.5"/>
    <n v="0.36699999999999999"/>
    <n v="100"/>
    <n v="3.45"/>
    <n v="6.9"/>
    <n v="0"/>
  </r>
  <r>
    <x v="259"/>
    <x v="20"/>
    <s v="RP"/>
    <s v="RP"/>
    <n v="-10"/>
    <n v="20"/>
    <n v="0"/>
    <n v="0"/>
    <n v="0"/>
    <n v="2"/>
    <n v="4"/>
    <n v="5"/>
    <n v="18.7"/>
    <n v="15"/>
    <n v="10"/>
    <n v="3"/>
    <n v="19"/>
    <n v="5"/>
    <n v="4.82"/>
    <n v="4.62"/>
    <n v="1.07"/>
    <n v="0.25"/>
    <n v="46"/>
    <n v="3.8"/>
    <s v="STELLAR"/>
    <s v="Didn't Start"/>
  </r>
  <r>
    <x v="260"/>
    <x v="21"/>
    <s v="RP"/>
    <s v="RP"/>
    <n v="-10"/>
    <n v="24"/>
    <n v="0"/>
    <n v="0"/>
    <n v="1"/>
    <n v="4"/>
    <n v="0"/>
    <n v="9"/>
    <n v="21.7"/>
    <n v="13"/>
    <n v="11"/>
    <n v="6"/>
    <n v="31"/>
    <n v="13"/>
    <n v="4.57"/>
    <n v="6.09"/>
    <n v="1.2"/>
    <n v="0.17899999999999999"/>
    <n v="2"/>
    <n v="2.3846153846153846"/>
    <s v="STELLAR"/>
    <s v="Didn't Start"/>
  </r>
  <r>
    <x v="261"/>
    <x v="21"/>
    <s v="SP"/>
    <s v="SP"/>
    <n v="-10"/>
    <n v="6"/>
    <n v="5"/>
    <n v="2"/>
    <n v="1"/>
    <n v="1"/>
    <n v="0"/>
    <n v="0"/>
    <n v="25.7"/>
    <n v="24"/>
    <n v="15"/>
    <n v="1"/>
    <n v="17"/>
    <n v="7"/>
    <n v="5.26"/>
    <n v="3.63"/>
    <n v="1.21"/>
    <n v="0.28799999999999998"/>
    <n v="1"/>
    <n v="2.4285714285714284"/>
    <n v="3.4"/>
    <n v="0.2"/>
  </r>
  <r>
    <x v="262"/>
    <x v="8"/>
    <s v="RP"/>
    <s v="RP"/>
    <n v="-10.1"/>
    <n v="8"/>
    <n v="0"/>
    <n v="0"/>
    <n v="1"/>
    <n v="1"/>
    <n v="3"/>
    <n v="0"/>
    <n v="7.3"/>
    <n v="7"/>
    <n v="4"/>
    <n v="1"/>
    <n v="9"/>
    <n v="2"/>
    <n v="4.91"/>
    <n v="3.41"/>
    <n v="1.23"/>
    <n v="0.316"/>
    <n v="100"/>
    <n v="4.5"/>
    <s v="STELLAR"/>
    <s v="Didn't Start"/>
  </r>
  <r>
    <x v="263"/>
    <x v="28"/>
    <s v="SP"/>
    <s v="SP"/>
    <n v="-10.1"/>
    <n v="1"/>
    <n v="0"/>
    <n v="0"/>
    <n v="0"/>
    <n v="0"/>
    <n v="0"/>
    <n v="0"/>
    <n v="2"/>
    <n v="0"/>
    <n v="0"/>
    <n v="0"/>
    <n v="1"/>
    <n v="1"/>
    <n v="0"/>
    <n v="3.78"/>
    <n v="0.5"/>
    <n v="0"/>
    <n v="0"/>
    <n v="1"/>
    <s v="STELLAR"/>
    <s v="Didn't Start"/>
  </r>
  <r>
    <x v="264"/>
    <x v="0"/>
    <s v="RP"/>
    <s v="RP"/>
    <n v="-10.199999999999999"/>
    <n v="15"/>
    <n v="0"/>
    <n v="0"/>
    <n v="1"/>
    <n v="0"/>
    <n v="0"/>
    <n v="0"/>
    <n v="12"/>
    <n v="6"/>
    <n v="4"/>
    <n v="2"/>
    <n v="14"/>
    <n v="6"/>
    <n v="3"/>
    <n v="4.8600000000000003"/>
    <n v="1"/>
    <n v="0.16"/>
    <n v="0"/>
    <n v="2.3333333333333335"/>
    <s v="STELLAR"/>
    <s v="Didn't Start"/>
  </r>
  <r>
    <x v="265"/>
    <x v="12"/>
    <s v="SP"/>
    <s v="SP"/>
    <n v="-10.199999999999999"/>
    <n v="10"/>
    <n v="9"/>
    <n v="0"/>
    <n v="3"/>
    <n v="3"/>
    <n v="0"/>
    <n v="0"/>
    <n v="40.299999999999997"/>
    <n v="42"/>
    <n v="25"/>
    <n v="7"/>
    <n v="30"/>
    <n v="18"/>
    <n v="5.58"/>
    <n v="5.53"/>
    <n v="1.49"/>
    <n v="0.29199999999999998"/>
    <n v="3"/>
    <n v="1.6666666666666667"/>
    <n v="3.3333333333333335"/>
    <n v="0.33333333333333331"/>
  </r>
  <r>
    <x v="266"/>
    <x v="3"/>
    <s v="RP"/>
    <s v="RP"/>
    <n v="-10.199999999999999"/>
    <n v="18"/>
    <n v="0"/>
    <n v="0"/>
    <n v="0"/>
    <n v="1"/>
    <n v="0"/>
    <n v="2"/>
    <n v="19.7"/>
    <n v="16"/>
    <n v="6"/>
    <n v="2"/>
    <n v="21"/>
    <n v="3"/>
    <n v="2.75"/>
    <n v="2.92"/>
    <n v="0.97"/>
    <n v="0.27500000000000002"/>
    <n v="0"/>
    <n v="7"/>
    <s v="STELLAR"/>
    <s v="Didn't Start"/>
  </r>
  <r>
    <x v="267"/>
    <x v="16"/>
    <s v="SP"/>
    <s v="SP"/>
    <n v="-10.199999999999999"/>
    <n v="2"/>
    <n v="2"/>
    <n v="0"/>
    <n v="0"/>
    <n v="0"/>
    <n v="0"/>
    <n v="0"/>
    <n v="10"/>
    <n v="6"/>
    <n v="4"/>
    <n v="2"/>
    <n v="9"/>
    <n v="6"/>
    <n v="3.6"/>
    <n v="5.88"/>
    <n v="1.2"/>
    <n v="0.16"/>
    <n v="17"/>
    <n v="1.5"/>
    <n v="4.5"/>
    <n v="0"/>
  </r>
  <r>
    <x v="268"/>
    <x v="5"/>
    <s v="RP"/>
    <s v="RP"/>
    <n v="-10.199999999999999"/>
    <n v="6"/>
    <n v="3"/>
    <n v="0"/>
    <n v="2"/>
    <n v="1"/>
    <n v="1"/>
    <n v="0"/>
    <n v="17"/>
    <n v="14"/>
    <n v="7"/>
    <n v="3"/>
    <n v="16"/>
    <n v="12"/>
    <n v="3.71"/>
    <n v="5.81"/>
    <n v="1.53"/>
    <n v="0.25600000000000001"/>
    <n v="5"/>
    <n v="1.3333333333333333"/>
    <n v="5.333333333333333"/>
    <n v="0.66666666666666663"/>
  </r>
  <r>
    <x v="269"/>
    <x v="16"/>
    <s v="RP"/>
    <s v="RP"/>
    <n v="-10.3"/>
    <n v="15"/>
    <n v="0"/>
    <n v="0"/>
    <n v="1"/>
    <n v="0"/>
    <n v="0"/>
    <n v="4"/>
    <n v="13.7"/>
    <n v="5"/>
    <n v="5"/>
    <n v="0"/>
    <n v="17"/>
    <n v="10"/>
    <n v="3.29"/>
    <n v="3.64"/>
    <n v="1.1000000000000001"/>
    <n v="0.192"/>
    <n v="0"/>
    <n v="1.7"/>
    <s v="STELLAR"/>
    <s v="Didn't Start"/>
  </r>
  <r>
    <x v="270"/>
    <x v="21"/>
    <s v="SP"/>
    <s v="SP"/>
    <n v="-10.3"/>
    <n v="10"/>
    <n v="10"/>
    <n v="5"/>
    <n v="2"/>
    <n v="3"/>
    <n v="0"/>
    <n v="0"/>
    <n v="55"/>
    <n v="56"/>
    <n v="29"/>
    <n v="7"/>
    <n v="31"/>
    <n v="18"/>
    <n v="4.75"/>
    <n v="5.01"/>
    <n v="1.35"/>
    <n v="0.27100000000000002"/>
    <n v="52"/>
    <n v="1.7222222222222223"/>
    <n v="3.1"/>
    <n v="0.2"/>
  </r>
  <r>
    <x v="271"/>
    <x v="28"/>
    <s v="SP"/>
    <s v="SP"/>
    <n v="-10.3"/>
    <n v="3"/>
    <n v="3"/>
    <n v="1"/>
    <n v="0"/>
    <n v="2"/>
    <n v="0"/>
    <n v="0"/>
    <n v="16"/>
    <n v="19"/>
    <n v="7"/>
    <n v="1"/>
    <n v="16"/>
    <n v="2"/>
    <n v="3.94"/>
    <n v="2.65"/>
    <n v="1.31"/>
    <n v="0.375"/>
    <n v="0"/>
    <n v="8"/>
    <n v="5.333333333333333"/>
    <n v="0"/>
  </r>
  <r>
    <x v="272"/>
    <x v="14"/>
    <s v="RP"/>
    <s v="RP"/>
    <n v="-10.3"/>
    <n v="10"/>
    <n v="0"/>
    <n v="0"/>
    <n v="1"/>
    <n v="0"/>
    <n v="0"/>
    <n v="0"/>
    <n v="13"/>
    <n v="11"/>
    <n v="3"/>
    <n v="1"/>
    <n v="13"/>
    <n v="4"/>
    <n v="2.08"/>
    <n v="3.43"/>
    <n v="1.1499999999999999"/>
    <n v="0.27800000000000002"/>
    <n v="0"/>
    <n v="3.25"/>
    <s v="STELLAR"/>
    <s v="Didn't Start"/>
  </r>
  <r>
    <x v="273"/>
    <x v="1"/>
    <s v="SP"/>
    <s v="SP"/>
    <n v="-10.4"/>
    <n v="3"/>
    <n v="0"/>
    <n v="0"/>
    <n v="0"/>
    <n v="1"/>
    <n v="0"/>
    <n v="0"/>
    <n v="4.7"/>
    <n v="5"/>
    <n v="3"/>
    <n v="0"/>
    <n v="9"/>
    <n v="0"/>
    <n v="5.79"/>
    <n v="-0.57999999999999996"/>
    <n v="1.07"/>
    <n v="0.45500000000000002"/>
    <n v="0"/>
    <s v="STELLAR"/>
    <s v="STELLAR"/>
    <s v="Didn't Start"/>
  </r>
  <r>
    <x v="274"/>
    <x v="5"/>
    <s v="SP"/>
    <s v="SP"/>
    <n v="-10.4"/>
    <n v="1"/>
    <n v="0"/>
    <n v="0"/>
    <n v="0"/>
    <n v="0"/>
    <n v="0"/>
    <n v="0"/>
    <n v="2"/>
    <n v="1"/>
    <n v="0"/>
    <n v="0"/>
    <n v="2"/>
    <n v="1"/>
    <n v="0"/>
    <n v="2.78"/>
    <n v="1"/>
    <n v="0.2"/>
    <n v="0"/>
    <n v="2"/>
    <s v="STELLAR"/>
    <s v="Didn't Start"/>
  </r>
  <r>
    <x v="275"/>
    <x v="4"/>
    <s v="SP"/>
    <s v="SP"/>
    <n v="-10.4"/>
    <n v="8"/>
    <n v="8"/>
    <n v="1"/>
    <n v="0"/>
    <n v="3"/>
    <n v="0"/>
    <n v="0"/>
    <n v="40.700000000000003"/>
    <n v="41"/>
    <n v="22"/>
    <n v="4"/>
    <n v="53"/>
    <n v="17"/>
    <n v="4.87"/>
    <n v="3.43"/>
    <n v="1.43"/>
    <n v="0.36599999999999999"/>
    <n v="100"/>
    <n v="3.1176470588235294"/>
    <n v="6.625"/>
    <n v="0"/>
  </r>
  <r>
    <x v="276"/>
    <x v="12"/>
    <s v="RP"/>
    <s v="RP"/>
    <n v="-10.5"/>
    <n v="19"/>
    <n v="0"/>
    <n v="0"/>
    <n v="2"/>
    <n v="1"/>
    <n v="0"/>
    <n v="3"/>
    <n v="24.7"/>
    <n v="20"/>
    <n v="11"/>
    <n v="3"/>
    <n v="26"/>
    <n v="16"/>
    <n v="4.01"/>
    <n v="4.9400000000000004"/>
    <n v="1.46"/>
    <n v="0.26600000000000001"/>
    <n v="0"/>
    <n v="1.625"/>
    <s v="STELLAR"/>
    <s v="Didn't Start"/>
  </r>
  <r>
    <x v="277"/>
    <x v="10"/>
    <s v="SP"/>
    <s v="SP"/>
    <n v="-10.6"/>
    <n v="6"/>
    <n v="6"/>
    <n v="1"/>
    <n v="2"/>
    <n v="2"/>
    <n v="0"/>
    <n v="0"/>
    <n v="27.7"/>
    <n v="33"/>
    <n v="16"/>
    <n v="6"/>
    <n v="23"/>
    <n v="10"/>
    <n v="5.21"/>
    <n v="5.63"/>
    <n v="1.55"/>
    <n v="0.32900000000000001"/>
    <n v="17"/>
    <n v="2.2999999999999998"/>
    <n v="3.8333333333333335"/>
    <n v="0.33333333333333331"/>
  </r>
  <r>
    <x v="278"/>
    <x v="22"/>
    <s v="RP"/>
    <s v="RP"/>
    <n v="-10.8"/>
    <n v="22"/>
    <n v="0"/>
    <n v="0"/>
    <n v="1"/>
    <n v="0"/>
    <n v="0"/>
    <n v="1"/>
    <n v="24.3"/>
    <n v="29"/>
    <n v="7"/>
    <n v="1"/>
    <n v="23"/>
    <n v="5"/>
    <n v="2.59"/>
    <n v="2.91"/>
    <n v="1.4"/>
    <n v="0.36799999999999999"/>
    <n v="0"/>
    <n v="4.5999999999999996"/>
    <s v="STELLAR"/>
    <s v="Didn't Start"/>
  </r>
  <r>
    <x v="279"/>
    <x v="27"/>
    <s v="SP"/>
    <s v="SP"/>
    <n v="-10.9"/>
    <n v="10"/>
    <n v="10"/>
    <n v="3"/>
    <n v="2"/>
    <n v="1"/>
    <n v="0"/>
    <n v="0"/>
    <n v="54.7"/>
    <n v="67"/>
    <n v="29"/>
    <n v="8"/>
    <n v="43"/>
    <n v="14"/>
    <n v="4.7699999999999996"/>
    <n v="4.54"/>
    <n v="1.48"/>
    <n v="0.34100000000000003"/>
    <n v="91"/>
    <n v="3.0714285714285716"/>
    <n v="4.3"/>
    <n v="0.2"/>
  </r>
  <r>
    <x v="280"/>
    <x v="22"/>
    <s v="RP"/>
    <s v="RP"/>
    <n v="-10.9"/>
    <n v="17"/>
    <n v="0"/>
    <n v="0"/>
    <n v="0"/>
    <n v="0"/>
    <n v="1"/>
    <n v="2"/>
    <n v="15.3"/>
    <n v="14"/>
    <n v="3"/>
    <n v="1"/>
    <n v="21"/>
    <n v="6"/>
    <n v="1.76"/>
    <n v="2.76"/>
    <n v="1.3"/>
    <n v="0.36099999999999999"/>
    <n v="0"/>
    <n v="3.5"/>
    <s v="STELLAR"/>
    <s v="Didn't Start"/>
  </r>
  <r>
    <x v="281"/>
    <x v="5"/>
    <s v="RP"/>
    <s v="RP"/>
    <n v="-10.9"/>
    <n v="19"/>
    <n v="0"/>
    <n v="0"/>
    <n v="1"/>
    <n v="0"/>
    <n v="0"/>
    <n v="1"/>
    <n v="21.3"/>
    <n v="19"/>
    <n v="7"/>
    <n v="1"/>
    <n v="19"/>
    <n v="8"/>
    <n v="2.95"/>
    <n v="3.37"/>
    <n v="1.27"/>
    <n v="0.3"/>
    <n v="0"/>
    <n v="2.375"/>
    <s v="STELLAR"/>
    <s v="Didn't Start"/>
  </r>
  <r>
    <x v="282"/>
    <x v="25"/>
    <s v="RP"/>
    <s v="RP"/>
    <n v="-11"/>
    <n v="8"/>
    <n v="0"/>
    <n v="0"/>
    <n v="1"/>
    <n v="0"/>
    <n v="0"/>
    <n v="2"/>
    <n v="7"/>
    <n v="3"/>
    <n v="2"/>
    <n v="0"/>
    <n v="6"/>
    <n v="1"/>
    <n v="2.57"/>
    <n v="1.99"/>
    <n v="0.56999999999999995"/>
    <n v="0.16700000000000001"/>
    <n v="0"/>
    <n v="6"/>
    <s v="STELLAR"/>
    <s v="Didn't Start"/>
  </r>
  <r>
    <x v="283"/>
    <x v="28"/>
    <s v="SP"/>
    <s v="SP"/>
    <n v="-11"/>
    <n v="2"/>
    <n v="1"/>
    <n v="0"/>
    <n v="0"/>
    <n v="0"/>
    <n v="0"/>
    <n v="0"/>
    <n v="7.3"/>
    <n v="8"/>
    <n v="2"/>
    <n v="1"/>
    <n v="11"/>
    <n v="5"/>
    <n v="2.4500000000000002"/>
    <n v="4.0999999999999996"/>
    <n v="1.77"/>
    <n v="0.438"/>
    <n v="0"/>
    <n v="2.2000000000000002"/>
    <n v="11"/>
    <n v="0"/>
  </r>
  <r>
    <x v="284"/>
    <x v="13"/>
    <s v="RP"/>
    <s v="RP"/>
    <n v="-11.2"/>
    <n v="24"/>
    <n v="0"/>
    <n v="0"/>
    <n v="0"/>
    <n v="2"/>
    <n v="0"/>
    <n v="7"/>
    <n v="22.7"/>
    <n v="25"/>
    <n v="5"/>
    <n v="0"/>
    <n v="26"/>
    <n v="5"/>
    <n v="1.98"/>
    <n v="1.91"/>
    <n v="1.32"/>
    <n v="0.373"/>
    <n v="0"/>
    <n v="5.2"/>
    <s v="STELLAR"/>
    <s v="Didn't Start"/>
  </r>
  <r>
    <x v="285"/>
    <x v="7"/>
    <s v="RP"/>
    <s v="RP"/>
    <n v="-11.2"/>
    <n v="15"/>
    <n v="0"/>
    <n v="0"/>
    <n v="2"/>
    <n v="2"/>
    <n v="0"/>
    <n v="3"/>
    <n v="21.3"/>
    <n v="14"/>
    <n v="10"/>
    <n v="1"/>
    <n v="16"/>
    <n v="14"/>
    <n v="4.22"/>
    <n v="4.3600000000000003"/>
    <n v="1.31"/>
    <n v="0.224"/>
    <n v="1"/>
    <n v="1.1428571428571428"/>
    <s v="STELLAR"/>
    <s v="Didn't Start"/>
  </r>
  <r>
    <x v="286"/>
    <x v="15"/>
    <s v="SP"/>
    <s v="SP"/>
    <n v="-11.3"/>
    <n v="6"/>
    <n v="5"/>
    <n v="0"/>
    <n v="0"/>
    <n v="0"/>
    <n v="0"/>
    <n v="0"/>
    <n v="20"/>
    <n v="21"/>
    <n v="9"/>
    <n v="3"/>
    <n v="21"/>
    <n v="8"/>
    <n v="4.05"/>
    <n v="4.63"/>
    <n v="1.45"/>
    <n v="0.31"/>
    <n v="50"/>
    <n v="2.625"/>
    <n v="4.2"/>
    <n v="0"/>
  </r>
  <r>
    <x v="287"/>
    <x v="27"/>
    <s v="RP"/>
    <s v="RP"/>
    <n v="-11.3"/>
    <n v="15"/>
    <n v="0"/>
    <n v="0"/>
    <n v="2"/>
    <n v="0"/>
    <n v="0"/>
    <n v="3"/>
    <n v="18"/>
    <n v="17"/>
    <n v="9"/>
    <n v="3"/>
    <n v="16"/>
    <n v="7"/>
    <n v="4.5"/>
    <n v="5"/>
    <n v="1.33"/>
    <n v="0.28000000000000003"/>
    <n v="0"/>
    <n v="2.2857142857142856"/>
    <s v="STELLAR"/>
    <s v="Didn't Start"/>
  </r>
  <r>
    <x v="288"/>
    <x v="26"/>
    <s v="SP"/>
    <s v="SP"/>
    <n v="-11.4"/>
    <n v="5"/>
    <n v="0"/>
    <n v="0"/>
    <n v="0"/>
    <n v="1"/>
    <n v="0"/>
    <n v="0"/>
    <n v="13"/>
    <n v="13"/>
    <n v="9"/>
    <n v="3"/>
    <n v="16"/>
    <n v="2"/>
    <n v="6.23"/>
    <n v="4.51"/>
    <n v="1.1499999999999999"/>
    <n v="0.35699999999999998"/>
    <n v="0"/>
    <n v="8"/>
    <s v="STELLAR"/>
    <s v="Didn't Start"/>
  </r>
  <r>
    <x v="289"/>
    <x v="20"/>
    <s v="SP"/>
    <s v="SP"/>
    <n v="-11.7"/>
    <n v="1"/>
    <n v="0"/>
    <n v="0"/>
    <n v="0"/>
    <n v="0"/>
    <n v="0"/>
    <n v="0"/>
    <n v="1"/>
    <n v="0"/>
    <n v="0"/>
    <n v="0"/>
    <n v="0"/>
    <n v="2"/>
    <n v="0"/>
    <n v="9.2799999999999994"/>
    <n v="2"/>
    <n v="0"/>
    <n v="0"/>
    <n v="0"/>
    <s v="STELLAR"/>
    <s v="Didn't Start"/>
  </r>
  <r>
    <x v="290"/>
    <x v="26"/>
    <s v="SP"/>
    <s v="SP"/>
    <n v="-11.8"/>
    <n v="2"/>
    <n v="2"/>
    <n v="0"/>
    <n v="0"/>
    <n v="1"/>
    <n v="0"/>
    <n v="0"/>
    <n v="7.7"/>
    <n v="7"/>
    <n v="4"/>
    <n v="3"/>
    <n v="4"/>
    <n v="2"/>
    <n v="4.7"/>
    <n v="8.1"/>
    <n v="1.17"/>
    <n v="0.19"/>
    <n v="0"/>
    <n v="2"/>
    <n v="2"/>
    <n v="0"/>
  </r>
  <r>
    <x v="291"/>
    <x v="10"/>
    <s v="RP"/>
    <s v="RP"/>
    <n v="-11.8"/>
    <n v="17"/>
    <n v="0"/>
    <n v="0"/>
    <n v="2"/>
    <n v="1"/>
    <n v="0"/>
    <n v="1"/>
    <n v="16.3"/>
    <n v="13"/>
    <n v="7"/>
    <n v="1"/>
    <n v="16"/>
    <n v="12"/>
    <n v="3.86"/>
    <n v="4.32"/>
    <n v="1.53"/>
    <n v="0.26700000000000002"/>
    <n v="0"/>
    <n v="1.3333333333333333"/>
    <s v="STELLAR"/>
    <s v="Didn't Start"/>
  </r>
  <r>
    <x v="292"/>
    <x v="8"/>
    <s v="SP"/>
    <s v="SP"/>
    <n v="-11.8"/>
    <n v="4"/>
    <n v="4"/>
    <n v="1"/>
    <n v="1"/>
    <n v="2"/>
    <n v="0"/>
    <n v="0"/>
    <n v="19.7"/>
    <n v="16"/>
    <n v="12"/>
    <n v="2"/>
    <n v="15"/>
    <n v="12"/>
    <n v="5.49"/>
    <n v="5.0599999999999996"/>
    <n v="1.42"/>
    <n v="0.246"/>
    <n v="47"/>
    <n v="1.25"/>
    <n v="3.75"/>
    <n v="0.25"/>
  </r>
  <r>
    <x v="293"/>
    <x v="26"/>
    <s v="RP"/>
    <s v="RP"/>
    <n v="-11.9"/>
    <n v="11"/>
    <n v="0"/>
    <n v="0"/>
    <n v="1"/>
    <n v="0"/>
    <n v="0"/>
    <n v="0"/>
    <n v="11"/>
    <n v="6"/>
    <n v="1"/>
    <n v="1"/>
    <n v="8"/>
    <n v="9"/>
    <n v="0.82"/>
    <n v="5.73"/>
    <n v="1.36"/>
    <n v="0.17199999999999999"/>
    <n v="52"/>
    <n v="0.88888888888888884"/>
    <s v="STELLAR"/>
    <s v="Didn't Start"/>
  </r>
  <r>
    <x v="294"/>
    <x v="25"/>
    <s v="SP"/>
    <s v="SP"/>
    <n v="-11.9"/>
    <n v="8"/>
    <n v="2"/>
    <n v="0"/>
    <n v="0"/>
    <n v="1"/>
    <n v="0"/>
    <n v="1"/>
    <n v="16.7"/>
    <n v="15"/>
    <n v="7"/>
    <n v="0"/>
    <n v="13"/>
    <n v="9"/>
    <n v="3.78"/>
    <n v="3.52"/>
    <n v="1.44"/>
    <n v="0.30599999999999999"/>
    <n v="0"/>
    <n v="1.4444444444444444"/>
    <n v="6.5"/>
    <n v="0"/>
  </r>
  <r>
    <x v="295"/>
    <x v="21"/>
    <s v="RP"/>
    <s v="RP"/>
    <n v="-11.9"/>
    <n v="11"/>
    <n v="0"/>
    <n v="0"/>
    <n v="0"/>
    <n v="0"/>
    <n v="0"/>
    <n v="0"/>
    <n v="25.3"/>
    <n v="23"/>
    <n v="7"/>
    <n v="1"/>
    <n v="19"/>
    <n v="6"/>
    <n v="2.4900000000000002"/>
    <n v="3"/>
    <n v="1.1399999999999999"/>
    <n v="0.28599999999999998"/>
    <n v="0"/>
    <n v="3.1666666666666665"/>
    <s v="STELLAR"/>
    <s v="Didn't Start"/>
  </r>
  <r>
    <x v="296"/>
    <x v="3"/>
    <s v="SP"/>
    <s v="SP"/>
    <n v="-11.9"/>
    <n v="3"/>
    <n v="3"/>
    <n v="1"/>
    <n v="1"/>
    <n v="2"/>
    <n v="0"/>
    <n v="0"/>
    <n v="15.7"/>
    <n v="19"/>
    <n v="7"/>
    <n v="1"/>
    <n v="8"/>
    <n v="7"/>
    <n v="4.0199999999999996"/>
    <n v="4.43"/>
    <n v="1.66"/>
    <n v="0.31"/>
    <n v="25"/>
    <n v="1.1428571428571428"/>
    <n v="2.6666666666666665"/>
    <n v="0.33333333333333331"/>
  </r>
  <r>
    <x v="297"/>
    <x v="13"/>
    <s v="RP"/>
    <s v="RP"/>
    <n v="-12"/>
    <n v="21"/>
    <n v="0"/>
    <n v="0"/>
    <n v="0"/>
    <n v="2"/>
    <n v="1"/>
    <n v="9"/>
    <n v="19.3"/>
    <n v="16"/>
    <n v="6"/>
    <n v="1"/>
    <n v="17"/>
    <n v="6"/>
    <n v="2.79"/>
    <n v="3.12"/>
    <n v="1.1399999999999999"/>
    <n v="0.28799999999999998"/>
    <n v="1"/>
    <n v="2.8333333333333335"/>
    <s v="STELLAR"/>
    <s v="Didn't Start"/>
  </r>
  <r>
    <x v="298"/>
    <x v="24"/>
    <s v="SP"/>
    <s v="SP"/>
    <n v="-12.1"/>
    <n v="3"/>
    <n v="3"/>
    <n v="1"/>
    <n v="1"/>
    <n v="2"/>
    <n v="0"/>
    <n v="0"/>
    <n v="16"/>
    <n v="19"/>
    <n v="11"/>
    <n v="4"/>
    <n v="11"/>
    <n v="3"/>
    <n v="6.19"/>
    <n v="5.9"/>
    <n v="1.38"/>
    <n v="0.32600000000000001"/>
    <n v="74"/>
    <n v="3.6666666666666665"/>
    <n v="3.6666666666666665"/>
    <n v="0.33333333333333331"/>
  </r>
  <r>
    <x v="299"/>
    <x v="9"/>
    <s v="RP"/>
    <s v="RP"/>
    <n v="-12.2"/>
    <n v="11"/>
    <n v="0"/>
    <n v="0"/>
    <n v="1"/>
    <n v="0"/>
    <n v="0"/>
    <n v="1"/>
    <n v="12.3"/>
    <n v="12"/>
    <n v="5"/>
    <n v="1"/>
    <n v="13"/>
    <n v="2"/>
    <n v="3.65"/>
    <n v="2.71"/>
    <n v="1.1399999999999999"/>
    <n v="0.314"/>
    <n v="0"/>
    <n v="6.5"/>
    <s v="STELLAR"/>
    <s v="Didn't Start"/>
  </r>
  <r>
    <x v="300"/>
    <x v="17"/>
    <s v="RP"/>
    <s v="RP"/>
    <n v="-12.3"/>
    <n v="23"/>
    <n v="0"/>
    <n v="0"/>
    <n v="1"/>
    <n v="1"/>
    <n v="0"/>
    <n v="6"/>
    <n v="21.7"/>
    <n v="22"/>
    <n v="7"/>
    <n v="4"/>
    <n v="13"/>
    <n v="5"/>
    <n v="2.91"/>
    <n v="5.72"/>
    <n v="1.25"/>
    <n v="0.27700000000000002"/>
    <n v="0"/>
    <n v="2.6"/>
    <s v="STELLAR"/>
    <s v="Didn't Start"/>
  </r>
  <r>
    <x v="301"/>
    <x v="3"/>
    <s v="RP"/>
    <s v="RP"/>
    <n v="-12.3"/>
    <n v="19"/>
    <n v="0"/>
    <n v="0"/>
    <n v="0"/>
    <n v="1"/>
    <n v="0"/>
    <n v="9"/>
    <n v="18.3"/>
    <n v="18"/>
    <n v="5"/>
    <n v="1"/>
    <n v="23"/>
    <n v="5"/>
    <n v="2.4500000000000002"/>
    <n v="2.2999999999999998"/>
    <n v="1.25"/>
    <n v="0.36199999999999999"/>
    <n v="0"/>
    <n v="4.5999999999999996"/>
    <s v="STELLAR"/>
    <s v="Didn't Start"/>
  </r>
  <r>
    <x v="302"/>
    <x v="29"/>
    <s v="RP"/>
    <s v="RP"/>
    <n v="-12.5"/>
    <n v="15"/>
    <n v="0"/>
    <n v="0"/>
    <n v="0"/>
    <n v="2"/>
    <n v="0"/>
    <n v="2"/>
    <n v="13.7"/>
    <n v="8"/>
    <n v="3"/>
    <n v="2"/>
    <n v="14"/>
    <n v="6"/>
    <n v="1.98"/>
    <n v="4.67"/>
    <n v="1.02"/>
    <n v="0.188"/>
    <n v="0"/>
    <n v="2.3333333333333335"/>
    <s v="STELLAR"/>
    <s v="Didn't Start"/>
  </r>
  <r>
    <x v="303"/>
    <x v="7"/>
    <s v="RP"/>
    <s v="RP"/>
    <n v="-12.5"/>
    <n v="7"/>
    <n v="0"/>
    <n v="0"/>
    <n v="0"/>
    <n v="0"/>
    <n v="0"/>
    <n v="1"/>
    <n v="8"/>
    <n v="3"/>
    <n v="0"/>
    <n v="0"/>
    <n v="12"/>
    <n v="5"/>
    <n v="0"/>
    <n v="2.15"/>
    <n v="1"/>
    <n v="0.188"/>
    <n v="1"/>
    <n v="2.4"/>
    <s v="STELLAR"/>
    <s v="Didn't Start"/>
  </r>
  <r>
    <x v="304"/>
    <x v="3"/>
    <s v="RP"/>
    <s v="RP"/>
    <n v="-12.5"/>
    <n v="10"/>
    <n v="0"/>
    <n v="0"/>
    <n v="0"/>
    <n v="0"/>
    <n v="0"/>
    <n v="1"/>
    <n v="16"/>
    <n v="13"/>
    <n v="3"/>
    <n v="1"/>
    <n v="18"/>
    <n v="7"/>
    <n v="1.69"/>
    <n v="3.72"/>
    <n v="1.25"/>
    <n v="0.28599999999999998"/>
    <n v="0"/>
    <n v="2.5714285714285716"/>
    <s v="STELLAR"/>
    <s v="Didn't Start"/>
  </r>
  <r>
    <x v="305"/>
    <x v="28"/>
    <s v="SP"/>
    <s v="SP"/>
    <n v="-12.6"/>
    <n v="1"/>
    <n v="0"/>
    <n v="0"/>
    <n v="0"/>
    <n v="0"/>
    <n v="0"/>
    <n v="0"/>
    <n v="2.7"/>
    <n v="4"/>
    <n v="2"/>
    <n v="0"/>
    <n v="1"/>
    <n v="0"/>
    <n v="6.75"/>
    <n v="2.5299999999999998"/>
    <n v="1.5"/>
    <n v="0.36399999999999999"/>
    <n v="0"/>
    <s v="STELLAR"/>
    <s v="STELLAR"/>
    <s v="Didn't Start"/>
  </r>
  <r>
    <x v="306"/>
    <x v="6"/>
    <s v="RP"/>
    <s v="RP"/>
    <n v="-12.7"/>
    <n v="18"/>
    <n v="0"/>
    <n v="0"/>
    <n v="1"/>
    <n v="1"/>
    <n v="0"/>
    <n v="3"/>
    <n v="22.7"/>
    <n v="24"/>
    <n v="11"/>
    <n v="5"/>
    <n v="24"/>
    <n v="5"/>
    <n v="4.37"/>
    <n v="4.95"/>
    <n v="1.28"/>
    <n v="0.30199999999999999"/>
    <n v="0"/>
    <n v="4.8"/>
    <s v="STELLAR"/>
    <s v="Didn't Start"/>
  </r>
  <r>
    <x v="307"/>
    <x v="8"/>
    <s v="RP"/>
    <s v="RP"/>
    <n v="-12.8"/>
    <n v="17"/>
    <n v="0"/>
    <n v="0"/>
    <n v="1"/>
    <n v="0"/>
    <n v="0"/>
    <n v="2"/>
    <n v="16.7"/>
    <n v="10"/>
    <n v="7"/>
    <n v="3"/>
    <n v="22"/>
    <n v="14"/>
    <n v="3.78"/>
    <n v="5.5"/>
    <n v="1.44"/>
    <n v="0.19400000000000001"/>
    <n v="1"/>
    <n v="1.5714285714285714"/>
    <s v="STELLAR"/>
    <s v="Didn't Start"/>
  </r>
  <r>
    <x v="308"/>
    <x v="26"/>
    <s v="SP"/>
    <s v="SP"/>
    <n v="-12.8"/>
    <n v="10"/>
    <n v="10"/>
    <n v="4"/>
    <n v="4"/>
    <n v="4"/>
    <n v="0"/>
    <n v="0"/>
    <n v="50"/>
    <n v="54"/>
    <n v="36"/>
    <n v="11"/>
    <n v="31"/>
    <n v="19"/>
    <n v="6.48"/>
    <n v="6.04"/>
    <n v="1.46"/>
    <n v="0.28299999999999997"/>
    <n v="0"/>
    <n v="1.631578947368421"/>
    <n v="3.1"/>
    <n v="0.4"/>
  </r>
  <r>
    <x v="309"/>
    <x v="16"/>
    <s v="SP"/>
    <s v="SP"/>
    <n v="-12.8"/>
    <n v="1"/>
    <n v="0"/>
    <n v="0"/>
    <n v="0"/>
    <n v="0"/>
    <n v="0"/>
    <n v="0"/>
    <n v="1"/>
    <n v="2"/>
    <n v="1"/>
    <n v="0"/>
    <n v="1"/>
    <n v="1"/>
    <n v="9"/>
    <n v="4.28"/>
    <n v="3"/>
    <n v="0.5"/>
    <m/>
    <n v="1"/>
    <s v="STELLAR"/>
    <s v="Didn't Start"/>
  </r>
  <r>
    <x v="310"/>
    <x v="23"/>
    <s v="SP"/>
    <s v="SP"/>
    <n v="-12.9"/>
    <n v="4"/>
    <n v="4"/>
    <n v="1"/>
    <n v="1"/>
    <n v="2"/>
    <n v="0"/>
    <n v="0"/>
    <n v="18"/>
    <n v="17"/>
    <n v="11"/>
    <n v="2"/>
    <n v="15"/>
    <n v="12"/>
    <n v="5.5"/>
    <n v="5.39"/>
    <n v="1.61"/>
    <n v="0.27800000000000002"/>
    <n v="0"/>
    <n v="1.25"/>
    <n v="3.75"/>
    <n v="0.25"/>
  </r>
  <r>
    <x v="311"/>
    <x v="28"/>
    <s v="RP"/>
    <s v="RP"/>
    <n v="-13"/>
    <n v="16"/>
    <n v="0"/>
    <n v="0"/>
    <n v="0"/>
    <n v="0"/>
    <n v="0"/>
    <n v="1"/>
    <n v="15.3"/>
    <n v="9"/>
    <n v="5"/>
    <n v="0"/>
    <n v="19"/>
    <n v="8"/>
    <n v="2.94"/>
    <n v="2.76"/>
    <n v="1.1100000000000001"/>
    <n v="0.26500000000000001"/>
    <n v="0"/>
    <n v="2.375"/>
    <s v="STELLAR"/>
    <s v="Didn't Start"/>
  </r>
  <r>
    <x v="312"/>
    <x v="24"/>
    <s v="RP"/>
    <s v="RP"/>
    <n v="-13.1"/>
    <n v="13"/>
    <n v="0"/>
    <n v="0"/>
    <n v="0"/>
    <n v="1"/>
    <n v="0"/>
    <n v="8"/>
    <n v="13"/>
    <n v="11"/>
    <n v="2"/>
    <n v="1"/>
    <n v="9"/>
    <n v="2"/>
    <n v="1.39"/>
    <n v="3.36"/>
    <n v="1"/>
    <n v="0.26300000000000001"/>
    <n v="0"/>
    <n v="4.5"/>
    <s v="STELLAR"/>
    <s v="Didn't Start"/>
  </r>
  <r>
    <x v="313"/>
    <x v="5"/>
    <s v="SP"/>
    <s v="SP"/>
    <n v="-13.1"/>
    <n v="10"/>
    <n v="10"/>
    <n v="3"/>
    <n v="1"/>
    <n v="2"/>
    <n v="0"/>
    <n v="0"/>
    <n v="52"/>
    <n v="56"/>
    <n v="29"/>
    <n v="7"/>
    <n v="36"/>
    <n v="15"/>
    <n v="5.0199999999999996"/>
    <n v="4.51"/>
    <n v="1.37"/>
    <n v="0.30199999999999999"/>
    <n v="3"/>
    <n v="2.4"/>
    <n v="3.6"/>
    <n v="0.1"/>
  </r>
  <r>
    <x v="314"/>
    <x v="15"/>
    <s v="RP"/>
    <s v="RP"/>
    <n v="-13.1"/>
    <n v="2"/>
    <n v="0"/>
    <n v="0"/>
    <n v="1"/>
    <n v="0"/>
    <n v="0"/>
    <n v="0"/>
    <n v="3"/>
    <n v="3"/>
    <n v="0"/>
    <n v="0"/>
    <n v="4"/>
    <n v="0"/>
    <n v="0"/>
    <n v="0.61"/>
    <n v="1"/>
    <n v="0.375"/>
    <n v="0"/>
    <s v="STELLAR"/>
    <s v="STELLAR"/>
    <s v="Didn't Start"/>
  </r>
  <r>
    <x v="315"/>
    <x v="1"/>
    <s v="RP"/>
    <s v="RP"/>
    <n v="-13.2"/>
    <n v="23"/>
    <n v="0"/>
    <n v="0"/>
    <n v="2"/>
    <n v="6"/>
    <n v="0"/>
    <n v="6"/>
    <n v="21.3"/>
    <n v="24"/>
    <n v="12"/>
    <n v="0"/>
    <n v="25"/>
    <n v="9"/>
    <n v="5.0599999999999996"/>
    <n v="2.2000000000000002"/>
    <n v="1.55"/>
    <n v="0.375"/>
    <n v="0"/>
    <n v="2.7777777777777777"/>
    <s v="STELLAR"/>
    <s v="Didn't Start"/>
  </r>
  <r>
    <x v="316"/>
    <x v="0"/>
    <s v="SP"/>
    <s v="SP"/>
    <n v="-13.2"/>
    <n v="5"/>
    <n v="2"/>
    <n v="0"/>
    <n v="0"/>
    <n v="1"/>
    <n v="0"/>
    <n v="1"/>
    <n v="8"/>
    <n v="8"/>
    <n v="5"/>
    <n v="2"/>
    <n v="2"/>
    <n v="2"/>
    <n v="5.63"/>
    <n v="7.15"/>
    <n v="1.25"/>
    <n v="0.214"/>
    <n v="0"/>
    <n v="1"/>
    <n v="1"/>
    <n v="0"/>
  </r>
  <r>
    <x v="317"/>
    <x v="12"/>
    <s v="SP"/>
    <s v="SP"/>
    <n v="-13.3"/>
    <n v="10"/>
    <n v="10"/>
    <n v="1"/>
    <n v="2"/>
    <n v="4"/>
    <n v="0"/>
    <n v="0"/>
    <n v="45"/>
    <n v="57"/>
    <n v="30"/>
    <n v="8"/>
    <n v="54"/>
    <n v="16"/>
    <n v="6"/>
    <n v="4.3899999999999997"/>
    <n v="1.62"/>
    <n v="0.38600000000000001"/>
    <n v="55"/>
    <n v="3.375"/>
    <n v="5.4"/>
    <n v="0.2"/>
  </r>
  <r>
    <x v="318"/>
    <x v="1"/>
    <s v="RP"/>
    <s v="RP"/>
    <n v="-13.4"/>
    <n v="11"/>
    <n v="0"/>
    <n v="0"/>
    <n v="0"/>
    <n v="1"/>
    <n v="0"/>
    <n v="7"/>
    <n v="10"/>
    <n v="7"/>
    <n v="2"/>
    <n v="1"/>
    <n v="10"/>
    <n v="2"/>
    <n v="1.8"/>
    <n v="3.18"/>
    <n v="0.9"/>
    <n v="0.25"/>
    <n v="0"/>
    <n v="5"/>
    <s v="STELLAR"/>
    <s v="Didn't Start"/>
  </r>
  <r>
    <x v="319"/>
    <x v="0"/>
    <s v="RP"/>
    <s v="RP"/>
    <n v="-13.4"/>
    <n v="18"/>
    <n v="5"/>
    <n v="0"/>
    <n v="1"/>
    <n v="2"/>
    <n v="0"/>
    <n v="2"/>
    <n v="25"/>
    <n v="18"/>
    <n v="13"/>
    <n v="3"/>
    <n v="22"/>
    <n v="12"/>
    <n v="4.68"/>
    <n v="4.6399999999999997"/>
    <n v="1.2"/>
    <n v="0.22700000000000001"/>
    <n v="0"/>
    <n v="1.8333333333333333"/>
    <n v="4.4000000000000004"/>
    <n v="0.2"/>
  </r>
  <r>
    <x v="320"/>
    <x v="1"/>
    <s v="RP"/>
    <s v="RP"/>
    <n v="-13.4"/>
    <n v="3"/>
    <n v="0"/>
    <n v="0"/>
    <n v="0"/>
    <n v="0"/>
    <n v="1"/>
    <n v="0"/>
    <n v="8.3000000000000007"/>
    <n v="4"/>
    <n v="3"/>
    <n v="1"/>
    <n v="12"/>
    <n v="4"/>
    <n v="3.24"/>
    <n v="3.4"/>
    <n v="0.96"/>
    <n v="0.214"/>
    <n v="0"/>
    <n v="3"/>
    <s v="STELLAR"/>
    <s v="Didn't Start"/>
  </r>
  <r>
    <x v="321"/>
    <x v="7"/>
    <s v="RP"/>
    <s v="RP"/>
    <n v="-13.5"/>
    <n v="18"/>
    <n v="0"/>
    <n v="0"/>
    <n v="1"/>
    <n v="1"/>
    <n v="0"/>
    <n v="0"/>
    <n v="18.3"/>
    <n v="20"/>
    <n v="8"/>
    <n v="2"/>
    <n v="21"/>
    <n v="6"/>
    <n v="3.93"/>
    <n v="3.71"/>
    <n v="1.42"/>
    <n v="0.38300000000000001"/>
    <n v="0"/>
    <n v="3.5"/>
    <s v="STELLAR"/>
    <s v="Didn't Start"/>
  </r>
  <r>
    <x v="322"/>
    <x v="2"/>
    <s v="RP"/>
    <s v="RP"/>
    <n v="-13.5"/>
    <n v="12"/>
    <n v="0"/>
    <n v="0"/>
    <n v="2"/>
    <n v="1"/>
    <n v="0"/>
    <n v="1"/>
    <n v="19.3"/>
    <n v="17"/>
    <n v="12"/>
    <n v="2"/>
    <n v="19"/>
    <n v="10"/>
    <n v="5.59"/>
    <n v="4.3600000000000003"/>
    <n v="1.4"/>
    <n v="0.3"/>
    <n v="1"/>
    <n v="1.9"/>
    <s v="STELLAR"/>
    <s v="Didn't Start"/>
  </r>
  <r>
    <x v="323"/>
    <x v="16"/>
    <s v="SP"/>
    <s v="SP"/>
    <n v="-13.5"/>
    <n v="7"/>
    <n v="7"/>
    <n v="1"/>
    <n v="2"/>
    <n v="1"/>
    <n v="0"/>
    <n v="0"/>
    <n v="34.299999999999997"/>
    <n v="50"/>
    <n v="24"/>
    <n v="10"/>
    <n v="47"/>
    <n v="10"/>
    <n v="6.29"/>
    <n v="5.81"/>
    <n v="1.75"/>
    <n v="0.44400000000000001"/>
    <n v="70"/>
    <n v="4.7"/>
    <n v="6.7142857142857144"/>
    <n v="0.2857142857142857"/>
  </r>
  <r>
    <x v="324"/>
    <x v="24"/>
    <s v="RP"/>
    <s v="RP"/>
    <n v="-13.6"/>
    <n v="5"/>
    <n v="0"/>
    <n v="0"/>
    <n v="0"/>
    <n v="0"/>
    <n v="0"/>
    <n v="0"/>
    <n v="4.7"/>
    <n v="0"/>
    <n v="0"/>
    <n v="0"/>
    <n v="3"/>
    <n v="0"/>
    <n v="0"/>
    <n v="1.99"/>
    <n v="0"/>
    <n v="0"/>
    <n v="0"/>
    <s v="STELLAR"/>
    <s v="STELLAR"/>
    <s v="Didn't Start"/>
  </r>
  <r>
    <x v="325"/>
    <x v="8"/>
    <s v="SP"/>
    <s v="SP"/>
    <n v="-13.6"/>
    <n v="3"/>
    <n v="3"/>
    <n v="1"/>
    <n v="2"/>
    <n v="1"/>
    <n v="0"/>
    <n v="0"/>
    <n v="15.3"/>
    <n v="24"/>
    <n v="11"/>
    <n v="3"/>
    <n v="7"/>
    <n v="4"/>
    <n v="6.46"/>
    <n v="5.69"/>
    <n v="1.83"/>
    <n v="0.375"/>
    <n v="3"/>
    <n v="1.75"/>
    <n v="2.3333333333333335"/>
    <n v="0.66666666666666663"/>
  </r>
  <r>
    <x v="326"/>
    <x v="27"/>
    <s v="SP"/>
    <s v="SP"/>
    <n v="-13.8"/>
    <n v="4"/>
    <n v="4"/>
    <n v="0"/>
    <n v="2"/>
    <n v="0"/>
    <n v="0"/>
    <n v="0"/>
    <n v="21.3"/>
    <n v="28"/>
    <n v="15"/>
    <n v="3"/>
    <n v="10"/>
    <n v="6"/>
    <n v="6.33"/>
    <n v="5.01"/>
    <n v="1.59"/>
    <n v="0.32100000000000001"/>
    <n v="14"/>
    <n v="1.6666666666666667"/>
    <n v="2.5"/>
    <n v="0.5"/>
  </r>
  <r>
    <x v="327"/>
    <x v="2"/>
    <s v="RP"/>
    <s v="RP"/>
    <n v="-13.8"/>
    <n v="12"/>
    <n v="0"/>
    <n v="0"/>
    <n v="1"/>
    <n v="2"/>
    <n v="0"/>
    <n v="3"/>
    <n v="16"/>
    <n v="14"/>
    <n v="9"/>
    <n v="1"/>
    <n v="21"/>
    <n v="7"/>
    <n v="5.0599999999999996"/>
    <n v="2.78"/>
    <n v="1.31"/>
    <n v="0.317"/>
    <n v="0"/>
    <n v="3"/>
    <s v="STELLAR"/>
    <s v="Didn't Start"/>
  </r>
  <r>
    <x v="328"/>
    <x v="28"/>
    <s v="SP"/>
    <s v="SP"/>
    <n v="-13.8"/>
    <n v="10"/>
    <n v="3"/>
    <n v="0"/>
    <n v="1"/>
    <n v="4"/>
    <n v="0"/>
    <n v="1"/>
    <n v="26.3"/>
    <n v="27"/>
    <n v="18"/>
    <n v="3"/>
    <n v="14"/>
    <n v="7"/>
    <n v="6.15"/>
    <n v="5.18"/>
    <n v="1.29"/>
    <n v="0.29299999999999998"/>
    <n v="0"/>
    <n v="2"/>
    <n v="4.666666666666667"/>
    <n v="0.33333333333333331"/>
  </r>
  <r>
    <x v="329"/>
    <x v="20"/>
    <s v="SP"/>
    <s v="SP"/>
    <n v="-13.8"/>
    <n v="3"/>
    <n v="2"/>
    <n v="0"/>
    <n v="0"/>
    <n v="1"/>
    <n v="0"/>
    <n v="0"/>
    <n v="12"/>
    <n v="10"/>
    <n v="4"/>
    <n v="1"/>
    <n v="5"/>
    <n v="11"/>
    <n v="3"/>
    <n v="6.28"/>
    <n v="1.75"/>
    <n v="0.23100000000000001"/>
    <n v="0"/>
    <n v="0.45454545454545453"/>
    <n v="2.5"/>
    <n v="0"/>
  </r>
  <r>
    <x v="330"/>
    <x v="15"/>
    <s v="RP"/>
    <s v="RP"/>
    <n v="-13.9"/>
    <n v="13"/>
    <n v="0"/>
    <n v="0"/>
    <n v="2"/>
    <n v="2"/>
    <n v="0"/>
    <n v="1"/>
    <n v="26"/>
    <n v="31"/>
    <n v="13"/>
    <n v="5"/>
    <n v="29"/>
    <n v="12"/>
    <n v="4.5"/>
    <n v="5.05"/>
    <n v="1.65"/>
    <n v="0.38200000000000001"/>
    <n v="0"/>
    <n v="2.4166666666666665"/>
    <s v="STELLAR"/>
    <s v="Didn't Start"/>
  </r>
  <r>
    <x v="331"/>
    <x v="4"/>
    <s v="RP"/>
    <s v="RP"/>
    <n v="-13.9"/>
    <n v="10"/>
    <n v="0"/>
    <n v="0"/>
    <n v="0"/>
    <n v="1"/>
    <n v="4"/>
    <n v="5"/>
    <n v="9"/>
    <n v="8"/>
    <n v="6"/>
    <n v="0"/>
    <n v="8"/>
    <n v="3"/>
    <n v="6"/>
    <n v="3.17"/>
    <n v="1.22"/>
    <n v="0.28599999999999998"/>
    <n v="2"/>
    <n v="2.6666666666666665"/>
    <s v="STELLAR"/>
    <s v="Didn't Start"/>
  </r>
  <r>
    <x v="332"/>
    <x v="8"/>
    <s v="RP"/>
    <s v="RP"/>
    <n v="-13.9"/>
    <n v="8"/>
    <n v="0"/>
    <n v="0"/>
    <n v="0"/>
    <n v="0"/>
    <n v="0"/>
    <n v="0"/>
    <n v="8.3000000000000007"/>
    <n v="7"/>
    <n v="1"/>
    <n v="0"/>
    <n v="11"/>
    <n v="2"/>
    <n v="1.08"/>
    <n v="2.44"/>
    <n v="1.08"/>
    <n v="0.35"/>
    <n v="0"/>
    <n v="5.5"/>
    <s v="STELLAR"/>
    <s v="Didn't Start"/>
  </r>
  <r>
    <x v="333"/>
    <x v="25"/>
    <s v="SP"/>
    <s v="SP"/>
    <n v="-13.9"/>
    <n v="1"/>
    <n v="0"/>
    <n v="0"/>
    <n v="0"/>
    <n v="0"/>
    <n v="0"/>
    <n v="0"/>
    <n v="5"/>
    <n v="4"/>
    <n v="4"/>
    <n v="0"/>
    <n v="0"/>
    <n v="3"/>
    <n v="7.2"/>
    <n v="5.08"/>
    <n v="1.4"/>
    <n v="0.222"/>
    <n v="0"/>
    <n v="0"/>
    <s v="STELLAR"/>
    <s v="Didn't Start"/>
  </r>
  <r>
    <x v="334"/>
    <x v="21"/>
    <s v="SP"/>
    <s v="SP"/>
    <n v="-14"/>
    <n v="7"/>
    <n v="6"/>
    <n v="2"/>
    <n v="0"/>
    <n v="5"/>
    <n v="0"/>
    <n v="0"/>
    <n v="34.700000000000003"/>
    <n v="34"/>
    <n v="20"/>
    <n v="7"/>
    <n v="27"/>
    <n v="12"/>
    <n v="5.19"/>
    <n v="5.38"/>
    <n v="1.33"/>
    <n v="0.27"/>
    <n v="1"/>
    <n v="2.25"/>
    <n v="4.5"/>
    <n v="0"/>
  </r>
  <r>
    <x v="335"/>
    <x v="17"/>
    <s v="SP"/>
    <s v="SP"/>
    <n v="-14.1"/>
    <n v="9"/>
    <n v="9"/>
    <n v="3"/>
    <n v="1"/>
    <n v="6"/>
    <n v="0"/>
    <n v="0"/>
    <n v="45"/>
    <n v="43"/>
    <n v="27"/>
    <n v="9"/>
    <n v="48"/>
    <n v="27"/>
    <n v="5.4"/>
    <n v="5.54"/>
    <n v="1.56"/>
    <n v="0.29099999999999998"/>
    <n v="100"/>
    <n v="1.7777777777777777"/>
    <n v="5.333333333333333"/>
    <n v="0.1111111111111111"/>
  </r>
  <r>
    <x v="336"/>
    <x v="15"/>
    <s v="SP"/>
    <s v="SP"/>
    <n v="-14.1"/>
    <n v="10"/>
    <n v="6"/>
    <n v="1"/>
    <n v="2"/>
    <n v="2"/>
    <n v="0"/>
    <n v="0"/>
    <n v="31.3"/>
    <n v="34"/>
    <n v="24"/>
    <n v="8"/>
    <n v="41"/>
    <n v="19"/>
    <n v="6.89"/>
    <n v="6.09"/>
    <n v="1.69"/>
    <n v="0.35099999999999998"/>
    <n v="9"/>
    <n v="2.1578947368421053"/>
    <n v="6.833333333333333"/>
    <n v="0.33333333333333331"/>
  </r>
  <r>
    <x v="337"/>
    <x v="11"/>
    <s v="RP"/>
    <s v="RP"/>
    <n v="-14.1"/>
    <n v="1"/>
    <n v="0"/>
    <n v="0"/>
    <n v="0"/>
    <n v="0"/>
    <n v="1"/>
    <n v="0"/>
    <n v="3"/>
    <n v="0"/>
    <n v="0"/>
    <n v="0"/>
    <n v="4"/>
    <n v="1"/>
    <n v="0"/>
    <n v="1.61"/>
    <n v="0.33"/>
    <n v="0"/>
    <m/>
    <n v="4"/>
    <s v="STELLAR"/>
    <s v="Didn't Start"/>
  </r>
  <r>
    <x v="338"/>
    <x v="6"/>
    <s v="SP"/>
    <s v="SP"/>
    <n v="-14.1"/>
    <n v="9"/>
    <n v="9"/>
    <n v="0"/>
    <n v="2"/>
    <n v="1"/>
    <n v="0"/>
    <n v="0"/>
    <n v="42"/>
    <n v="51"/>
    <n v="29"/>
    <n v="10"/>
    <n v="50"/>
    <n v="18"/>
    <n v="6.21"/>
    <n v="5.28"/>
    <n v="1.64"/>
    <n v="0.36599999999999999"/>
    <n v="99"/>
    <n v="2.7777777777777777"/>
    <n v="5.5555555555555554"/>
    <n v="0.22222222222222221"/>
  </r>
  <r>
    <x v="339"/>
    <x v="28"/>
    <s v="SP"/>
    <s v="SP"/>
    <n v="-14.2"/>
    <n v="9"/>
    <n v="9"/>
    <n v="1"/>
    <n v="3"/>
    <n v="4"/>
    <n v="0"/>
    <n v="0"/>
    <n v="43.3"/>
    <n v="41"/>
    <n v="21"/>
    <n v="3"/>
    <n v="31"/>
    <n v="40"/>
    <n v="4.3600000000000003"/>
    <n v="5.72"/>
    <n v="1.87"/>
    <n v="0.30199999999999999"/>
    <n v="2"/>
    <n v="0.77500000000000002"/>
    <n v="3.4444444444444446"/>
    <n v="0.33333333333333331"/>
  </r>
  <r>
    <x v="340"/>
    <x v="9"/>
    <s v="SP"/>
    <s v="SP"/>
    <n v="-14.3"/>
    <n v="9"/>
    <n v="9"/>
    <n v="3"/>
    <n v="1"/>
    <n v="3"/>
    <n v="0"/>
    <n v="0"/>
    <n v="41.3"/>
    <n v="49"/>
    <n v="27"/>
    <n v="6"/>
    <n v="30"/>
    <n v="6"/>
    <n v="5.88"/>
    <n v="4.4400000000000004"/>
    <n v="1.33"/>
    <n v="0.32300000000000001"/>
    <n v="21"/>
    <n v="5"/>
    <n v="3.3333333333333335"/>
    <n v="0.1111111111111111"/>
  </r>
  <r>
    <x v="341"/>
    <x v="4"/>
    <s v="SP"/>
    <s v="SP"/>
    <n v="-14.3"/>
    <n v="9"/>
    <n v="9"/>
    <n v="4"/>
    <n v="2"/>
    <n v="0"/>
    <n v="0"/>
    <n v="0"/>
    <n v="48.7"/>
    <n v="53"/>
    <n v="26"/>
    <n v="7"/>
    <n v="30"/>
    <n v="23"/>
    <n v="4.8099999999999996"/>
    <n v="5.52"/>
    <n v="1.56"/>
    <n v="0.29899999999999999"/>
    <n v="34"/>
    <n v="1.3043478260869565"/>
    <n v="3.3333333333333335"/>
    <n v="0.22222222222222221"/>
  </r>
  <r>
    <x v="342"/>
    <x v="5"/>
    <s v="SP"/>
    <s v="SP"/>
    <n v="-14.3"/>
    <n v="2"/>
    <n v="2"/>
    <n v="0"/>
    <n v="0"/>
    <n v="0"/>
    <n v="0"/>
    <n v="0"/>
    <n v="9.3000000000000007"/>
    <n v="9"/>
    <n v="6"/>
    <n v="2"/>
    <n v="7"/>
    <n v="6"/>
    <n v="5.79"/>
    <n v="6.49"/>
    <n v="1.61"/>
    <n v="0.26900000000000002"/>
    <n v="0"/>
    <n v="1.1666666666666667"/>
    <n v="3.5"/>
    <n v="0"/>
  </r>
  <r>
    <x v="343"/>
    <x v="19"/>
    <s v="RP"/>
    <s v="RP"/>
    <n v="-14.3"/>
    <n v="6"/>
    <n v="0"/>
    <n v="0"/>
    <n v="0"/>
    <n v="0"/>
    <n v="0"/>
    <n v="1"/>
    <n v="7.3"/>
    <n v="4"/>
    <n v="1"/>
    <n v="0"/>
    <n v="13"/>
    <n v="5"/>
    <n v="1.23"/>
    <n v="1.78"/>
    <n v="1.23"/>
    <n v="0.308"/>
    <n v="1"/>
    <n v="2.6"/>
    <s v="STELLAR"/>
    <s v="Didn't Start"/>
  </r>
  <r>
    <x v="344"/>
    <x v="10"/>
    <s v="RP"/>
    <s v="RP"/>
    <n v="-14.3"/>
    <n v="16"/>
    <n v="0"/>
    <n v="0"/>
    <n v="1"/>
    <n v="1"/>
    <n v="0"/>
    <n v="1"/>
    <n v="18.7"/>
    <n v="19"/>
    <n v="9"/>
    <n v="2"/>
    <n v="20"/>
    <n v="7"/>
    <n v="4.34"/>
    <n v="3.97"/>
    <n v="1.39"/>
    <n v="0.32700000000000001"/>
    <n v="0"/>
    <n v="2.8571428571428572"/>
    <s v="STELLAR"/>
    <s v="Didn't Start"/>
  </r>
  <r>
    <x v="345"/>
    <x v="16"/>
    <s v="SP"/>
    <s v="SP"/>
    <n v="-14.3"/>
    <n v="10"/>
    <n v="10"/>
    <n v="5"/>
    <n v="2"/>
    <n v="3"/>
    <n v="0"/>
    <n v="0"/>
    <n v="53.3"/>
    <n v="58"/>
    <n v="33"/>
    <n v="6"/>
    <n v="41"/>
    <n v="21"/>
    <n v="5.57"/>
    <n v="4.5"/>
    <n v="1.48"/>
    <n v="0.31"/>
    <n v="67"/>
    <n v="1.9523809523809523"/>
    <n v="4.0999999999999996"/>
    <n v="0.2"/>
  </r>
  <r>
    <x v="346"/>
    <x v="1"/>
    <s v="SP"/>
    <s v="SP"/>
    <n v="-14.3"/>
    <n v="1"/>
    <n v="0"/>
    <n v="0"/>
    <n v="0"/>
    <n v="0"/>
    <n v="0"/>
    <n v="0"/>
    <n v="0.7"/>
    <n v="3"/>
    <n v="2"/>
    <n v="0"/>
    <n v="1"/>
    <n v="1"/>
    <n v="27"/>
    <n v="0"/>
    <n v="6"/>
    <n v="0.75"/>
    <n v="0"/>
    <n v="1"/>
    <s v="STELLAR"/>
    <s v="Didn't Start"/>
  </r>
  <r>
    <x v="347"/>
    <x v="29"/>
    <s v="SP"/>
    <s v="SP"/>
    <n v="-14.5"/>
    <n v="4"/>
    <n v="4"/>
    <n v="2"/>
    <n v="0"/>
    <n v="3"/>
    <n v="0"/>
    <n v="0"/>
    <n v="22.3"/>
    <n v="21"/>
    <n v="16"/>
    <n v="7"/>
    <n v="19"/>
    <n v="7"/>
    <n v="6.45"/>
    <n v="6.59"/>
    <n v="1.25"/>
    <n v="0.21199999999999999"/>
    <n v="2"/>
    <n v="2.7142857142857144"/>
    <n v="4.75"/>
    <n v="0"/>
  </r>
  <r>
    <x v="348"/>
    <x v="27"/>
    <s v="RP"/>
    <s v="RP"/>
    <n v="-14.5"/>
    <n v="4"/>
    <n v="0"/>
    <n v="0"/>
    <n v="0"/>
    <n v="0"/>
    <n v="0"/>
    <n v="0"/>
    <n v="5"/>
    <n v="2"/>
    <n v="0"/>
    <n v="0"/>
    <n v="5"/>
    <n v="1"/>
    <n v="0"/>
    <n v="1.88"/>
    <n v="0.6"/>
    <n v="0.182"/>
    <n v="0"/>
    <n v="5"/>
    <s v="STELLAR"/>
    <s v="Didn't Start"/>
  </r>
  <r>
    <x v="349"/>
    <x v="24"/>
    <s v="RP"/>
    <s v="RP"/>
    <n v="-14.8"/>
    <n v="11"/>
    <n v="0"/>
    <n v="0"/>
    <n v="1"/>
    <n v="0"/>
    <n v="0"/>
    <n v="0"/>
    <n v="12.3"/>
    <n v="14"/>
    <n v="5"/>
    <n v="2"/>
    <n v="10"/>
    <n v="3"/>
    <n v="3.65"/>
    <n v="4.74"/>
    <n v="1.38"/>
    <n v="0.316"/>
    <n v="0"/>
    <n v="3.3333333333333335"/>
    <s v="STELLAR"/>
    <s v="Didn't Start"/>
  </r>
  <r>
    <x v="350"/>
    <x v="28"/>
    <s v="SP"/>
    <s v="SP"/>
    <n v="-14.8"/>
    <n v="4"/>
    <n v="0"/>
    <n v="0"/>
    <n v="0"/>
    <n v="1"/>
    <n v="0"/>
    <n v="0"/>
    <n v="14"/>
    <n v="16"/>
    <n v="8"/>
    <n v="2"/>
    <n v="9"/>
    <n v="6"/>
    <n v="5.14"/>
    <n v="5.35"/>
    <n v="1.57"/>
    <n v="0.318"/>
    <n v="0"/>
    <n v="1.5"/>
    <s v="STELLAR"/>
    <s v="Didn't Start"/>
  </r>
  <r>
    <x v="351"/>
    <x v="13"/>
    <s v="SP"/>
    <s v="SP"/>
    <n v="-15"/>
    <n v="1"/>
    <n v="1"/>
    <n v="0"/>
    <n v="0"/>
    <n v="1"/>
    <n v="0"/>
    <n v="0"/>
    <n v="3.3"/>
    <n v="4"/>
    <n v="3"/>
    <n v="0"/>
    <n v="3"/>
    <n v="5"/>
    <n v="8.1"/>
    <n v="5.98"/>
    <n v="2.7"/>
    <n v="0.4"/>
    <n v="3"/>
    <n v="0.6"/>
    <n v="3"/>
    <n v="0"/>
  </r>
  <r>
    <x v="352"/>
    <x v="17"/>
    <s v="SP"/>
    <s v="SP"/>
    <n v="-15.2"/>
    <n v="5"/>
    <n v="5"/>
    <n v="0"/>
    <n v="1"/>
    <n v="2"/>
    <n v="0"/>
    <n v="0"/>
    <n v="24"/>
    <n v="29"/>
    <n v="18"/>
    <n v="6"/>
    <n v="25"/>
    <n v="9"/>
    <n v="6.75"/>
    <n v="5.82"/>
    <n v="1.58"/>
    <n v="0.315"/>
    <n v="100"/>
    <n v="2.7777777777777777"/>
    <n v="5"/>
    <n v="0.2"/>
  </r>
  <r>
    <x v="353"/>
    <x v="4"/>
    <s v="RP"/>
    <s v="RP"/>
    <n v="-15.2"/>
    <n v="2"/>
    <n v="0"/>
    <n v="0"/>
    <n v="1"/>
    <n v="0"/>
    <n v="0"/>
    <n v="0"/>
    <n v="1.7"/>
    <n v="2"/>
    <n v="1"/>
    <n v="1"/>
    <n v="2"/>
    <n v="0"/>
    <n v="5.4"/>
    <n v="8.68"/>
    <n v="1.2"/>
    <n v="0.33300000000000002"/>
    <n v="0"/>
    <s v="STELLAR"/>
    <s v="STELLAR"/>
    <s v="Didn't Start"/>
  </r>
  <r>
    <x v="354"/>
    <x v="12"/>
    <s v="RP"/>
    <s v="RP"/>
    <n v="-15.3"/>
    <n v="5"/>
    <n v="0"/>
    <n v="0"/>
    <n v="1"/>
    <n v="0"/>
    <n v="1"/>
    <n v="1"/>
    <n v="7.3"/>
    <n v="10"/>
    <n v="3"/>
    <n v="1"/>
    <n v="2"/>
    <n v="1"/>
    <n v="3.68"/>
    <n v="5.32"/>
    <n v="1.5"/>
    <n v="0.34599999999999997"/>
    <n v="0"/>
    <n v="2"/>
    <s v="STELLAR"/>
    <s v="Didn't Start"/>
  </r>
  <r>
    <x v="355"/>
    <x v="15"/>
    <s v="RP"/>
    <s v="RP"/>
    <n v="-15.3"/>
    <n v="19"/>
    <n v="0"/>
    <n v="0"/>
    <n v="1"/>
    <n v="2"/>
    <n v="1"/>
    <n v="3"/>
    <n v="15"/>
    <n v="12"/>
    <n v="8"/>
    <n v="3"/>
    <n v="13"/>
    <n v="10"/>
    <n v="4.8"/>
    <n v="6.54"/>
    <n v="1.47"/>
    <n v="0.23100000000000001"/>
    <n v="5"/>
    <n v="1.3"/>
    <s v="STELLAR"/>
    <s v="Didn't Start"/>
  </r>
  <r>
    <x v="356"/>
    <x v="22"/>
    <s v="RP"/>
    <s v="RP"/>
    <n v="-15.4"/>
    <n v="21"/>
    <n v="1"/>
    <n v="0"/>
    <n v="2"/>
    <n v="1"/>
    <n v="0"/>
    <n v="3"/>
    <n v="19.3"/>
    <n v="21"/>
    <n v="12"/>
    <n v="5"/>
    <n v="24"/>
    <n v="12"/>
    <n v="5.59"/>
    <n v="6.17"/>
    <n v="1.71"/>
    <n v="0.33300000000000002"/>
    <n v="0"/>
    <n v="2"/>
    <n v="24"/>
    <n v="2"/>
  </r>
  <r>
    <x v="357"/>
    <x v="1"/>
    <s v="SP"/>
    <s v="SP"/>
    <n v="-15.4"/>
    <n v="1"/>
    <n v="0"/>
    <n v="0"/>
    <n v="0"/>
    <n v="0"/>
    <n v="0"/>
    <n v="0"/>
    <n v="4.7"/>
    <n v="7"/>
    <n v="5"/>
    <n v="1"/>
    <n v="5"/>
    <n v="3"/>
    <n v="9.64"/>
    <n v="5.85"/>
    <n v="2.14"/>
    <n v="0.42899999999999999"/>
    <n v="0"/>
    <n v="1.6666666666666667"/>
    <s v="STELLAR"/>
    <s v="Didn't Start"/>
  </r>
  <r>
    <x v="358"/>
    <x v="26"/>
    <s v="SP"/>
    <s v="SP"/>
    <n v="-15.6"/>
    <n v="3"/>
    <n v="3"/>
    <n v="0"/>
    <n v="0"/>
    <n v="1"/>
    <n v="0"/>
    <n v="0"/>
    <n v="11.7"/>
    <n v="16"/>
    <n v="8"/>
    <n v="1"/>
    <n v="12"/>
    <n v="5"/>
    <n v="6.17"/>
    <n v="3.88"/>
    <n v="1.8"/>
    <n v="0.41699999999999998"/>
    <n v="0"/>
    <n v="2.4"/>
    <n v="4"/>
    <n v="0"/>
  </r>
  <r>
    <x v="359"/>
    <x v="24"/>
    <s v="SP"/>
    <s v="SP"/>
    <n v="-15.7"/>
    <n v="9"/>
    <n v="9"/>
    <n v="1"/>
    <n v="2"/>
    <n v="6"/>
    <n v="0"/>
    <n v="0"/>
    <n v="41.7"/>
    <n v="46"/>
    <n v="29"/>
    <n v="11"/>
    <n v="34"/>
    <n v="18"/>
    <n v="6.26"/>
    <n v="6.59"/>
    <n v="1.54"/>
    <n v="0.27600000000000002"/>
    <n v="3"/>
    <n v="1.8888888888888888"/>
    <n v="3.7777777777777777"/>
    <n v="0.22222222222222221"/>
  </r>
  <r>
    <x v="147"/>
    <x v="17"/>
    <s v="RP"/>
    <s v="RP"/>
    <n v="-15.7"/>
    <n v="21"/>
    <n v="0"/>
    <n v="0"/>
    <n v="1"/>
    <n v="3"/>
    <n v="0"/>
    <n v="7"/>
    <n v="19.3"/>
    <n v="19"/>
    <n v="10"/>
    <n v="0"/>
    <n v="20"/>
    <n v="9"/>
    <n v="4.66"/>
    <n v="2.92"/>
    <n v="1.45"/>
    <n v="0.33300000000000002"/>
    <n v="0"/>
    <n v="2.2222222222222223"/>
    <s v="STELLAR"/>
    <s v="Didn't Start"/>
  </r>
  <r>
    <x v="360"/>
    <x v="25"/>
    <s v="RP"/>
    <s v="RP"/>
    <n v="-15.7"/>
    <n v="22"/>
    <n v="0"/>
    <n v="0"/>
    <n v="0"/>
    <n v="0"/>
    <n v="0"/>
    <n v="7"/>
    <n v="26.3"/>
    <n v="29"/>
    <n v="11"/>
    <n v="1"/>
    <n v="30"/>
    <n v="8"/>
    <n v="3.76"/>
    <n v="2.63"/>
    <n v="1.41"/>
    <n v="0.38900000000000001"/>
    <n v="0"/>
    <n v="3.75"/>
    <s v="STELLAR"/>
    <s v="Didn't Start"/>
  </r>
  <r>
    <x v="361"/>
    <x v="16"/>
    <s v="SP"/>
    <s v="SP"/>
    <n v="-15.8"/>
    <n v="6"/>
    <n v="6"/>
    <n v="1"/>
    <n v="1"/>
    <n v="2"/>
    <n v="0"/>
    <n v="0"/>
    <n v="31.7"/>
    <n v="40"/>
    <n v="23"/>
    <n v="9"/>
    <n v="31"/>
    <n v="8"/>
    <n v="6.54"/>
    <n v="5.87"/>
    <n v="1.52"/>
    <n v="0.34100000000000003"/>
    <n v="0"/>
    <n v="3.875"/>
    <n v="5.166666666666667"/>
    <n v="0.16666666666666666"/>
  </r>
  <r>
    <x v="362"/>
    <x v="2"/>
    <s v="SP"/>
    <s v="SP"/>
    <n v="-15.8"/>
    <n v="1"/>
    <n v="1"/>
    <n v="0"/>
    <n v="0"/>
    <n v="1"/>
    <n v="0"/>
    <n v="0"/>
    <n v="5"/>
    <n v="7"/>
    <n v="6"/>
    <n v="2"/>
    <n v="3"/>
    <n v="2"/>
    <n v="10.8"/>
    <n v="8.48"/>
    <n v="1.8"/>
    <n v="0.312"/>
    <n v="1"/>
    <n v="1.5"/>
    <n v="3"/>
    <n v="0"/>
  </r>
  <r>
    <x v="363"/>
    <x v="25"/>
    <s v="SP"/>
    <s v="SP"/>
    <n v="-15.9"/>
    <n v="1"/>
    <n v="1"/>
    <n v="0"/>
    <n v="0"/>
    <n v="1"/>
    <n v="0"/>
    <n v="0"/>
    <n v="1"/>
    <n v="3"/>
    <n v="4"/>
    <n v="2"/>
    <n v="0"/>
    <n v="1"/>
    <n v="36"/>
    <n v="32.28"/>
    <n v="4"/>
    <n v="0.25"/>
    <n v="1"/>
    <n v="0"/>
    <n v="0"/>
    <n v="0"/>
  </r>
  <r>
    <x v="364"/>
    <x v="17"/>
    <s v="RP"/>
    <s v="RP"/>
    <n v="-15.9"/>
    <n v="10"/>
    <n v="0"/>
    <n v="0"/>
    <n v="0"/>
    <n v="1"/>
    <n v="1"/>
    <n v="1"/>
    <n v="11.3"/>
    <n v="9"/>
    <n v="4"/>
    <n v="2"/>
    <n v="12"/>
    <n v="7"/>
    <n v="3.18"/>
    <n v="5.57"/>
    <n v="1.41"/>
    <n v="0.25"/>
    <n v="0"/>
    <n v="1.7142857142857142"/>
    <s v="STELLAR"/>
    <s v="Didn't Start"/>
  </r>
  <r>
    <x v="365"/>
    <x v="29"/>
    <s v="RP"/>
    <s v="RP"/>
    <n v="-15.9"/>
    <n v="10"/>
    <n v="1"/>
    <n v="0"/>
    <n v="1"/>
    <n v="1"/>
    <n v="0"/>
    <n v="1"/>
    <n v="11.7"/>
    <n v="13"/>
    <n v="4"/>
    <n v="1"/>
    <n v="7"/>
    <n v="5"/>
    <n v="3.09"/>
    <n v="4.4800000000000004"/>
    <n v="1.54"/>
    <n v="0.308"/>
    <n v="0"/>
    <n v="1.4"/>
    <n v="7"/>
    <n v="1"/>
  </r>
  <r>
    <x v="366"/>
    <x v="11"/>
    <s v="RP"/>
    <s v="RP"/>
    <n v="-15.9"/>
    <n v="15"/>
    <n v="0"/>
    <n v="0"/>
    <n v="1"/>
    <n v="2"/>
    <n v="0"/>
    <n v="2"/>
    <n v="26.7"/>
    <n v="27"/>
    <n v="14"/>
    <n v="7"/>
    <n v="20"/>
    <n v="8"/>
    <n v="4.7300000000000004"/>
    <n v="6.2"/>
    <n v="1.31"/>
    <n v="0.247"/>
    <n v="0"/>
    <n v="2.5"/>
    <s v="STELLAR"/>
    <s v="Didn't Start"/>
  </r>
  <r>
    <x v="367"/>
    <x v="23"/>
    <s v="RP"/>
    <s v="RP"/>
    <n v="-16"/>
    <n v="19"/>
    <n v="0"/>
    <n v="0"/>
    <n v="2"/>
    <n v="2"/>
    <n v="0"/>
    <n v="2"/>
    <n v="24.3"/>
    <n v="30"/>
    <n v="14"/>
    <n v="3"/>
    <n v="13"/>
    <n v="4"/>
    <n v="5.18"/>
    <n v="4.55"/>
    <n v="1.4"/>
    <n v="0.314"/>
    <n v="0"/>
    <n v="3.25"/>
    <s v="STELLAR"/>
    <s v="Didn't Start"/>
  </r>
  <r>
    <x v="368"/>
    <x v="8"/>
    <s v="RP"/>
    <s v="RP"/>
    <n v="-16"/>
    <n v="17"/>
    <n v="0"/>
    <n v="0"/>
    <n v="0"/>
    <n v="0"/>
    <n v="0"/>
    <n v="2"/>
    <n v="16.3"/>
    <n v="18"/>
    <n v="8"/>
    <n v="4"/>
    <n v="22"/>
    <n v="3"/>
    <n v="4.41"/>
    <n v="4.5"/>
    <n v="1.29"/>
    <n v="0.33300000000000002"/>
    <n v="0"/>
    <n v="7.333333333333333"/>
    <s v="STELLAR"/>
    <s v="Didn't Start"/>
  </r>
  <r>
    <x v="369"/>
    <x v="22"/>
    <s v="RP"/>
    <s v="RP"/>
    <n v="-16"/>
    <n v="23"/>
    <n v="0"/>
    <n v="0"/>
    <n v="0"/>
    <n v="3"/>
    <n v="4"/>
    <n v="4"/>
    <n v="20.3"/>
    <n v="22"/>
    <n v="15"/>
    <n v="6"/>
    <n v="29"/>
    <n v="9"/>
    <n v="6.64"/>
    <n v="5.59"/>
    <n v="1.52"/>
    <n v="0.35599999999999998"/>
    <n v="7"/>
    <n v="3.2222222222222223"/>
    <s v="STELLAR"/>
    <s v="Didn't Start"/>
  </r>
  <r>
    <x v="370"/>
    <x v="27"/>
    <s v="RP"/>
    <s v="RP"/>
    <n v="-16"/>
    <n v="19"/>
    <n v="0"/>
    <n v="0"/>
    <n v="1"/>
    <n v="0"/>
    <n v="0"/>
    <n v="2"/>
    <n v="19.3"/>
    <n v="18"/>
    <n v="11"/>
    <n v="4"/>
    <n v="28"/>
    <n v="13"/>
    <n v="5.12"/>
    <n v="5.09"/>
    <n v="1.6"/>
    <n v="0.32600000000000001"/>
    <n v="1"/>
    <n v="2.1538461538461537"/>
    <s v="STELLAR"/>
    <s v="Didn't Start"/>
  </r>
  <r>
    <x v="371"/>
    <x v="26"/>
    <s v="SP"/>
    <s v="SP"/>
    <n v="-16"/>
    <n v="8"/>
    <n v="8"/>
    <n v="1"/>
    <n v="2"/>
    <n v="3"/>
    <n v="0"/>
    <n v="0"/>
    <n v="35.299999999999997"/>
    <n v="37"/>
    <n v="23"/>
    <n v="2"/>
    <n v="33"/>
    <n v="25"/>
    <n v="5.86"/>
    <n v="4.3499999999999996"/>
    <n v="1.75"/>
    <n v="0.34"/>
    <n v="0"/>
    <n v="1.32"/>
    <n v="4.125"/>
    <n v="0.25"/>
  </r>
  <r>
    <x v="372"/>
    <x v="11"/>
    <s v="RP"/>
    <s v="RP"/>
    <n v="-16.100000000000001"/>
    <n v="19"/>
    <n v="0"/>
    <n v="0"/>
    <n v="1"/>
    <n v="2"/>
    <n v="0"/>
    <n v="5"/>
    <n v="18.3"/>
    <n v="21"/>
    <n v="10"/>
    <n v="3"/>
    <n v="18"/>
    <n v="5"/>
    <n v="4.91"/>
    <n v="4.42"/>
    <n v="1.42"/>
    <n v="0.36"/>
    <m/>
    <n v="3.6"/>
    <s v="STELLAR"/>
    <s v="Didn't Start"/>
  </r>
  <r>
    <x v="373"/>
    <x v="1"/>
    <s v="RP"/>
    <s v="RP"/>
    <n v="-16.100000000000001"/>
    <n v="5"/>
    <n v="0"/>
    <n v="0"/>
    <n v="0"/>
    <n v="0"/>
    <n v="0"/>
    <n v="0"/>
    <n v="9"/>
    <n v="8"/>
    <n v="1"/>
    <n v="1"/>
    <n v="9"/>
    <n v="5"/>
    <n v="1"/>
    <n v="4.3899999999999997"/>
    <n v="1.44"/>
    <n v="0.28000000000000003"/>
    <n v="0"/>
    <n v="1.8"/>
    <s v="STELLAR"/>
    <s v="Didn't Start"/>
  </r>
  <r>
    <x v="374"/>
    <x v="27"/>
    <s v="RP"/>
    <s v="RP"/>
    <n v="-16.2"/>
    <n v="11"/>
    <n v="0"/>
    <n v="0"/>
    <n v="1"/>
    <n v="2"/>
    <n v="0"/>
    <n v="1"/>
    <n v="11.7"/>
    <n v="12"/>
    <n v="6"/>
    <n v="1"/>
    <n v="18"/>
    <n v="9"/>
    <n v="4.63"/>
    <n v="3.62"/>
    <n v="1.8"/>
    <n v="0.42299999999999999"/>
    <n v="0"/>
    <n v="2"/>
    <s v="STELLAR"/>
    <s v="Didn't Start"/>
  </r>
  <r>
    <x v="375"/>
    <x v="4"/>
    <s v="RP"/>
    <s v="RP"/>
    <n v="-16.399999999999999"/>
    <n v="2"/>
    <n v="0"/>
    <n v="0"/>
    <n v="1"/>
    <n v="0"/>
    <n v="0"/>
    <n v="0"/>
    <n v="1.7"/>
    <n v="3"/>
    <n v="1"/>
    <n v="1"/>
    <n v="2"/>
    <n v="1"/>
    <n v="5.4"/>
    <n v="10.48"/>
    <n v="2.4"/>
    <n v="0.4"/>
    <n v="0"/>
    <n v="2"/>
    <s v="STELLAR"/>
    <s v="Didn't Start"/>
  </r>
  <r>
    <x v="376"/>
    <x v="17"/>
    <s v="RP"/>
    <s v="RP"/>
    <n v="-16.399999999999999"/>
    <n v="1"/>
    <n v="0"/>
    <n v="0"/>
    <n v="0"/>
    <n v="0"/>
    <n v="0"/>
    <n v="0"/>
    <n v="3"/>
    <n v="2"/>
    <n v="0"/>
    <n v="0"/>
    <n v="3"/>
    <n v="0"/>
    <n v="0"/>
    <n v="1.28"/>
    <n v="0.67"/>
    <n v="0.25"/>
    <n v="0"/>
    <s v="STELLAR"/>
    <s v="STELLAR"/>
    <s v="Didn't Start"/>
  </r>
  <r>
    <x v="377"/>
    <x v="13"/>
    <s v="RP"/>
    <s v="RP"/>
    <n v="-16.399999999999999"/>
    <n v="4"/>
    <n v="0"/>
    <n v="0"/>
    <n v="0"/>
    <n v="0"/>
    <n v="1"/>
    <n v="1"/>
    <n v="3.3"/>
    <n v="4"/>
    <n v="0"/>
    <n v="0"/>
    <n v="3"/>
    <n v="1"/>
    <n v="0"/>
    <n v="2.38"/>
    <n v="1.5"/>
    <n v="0.36399999999999999"/>
    <n v="75"/>
    <n v="3"/>
    <s v="STELLAR"/>
    <s v="Didn't Start"/>
  </r>
  <r>
    <x v="378"/>
    <x v="20"/>
    <s v="RP"/>
    <s v="RP"/>
    <n v="-16.399999999999999"/>
    <n v="1"/>
    <n v="0"/>
    <n v="0"/>
    <n v="0"/>
    <n v="0"/>
    <n v="0"/>
    <n v="0"/>
    <n v="3"/>
    <n v="0"/>
    <n v="0"/>
    <n v="0"/>
    <n v="3"/>
    <n v="2"/>
    <n v="0"/>
    <n v="4.28"/>
    <n v="0.67"/>
    <n v="0"/>
    <n v="0"/>
    <n v="1.5"/>
    <s v="STELLAR"/>
    <s v="Didn't Start"/>
  </r>
  <r>
    <x v="379"/>
    <x v="1"/>
    <s v="RP"/>
    <s v="RP"/>
    <n v="-16.5"/>
    <n v="19"/>
    <n v="0"/>
    <n v="0"/>
    <n v="0"/>
    <n v="1"/>
    <n v="0"/>
    <n v="5"/>
    <n v="21.7"/>
    <n v="17"/>
    <n v="10"/>
    <n v="2"/>
    <n v="26"/>
    <n v="13"/>
    <n v="4.1500000000000004"/>
    <n v="3.88"/>
    <n v="1.38"/>
    <n v="0.28799999999999998"/>
    <n v="0"/>
    <n v="2"/>
    <s v="STELLAR"/>
    <s v="Didn't Start"/>
  </r>
  <r>
    <x v="380"/>
    <x v="20"/>
    <s v="RP"/>
    <s v="RP"/>
    <n v="-16.600000000000001"/>
    <n v="8"/>
    <n v="0"/>
    <n v="0"/>
    <n v="1"/>
    <n v="0"/>
    <n v="0"/>
    <n v="2"/>
    <n v="8.6999999999999993"/>
    <n v="8"/>
    <n v="6"/>
    <n v="2"/>
    <n v="11"/>
    <n v="5"/>
    <n v="6.23"/>
    <n v="5.82"/>
    <n v="1.5"/>
    <n v="0.316"/>
    <n v="0"/>
    <n v="2.2000000000000002"/>
    <s v="STELLAR"/>
    <s v="Didn't Start"/>
  </r>
  <r>
    <x v="381"/>
    <x v="14"/>
    <s v="RP"/>
    <s v="RP"/>
    <n v="-16.600000000000001"/>
    <n v="15"/>
    <n v="0"/>
    <n v="0"/>
    <n v="1"/>
    <n v="1"/>
    <n v="0"/>
    <n v="1"/>
    <n v="13.7"/>
    <n v="11"/>
    <n v="10"/>
    <n v="4"/>
    <n v="14"/>
    <n v="6"/>
    <n v="6.59"/>
    <n v="6.35"/>
    <n v="1.24"/>
    <n v="0.219"/>
    <n v="0"/>
    <n v="2.3333333333333335"/>
    <s v="STELLAR"/>
    <s v="Didn't Start"/>
  </r>
  <r>
    <x v="382"/>
    <x v="19"/>
    <s v="RP"/>
    <s v="RP"/>
    <n v="-16.600000000000001"/>
    <n v="8"/>
    <n v="0"/>
    <n v="0"/>
    <n v="0"/>
    <n v="0"/>
    <n v="0"/>
    <n v="0"/>
    <n v="10"/>
    <n v="10"/>
    <n v="3"/>
    <n v="0"/>
    <n v="10"/>
    <n v="3"/>
    <n v="2.7"/>
    <n v="2.1800000000000002"/>
    <n v="1.3"/>
    <n v="0.35699999999999998"/>
    <n v="1"/>
    <n v="3.3333333333333335"/>
    <s v="STELLAR"/>
    <s v="Didn't Start"/>
  </r>
  <r>
    <x v="383"/>
    <x v="29"/>
    <s v="RP"/>
    <s v="RP"/>
    <n v="-16.600000000000001"/>
    <n v="3"/>
    <n v="0"/>
    <n v="0"/>
    <n v="0"/>
    <n v="0"/>
    <n v="0"/>
    <n v="0"/>
    <n v="4.3"/>
    <n v="2"/>
    <n v="1"/>
    <n v="1"/>
    <n v="5"/>
    <n v="2"/>
    <n v="2.08"/>
    <n v="5.36"/>
    <n v="0.92"/>
    <n v="0.111"/>
    <n v="0"/>
    <n v="2.5"/>
    <s v="STELLAR"/>
    <s v="Didn't Start"/>
  </r>
  <r>
    <x v="384"/>
    <x v="8"/>
    <s v="SP"/>
    <s v="SP"/>
    <n v="-16.7"/>
    <n v="5"/>
    <n v="5"/>
    <n v="0"/>
    <n v="0"/>
    <n v="1"/>
    <n v="0"/>
    <n v="0"/>
    <n v="18.7"/>
    <n v="23"/>
    <n v="12"/>
    <n v="2"/>
    <n v="20"/>
    <n v="10"/>
    <n v="5.79"/>
    <n v="4.46"/>
    <n v="1.77"/>
    <n v="0.36199999999999999"/>
    <n v="25"/>
    <n v="2"/>
    <n v="4"/>
    <n v="0"/>
  </r>
  <r>
    <x v="385"/>
    <x v="12"/>
    <s v="RP"/>
    <s v="RP"/>
    <n v="-16.7"/>
    <n v="1"/>
    <n v="0"/>
    <n v="0"/>
    <n v="0"/>
    <n v="0"/>
    <n v="1"/>
    <n v="0"/>
    <n v="3"/>
    <n v="2"/>
    <n v="1"/>
    <n v="1"/>
    <n v="2"/>
    <n v="1"/>
    <n v="3"/>
    <n v="7.28"/>
    <n v="1"/>
    <n v="0.125"/>
    <n v="0"/>
    <n v="2"/>
    <s v="STELLAR"/>
    <s v="Didn't Start"/>
  </r>
  <r>
    <x v="386"/>
    <x v="29"/>
    <s v="RP"/>
    <s v="RP"/>
    <n v="-16.7"/>
    <n v="12"/>
    <n v="0"/>
    <n v="0"/>
    <n v="0"/>
    <n v="0"/>
    <n v="0"/>
    <n v="0"/>
    <n v="15.3"/>
    <n v="12"/>
    <n v="6"/>
    <n v="1"/>
    <n v="11"/>
    <n v="6"/>
    <n v="3.52"/>
    <n v="4.0599999999999996"/>
    <n v="1.17"/>
    <n v="0.26800000000000002"/>
    <n v="0"/>
    <n v="1.8333333333333333"/>
    <s v="STELLAR"/>
    <s v="Didn't Start"/>
  </r>
  <r>
    <x v="387"/>
    <x v="19"/>
    <s v="RP"/>
    <s v="RP"/>
    <n v="-16.8"/>
    <n v="23"/>
    <n v="0"/>
    <n v="0"/>
    <n v="1"/>
    <n v="2"/>
    <n v="0"/>
    <n v="6"/>
    <n v="19"/>
    <n v="22"/>
    <n v="9"/>
    <n v="1"/>
    <n v="20"/>
    <n v="9"/>
    <n v="4.26"/>
    <n v="3.91"/>
    <n v="1.63"/>
    <n v="0.35"/>
    <n v="8"/>
    <n v="2.2222222222222223"/>
    <s v="STELLAR"/>
    <s v="Didn't Start"/>
  </r>
  <r>
    <x v="388"/>
    <x v="21"/>
    <s v="RP"/>
    <s v="RP"/>
    <n v="-16.8"/>
    <n v="9"/>
    <n v="0"/>
    <n v="0"/>
    <n v="1"/>
    <n v="0"/>
    <n v="0"/>
    <n v="1"/>
    <n v="9.6999999999999993"/>
    <n v="9"/>
    <n v="8"/>
    <n v="2"/>
    <n v="13"/>
    <n v="4"/>
    <n v="7.45"/>
    <n v="4.5199999999999996"/>
    <n v="1.34"/>
    <n v="0.33300000000000002"/>
    <n v="0"/>
    <n v="3.25"/>
    <s v="STELLAR"/>
    <s v="Didn't Start"/>
  </r>
  <r>
    <x v="389"/>
    <x v="19"/>
    <s v="SP"/>
    <s v="SP"/>
    <n v="-16.899999999999999"/>
    <n v="8"/>
    <n v="7"/>
    <n v="2"/>
    <n v="0"/>
    <n v="7"/>
    <n v="0"/>
    <n v="0"/>
    <n v="40.299999999999997"/>
    <n v="50"/>
    <n v="23"/>
    <n v="7"/>
    <n v="28"/>
    <n v="8"/>
    <n v="5.13"/>
    <n v="4.74"/>
    <n v="1.44"/>
    <n v="0.33100000000000002"/>
    <n v="1"/>
    <n v="3.5"/>
    <n v="4"/>
    <n v="0"/>
  </r>
  <r>
    <x v="390"/>
    <x v="14"/>
    <s v="RP"/>
    <s v="RP"/>
    <n v="-16.899999999999999"/>
    <n v="15"/>
    <n v="0"/>
    <n v="0"/>
    <n v="0"/>
    <n v="0"/>
    <n v="0"/>
    <n v="2"/>
    <n v="18"/>
    <n v="16"/>
    <n v="9"/>
    <n v="3"/>
    <n v="28"/>
    <n v="11"/>
    <n v="4.5"/>
    <n v="4.5"/>
    <n v="1.5"/>
    <n v="0.33300000000000002"/>
    <n v="0"/>
    <n v="2.5454545454545454"/>
    <s v="STELLAR"/>
    <s v="Didn't Start"/>
  </r>
  <r>
    <x v="391"/>
    <x v="30"/>
    <s v="RP"/>
    <s v="RP"/>
    <n v="-17"/>
    <n v="10"/>
    <n v="0"/>
    <n v="0"/>
    <n v="2"/>
    <n v="2"/>
    <n v="0"/>
    <n v="2"/>
    <n v="8.6999999999999993"/>
    <n v="15"/>
    <n v="7"/>
    <n v="2"/>
    <n v="10"/>
    <n v="3"/>
    <n v="7.27"/>
    <n v="5.7"/>
    <n v="2.08"/>
    <n v="0.48099999999999998"/>
    <n v="0"/>
    <n v="3.3333333333333335"/>
    <s v="STELLAR"/>
    <s v="Didn't Start"/>
  </r>
  <r>
    <x v="392"/>
    <x v="16"/>
    <s v="RP"/>
    <s v="RP"/>
    <n v="-17"/>
    <n v="8"/>
    <n v="0"/>
    <n v="0"/>
    <n v="1"/>
    <n v="0"/>
    <n v="0"/>
    <n v="1"/>
    <n v="10.3"/>
    <n v="12"/>
    <n v="5"/>
    <n v="2"/>
    <n v="9"/>
    <n v="5"/>
    <n v="4.3600000000000003"/>
    <n v="5.5"/>
    <n v="1.65"/>
    <n v="0.33300000000000002"/>
    <n v="0"/>
    <n v="1.8"/>
    <s v="STELLAR"/>
    <s v="Didn't Start"/>
  </r>
  <r>
    <x v="393"/>
    <x v="22"/>
    <s v="RP"/>
    <s v="RP"/>
    <n v="-17.100000000000001"/>
    <n v="4"/>
    <n v="0"/>
    <n v="0"/>
    <n v="0"/>
    <n v="0"/>
    <n v="0"/>
    <n v="0"/>
    <n v="8"/>
    <n v="6"/>
    <n v="3"/>
    <n v="1"/>
    <n v="5"/>
    <n v="2"/>
    <n v="3.38"/>
    <n v="4.78"/>
    <n v="1"/>
    <n v="0.22700000000000001"/>
    <n v="0"/>
    <n v="2.5"/>
    <s v="STELLAR"/>
    <s v="Didn't Start"/>
  </r>
  <r>
    <x v="394"/>
    <x v="28"/>
    <s v="RP"/>
    <s v="RP"/>
    <n v="-17.100000000000001"/>
    <n v="1"/>
    <n v="0"/>
    <n v="0"/>
    <n v="0"/>
    <n v="0"/>
    <n v="0"/>
    <n v="0"/>
    <n v="2.2999999999999998"/>
    <n v="0"/>
    <n v="0"/>
    <n v="0"/>
    <n v="3"/>
    <n v="2"/>
    <n v="0"/>
    <n v="3.28"/>
    <n v="0.86"/>
    <n v="0"/>
    <n v="0"/>
    <n v="1.5"/>
    <s v="STELLAR"/>
    <s v="Didn't Start"/>
  </r>
  <r>
    <x v="395"/>
    <x v="18"/>
    <s v="RP"/>
    <s v="RP"/>
    <n v="-17.100000000000001"/>
    <n v="11"/>
    <n v="0"/>
    <n v="0"/>
    <n v="0"/>
    <n v="0"/>
    <n v="0"/>
    <n v="2"/>
    <n v="14"/>
    <n v="11"/>
    <n v="6"/>
    <n v="1"/>
    <n v="10"/>
    <n v="5"/>
    <n v="3.86"/>
    <n v="4.0599999999999996"/>
    <n v="1.1399999999999999"/>
    <n v="0.23799999999999999"/>
    <n v="0"/>
    <n v="2"/>
    <s v="STELLAR"/>
    <s v="Didn't Start"/>
  </r>
  <r>
    <x v="396"/>
    <x v="8"/>
    <s v="RP"/>
    <s v="RP"/>
    <n v="-17.2"/>
    <n v="7"/>
    <n v="0"/>
    <n v="0"/>
    <n v="1"/>
    <n v="0"/>
    <n v="0"/>
    <n v="0"/>
    <n v="8.6999999999999993"/>
    <n v="9"/>
    <n v="6"/>
    <n v="2"/>
    <n v="9"/>
    <n v="4"/>
    <n v="6.23"/>
    <n v="5.59"/>
    <n v="1.5"/>
    <n v="0.29199999999999998"/>
    <n v="0"/>
    <n v="2.25"/>
    <s v="STELLAR"/>
    <s v="Didn't Start"/>
  </r>
  <r>
    <x v="397"/>
    <x v="19"/>
    <s v="RP"/>
    <s v="RP"/>
    <n v="-17.3"/>
    <n v="2"/>
    <n v="0"/>
    <n v="0"/>
    <n v="0"/>
    <n v="0"/>
    <n v="0"/>
    <n v="0"/>
    <n v="9"/>
    <n v="10"/>
    <n v="3"/>
    <n v="2"/>
    <n v="9"/>
    <n v="2"/>
    <n v="3"/>
    <n v="4.83"/>
    <n v="1.33"/>
    <n v="0.308"/>
    <n v="0"/>
    <n v="4.5"/>
    <s v="STELLAR"/>
    <s v="Didn't Start"/>
  </r>
  <r>
    <x v="398"/>
    <x v="12"/>
    <s v="RP"/>
    <s v="RP"/>
    <n v="-17.3"/>
    <n v="5"/>
    <n v="0"/>
    <n v="0"/>
    <n v="0"/>
    <n v="0"/>
    <n v="0"/>
    <n v="0"/>
    <n v="8.6999999999999993"/>
    <n v="7"/>
    <n v="2"/>
    <n v="0"/>
    <n v="5"/>
    <n v="4"/>
    <n v="2.08"/>
    <n v="3.51"/>
    <n v="1.27"/>
    <n v="0.25"/>
    <n v="0"/>
    <n v="1.25"/>
    <s v="STELLAR"/>
    <s v="Didn't Start"/>
  </r>
  <r>
    <x v="399"/>
    <x v="26"/>
    <s v="RP"/>
    <s v="RP"/>
    <n v="-17.3"/>
    <n v="4"/>
    <n v="0"/>
    <n v="0"/>
    <n v="0"/>
    <n v="0"/>
    <n v="0"/>
    <n v="0"/>
    <n v="6"/>
    <n v="4"/>
    <n v="2"/>
    <n v="0"/>
    <n v="8"/>
    <n v="4"/>
    <n v="3"/>
    <n v="2.61"/>
    <n v="1.33"/>
    <n v="0.28599999999999998"/>
    <n v="0"/>
    <n v="2"/>
    <s v="STELLAR"/>
    <s v="Didn't Start"/>
  </r>
  <r>
    <x v="400"/>
    <x v="13"/>
    <s v="RP"/>
    <s v="RP"/>
    <n v="-17.399999999999999"/>
    <n v="1"/>
    <n v="1"/>
    <n v="0"/>
    <n v="0"/>
    <n v="0"/>
    <n v="0"/>
    <n v="0"/>
    <n v="4.7"/>
    <n v="3"/>
    <n v="1"/>
    <n v="1"/>
    <n v="3"/>
    <n v="2"/>
    <n v="1.93"/>
    <n v="6.06"/>
    <n v="1.07"/>
    <n v="0.154"/>
    <n v="0"/>
    <n v="1.5"/>
    <n v="3"/>
    <n v="0"/>
  </r>
  <r>
    <x v="401"/>
    <x v="11"/>
    <s v="RP"/>
    <s v="RP"/>
    <n v="-17.399999999999999"/>
    <n v="6"/>
    <n v="0"/>
    <n v="0"/>
    <n v="1"/>
    <n v="0"/>
    <n v="0"/>
    <n v="0"/>
    <n v="4.3"/>
    <n v="5"/>
    <n v="4"/>
    <n v="0"/>
    <n v="5"/>
    <n v="2"/>
    <n v="8.31"/>
    <n v="3.74"/>
    <n v="1.62"/>
    <n v="0.38500000000000001"/>
    <n v="0"/>
    <n v="2.5"/>
    <s v="STELLAR"/>
    <s v="Didn't Start"/>
  </r>
  <r>
    <x v="402"/>
    <x v="9"/>
    <s v="RP"/>
    <s v="RP"/>
    <n v="-17.399999999999999"/>
    <n v="2"/>
    <n v="0"/>
    <n v="0"/>
    <n v="0"/>
    <n v="0"/>
    <n v="0"/>
    <n v="0"/>
    <n v="1.7"/>
    <n v="1"/>
    <n v="0"/>
    <n v="0"/>
    <n v="2"/>
    <n v="0"/>
    <n v="0"/>
    <n v="0.88"/>
    <n v="0.6"/>
    <n v="0.25"/>
    <n v="0"/>
    <s v="STELLAR"/>
    <s v="STELLAR"/>
    <s v="Didn't Start"/>
  </r>
  <r>
    <x v="403"/>
    <x v="22"/>
    <s v="RP"/>
    <s v="RP"/>
    <n v="-17.399999999999999"/>
    <n v="3"/>
    <n v="0"/>
    <n v="0"/>
    <n v="0"/>
    <n v="2"/>
    <n v="0"/>
    <n v="0"/>
    <n v="8"/>
    <n v="6"/>
    <n v="2"/>
    <n v="0"/>
    <n v="5"/>
    <n v="4"/>
    <n v="2.25"/>
    <n v="3.53"/>
    <n v="1.25"/>
    <n v="0.26100000000000001"/>
    <n v="0"/>
    <n v="1.25"/>
    <s v="STELLAR"/>
    <s v="Didn't Start"/>
  </r>
  <r>
    <x v="404"/>
    <x v="11"/>
    <s v="RP"/>
    <s v="RP"/>
    <n v="-17.5"/>
    <n v="14"/>
    <n v="0"/>
    <n v="0"/>
    <n v="1"/>
    <n v="0"/>
    <n v="0"/>
    <n v="1"/>
    <n v="21"/>
    <n v="25"/>
    <n v="15"/>
    <n v="5"/>
    <n v="21"/>
    <n v="2"/>
    <n v="6.43"/>
    <n v="4.8"/>
    <n v="1.29"/>
    <n v="0.33300000000000002"/>
    <n v="0"/>
    <n v="10.5"/>
    <s v="STELLAR"/>
    <s v="Didn't Start"/>
  </r>
  <r>
    <x v="405"/>
    <x v="4"/>
    <s v="RP"/>
    <s v="RP"/>
    <n v="-17.5"/>
    <n v="1"/>
    <n v="0"/>
    <n v="0"/>
    <n v="0"/>
    <n v="0"/>
    <n v="0"/>
    <n v="0"/>
    <n v="1"/>
    <n v="0"/>
    <n v="0"/>
    <n v="0"/>
    <n v="2"/>
    <n v="0"/>
    <n v="0"/>
    <n v="-0.72"/>
    <n v="0"/>
    <n v="0"/>
    <n v="0"/>
    <s v="STELLAR"/>
    <s v="STELLAR"/>
    <s v="Didn't Start"/>
  </r>
  <r>
    <x v="406"/>
    <x v="26"/>
    <s v="SP"/>
    <s v="SP"/>
    <n v="-17.5"/>
    <n v="11"/>
    <n v="4"/>
    <n v="0"/>
    <n v="1"/>
    <n v="1"/>
    <n v="0"/>
    <n v="0"/>
    <n v="31.7"/>
    <n v="41"/>
    <n v="21"/>
    <n v="6"/>
    <n v="25"/>
    <n v="11"/>
    <n v="5.97"/>
    <n v="5.58"/>
    <n v="1.64"/>
    <n v="0.35"/>
    <n v="0"/>
    <n v="2.2727272727272729"/>
    <n v="6.25"/>
    <n v="0.25"/>
  </r>
  <r>
    <x v="407"/>
    <x v="27"/>
    <s v="RP"/>
    <s v="RP"/>
    <n v="-17.5"/>
    <n v="1"/>
    <n v="0"/>
    <n v="0"/>
    <n v="0"/>
    <n v="0"/>
    <n v="0"/>
    <n v="0"/>
    <n v="1"/>
    <n v="0"/>
    <n v="0"/>
    <n v="0"/>
    <n v="2"/>
    <n v="0"/>
    <n v="0"/>
    <n v="-0.72"/>
    <n v="0"/>
    <n v="0"/>
    <n v="0"/>
    <s v="STELLAR"/>
    <s v="STELLAR"/>
    <s v="Didn't Start"/>
  </r>
  <r>
    <x v="408"/>
    <x v="12"/>
    <s v="RP"/>
    <s v="RP"/>
    <n v="-17.600000000000001"/>
    <n v="3"/>
    <n v="0"/>
    <n v="0"/>
    <n v="0"/>
    <n v="0"/>
    <n v="0"/>
    <n v="2"/>
    <n v="3.3"/>
    <n v="2"/>
    <n v="1"/>
    <n v="1"/>
    <n v="1"/>
    <n v="0"/>
    <n v="2.7"/>
    <n v="7.48"/>
    <n v="0.6"/>
    <n v="0.111"/>
    <n v="0"/>
    <s v="STELLAR"/>
    <s v="STELLAR"/>
    <s v="Didn't Start"/>
  </r>
  <r>
    <x v="409"/>
    <x v="25"/>
    <s v="SP"/>
    <s v="SP"/>
    <n v="-17.600000000000001"/>
    <n v="6"/>
    <n v="1"/>
    <n v="0"/>
    <n v="0"/>
    <n v="1"/>
    <n v="0"/>
    <n v="0"/>
    <n v="15.7"/>
    <n v="21"/>
    <n v="12"/>
    <n v="6"/>
    <n v="10"/>
    <n v="4"/>
    <n v="6.89"/>
    <n v="8.32"/>
    <n v="1.6"/>
    <n v="0.3"/>
    <n v="0"/>
    <n v="2.5"/>
    <n v="10"/>
    <n v="0"/>
  </r>
  <r>
    <x v="410"/>
    <x v="23"/>
    <s v="RP"/>
    <s v="RP"/>
    <n v="-17.7"/>
    <n v="2"/>
    <n v="0"/>
    <n v="0"/>
    <n v="0"/>
    <n v="0"/>
    <n v="0"/>
    <n v="0"/>
    <n v="2.2999999999999998"/>
    <n v="1"/>
    <n v="0"/>
    <n v="0"/>
    <n v="3"/>
    <n v="2"/>
    <n v="0"/>
    <n v="3.28"/>
    <n v="1.29"/>
    <n v="0.25"/>
    <n v="0"/>
    <n v="1.5"/>
    <s v="STELLAR"/>
    <s v="Didn't Start"/>
  </r>
  <r>
    <x v="411"/>
    <x v="14"/>
    <s v="RP"/>
    <s v="RP"/>
    <n v="-17.7"/>
    <n v="12"/>
    <n v="0"/>
    <n v="0"/>
    <n v="0"/>
    <n v="0"/>
    <n v="1"/>
    <n v="0"/>
    <n v="11"/>
    <n v="9"/>
    <n v="5"/>
    <n v="3"/>
    <n v="6"/>
    <n v="5"/>
    <n v="4.09"/>
    <n v="7.37"/>
    <n v="1.27"/>
    <n v="0.188"/>
    <n v="0"/>
    <n v="1.2"/>
    <s v="STELLAR"/>
    <s v="Didn't Start"/>
  </r>
  <r>
    <x v="412"/>
    <x v="27"/>
    <s v="RP"/>
    <s v="RP"/>
    <n v="-17.7"/>
    <n v="6"/>
    <n v="0"/>
    <n v="0"/>
    <n v="0"/>
    <n v="0"/>
    <n v="0"/>
    <n v="0"/>
    <n v="7.7"/>
    <n v="4"/>
    <n v="3"/>
    <n v="1"/>
    <n v="6"/>
    <n v="5"/>
    <n v="3.52"/>
    <n v="5.37"/>
    <n v="1.17"/>
    <n v="0.16700000000000001"/>
    <n v="0"/>
    <n v="1.2"/>
    <s v="STELLAR"/>
    <s v="Didn't Start"/>
  </r>
  <r>
    <x v="413"/>
    <x v="7"/>
    <s v="RP"/>
    <s v="RP"/>
    <n v="-17.7"/>
    <n v="10"/>
    <n v="0"/>
    <n v="0"/>
    <n v="0"/>
    <n v="2"/>
    <n v="0"/>
    <n v="0"/>
    <n v="8.3000000000000007"/>
    <n v="7"/>
    <n v="4"/>
    <n v="1"/>
    <n v="11"/>
    <n v="4"/>
    <n v="4.32"/>
    <n v="3.64"/>
    <n v="1.32"/>
    <n v="0.33300000000000002"/>
    <n v="2"/>
    <n v="2.75"/>
    <s v="STELLAR"/>
    <s v="Didn't Start"/>
  </r>
  <r>
    <x v="414"/>
    <x v="11"/>
    <s v="RP"/>
    <s v="RP"/>
    <n v="-17.8"/>
    <n v="1"/>
    <n v="0"/>
    <n v="0"/>
    <n v="0"/>
    <n v="0"/>
    <n v="0"/>
    <n v="0"/>
    <n v="1.3"/>
    <n v="0"/>
    <n v="0"/>
    <n v="0"/>
    <n v="2"/>
    <n v="1"/>
    <n v="0"/>
    <n v="2.5299999999999998"/>
    <n v="0.75"/>
    <n v="0"/>
    <m/>
    <n v="2"/>
    <s v="STELLAR"/>
    <s v="Didn't Start"/>
  </r>
  <r>
    <x v="415"/>
    <x v="9"/>
    <s v="RP"/>
    <s v="RP"/>
    <n v="-17.8"/>
    <n v="20"/>
    <n v="0"/>
    <n v="0"/>
    <n v="1"/>
    <n v="2"/>
    <n v="0"/>
    <n v="2"/>
    <n v="23"/>
    <n v="24"/>
    <n v="15"/>
    <n v="2"/>
    <n v="29"/>
    <n v="11"/>
    <n v="5.87"/>
    <n v="3.32"/>
    <n v="1.52"/>
    <n v="0.36699999999999999"/>
    <n v="0"/>
    <n v="2.6363636363636362"/>
    <s v="STELLAR"/>
    <s v="Didn't Start"/>
  </r>
  <r>
    <x v="416"/>
    <x v="17"/>
    <s v="RP"/>
    <s v="RP"/>
    <n v="-17.8"/>
    <n v="2"/>
    <n v="0"/>
    <n v="0"/>
    <n v="0"/>
    <n v="0"/>
    <n v="0"/>
    <n v="0"/>
    <n v="1.3"/>
    <n v="1"/>
    <n v="0"/>
    <n v="0"/>
    <n v="2"/>
    <n v="0"/>
    <n v="0"/>
    <n v="0.28000000000000003"/>
    <n v="0.75"/>
    <n v="0.33300000000000002"/>
    <n v="0"/>
    <s v="STELLAR"/>
    <s v="STELLAR"/>
    <s v="Didn't Start"/>
  </r>
  <r>
    <x v="417"/>
    <x v="2"/>
    <s v="RP"/>
    <s v="RP"/>
    <n v="-17.899999999999999"/>
    <n v="16"/>
    <n v="0"/>
    <n v="0"/>
    <n v="0"/>
    <n v="1"/>
    <n v="1"/>
    <n v="1"/>
    <n v="14.3"/>
    <n v="12"/>
    <n v="6"/>
    <n v="2"/>
    <n v="15"/>
    <n v="11"/>
    <n v="3.77"/>
    <n v="5.3"/>
    <n v="1.6"/>
    <n v="0.27800000000000002"/>
    <n v="14"/>
    <n v="1.3636363636363635"/>
    <s v="STELLAR"/>
    <s v="Didn't Start"/>
  </r>
  <r>
    <x v="418"/>
    <x v="20"/>
    <s v="RP"/>
    <s v="RP"/>
    <n v="-17.899999999999999"/>
    <n v="5"/>
    <n v="0"/>
    <n v="0"/>
    <n v="2"/>
    <n v="1"/>
    <n v="0"/>
    <n v="0"/>
    <n v="9"/>
    <n v="12"/>
    <n v="9"/>
    <n v="1"/>
    <n v="8"/>
    <n v="4"/>
    <n v="9"/>
    <n v="4.6100000000000003"/>
    <n v="1.78"/>
    <n v="0.379"/>
    <n v="0"/>
    <n v="2"/>
    <s v="STELLAR"/>
    <s v="Didn't Start"/>
  </r>
  <r>
    <x v="419"/>
    <x v="18"/>
    <s v="RP"/>
    <s v="RP"/>
    <n v="-17.899999999999999"/>
    <n v="3"/>
    <n v="0"/>
    <n v="0"/>
    <n v="0"/>
    <n v="0"/>
    <n v="0"/>
    <n v="0"/>
    <n v="3.3"/>
    <n v="3"/>
    <n v="2"/>
    <n v="0"/>
    <n v="5"/>
    <n v="0"/>
    <n v="5.4"/>
    <n v="1.18"/>
    <n v="0.9"/>
    <n v="0.375"/>
    <n v="1"/>
    <s v="STELLAR"/>
    <s v="STELLAR"/>
    <s v="Didn't Start"/>
  </r>
  <r>
    <x v="420"/>
    <x v="27"/>
    <s v="SP"/>
    <s v="SP"/>
    <n v="-17.899999999999999"/>
    <n v="7"/>
    <n v="6"/>
    <n v="0"/>
    <n v="1"/>
    <n v="2"/>
    <n v="0"/>
    <n v="0"/>
    <n v="30"/>
    <n v="40"/>
    <n v="18"/>
    <n v="7"/>
    <n v="18"/>
    <n v="11"/>
    <n v="5.4"/>
    <n v="6.51"/>
    <n v="1.7"/>
    <n v="0.34"/>
    <n v="0"/>
    <n v="1.6363636363636365"/>
    <n v="3"/>
    <n v="0.16666666666666666"/>
  </r>
  <r>
    <x v="421"/>
    <x v="18"/>
    <s v="RP"/>
    <s v="RP"/>
    <n v="-18"/>
    <n v="22"/>
    <n v="0"/>
    <n v="0"/>
    <n v="0"/>
    <n v="0"/>
    <n v="0"/>
    <n v="4"/>
    <n v="19"/>
    <n v="20"/>
    <n v="9"/>
    <n v="4"/>
    <n v="15"/>
    <n v="4"/>
    <n v="4.26"/>
    <n v="5.23"/>
    <n v="1.26"/>
    <n v="0.30199999999999999"/>
    <n v="0"/>
    <n v="3.75"/>
    <s v="STELLAR"/>
    <s v="Didn't Start"/>
  </r>
  <r>
    <x v="422"/>
    <x v="24"/>
    <s v="RP"/>
    <s v="RP"/>
    <n v="-18"/>
    <n v="2"/>
    <n v="0"/>
    <n v="0"/>
    <n v="0"/>
    <n v="0"/>
    <n v="0"/>
    <n v="1"/>
    <n v="2"/>
    <n v="1"/>
    <n v="0"/>
    <n v="0"/>
    <n v="1"/>
    <n v="1"/>
    <n v="0"/>
    <n v="3.78"/>
    <n v="1"/>
    <n v="0.16700000000000001"/>
    <n v="0"/>
    <n v="1"/>
    <s v="STELLAR"/>
    <s v="Didn't Start"/>
  </r>
  <r>
    <x v="423"/>
    <x v="16"/>
    <s v="SP"/>
    <s v="SP"/>
    <n v="-18"/>
    <n v="2"/>
    <n v="1"/>
    <n v="0"/>
    <n v="0"/>
    <n v="1"/>
    <n v="0"/>
    <n v="0"/>
    <n v="7"/>
    <n v="11"/>
    <n v="8"/>
    <n v="1"/>
    <n v="6"/>
    <n v="4"/>
    <n v="10.29"/>
    <n v="5.14"/>
    <n v="2.14"/>
    <n v="0.4"/>
    <n v="0"/>
    <n v="0.54545454545454541"/>
    <s v="STELLAR"/>
    <s v="Didn't Start"/>
  </r>
  <r>
    <x v="424"/>
    <x v="19"/>
    <s v="RP"/>
    <s v="RP"/>
    <n v="-18.100000000000001"/>
    <n v="15"/>
    <n v="0"/>
    <n v="0"/>
    <n v="1"/>
    <n v="0"/>
    <n v="0"/>
    <n v="1"/>
    <n v="12.7"/>
    <n v="12"/>
    <n v="8"/>
    <n v="2"/>
    <n v="14"/>
    <n v="9"/>
    <n v="5.68"/>
    <n v="5.25"/>
    <n v="1.66"/>
    <n v="0.28599999999999998"/>
    <n v="0"/>
    <m/>
    <m/>
    <m/>
  </r>
  <r>
    <x v="425"/>
    <x v="26"/>
    <s v="SP"/>
    <s v="RP"/>
    <n v="-18.100000000000001"/>
    <n v="2"/>
    <n v="0"/>
    <n v="0"/>
    <n v="0"/>
    <n v="0"/>
    <n v="0"/>
    <n v="0"/>
    <n v="2"/>
    <n v="5"/>
    <n v="6"/>
    <n v="0"/>
    <n v="2"/>
    <n v="3"/>
    <n v="27"/>
    <n v="5.78"/>
    <n v="4"/>
    <n v="0.5"/>
    <n v="0"/>
    <m/>
    <m/>
    <m/>
  </r>
  <r>
    <x v="426"/>
    <x v="14"/>
    <s v="RP"/>
    <s v="RP"/>
    <n v="-18.100000000000001"/>
    <n v="2"/>
    <n v="0"/>
    <n v="0"/>
    <n v="0"/>
    <n v="0"/>
    <n v="0"/>
    <n v="0"/>
    <n v="1.3"/>
    <n v="1"/>
    <n v="0"/>
    <n v="0"/>
    <n v="3"/>
    <n v="1"/>
    <n v="0"/>
    <n v="1.03"/>
    <n v="1.5"/>
    <n v="0.5"/>
    <n v="0"/>
    <m/>
    <m/>
    <m/>
  </r>
  <r>
    <x v="427"/>
    <x v="3"/>
    <s v="RP"/>
    <s v="RP"/>
    <n v="-18.2"/>
    <n v="20"/>
    <n v="1"/>
    <n v="0"/>
    <n v="1"/>
    <n v="0"/>
    <n v="2"/>
    <n v="3"/>
    <n v="23.3"/>
    <n v="24"/>
    <n v="14"/>
    <n v="3"/>
    <n v="13"/>
    <n v="11"/>
    <n v="5.4"/>
    <n v="5.25"/>
    <n v="1.5"/>
    <n v="0.3"/>
    <n v="0"/>
    <m/>
    <m/>
    <m/>
  </r>
  <r>
    <x v="428"/>
    <x v="29"/>
    <s v="RP"/>
    <s v="RP"/>
    <n v="-18.2"/>
    <n v="22"/>
    <n v="0"/>
    <n v="0"/>
    <n v="0"/>
    <n v="2"/>
    <n v="0"/>
    <n v="4"/>
    <n v="17.3"/>
    <n v="8"/>
    <n v="10"/>
    <n v="0"/>
    <n v="17"/>
    <n v="13"/>
    <n v="5.19"/>
    <n v="4.43"/>
    <n v="1.21"/>
    <n v="0.19"/>
    <n v="0"/>
    <m/>
    <m/>
    <m/>
  </r>
  <r>
    <x v="429"/>
    <x v="14"/>
    <s v="RP"/>
    <s v="RP"/>
    <n v="-18.2"/>
    <n v="3"/>
    <n v="0"/>
    <n v="0"/>
    <n v="0"/>
    <n v="0"/>
    <n v="0"/>
    <n v="0"/>
    <n v="3"/>
    <n v="1"/>
    <n v="1"/>
    <n v="1"/>
    <n v="2"/>
    <n v="2"/>
    <n v="3"/>
    <n v="8.2799999999999994"/>
    <n v="1"/>
    <n v="0"/>
    <n v="0"/>
    <m/>
    <m/>
    <m/>
  </r>
  <r>
    <x v="430"/>
    <x v="16"/>
    <s v="RP"/>
    <s v="RP"/>
    <n v="-18.3"/>
    <n v="10"/>
    <n v="0"/>
    <n v="0"/>
    <n v="1"/>
    <n v="0"/>
    <n v="0"/>
    <n v="1"/>
    <n v="13.7"/>
    <n v="15"/>
    <n v="10"/>
    <n v="1"/>
    <n v="20"/>
    <n v="8"/>
    <n v="6.59"/>
    <n v="3.06"/>
    <n v="1.68"/>
    <n v="0.4"/>
    <n v="0"/>
    <m/>
    <m/>
    <m/>
  </r>
  <r>
    <x v="431"/>
    <x v="25"/>
    <s v="RP"/>
    <s v="RP"/>
    <n v="-18.3"/>
    <n v="3"/>
    <n v="0"/>
    <n v="0"/>
    <n v="0"/>
    <n v="0"/>
    <n v="0"/>
    <n v="0"/>
    <n v="7"/>
    <n v="7"/>
    <n v="2"/>
    <n v="0"/>
    <n v="3"/>
    <n v="2"/>
    <n v="2.57"/>
    <n v="3.28"/>
    <n v="1.29"/>
    <n v="0.29199999999999998"/>
    <n v="0"/>
    <m/>
    <m/>
    <m/>
  </r>
  <r>
    <x v="432"/>
    <x v="10"/>
    <s v="RP"/>
    <s v="RP"/>
    <n v="-18.399999999999999"/>
    <n v="1"/>
    <n v="0"/>
    <n v="0"/>
    <n v="0"/>
    <n v="0"/>
    <n v="0"/>
    <n v="0"/>
    <n v="1"/>
    <n v="1"/>
    <n v="0"/>
    <n v="0"/>
    <n v="1"/>
    <n v="0"/>
    <n v="0"/>
    <n v="1.28"/>
    <n v="1"/>
    <n v="0.25"/>
    <n v="0"/>
    <m/>
    <m/>
    <m/>
  </r>
  <r>
    <x v="433"/>
    <x v="5"/>
    <s v="RP"/>
    <s v="RP"/>
    <n v="-18.399999999999999"/>
    <n v="7"/>
    <n v="0"/>
    <n v="0"/>
    <n v="1"/>
    <n v="0"/>
    <n v="0"/>
    <n v="0"/>
    <n v="8"/>
    <n v="11"/>
    <n v="5"/>
    <n v="1"/>
    <n v="6"/>
    <n v="3"/>
    <n v="5.63"/>
    <n v="4.53"/>
    <n v="1.75"/>
    <n v="0.38500000000000001"/>
    <n v="0"/>
    <m/>
    <m/>
    <m/>
  </r>
  <r>
    <x v="434"/>
    <x v="23"/>
    <s v="RP"/>
    <s v="RP"/>
    <n v="-18.399999999999999"/>
    <n v="2"/>
    <n v="0"/>
    <n v="0"/>
    <n v="0"/>
    <n v="0"/>
    <n v="0"/>
    <n v="0"/>
    <n v="4"/>
    <n v="3"/>
    <n v="1"/>
    <n v="1"/>
    <n v="2"/>
    <n v="2"/>
    <n v="2.25"/>
    <n v="7.03"/>
    <n v="1.25"/>
    <n v="0.14299999999999999"/>
    <n v="0"/>
    <m/>
    <m/>
    <m/>
  </r>
  <r>
    <x v="435"/>
    <x v="28"/>
    <s v="RP"/>
    <s v="RP"/>
    <n v="-18.5"/>
    <n v="16"/>
    <n v="1"/>
    <n v="0"/>
    <n v="1"/>
    <n v="2"/>
    <n v="0"/>
    <n v="0"/>
    <n v="17.7"/>
    <n v="19"/>
    <n v="14"/>
    <n v="4"/>
    <n v="26"/>
    <n v="8"/>
    <n v="7.13"/>
    <n v="4.6399999999999997"/>
    <n v="1.53"/>
    <n v="0.36599999999999999"/>
    <n v="0"/>
    <m/>
    <m/>
    <m/>
  </r>
  <r>
    <x v="436"/>
    <x v="27"/>
    <s v="RP"/>
    <s v="RP"/>
    <n v="-18.5"/>
    <n v="20"/>
    <n v="0"/>
    <n v="0"/>
    <n v="0"/>
    <n v="3"/>
    <n v="0"/>
    <n v="4"/>
    <n v="20.7"/>
    <n v="17"/>
    <n v="11"/>
    <n v="2"/>
    <n v="33"/>
    <n v="17"/>
    <n v="4.79"/>
    <n v="4.0999999999999996"/>
    <n v="1.65"/>
    <n v="0.34899999999999998"/>
    <n v="0"/>
    <m/>
    <m/>
    <m/>
  </r>
  <r>
    <x v="437"/>
    <x v="12"/>
    <s v="RP"/>
    <s v="RP"/>
    <n v="-18.600000000000001"/>
    <n v="3"/>
    <n v="0"/>
    <n v="0"/>
    <n v="0"/>
    <n v="0"/>
    <n v="0"/>
    <n v="0"/>
    <n v="8.3000000000000007"/>
    <n v="6"/>
    <n v="4"/>
    <n v="3"/>
    <n v="4"/>
    <n v="3"/>
    <n v="4.32"/>
    <n v="8.44"/>
    <n v="1.08"/>
    <n v="0.13"/>
    <n v="0"/>
    <m/>
    <m/>
    <m/>
  </r>
  <r>
    <x v="438"/>
    <x v="7"/>
    <s v="RP"/>
    <s v="RP"/>
    <n v="-18.600000000000001"/>
    <n v="18"/>
    <n v="0"/>
    <n v="0"/>
    <n v="0"/>
    <n v="0"/>
    <n v="0"/>
    <n v="0"/>
    <n v="18.3"/>
    <n v="20"/>
    <n v="10"/>
    <n v="2"/>
    <n v="22"/>
    <n v="6"/>
    <n v="4.91"/>
    <n v="3.28"/>
    <n v="1.42"/>
    <n v="0.36"/>
    <n v="0"/>
    <m/>
    <m/>
    <m/>
  </r>
  <r>
    <x v="439"/>
    <x v="6"/>
    <s v="RP"/>
    <s v="RP"/>
    <n v="-18.600000000000001"/>
    <n v="21"/>
    <n v="0"/>
    <n v="0"/>
    <n v="1"/>
    <n v="1"/>
    <n v="0"/>
    <n v="7"/>
    <n v="18.3"/>
    <n v="23"/>
    <n v="7"/>
    <n v="0"/>
    <n v="14"/>
    <n v="10"/>
    <n v="3.44"/>
    <n v="3.55"/>
    <n v="1.8"/>
    <n v="0.377"/>
    <n v="1"/>
    <m/>
    <m/>
    <m/>
  </r>
  <r>
    <x v="440"/>
    <x v="13"/>
    <s v="RP"/>
    <s v="RP"/>
    <n v="-18.600000000000001"/>
    <n v="7"/>
    <n v="0"/>
    <n v="0"/>
    <n v="0"/>
    <n v="0"/>
    <n v="0"/>
    <n v="0"/>
    <n v="7.3"/>
    <n v="7"/>
    <n v="3"/>
    <n v="0"/>
    <n v="4"/>
    <n v="2"/>
    <n v="3.68"/>
    <n v="3.01"/>
    <n v="1.23"/>
    <n v="0.25900000000000001"/>
    <n v="0"/>
    <m/>
    <m/>
    <m/>
  </r>
  <r>
    <x v="441"/>
    <x v="7"/>
    <s v="RP"/>
    <s v="RP"/>
    <n v="-18.7"/>
    <n v="17"/>
    <n v="0"/>
    <n v="0"/>
    <n v="0"/>
    <n v="1"/>
    <n v="2"/>
    <n v="1"/>
    <n v="14.7"/>
    <n v="13"/>
    <n v="9"/>
    <n v="3"/>
    <n v="13"/>
    <n v="9"/>
    <n v="5.52"/>
    <n v="6.21"/>
    <n v="1.5"/>
    <n v="0.25600000000000001"/>
    <n v="8"/>
    <m/>
    <m/>
    <m/>
  </r>
  <r>
    <x v="442"/>
    <x v="3"/>
    <s v="RP"/>
    <s v="RP"/>
    <n v="-18.7"/>
    <n v="16"/>
    <n v="0"/>
    <n v="0"/>
    <n v="0"/>
    <n v="2"/>
    <n v="0"/>
    <n v="6"/>
    <n v="12.3"/>
    <n v="11"/>
    <n v="6"/>
    <n v="2"/>
    <n v="14"/>
    <n v="7"/>
    <n v="4.38"/>
    <n v="4.82"/>
    <n v="1.46"/>
    <n v="0.3"/>
    <n v="0"/>
    <m/>
    <m/>
    <m/>
  </r>
  <r>
    <x v="443"/>
    <x v="5"/>
    <s v="RP"/>
    <s v="RP"/>
    <n v="-18.7"/>
    <n v="2"/>
    <n v="0"/>
    <n v="0"/>
    <n v="0"/>
    <n v="0"/>
    <n v="0"/>
    <n v="2"/>
    <n v="1.3"/>
    <n v="0"/>
    <n v="1"/>
    <n v="0"/>
    <n v="2"/>
    <n v="1"/>
    <n v="6.75"/>
    <n v="2.5299999999999998"/>
    <n v="0.75"/>
    <n v="0"/>
    <n v="0"/>
    <m/>
    <m/>
    <m/>
  </r>
  <r>
    <x v="444"/>
    <x v="0"/>
    <s v="RP"/>
    <s v="RP"/>
    <n v="-18.8"/>
    <n v="16"/>
    <n v="0"/>
    <n v="0"/>
    <n v="1"/>
    <n v="1"/>
    <n v="0"/>
    <n v="3"/>
    <n v="15"/>
    <n v="12"/>
    <n v="11"/>
    <n v="2"/>
    <n v="9"/>
    <n v="7"/>
    <n v="6.6"/>
    <n v="5.61"/>
    <n v="1.27"/>
    <n v="0.21299999999999999"/>
    <n v="0"/>
    <m/>
    <m/>
    <m/>
  </r>
  <r>
    <x v="445"/>
    <x v="26"/>
    <s v="SP"/>
    <s v="SP"/>
    <n v="-18.8"/>
    <n v="2"/>
    <n v="2"/>
    <n v="0"/>
    <n v="0"/>
    <n v="2"/>
    <n v="0"/>
    <n v="0"/>
    <n v="8.6999999999999993"/>
    <n v="13"/>
    <n v="9"/>
    <n v="1"/>
    <n v="6"/>
    <n v="5"/>
    <n v="9.35"/>
    <n v="5.47"/>
    <n v="2.08"/>
    <n v="0.41399999999999998"/>
    <n v="0"/>
    <m/>
    <m/>
    <m/>
  </r>
  <r>
    <x v="446"/>
    <x v="23"/>
    <s v="RP"/>
    <s v="RP"/>
    <n v="-18.899999999999999"/>
    <n v="11"/>
    <n v="0"/>
    <n v="0"/>
    <n v="0"/>
    <n v="0"/>
    <n v="0"/>
    <n v="1"/>
    <n v="13"/>
    <n v="14"/>
    <n v="7"/>
    <n v="3"/>
    <n v="10"/>
    <n v="2"/>
    <n v="4.8499999999999996"/>
    <n v="5.2"/>
    <n v="1.23"/>
    <n v="0.29699999999999999"/>
    <n v="0"/>
    <m/>
    <m/>
    <m/>
  </r>
  <r>
    <x v="447"/>
    <x v="3"/>
    <s v="RP"/>
    <s v="RP"/>
    <n v="-19"/>
    <n v="9"/>
    <n v="0"/>
    <n v="0"/>
    <n v="1"/>
    <n v="0"/>
    <n v="0"/>
    <n v="2"/>
    <n v="7.7"/>
    <n v="8"/>
    <n v="6"/>
    <n v="0"/>
    <n v="6"/>
    <n v="5"/>
    <n v="7.04"/>
    <n v="3.67"/>
    <n v="1.7"/>
    <n v="0.33300000000000002"/>
    <n v="0"/>
    <m/>
    <m/>
    <m/>
  </r>
  <r>
    <x v="448"/>
    <x v="4"/>
    <s v="RP"/>
    <s v="RP"/>
    <n v="-19"/>
    <n v="11"/>
    <n v="0"/>
    <n v="0"/>
    <n v="1"/>
    <n v="1"/>
    <n v="1"/>
    <n v="0"/>
    <n v="20"/>
    <n v="25"/>
    <n v="14"/>
    <n v="1"/>
    <n v="21"/>
    <n v="7"/>
    <n v="6.3"/>
    <n v="3.18"/>
    <n v="1.6"/>
    <n v="0.41399999999999998"/>
    <n v="0"/>
    <m/>
    <m/>
    <m/>
  </r>
  <r>
    <x v="449"/>
    <x v="13"/>
    <s v="RP"/>
    <s v="RP"/>
    <n v="-19"/>
    <n v="1"/>
    <n v="0"/>
    <n v="0"/>
    <n v="0"/>
    <n v="0"/>
    <n v="0"/>
    <n v="0"/>
    <n v="1"/>
    <n v="1"/>
    <n v="0"/>
    <n v="0"/>
    <n v="1"/>
    <n v="1"/>
    <n v="0"/>
    <n v="4.28"/>
    <n v="2"/>
    <n v="0.25"/>
    <n v="0"/>
    <m/>
    <m/>
    <m/>
  </r>
  <r>
    <x v="450"/>
    <x v="20"/>
    <s v="RP"/>
    <s v="RP"/>
    <n v="-19.2"/>
    <n v="11"/>
    <n v="0"/>
    <n v="0"/>
    <n v="0"/>
    <n v="0"/>
    <n v="0"/>
    <n v="2"/>
    <n v="13"/>
    <n v="10"/>
    <n v="7"/>
    <n v="2"/>
    <n v="7"/>
    <n v="5"/>
    <n v="4.8499999999999996"/>
    <n v="5.36"/>
    <n v="1.1499999999999999"/>
    <n v="0.21099999999999999"/>
    <n v="0"/>
    <m/>
    <m/>
    <m/>
  </r>
  <r>
    <x v="451"/>
    <x v="20"/>
    <s v="RP"/>
    <s v="RP"/>
    <n v="-19.2"/>
    <n v="2"/>
    <n v="0"/>
    <n v="0"/>
    <n v="0"/>
    <n v="0"/>
    <n v="0"/>
    <n v="0"/>
    <n v="3.7"/>
    <n v="5"/>
    <n v="1"/>
    <n v="0"/>
    <n v="2"/>
    <n v="1"/>
    <n v="2.4500000000000002"/>
    <n v="3.82"/>
    <n v="1.64"/>
    <n v="0.38500000000000001"/>
    <m/>
    <m/>
    <m/>
    <m/>
  </r>
  <r>
    <x v="452"/>
    <x v="6"/>
    <s v="RP"/>
    <s v="RP"/>
    <n v="-19.2"/>
    <n v="13"/>
    <n v="0"/>
    <n v="0"/>
    <n v="1"/>
    <n v="1"/>
    <n v="0"/>
    <n v="3"/>
    <n v="10.7"/>
    <n v="15"/>
    <n v="7"/>
    <n v="1"/>
    <n v="10"/>
    <n v="4"/>
    <n v="5.91"/>
    <n v="3.75"/>
    <n v="1.78"/>
    <n v="0.4"/>
    <n v="0"/>
    <m/>
    <m/>
    <m/>
  </r>
  <r>
    <x v="453"/>
    <x v="24"/>
    <s v="RP"/>
    <s v="RP"/>
    <n v="-19.3"/>
    <n v="19"/>
    <n v="0"/>
    <n v="0"/>
    <n v="1"/>
    <n v="0"/>
    <n v="0"/>
    <n v="2"/>
    <n v="20"/>
    <n v="24"/>
    <n v="13"/>
    <n v="4"/>
    <n v="12"/>
    <n v="3"/>
    <n v="5.85"/>
    <n v="5.43"/>
    <n v="1.35"/>
    <n v="0.312"/>
    <n v="0"/>
    <m/>
    <m/>
    <m/>
  </r>
  <r>
    <x v="454"/>
    <x v="29"/>
    <s v="RP"/>
    <s v="RP"/>
    <n v="-19.3"/>
    <n v="8"/>
    <n v="0"/>
    <n v="0"/>
    <n v="1"/>
    <n v="1"/>
    <n v="0"/>
    <n v="0"/>
    <n v="10"/>
    <n v="11"/>
    <n v="7"/>
    <n v="1"/>
    <n v="6"/>
    <n v="5"/>
    <n v="6.3"/>
    <n v="5.18"/>
    <n v="1.6"/>
    <n v="0.32300000000000001"/>
    <n v="0"/>
    <m/>
    <m/>
    <m/>
  </r>
  <r>
    <x v="455"/>
    <x v="23"/>
    <s v="RP"/>
    <s v="RP"/>
    <n v="-19.3"/>
    <n v="12"/>
    <n v="0"/>
    <n v="0"/>
    <n v="0"/>
    <n v="0"/>
    <n v="0"/>
    <n v="0"/>
    <n v="16.7"/>
    <n v="9"/>
    <n v="9"/>
    <n v="3"/>
    <n v="16"/>
    <n v="14"/>
    <n v="4.8600000000000003"/>
    <n v="6.22"/>
    <n v="1.38"/>
    <n v="0.16200000000000001"/>
    <n v="0"/>
    <m/>
    <m/>
    <m/>
  </r>
  <r>
    <x v="456"/>
    <x v="29"/>
    <s v="RP"/>
    <s v="RP"/>
    <n v="-19.3"/>
    <n v="7"/>
    <n v="0"/>
    <n v="0"/>
    <n v="0"/>
    <n v="0"/>
    <n v="1"/>
    <n v="0"/>
    <n v="6.7"/>
    <n v="4"/>
    <n v="4"/>
    <n v="2"/>
    <n v="4"/>
    <n v="6"/>
    <n v="5.4"/>
    <n v="8.68"/>
    <n v="1.5"/>
    <n v="0.111"/>
    <n v="1"/>
    <m/>
    <m/>
    <m/>
  </r>
  <r>
    <x v="457"/>
    <x v="6"/>
    <s v="RP"/>
    <s v="RP"/>
    <n v="-19.399999999999999"/>
    <n v="1"/>
    <n v="0"/>
    <n v="0"/>
    <n v="0"/>
    <n v="0"/>
    <n v="0"/>
    <n v="0"/>
    <n v="3"/>
    <n v="5"/>
    <n v="2"/>
    <n v="1"/>
    <n v="7"/>
    <n v="1"/>
    <n v="6"/>
    <n v="3.94"/>
    <n v="2"/>
    <n v="0.66700000000000004"/>
    <n v="7"/>
    <m/>
    <m/>
    <m/>
  </r>
  <r>
    <x v="458"/>
    <x v="14"/>
    <s v="RP"/>
    <s v="RP"/>
    <n v="-19.5"/>
    <n v="24"/>
    <n v="0"/>
    <n v="0"/>
    <n v="1"/>
    <n v="2"/>
    <n v="0"/>
    <n v="7"/>
    <n v="22.7"/>
    <n v="26"/>
    <n v="16"/>
    <n v="3"/>
    <n v="27"/>
    <n v="9"/>
    <n v="6.35"/>
    <n v="3.94"/>
    <n v="1.54"/>
    <n v="0.35899999999999999"/>
    <n v="0"/>
    <m/>
    <m/>
    <m/>
  </r>
  <r>
    <x v="459"/>
    <x v="30"/>
    <s v="RP"/>
    <s v="RP"/>
    <n v="-19.5"/>
    <n v="4"/>
    <n v="0"/>
    <n v="0"/>
    <n v="0"/>
    <n v="0"/>
    <n v="0"/>
    <n v="0"/>
    <n v="5.3"/>
    <n v="2"/>
    <n v="3"/>
    <n v="0"/>
    <n v="4"/>
    <n v="5"/>
    <n v="5.0599999999999996"/>
    <n v="4.59"/>
    <n v="1.31"/>
    <n v="0.154"/>
    <n v="0"/>
    <m/>
    <m/>
    <m/>
  </r>
  <r>
    <x v="460"/>
    <x v="19"/>
    <s v="SP"/>
    <s v="SP"/>
    <n v="-19.5"/>
    <n v="3"/>
    <n v="3"/>
    <n v="0"/>
    <n v="0"/>
    <n v="1"/>
    <n v="0"/>
    <n v="0"/>
    <n v="11"/>
    <n v="17"/>
    <n v="12"/>
    <n v="1"/>
    <n v="13"/>
    <n v="5"/>
    <n v="9.82"/>
    <n v="3.46"/>
    <n v="2"/>
    <n v="0.45700000000000002"/>
    <n v="48"/>
    <m/>
    <m/>
    <m/>
  </r>
  <r>
    <x v="461"/>
    <x v="2"/>
    <s v="RP"/>
    <s v="RP"/>
    <n v="-19.600000000000001"/>
    <n v="21"/>
    <n v="0"/>
    <n v="0"/>
    <n v="1"/>
    <n v="1"/>
    <n v="0"/>
    <n v="8"/>
    <n v="17.7"/>
    <n v="18"/>
    <n v="13"/>
    <n v="4"/>
    <n v="19"/>
    <n v="9"/>
    <n v="6.62"/>
    <n v="6.11"/>
    <n v="1.53"/>
    <n v="0.311"/>
    <n v="1"/>
    <m/>
    <m/>
    <m/>
  </r>
  <r>
    <x v="462"/>
    <x v="21"/>
    <s v="RP"/>
    <s v="RP"/>
    <n v="-19.600000000000001"/>
    <n v="6"/>
    <n v="0"/>
    <n v="0"/>
    <n v="0"/>
    <n v="0"/>
    <n v="0"/>
    <n v="4"/>
    <n v="4"/>
    <n v="3"/>
    <n v="3"/>
    <n v="0"/>
    <n v="6"/>
    <n v="3"/>
    <n v="6.75"/>
    <n v="2.5299999999999998"/>
    <n v="1.5"/>
    <n v="0.33300000000000002"/>
    <n v="0"/>
    <m/>
    <m/>
    <m/>
  </r>
  <r>
    <x v="463"/>
    <x v="10"/>
    <s v="RP"/>
    <s v="RP"/>
    <n v="-19.600000000000001"/>
    <n v="3"/>
    <n v="0"/>
    <n v="0"/>
    <n v="0"/>
    <n v="0"/>
    <n v="0"/>
    <n v="0"/>
    <n v="4"/>
    <n v="5"/>
    <n v="2"/>
    <n v="1"/>
    <n v="5"/>
    <n v="2"/>
    <n v="4.5"/>
    <n v="5.53"/>
    <n v="1.75"/>
    <n v="0.4"/>
    <n v="0"/>
    <m/>
    <m/>
    <m/>
  </r>
  <r>
    <x v="464"/>
    <x v="25"/>
    <s v="RP"/>
    <s v="RP"/>
    <n v="-19.7"/>
    <n v="2"/>
    <n v="0"/>
    <n v="0"/>
    <n v="0"/>
    <n v="0"/>
    <n v="0"/>
    <n v="0"/>
    <n v="2.7"/>
    <n v="4"/>
    <n v="1"/>
    <n v="0"/>
    <n v="2"/>
    <n v="1"/>
    <n v="3.38"/>
    <n v="2.9"/>
    <n v="1.87"/>
    <n v="0.4"/>
    <n v="0"/>
    <m/>
    <m/>
    <m/>
  </r>
  <r>
    <x v="465"/>
    <x v="22"/>
    <s v="RP"/>
    <s v="RP"/>
    <n v="-19.7"/>
    <n v="3"/>
    <n v="0"/>
    <n v="0"/>
    <n v="0"/>
    <n v="0"/>
    <n v="0"/>
    <n v="0"/>
    <n v="2"/>
    <n v="1"/>
    <n v="1"/>
    <n v="0"/>
    <n v="0"/>
    <n v="2"/>
    <n v="4.5"/>
    <n v="6.28"/>
    <n v="1.5"/>
    <n v="0.14299999999999999"/>
    <n v="0"/>
    <m/>
    <m/>
    <m/>
  </r>
  <r>
    <x v="466"/>
    <x v="5"/>
    <s v="SP"/>
    <s v="SP"/>
    <n v="-19.7"/>
    <n v="4"/>
    <n v="4"/>
    <n v="0"/>
    <n v="0"/>
    <n v="1"/>
    <n v="0"/>
    <n v="0"/>
    <n v="20"/>
    <n v="23"/>
    <n v="17"/>
    <n v="7"/>
    <n v="14"/>
    <n v="8"/>
    <n v="7.65"/>
    <n v="7.63"/>
    <n v="1.55"/>
    <n v="0.27100000000000002"/>
    <n v="93"/>
    <m/>
    <m/>
    <m/>
  </r>
  <r>
    <x v="467"/>
    <x v="7"/>
    <s v="RP"/>
    <s v="RP"/>
    <n v="-19.8"/>
    <n v="5"/>
    <n v="1"/>
    <n v="0"/>
    <n v="0"/>
    <n v="2"/>
    <n v="0"/>
    <n v="0"/>
    <n v="17.7"/>
    <n v="15"/>
    <n v="10"/>
    <n v="3"/>
    <n v="10"/>
    <n v="6"/>
    <n v="5.09"/>
    <n v="5.37"/>
    <n v="1.19"/>
    <n v="0.23499999999999999"/>
    <n v="0"/>
    <m/>
    <m/>
    <m/>
  </r>
  <r>
    <x v="468"/>
    <x v="20"/>
    <s v="RP"/>
    <s v="RP"/>
    <n v="-19.8"/>
    <n v="10"/>
    <n v="0"/>
    <n v="0"/>
    <n v="0"/>
    <n v="0"/>
    <n v="0"/>
    <n v="0"/>
    <n v="20.3"/>
    <n v="19"/>
    <n v="10"/>
    <n v="3"/>
    <n v="21"/>
    <n v="12"/>
    <n v="4.43"/>
    <n v="5.2"/>
    <n v="1.52"/>
    <n v="0.30199999999999999"/>
    <n v="0"/>
    <m/>
    <m/>
    <m/>
  </r>
  <r>
    <x v="469"/>
    <x v="24"/>
    <s v="RP"/>
    <s v="RP"/>
    <n v="-19.8"/>
    <n v="6"/>
    <n v="0"/>
    <n v="0"/>
    <n v="0"/>
    <n v="0"/>
    <n v="0"/>
    <n v="0"/>
    <n v="7.3"/>
    <n v="6"/>
    <n v="3"/>
    <n v="0"/>
    <n v="6"/>
    <n v="6"/>
    <n v="3.68"/>
    <n v="4.91"/>
    <n v="1.64"/>
    <n v="0.316"/>
    <n v="0"/>
    <m/>
    <m/>
    <m/>
  </r>
  <r>
    <x v="470"/>
    <x v="18"/>
    <s v="RP"/>
    <s v="RP"/>
    <n v="-19.899999999999999"/>
    <n v="1"/>
    <n v="0"/>
    <n v="0"/>
    <n v="0"/>
    <n v="0"/>
    <n v="0"/>
    <n v="0"/>
    <n v="0.3"/>
    <n v="2"/>
    <n v="0"/>
    <n v="0"/>
    <n v="0"/>
    <n v="0"/>
    <n v="0"/>
    <n v="0"/>
    <n v="6.01"/>
    <n v="0.66700000000000004"/>
    <n v="0"/>
    <m/>
    <m/>
    <m/>
  </r>
  <r>
    <x v="471"/>
    <x v="5"/>
    <s v="RP"/>
    <s v="RP"/>
    <n v="-19.899999999999999"/>
    <n v="3"/>
    <n v="0"/>
    <n v="0"/>
    <n v="0"/>
    <n v="0"/>
    <n v="0"/>
    <n v="0"/>
    <n v="4.3"/>
    <n v="3"/>
    <n v="3"/>
    <n v="2"/>
    <n v="4"/>
    <n v="3"/>
    <n v="6.23"/>
    <n v="9.51"/>
    <n v="1.38"/>
    <n v="0.111"/>
    <n v="0"/>
    <m/>
    <m/>
    <m/>
  </r>
  <r>
    <x v="472"/>
    <x v="29"/>
    <s v="RP"/>
    <s v="RP"/>
    <n v="-20"/>
    <n v="2"/>
    <n v="0"/>
    <n v="0"/>
    <n v="0"/>
    <n v="0"/>
    <n v="0"/>
    <n v="0"/>
    <n v="3.3"/>
    <n v="4"/>
    <n v="3"/>
    <n v="2"/>
    <n v="3"/>
    <n v="0"/>
    <n v="8.1"/>
    <n v="9.2799999999999994"/>
    <n v="1.2"/>
    <n v="0.222"/>
    <n v="0"/>
    <m/>
    <m/>
    <m/>
  </r>
  <r>
    <x v="473"/>
    <x v="1"/>
    <s v="SP"/>
    <s v="SP"/>
    <n v="-20"/>
    <n v="4"/>
    <n v="4"/>
    <n v="0"/>
    <n v="0"/>
    <n v="4"/>
    <n v="0"/>
    <n v="0"/>
    <n v="16"/>
    <n v="23"/>
    <n v="16"/>
    <n v="3"/>
    <n v="14"/>
    <n v="3"/>
    <n v="9"/>
    <n v="4.53"/>
    <n v="1.63"/>
    <n v="0.377"/>
    <n v="6"/>
    <m/>
    <m/>
    <m/>
  </r>
  <r>
    <x v="474"/>
    <x v="2"/>
    <s v="RP"/>
    <s v="RP"/>
    <n v="-20"/>
    <n v="4"/>
    <n v="0"/>
    <n v="0"/>
    <n v="0"/>
    <n v="0"/>
    <n v="0"/>
    <n v="0"/>
    <n v="2.7"/>
    <n v="3"/>
    <n v="2"/>
    <n v="1"/>
    <n v="2"/>
    <n v="1"/>
    <n v="6.75"/>
    <n v="7.78"/>
    <n v="1.5"/>
    <n v="0.222"/>
    <n v="1"/>
    <m/>
    <m/>
    <m/>
  </r>
  <r>
    <x v="475"/>
    <x v="28"/>
    <s v="RP"/>
    <s v="RP"/>
    <n v="-20.100000000000001"/>
    <n v="21"/>
    <n v="0"/>
    <n v="0"/>
    <n v="0"/>
    <n v="0"/>
    <n v="0"/>
    <n v="0"/>
    <n v="19"/>
    <n v="20"/>
    <n v="7"/>
    <n v="2"/>
    <n v="21"/>
    <n v="14"/>
    <n v="3.32"/>
    <n v="4.6500000000000004"/>
    <n v="1.79"/>
    <n v="0.36699999999999999"/>
    <n v="0"/>
    <m/>
    <m/>
    <m/>
  </r>
  <r>
    <x v="476"/>
    <x v="4"/>
    <s v="RP"/>
    <s v="RP"/>
    <n v="-20.100000000000001"/>
    <n v="12"/>
    <n v="0"/>
    <n v="0"/>
    <n v="0"/>
    <n v="2"/>
    <n v="0"/>
    <n v="4"/>
    <n v="12.3"/>
    <n v="14"/>
    <n v="6"/>
    <n v="2"/>
    <n v="9"/>
    <n v="4"/>
    <n v="4.38"/>
    <n v="5.14"/>
    <n v="1.46"/>
    <n v="0.316"/>
    <n v="1"/>
    <m/>
    <m/>
    <m/>
  </r>
  <r>
    <x v="477"/>
    <x v="2"/>
    <s v="RP"/>
    <s v="RP"/>
    <n v="-20.100000000000001"/>
    <n v="4"/>
    <n v="0"/>
    <n v="0"/>
    <n v="0"/>
    <n v="0"/>
    <n v="0"/>
    <n v="0"/>
    <n v="4"/>
    <n v="4"/>
    <n v="2"/>
    <n v="1"/>
    <n v="1"/>
    <n v="2"/>
    <n v="4.5"/>
    <n v="7.53"/>
    <n v="1.5"/>
    <n v="0.214"/>
    <n v="0"/>
    <m/>
    <m/>
    <m/>
  </r>
  <r>
    <x v="478"/>
    <x v="19"/>
    <s v="RP"/>
    <s v="RP"/>
    <n v="-20.2"/>
    <n v="1"/>
    <n v="1"/>
    <n v="0"/>
    <n v="0"/>
    <n v="0"/>
    <n v="0"/>
    <n v="0"/>
    <n v="4.3"/>
    <n v="5"/>
    <n v="3"/>
    <n v="0"/>
    <n v="5"/>
    <n v="2"/>
    <n v="6.23"/>
    <n v="2.36"/>
    <n v="1.62"/>
    <n v="0.38500000000000001"/>
    <n v="0"/>
    <m/>
    <m/>
    <m/>
  </r>
  <r>
    <x v="479"/>
    <x v="9"/>
    <s v="SP"/>
    <s v="SP"/>
    <n v="-20.2"/>
    <n v="4"/>
    <n v="4"/>
    <n v="0"/>
    <n v="0"/>
    <n v="1"/>
    <n v="0"/>
    <n v="0"/>
    <n v="16"/>
    <n v="21"/>
    <n v="15"/>
    <n v="2"/>
    <n v="14"/>
    <n v="7"/>
    <n v="8.44"/>
    <n v="4.6500000000000004"/>
    <n v="1.75"/>
    <n v="0.373"/>
    <n v="1"/>
    <m/>
    <m/>
    <m/>
  </r>
  <r>
    <x v="480"/>
    <x v="3"/>
    <s v="RP"/>
    <s v="RP"/>
    <n v="-20.2"/>
    <n v="3"/>
    <n v="0"/>
    <n v="0"/>
    <n v="0"/>
    <n v="0"/>
    <n v="0"/>
    <n v="0"/>
    <n v="6"/>
    <n v="7"/>
    <n v="3"/>
    <n v="1"/>
    <n v="5"/>
    <n v="3"/>
    <n v="4.5"/>
    <n v="5.78"/>
    <n v="1.67"/>
    <n v="0.33300000000000002"/>
    <n v="0"/>
    <m/>
    <m/>
    <m/>
  </r>
  <r>
    <x v="481"/>
    <x v="22"/>
    <s v="RP"/>
    <s v="RP"/>
    <n v="-20.3"/>
    <n v="4"/>
    <n v="0"/>
    <n v="0"/>
    <n v="0"/>
    <n v="1"/>
    <n v="0"/>
    <n v="0"/>
    <n v="3"/>
    <n v="2"/>
    <n v="2"/>
    <n v="1"/>
    <n v="2"/>
    <n v="3"/>
    <n v="6"/>
    <n v="9.2799999999999994"/>
    <n v="1.67"/>
    <n v="0.111"/>
    <n v="0"/>
    <m/>
    <m/>
    <m/>
  </r>
  <r>
    <x v="482"/>
    <x v="18"/>
    <s v="RP"/>
    <s v="RP"/>
    <n v="-20.3"/>
    <n v="7"/>
    <n v="0"/>
    <n v="0"/>
    <n v="0"/>
    <n v="0"/>
    <n v="0"/>
    <n v="0"/>
    <n v="8.3000000000000007"/>
    <n v="7"/>
    <n v="3"/>
    <n v="1"/>
    <n v="7"/>
    <n v="8"/>
    <n v="3.24"/>
    <n v="6.04"/>
    <n v="1.8"/>
    <n v="0.26100000000000001"/>
    <n v="0"/>
    <m/>
    <m/>
    <m/>
  </r>
  <r>
    <x v="483"/>
    <x v="3"/>
    <s v="RP"/>
    <s v="RP"/>
    <n v="-20.399999999999999"/>
    <n v="5"/>
    <n v="0"/>
    <n v="0"/>
    <n v="0"/>
    <n v="1"/>
    <n v="1"/>
    <n v="0"/>
    <n v="9.6999999999999993"/>
    <n v="9"/>
    <n v="5"/>
    <n v="1"/>
    <n v="9"/>
    <n v="9"/>
    <n v="4.66"/>
    <n v="5.86"/>
    <n v="1.86"/>
    <n v="0.29599999999999999"/>
    <n v="0"/>
    <m/>
    <m/>
    <m/>
  </r>
  <r>
    <x v="484"/>
    <x v="18"/>
    <s v="RP"/>
    <s v="RP"/>
    <n v="-20.399999999999999"/>
    <n v="1"/>
    <n v="0"/>
    <n v="0"/>
    <n v="0"/>
    <n v="0"/>
    <n v="0"/>
    <n v="0"/>
    <n v="1.7"/>
    <n v="2"/>
    <n v="2"/>
    <n v="1"/>
    <n v="2"/>
    <n v="1"/>
    <n v="10.8"/>
    <n v="10.48"/>
    <n v="1.8"/>
    <n v="0.25"/>
    <n v="0"/>
    <m/>
    <m/>
    <m/>
  </r>
  <r>
    <x v="485"/>
    <x v="20"/>
    <s v="RP"/>
    <s v="RP"/>
    <n v="-20.399999999999999"/>
    <n v="6"/>
    <n v="1"/>
    <n v="0"/>
    <n v="0"/>
    <n v="1"/>
    <n v="0"/>
    <n v="1"/>
    <n v="7.3"/>
    <n v="8"/>
    <n v="5"/>
    <n v="2"/>
    <n v="8"/>
    <n v="3"/>
    <n v="6.14"/>
    <n v="5.87"/>
    <n v="1.5"/>
    <n v="0.316"/>
    <n v="0"/>
    <m/>
    <m/>
    <m/>
  </r>
  <r>
    <x v="486"/>
    <x v="5"/>
    <s v="RP"/>
    <s v="RP"/>
    <n v="-20.399999999999999"/>
    <n v="5"/>
    <n v="0"/>
    <n v="0"/>
    <n v="0"/>
    <n v="0"/>
    <n v="0"/>
    <n v="0"/>
    <n v="4.7"/>
    <n v="5"/>
    <n v="3"/>
    <n v="2"/>
    <n v="7"/>
    <n v="4"/>
    <n v="5.79"/>
    <n v="9.06"/>
    <n v="1.93"/>
    <n v="0.375"/>
    <n v="0"/>
    <m/>
    <m/>
    <m/>
  </r>
  <r>
    <x v="487"/>
    <x v="30"/>
    <s v="RP"/>
    <s v="RP"/>
    <n v="-20.5"/>
    <n v="4"/>
    <n v="0"/>
    <n v="0"/>
    <n v="0"/>
    <n v="0"/>
    <n v="0"/>
    <n v="0"/>
    <n v="6.7"/>
    <n v="4"/>
    <n v="6"/>
    <n v="2"/>
    <n v="7"/>
    <n v="4"/>
    <n v="8.1"/>
    <n v="6.88"/>
    <n v="1.2"/>
    <n v="0.13300000000000001"/>
    <n v="0"/>
    <m/>
    <m/>
    <m/>
  </r>
  <r>
    <x v="488"/>
    <x v="8"/>
    <s v="RP"/>
    <s v="RP"/>
    <n v="-20.5"/>
    <n v="1"/>
    <n v="0"/>
    <n v="0"/>
    <n v="0"/>
    <n v="0"/>
    <n v="0"/>
    <n v="0"/>
    <n v="0.7"/>
    <n v="1"/>
    <n v="1"/>
    <n v="0"/>
    <n v="0"/>
    <n v="1"/>
    <n v="13.5"/>
    <n v="0"/>
    <n v="3"/>
    <n v="0.5"/>
    <n v="0"/>
    <m/>
    <m/>
    <m/>
  </r>
  <r>
    <x v="489"/>
    <x v="28"/>
    <s v="SP"/>
    <s v="SP"/>
    <n v="-20.5"/>
    <n v="10"/>
    <n v="10"/>
    <n v="3"/>
    <n v="3"/>
    <n v="4"/>
    <n v="0"/>
    <n v="0"/>
    <n v="49.3"/>
    <n v="61"/>
    <n v="41"/>
    <n v="8"/>
    <n v="43"/>
    <n v="20"/>
    <n v="7.48"/>
    <n v="5.04"/>
    <n v="1.64"/>
    <n v="0.35299999999999998"/>
    <n v="92"/>
    <m/>
    <m/>
    <m/>
  </r>
  <r>
    <x v="490"/>
    <x v="2"/>
    <s v="RP"/>
    <s v="RP"/>
    <n v="-20.5"/>
    <n v="3"/>
    <n v="0"/>
    <n v="0"/>
    <n v="0"/>
    <n v="0"/>
    <n v="0"/>
    <n v="1"/>
    <n v="3.3"/>
    <n v="7"/>
    <n v="1"/>
    <n v="0"/>
    <n v="1"/>
    <n v="0"/>
    <n v="2.7"/>
    <n v="2.68"/>
    <n v="2.1"/>
    <n v="0.46700000000000003"/>
    <n v="0"/>
    <m/>
    <m/>
    <m/>
  </r>
  <r>
    <x v="491"/>
    <x v="29"/>
    <s v="RP"/>
    <s v="RP"/>
    <n v="-20.6"/>
    <n v="4"/>
    <n v="0"/>
    <n v="0"/>
    <n v="0"/>
    <n v="0"/>
    <n v="0"/>
    <n v="0"/>
    <n v="5.3"/>
    <n v="5"/>
    <n v="4"/>
    <n v="2"/>
    <n v="1"/>
    <n v="1"/>
    <n v="6.75"/>
    <n v="8.34"/>
    <n v="1.1299999999999999"/>
    <n v="0.188"/>
    <n v="0"/>
    <m/>
    <m/>
    <m/>
  </r>
  <r>
    <x v="492"/>
    <x v="14"/>
    <s v="RP"/>
    <s v="RP"/>
    <n v="-20.6"/>
    <n v="19"/>
    <n v="0"/>
    <n v="0"/>
    <n v="0"/>
    <n v="0"/>
    <n v="0"/>
    <n v="1"/>
    <n v="16"/>
    <n v="16"/>
    <n v="9"/>
    <n v="2"/>
    <n v="16"/>
    <n v="8"/>
    <n v="5.0599999999999996"/>
    <n v="4.4000000000000004"/>
    <n v="1.5"/>
    <n v="0.30399999999999999"/>
    <n v="0"/>
    <m/>
    <m/>
    <m/>
  </r>
  <r>
    <x v="493"/>
    <x v="30"/>
    <s v="RP"/>
    <s v="RP"/>
    <n v="-20.7"/>
    <n v="11"/>
    <n v="0"/>
    <n v="0"/>
    <n v="0"/>
    <n v="1"/>
    <n v="0"/>
    <n v="0"/>
    <n v="10"/>
    <n v="11"/>
    <n v="8"/>
    <n v="1"/>
    <n v="13"/>
    <n v="3"/>
    <n v="7.2"/>
    <n v="3.18"/>
    <n v="1.4"/>
    <n v="0.37"/>
    <n v="0"/>
    <m/>
    <m/>
    <m/>
  </r>
  <r>
    <x v="494"/>
    <x v="22"/>
    <s v="RP"/>
    <s v="RP"/>
    <n v="-20.7"/>
    <n v="1"/>
    <n v="0"/>
    <n v="0"/>
    <n v="0"/>
    <n v="0"/>
    <n v="0"/>
    <n v="0"/>
    <n v="2"/>
    <n v="4"/>
    <n v="2"/>
    <n v="1"/>
    <n v="2"/>
    <n v="0"/>
    <n v="9"/>
    <n v="7.78"/>
    <n v="2"/>
    <n v="0.42899999999999999"/>
    <n v="0"/>
    <m/>
    <m/>
    <m/>
  </r>
  <r>
    <x v="495"/>
    <x v="14"/>
    <s v="SP"/>
    <s v="SP"/>
    <n v="-20.7"/>
    <n v="10"/>
    <n v="10"/>
    <n v="2"/>
    <n v="1"/>
    <n v="4"/>
    <n v="0"/>
    <n v="0"/>
    <n v="50.7"/>
    <n v="55"/>
    <n v="29"/>
    <n v="9"/>
    <n v="40"/>
    <n v="33"/>
    <n v="5.15"/>
    <n v="6.26"/>
    <n v="1.74"/>
    <n v="0.30099999999999999"/>
    <n v="97"/>
    <m/>
    <m/>
    <m/>
  </r>
  <r>
    <x v="496"/>
    <x v="6"/>
    <s v="RP"/>
    <s v="RP"/>
    <n v="-20.9"/>
    <n v="3"/>
    <n v="0"/>
    <n v="0"/>
    <n v="0"/>
    <n v="0"/>
    <n v="0"/>
    <n v="1"/>
    <n v="2.2999999999999998"/>
    <n v="1"/>
    <n v="2"/>
    <n v="0"/>
    <n v="2"/>
    <n v="4"/>
    <n v="7.71"/>
    <n v="7.99"/>
    <n v="2.14"/>
    <n v="0.16700000000000001"/>
    <n v="0"/>
    <m/>
    <m/>
    <m/>
  </r>
  <r>
    <x v="497"/>
    <x v="9"/>
    <s v="RP"/>
    <s v="RP"/>
    <n v="-20.9"/>
    <n v="22"/>
    <n v="0"/>
    <n v="0"/>
    <n v="2"/>
    <n v="0"/>
    <n v="0"/>
    <n v="5"/>
    <n v="21"/>
    <n v="23"/>
    <n v="18"/>
    <n v="4"/>
    <n v="17"/>
    <n v="10"/>
    <n v="7.71"/>
    <n v="5.85"/>
    <n v="1.57"/>
    <n v="0.30199999999999999"/>
    <n v="0"/>
    <m/>
    <m/>
    <m/>
  </r>
  <r>
    <x v="498"/>
    <x v="13"/>
    <s v="RP"/>
    <s v="RP"/>
    <n v="-20.9"/>
    <n v="1"/>
    <n v="0"/>
    <n v="0"/>
    <n v="0"/>
    <n v="0"/>
    <n v="0"/>
    <n v="0"/>
    <n v="3"/>
    <n v="3"/>
    <n v="3"/>
    <n v="0"/>
    <n v="1"/>
    <n v="1"/>
    <n v="9"/>
    <n v="3.61"/>
    <n v="1.33"/>
    <n v="0.3"/>
    <n v="0"/>
    <m/>
    <m/>
    <m/>
  </r>
  <r>
    <x v="499"/>
    <x v="18"/>
    <s v="RP"/>
    <s v="RP"/>
    <n v="-21"/>
    <n v="9"/>
    <n v="0"/>
    <n v="0"/>
    <n v="0"/>
    <n v="1"/>
    <n v="1"/>
    <n v="1"/>
    <n v="7.7"/>
    <n v="6"/>
    <n v="7"/>
    <n v="4"/>
    <n v="8"/>
    <n v="6"/>
    <n v="8.2200000000000006"/>
    <n v="10.32"/>
    <n v="1.57"/>
    <n v="0.11799999999999999"/>
    <n v="0"/>
    <m/>
    <m/>
    <m/>
  </r>
  <r>
    <x v="500"/>
    <x v="0"/>
    <s v="SP"/>
    <s v="SP"/>
    <n v="-21"/>
    <n v="14"/>
    <n v="2"/>
    <n v="0"/>
    <n v="0"/>
    <n v="0"/>
    <n v="0"/>
    <n v="0"/>
    <n v="13.3"/>
    <n v="14"/>
    <n v="9"/>
    <n v="1"/>
    <n v="9"/>
    <n v="18"/>
    <n v="6.08"/>
    <n v="7.4"/>
    <n v="2.4"/>
    <n v="0.31"/>
    <n v="0"/>
    <m/>
    <m/>
    <m/>
  </r>
  <r>
    <x v="501"/>
    <x v="18"/>
    <s v="RP"/>
    <s v="RP"/>
    <n v="-21"/>
    <n v="1"/>
    <n v="0"/>
    <n v="0"/>
    <n v="0"/>
    <n v="0"/>
    <n v="0"/>
    <n v="0"/>
    <n v="1"/>
    <n v="2"/>
    <n v="1"/>
    <n v="0"/>
    <n v="1"/>
    <n v="2"/>
    <n v="9"/>
    <n v="7.28"/>
    <n v="4"/>
    <n v="0.5"/>
    <n v="0"/>
    <m/>
    <m/>
    <m/>
  </r>
  <r>
    <x v="502"/>
    <x v="19"/>
    <s v="RP"/>
    <s v="RP"/>
    <n v="-21"/>
    <n v="1"/>
    <n v="0"/>
    <n v="0"/>
    <n v="0"/>
    <n v="0"/>
    <n v="0"/>
    <n v="0"/>
    <n v="1"/>
    <n v="2"/>
    <n v="1"/>
    <n v="0"/>
    <n v="1"/>
    <n v="2"/>
    <n v="9"/>
    <n v="7.28"/>
    <n v="4"/>
    <n v="0.4"/>
    <n v="0"/>
    <m/>
    <m/>
    <m/>
  </r>
  <r>
    <x v="503"/>
    <x v="15"/>
    <s v="RP"/>
    <s v="RP"/>
    <n v="-21"/>
    <n v="8"/>
    <n v="0"/>
    <n v="0"/>
    <n v="0"/>
    <n v="0"/>
    <n v="0"/>
    <n v="2"/>
    <n v="20"/>
    <n v="24"/>
    <n v="12"/>
    <n v="5"/>
    <n v="18"/>
    <n v="4"/>
    <n v="5.4"/>
    <n v="5.63"/>
    <n v="1.4"/>
    <n v="0.32200000000000001"/>
    <n v="0"/>
    <m/>
    <m/>
    <m/>
  </r>
  <r>
    <x v="504"/>
    <x v="7"/>
    <s v="RP"/>
    <s v="RP"/>
    <n v="-21.2"/>
    <n v="3"/>
    <n v="0"/>
    <n v="0"/>
    <n v="0"/>
    <n v="0"/>
    <n v="0"/>
    <n v="0"/>
    <n v="3"/>
    <n v="3"/>
    <n v="3"/>
    <n v="0"/>
    <n v="4"/>
    <n v="3"/>
    <n v="9"/>
    <n v="3.61"/>
    <n v="2"/>
    <n v="0.42899999999999999"/>
    <n v="1"/>
    <m/>
    <m/>
    <m/>
  </r>
  <r>
    <x v="505"/>
    <x v="11"/>
    <s v="SP"/>
    <s v="SP"/>
    <n v="-21.2"/>
    <n v="7"/>
    <n v="7"/>
    <n v="0"/>
    <n v="1"/>
    <n v="4"/>
    <n v="0"/>
    <n v="0"/>
    <n v="31"/>
    <n v="37"/>
    <n v="25"/>
    <n v="5"/>
    <n v="24"/>
    <n v="15"/>
    <n v="7.26"/>
    <n v="5.57"/>
    <n v="1.68"/>
    <n v="0.33"/>
    <n v="1"/>
    <m/>
    <m/>
    <m/>
  </r>
  <r>
    <x v="506"/>
    <x v="9"/>
    <s v="SP"/>
    <s v="SP"/>
    <n v="-21.2"/>
    <n v="2"/>
    <n v="2"/>
    <n v="0"/>
    <n v="0"/>
    <n v="0"/>
    <n v="0"/>
    <n v="0"/>
    <n v="8"/>
    <n v="13"/>
    <n v="9"/>
    <n v="1"/>
    <n v="2"/>
    <n v="7"/>
    <n v="10.130000000000001"/>
    <n v="7.03"/>
    <n v="2.5"/>
    <n v="0.375"/>
    <n v="96"/>
    <m/>
    <m/>
    <m/>
  </r>
  <r>
    <x v="507"/>
    <x v="29"/>
    <s v="RP"/>
    <s v="RP"/>
    <n v="-21.3"/>
    <n v="9"/>
    <n v="0"/>
    <n v="0"/>
    <n v="2"/>
    <n v="3"/>
    <n v="0"/>
    <n v="0"/>
    <n v="7"/>
    <n v="10"/>
    <n v="8"/>
    <n v="2"/>
    <n v="6"/>
    <n v="9"/>
    <n v="10.29"/>
    <n v="9.99"/>
    <n v="2.71"/>
    <n v="0.33300000000000002"/>
    <n v="1"/>
    <m/>
    <m/>
    <m/>
  </r>
  <r>
    <x v="508"/>
    <x v="20"/>
    <s v="SP"/>
    <s v="SP"/>
    <n v="-21.3"/>
    <n v="4"/>
    <n v="4"/>
    <n v="0"/>
    <n v="0"/>
    <n v="2"/>
    <n v="0"/>
    <n v="0"/>
    <n v="18.7"/>
    <n v="19"/>
    <n v="18"/>
    <n v="4"/>
    <n v="11"/>
    <n v="10"/>
    <n v="8.68"/>
    <n v="6.97"/>
    <n v="1.55"/>
    <n v="0.25900000000000001"/>
    <n v="12"/>
    <m/>
    <m/>
    <m/>
  </r>
  <r>
    <x v="509"/>
    <x v="10"/>
    <s v="RP"/>
    <s v="RP"/>
    <n v="-21.3"/>
    <n v="9"/>
    <n v="0"/>
    <n v="0"/>
    <n v="0"/>
    <n v="0"/>
    <n v="0"/>
    <n v="0"/>
    <n v="12"/>
    <n v="16"/>
    <n v="6"/>
    <n v="1"/>
    <n v="16"/>
    <n v="7"/>
    <n v="4.5"/>
    <n v="3.69"/>
    <n v="1.92"/>
    <n v="0.45500000000000002"/>
    <n v="0"/>
    <m/>
    <m/>
    <m/>
  </r>
  <r>
    <x v="510"/>
    <x v="16"/>
    <s v="RP"/>
    <s v="RP"/>
    <n v="-21.4"/>
    <n v="3"/>
    <n v="0"/>
    <n v="0"/>
    <n v="0"/>
    <n v="0"/>
    <n v="0"/>
    <n v="0"/>
    <n v="3"/>
    <n v="6"/>
    <n v="2"/>
    <n v="0"/>
    <n v="2"/>
    <n v="1"/>
    <n v="6"/>
    <n v="2.94"/>
    <n v="2.33"/>
    <n v="0.46200000000000002"/>
    <n v="0"/>
    <m/>
    <m/>
    <m/>
  </r>
  <r>
    <x v="511"/>
    <x v="24"/>
    <s v="RP"/>
    <s v="RP"/>
    <n v="-21.4"/>
    <n v="12"/>
    <n v="0"/>
    <n v="0"/>
    <n v="1"/>
    <n v="0"/>
    <n v="0"/>
    <n v="1"/>
    <n v="12.3"/>
    <n v="16"/>
    <n v="10"/>
    <n v="3"/>
    <n v="12"/>
    <n v="6"/>
    <n v="7.3"/>
    <n v="6.2"/>
    <n v="1.78"/>
    <n v="0.35099999999999998"/>
    <n v="0"/>
    <m/>
    <m/>
    <m/>
  </r>
  <r>
    <x v="512"/>
    <x v="21"/>
    <s v="SP"/>
    <s v="SP"/>
    <n v="-21.8"/>
    <n v="5"/>
    <n v="5"/>
    <n v="1"/>
    <n v="1"/>
    <n v="1"/>
    <n v="0"/>
    <n v="0"/>
    <n v="21.3"/>
    <n v="37"/>
    <n v="18"/>
    <n v="3"/>
    <n v="14"/>
    <n v="5"/>
    <n v="7.59"/>
    <n v="4.5"/>
    <n v="1.97"/>
    <n v="0.41499999999999998"/>
    <n v="0"/>
    <m/>
    <m/>
    <m/>
  </r>
  <r>
    <x v="513"/>
    <x v="13"/>
    <s v="SP"/>
    <s v="SP"/>
    <n v="-21.9"/>
    <n v="10"/>
    <n v="4"/>
    <n v="0"/>
    <n v="0"/>
    <n v="4"/>
    <n v="0"/>
    <n v="0"/>
    <n v="29.3"/>
    <n v="37"/>
    <n v="21"/>
    <n v="5"/>
    <n v="21"/>
    <n v="12"/>
    <n v="6.44"/>
    <n v="5.29"/>
    <n v="1.67"/>
    <n v="0.34799999999999998"/>
    <n v="0"/>
    <m/>
    <m/>
    <m/>
  </r>
  <r>
    <x v="514"/>
    <x v="30"/>
    <s v="RP"/>
    <s v="RP"/>
    <n v="-22"/>
    <n v="20"/>
    <n v="0"/>
    <n v="0"/>
    <n v="1"/>
    <n v="0"/>
    <n v="1"/>
    <n v="1"/>
    <n v="21"/>
    <n v="24"/>
    <n v="17"/>
    <n v="2"/>
    <n v="18"/>
    <n v="9"/>
    <n v="7.29"/>
    <n v="4.37"/>
    <n v="1.57"/>
    <n v="0.33800000000000002"/>
    <n v="0"/>
    <m/>
    <m/>
    <m/>
  </r>
  <r>
    <x v="515"/>
    <x v="6"/>
    <s v="SP"/>
    <s v="SP"/>
    <n v="-22"/>
    <n v="4"/>
    <n v="3"/>
    <n v="0"/>
    <n v="0"/>
    <n v="2"/>
    <n v="0"/>
    <n v="0"/>
    <n v="13"/>
    <n v="18"/>
    <n v="15"/>
    <n v="2"/>
    <n v="13"/>
    <n v="8"/>
    <n v="10.39"/>
    <n v="5.36"/>
    <n v="2"/>
    <n v="0.41"/>
    <n v="1"/>
    <m/>
    <m/>
    <m/>
  </r>
  <r>
    <x v="516"/>
    <x v="25"/>
    <s v="RP"/>
    <s v="RP"/>
    <n v="-22"/>
    <n v="1"/>
    <n v="0"/>
    <n v="0"/>
    <n v="0"/>
    <n v="0"/>
    <n v="0"/>
    <n v="0"/>
    <n v="1"/>
    <n v="2"/>
    <n v="3"/>
    <n v="2"/>
    <n v="2"/>
    <n v="1"/>
    <n v="27"/>
    <n v="28.28"/>
    <n v="3"/>
    <n v="0"/>
    <n v="0"/>
    <m/>
    <m/>
    <m/>
  </r>
  <r>
    <x v="517"/>
    <x v="13"/>
    <s v="RP"/>
    <s v="RP"/>
    <n v="-22"/>
    <n v="8"/>
    <n v="0"/>
    <n v="0"/>
    <n v="0"/>
    <n v="0"/>
    <n v="0"/>
    <n v="1"/>
    <n v="8.6999999999999993"/>
    <n v="7"/>
    <n v="6"/>
    <n v="2"/>
    <n v="7"/>
    <n v="7"/>
    <n v="6.23"/>
    <n v="7.43"/>
    <n v="1.62"/>
    <n v="0.20799999999999999"/>
    <n v="0"/>
    <m/>
    <m/>
    <m/>
  </r>
  <r>
    <x v="518"/>
    <x v="26"/>
    <s v="RP"/>
    <s v="RP"/>
    <n v="-22"/>
    <n v="1"/>
    <n v="0"/>
    <n v="0"/>
    <n v="0"/>
    <n v="0"/>
    <n v="0"/>
    <n v="0"/>
    <n v="0.3"/>
    <n v="1"/>
    <n v="1"/>
    <n v="0"/>
    <n v="0"/>
    <n v="3"/>
    <n v="27"/>
    <n v="0"/>
    <n v="12.01"/>
    <n v="0.5"/>
    <n v="0"/>
    <m/>
    <m/>
    <m/>
  </r>
  <r>
    <x v="519"/>
    <x v="22"/>
    <s v="RP"/>
    <s v="RP"/>
    <n v="-22"/>
    <n v="1"/>
    <n v="0"/>
    <n v="0"/>
    <n v="0"/>
    <n v="0"/>
    <n v="0"/>
    <n v="0"/>
    <n v="0.7"/>
    <n v="2"/>
    <n v="2"/>
    <n v="0"/>
    <n v="2"/>
    <n v="2"/>
    <n v="27"/>
    <n v="0"/>
    <n v="6"/>
    <n v="0.999"/>
    <m/>
    <m/>
    <m/>
    <m/>
  </r>
  <r>
    <x v="520"/>
    <x v="12"/>
    <s v="RP"/>
    <s v="RP"/>
    <n v="-22.1"/>
    <n v="5"/>
    <n v="0"/>
    <n v="0"/>
    <n v="0"/>
    <n v="0"/>
    <n v="0"/>
    <n v="0"/>
    <n v="5.3"/>
    <n v="7"/>
    <n v="3"/>
    <n v="2"/>
    <n v="5"/>
    <n v="5"/>
    <n v="5.0599999999999996"/>
    <n v="9.65"/>
    <n v="2.25"/>
    <n v="0.35699999999999998"/>
    <n v="0"/>
    <m/>
    <m/>
    <m/>
  </r>
  <r>
    <x v="521"/>
    <x v="4"/>
    <s v="RP"/>
    <s v="RP"/>
    <n v="-22.2"/>
    <n v="2"/>
    <n v="0"/>
    <n v="0"/>
    <n v="0"/>
    <n v="0"/>
    <n v="0"/>
    <n v="0"/>
    <n v="1.3"/>
    <n v="4"/>
    <n v="1"/>
    <n v="1"/>
    <n v="2"/>
    <n v="3"/>
    <n v="6.75"/>
    <n v="16.78"/>
    <n v="5.25"/>
    <n v="0.5"/>
    <n v="0"/>
    <m/>
    <m/>
    <m/>
  </r>
  <r>
    <x v="522"/>
    <x v="28"/>
    <s v="RP"/>
    <s v="RP"/>
    <n v="-22.4"/>
    <n v="1"/>
    <n v="0"/>
    <n v="0"/>
    <n v="0"/>
    <n v="0"/>
    <n v="0"/>
    <n v="0"/>
    <n v="2"/>
    <n v="3"/>
    <n v="2"/>
    <n v="0"/>
    <n v="0"/>
    <n v="3"/>
    <n v="9"/>
    <n v="7.78"/>
    <n v="3"/>
    <n v="0.33300000000000002"/>
    <m/>
    <m/>
    <m/>
    <m/>
  </r>
  <r>
    <x v="523"/>
    <x v="1"/>
    <s v="RP"/>
    <s v="RP"/>
    <n v="-22.4"/>
    <n v="10"/>
    <n v="0"/>
    <n v="0"/>
    <n v="0"/>
    <n v="1"/>
    <n v="0"/>
    <n v="2"/>
    <n v="15.3"/>
    <n v="13"/>
    <n v="11"/>
    <n v="4"/>
    <n v="12"/>
    <n v="8"/>
    <n v="6.46"/>
    <n v="6.87"/>
    <n v="1.37"/>
    <n v="0.22500000000000001"/>
    <n v="0"/>
    <m/>
    <m/>
    <m/>
  </r>
  <r>
    <x v="524"/>
    <x v="24"/>
    <s v="RP"/>
    <s v="RP"/>
    <n v="-22.7"/>
    <n v="3"/>
    <n v="0"/>
    <n v="0"/>
    <n v="0"/>
    <n v="0"/>
    <n v="0"/>
    <n v="0"/>
    <n v="2.2999999999999998"/>
    <n v="4"/>
    <n v="3"/>
    <n v="1"/>
    <n v="3"/>
    <n v="3"/>
    <n v="11.57"/>
    <n v="10.14"/>
    <n v="3"/>
    <n v="0.42899999999999999"/>
    <n v="0"/>
    <m/>
    <m/>
    <m/>
  </r>
  <r>
    <x v="525"/>
    <x v="27"/>
    <s v="RP"/>
    <s v="RP"/>
    <n v="-22.7"/>
    <n v="3"/>
    <n v="0"/>
    <n v="0"/>
    <n v="0"/>
    <n v="0"/>
    <n v="0"/>
    <n v="1"/>
    <n v="4.3"/>
    <n v="8"/>
    <n v="2"/>
    <n v="0"/>
    <n v="1"/>
    <n v="3"/>
    <n v="4.1500000000000004"/>
    <n v="4.8899999999999997"/>
    <n v="2.54"/>
    <n v="0.4"/>
    <n v="0"/>
    <m/>
    <m/>
    <m/>
  </r>
  <r>
    <x v="526"/>
    <x v="18"/>
    <s v="RP"/>
    <s v="RP"/>
    <n v="-22.7"/>
    <n v="1"/>
    <n v="1"/>
    <n v="0"/>
    <n v="0"/>
    <n v="1"/>
    <n v="0"/>
    <n v="0"/>
    <n v="4.7"/>
    <n v="7"/>
    <n v="4"/>
    <n v="1"/>
    <n v="2"/>
    <n v="2"/>
    <n v="7.71"/>
    <n v="6.49"/>
    <n v="1.93"/>
    <n v="0.33300000000000002"/>
    <n v="0"/>
    <m/>
    <m/>
    <m/>
  </r>
  <r>
    <x v="527"/>
    <x v="15"/>
    <s v="SP"/>
    <s v="SP"/>
    <n v="-22.8"/>
    <n v="9"/>
    <n v="5"/>
    <n v="0"/>
    <n v="0"/>
    <n v="2"/>
    <n v="0"/>
    <n v="0"/>
    <n v="32.299999999999997"/>
    <n v="41"/>
    <n v="26"/>
    <n v="10"/>
    <n v="26"/>
    <n v="10"/>
    <n v="7.24"/>
    <n v="6.71"/>
    <n v="1.58"/>
    <n v="0.313"/>
    <n v="2"/>
    <m/>
    <m/>
    <m/>
  </r>
  <r>
    <x v="528"/>
    <x v="20"/>
    <s v="RP"/>
    <s v="RP"/>
    <n v="-22.8"/>
    <n v="8"/>
    <n v="0"/>
    <n v="0"/>
    <n v="0"/>
    <n v="1"/>
    <n v="0"/>
    <n v="0"/>
    <n v="9"/>
    <n v="13"/>
    <n v="6"/>
    <n v="2"/>
    <n v="7"/>
    <n v="3"/>
    <n v="6"/>
    <n v="5.61"/>
    <n v="1.78"/>
    <n v="0.379"/>
    <n v="0"/>
    <m/>
    <m/>
    <m/>
  </r>
  <r>
    <x v="529"/>
    <x v="30"/>
    <s v="RP"/>
    <s v="RP"/>
    <n v="-22.8"/>
    <n v="3"/>
    <n v="0"/>
    <n v="0"/>
    <n v="0"/>
    <n v="0"/>
    <n v="0"/>
    <n v="0"/>
    <n v="4"/>
    <n v="6"/>
    <n v="5"/>
    <n v="0"/>
    <n v="5"/>
    <n v="2"/>
    <n v="11.25"/>
    <n v="2.2799999999999998"/>
    <n v="2"/>
    <n v="0.375"/>
    <n v="0"/>
    <m/>
    <m/>
    <m/>
  </r>
  <r>
    <x v="530"/>
    <x v="11"/>
    <s v="RP"/>
    <s v="RP"/>
    <n v="-22.8"/>
    <n v="5"/>
    <n v="0"/>
    <n v="0"/>
    <n v="0"/>
    <n v="0"/>
    <n v="1"/>
    <n v="1"/>
    <n v="7"/>
    <n v="7"/>
    <n v="8"/>
    <n v="2"/>
    <n v="7"/>
    <n v="5"/>
    <n v="10.29"/>
    <n v="7.14"/>
    <n v="1.71"/>
    <n v="0.25"/>
    <n v="0"/>
    <m/>
    <m/>
    <m/>
  </r>
  <r>
    <x v="531"/>
    <x v="7"/>
    <s v="RP"/>
    <s v="RP"/>
    <n v="-22.9"/>
    <n v="22"/>
    <n v="0"/>
    <n v="0"/>
    <n v="0"/>
    <n v="3"/>
    <n v="1"/>
    <n v="3"/>
    <n v="20"/>
    <n v="23"/>
    <n v="16"/>
    <n v="3"/>
    <n v="22"/>
    <n v="7"/>
    <n v="7.2"/>
    <n v="4.08"/>
    <n v="1.5"/>
    <n v="0.37"/>
    <n v="4"/>
    <m/>
    <m/>
    <m/>
  </r>
  <r>
    <x v="532"/>
    <x v="23"/>
    <s v="RP"/>
    <s v="RP"/>
    <n v="-23"/>
    <n v="10"/>
    <n v="0"/>
    <n v="0"/>
    <n v="0"/>
    <n v="0"/>
    <n v="0"/>
    <n v="0"/>
    <n v="7"/>
    <n v="9"/>
    <n v="5"/>
    <n v="1"/>
    <n v="6"/>
    <n v="5"/>
    <n v="6.43"/>
    <n v="5.99"/>
    <n v="2"/>
    <n v="0.38100000000000001"/>
    <n v="0"/>
    <m/>
    <m/>
    <m/>
  </r>
  <r>
    <x v="533"/>
    <x v="17"/>
    <s v="RP"/>
    <s v="RP"/>
    <n v="-23.1"/>
    <n v="3"/>
    <n v="0"/>
    <n v="0"/>
    <n v="0"/>
    <n v="0"/>
    <n v="0"/>
    <n v="0"/>
    <n v="3.7"/>
    <n v="4"/>
    <n v="5"/>
    <n v="1"/>
    <n v="3"/>
    <n v="3"/>
    <n v="12.27"/>
    <n v="7.64"/>
    <n v="1.91"/>
    <n v="0.27300000000000002"/>
    <n v="0"/>
    <m/>
    <m/>
    <m/>
  </r>
  <r>
    <x v="534"/>
    <x v="10"/>
    <s v="RP"/>
    <s v="RP"/>
    <n v="-23.2"/>
    <n v="21"/>
    <n v="0"/>
    <n v="0"/>
    <n v="1"/>
    <n v="3"/>
    <n v="1"/>
    <n v="3"/>
    <n v="19.7"/>
    <n v="28"/>
    <n v="16"/>
    <n v="3"/>
    <n v="23"/>
    <n v="9"/>
    <n v="7.32"/>
    <n v="4.3"/>
    <n v="1.88"/>
    <n v="0.42399999999999999"/>
    <n v="4"/>
    <m/>
    <m/>
    <m/>
  </r>
  <r>
    <x v="535"/>
    <x v="16"/>
    <s v="RP"/>
    <s v="RP"/>
    <n v="-23.2"/>
    <n v="14"/>
    <n v="0"/>
    <n v="0"/>
    <n v="1"/>
    <n v="0"/>
    <n v="0"/>
    <n v="1"/>
    <n v="14"/>
    <n v="17"/>
    <n v="11"/>
    <n v="2"/>
    <n v="13"/>
    <n v="10"/>
    <n v="7.07"/>
    <n v="5.42"/>
    <n v="1.93"/>
    <n v="0.34100000000000003"/>
    <n v="0"/>
    <m/>
    <m/>
    <m/>
  </r>
  <r>
    <x v="536"/>
    <x v="13"/>
    <s v="RP"/>
    <s v="RP"/>
    <n v="-23.2"/>
    <n v="3"/>
    <n v="0"/>
    <n v="0"/>
    <n v="0"/>
    <n v="0"/>
    <n v="0"/>
    <n v="1"/>
    <n v="3.3"/>
    <n v="3"/>
    <n v="4"/>
    <n v="1"/>
    <n v="5"/>
    <n v="6"/>
    <n v="10.8"/>
    <n v="9.58"/>
    <n v="2.7"/>
    <n v="0.28599999999999998"/>
    <n v="0"/>
    <m/>
    <m/>
    <m/>
  </r>
  <r>
    <x v="537"/>
    <x v="28"/>
    <s v="SP"/>
    <s v="SP"/>
    <n v="-23.3"/>
    <n v="10"/>
    <n v="10"/>
    <n v="3"/>
    <n v="0"/>
    <n v="8"/>
    <n v="0"/>
    <n v="0"/>
    <n v="56.7"/>
    <n v="55"/>
    <n v="45"/>
    <n v="14"/>
    <n v="43"/>
    <n v="20"/>
    <n v="7.15"/>
    <n v="6.08"/>
    <n v="1.32"/>
    <n v="0.247"/>
    <n v="0"/>
    <m/>
    <m/>
    <m/>
  </r>
  <r>
    <x v="538"/>
    <x v="11"/>
    <s v="SP"/>
    <s v="SP"/>
    <n v="-23.3"/>
    <n v="9"/>
    <n v="9"/>
    <n v="0"/>
    <n v="1"/>
    <n v="4"/>
    <n v="0"/>
    <n v="0"/>
    <n v="38.700000000000003"/>
    <n v="49"/>
    <n v="32"/>
    <n v="9"/>
    <n v="31"/>
    <n v="14"/>
    <n v="7.45"/>
    <n v="5.79"/>
    <n v="1.63"/>
    <n v="0.32800000000000001"/>
    <n v="0"/>
    <m/>
    <m/>
    <m/>
  </r>
  <r>
    <x v="539"/>
    <x v="16"/>
    <s v="RP"/>
    <s v="RP"/>
    <n v="-23.3"/>
    <n v="1"/>
    <n v="0"/>
    <n v="0"/>
    <n v="0"/>
    <n v="0"/>
    <n v="0"/>
    <n v="0"/>
    <n v="2"/>
    <n v="5"/>
    <n v="3"/>
    <n v="0"/>
    <n v="0"/>
    <n v="1"/>
    <n v="13.5"/>
    <n v="4.78"/>
    <n v="3"/>
    <n v="0.5"/>
    <n v="0"/>
    <m/>
    <m/>
    <m/>
  </r>
  <r>
    <x v="540"/>
    <x v="20"/>
    <s v="RP"/>
    <s v="RP"/>
    <n v="-23.5"/>
    <n v="10"/>
    <n v="0"/>
    <n v="0"/>
    <n v="0"/>
    <n v="0"/>
    <n v="0"/>
    <n v="1"/>
    <n v="18.3"/>
    <n v="22"/>
    <n v="14"/>
    <n v="3"/>
    <n v="15"/>
    <n v="3"/>
    <n v="6.87"/>
    <n v="4.59"/>
    <n v="1.36"/>
    <n v="0.32200000000000001"/>
    <n v="0"/>
    <m/>
    <m/>
    <m/>
  </r>
  <r>
    <x v="541"/>
    <x v="7"/>
    <s v="SP"/>
    <s v="SP"/>
    <n v="-23.5"/>
    <n v="7"/>
    <n v="7"/>
    <n v="0"/>
    <n v="0"/>
    <n v="3"/>
    <n v="0"/>
    <n v="0"/>
    <n v="26.7"/>
    <n v="36"/>
    <n v="24"/>
    <n v="5"/>
    <n v="27"/>
    <n v="10"/>
    <n v="8.1"/>
    <n v="4.93"/>
    <n v="1.72"/>
    <n v="0.373"/>
    <n v="58"/>
    <m/>
    <m/>
    <m/>
  </r>
  <r>
    <x v="542"/>
    <x v="0"/>
    <s v="RP"/>
    <s v="RP"/>
    <n v="-23.5"/>
    <n v="3"/>
    <n v="0"/>
    <n v="0"/>
    <n v="0"/>
    <n v="1"/>
    <n v="0"/>
    <n v="0"/>
    <n v="11.3"/>
    <n v="15"/>
    <n v="10"/>
    <n v="3"/>
    <n v="13"/>
    <n v="3"/>
    <n v="7.94"/>
    <n v="6.01"/>
    <n v="1.59"/>
    <n v="0.375"/>
    <n v="0"/>
    <m/>
    <m/>
    <m/>
  </r>
  <r>
    <x v="543"/>
    <x v="9"/>
    <s v="RP"/>
    <s v="RP"/>
    <n v="-23.6"/>
    <n v="6"/>
    <n v="0"/>
    <n v="0"/>
    <n v="0"/>
    <n v="0"/>
    <n v="1"/>
    <n v="0"/>
    <n v="14.7"/>
    <n v="19"/>
    <n v="13"/>
    <n v="5"/>
    <n v="13"/>
    <n v="3"/>
    <n v="7.98"/>
    <n v="6.55"/>
    <n v="1.5"/>
    <n v="0.30399999999999999"/>
    <n v="0"/>
    <m/>
    <m/>
    <m/>
  </r>
  <r>
    <x v="544"/>
    <x v="22"/>
    <s v="RP"/>
    <s v="RP"/>
    <n v="-23.7"/>
    <n v="20"/>
    <n v="0"/>
    <n v="0"/>
    <n v="1"/>
    <n v="1"/>
    <n v="0"/>
    <n v="6"/>
    <n v="15"/>
    <n v="17"/>
    <n v="14"/>
    <n v="0"/>
    <n v="15"/>
    <n v="9"/>
    <n v="8.4"/>
    <n v="3.28"/>
    <n v="1.73"/>
    <n v="0.378"/>
    <n v="0"/>
    <m/>
    <m/>
    <m/>
  </r>
  <r>
    <x v="545"/>
    <x v="0"/>
    <s v="RP"/>
    <s v="RP"/>
    <n v="-23.7"/>
    <n v="8"/>
    <n v="4"/>
    <n v="0"/>
    <n v="0"/>
    <n v="1"/>
    <n v="0"/>
    <n v="0"/>
    <n v="14"/>
    <n v="16"/>
    <n v="10"/>
    <n v="2"/>
    <n v="11"/>
    <n v="6"/>
    <n v="6.43"/>
    <n v="5.0599999999999996"/>
    <n v="1.57"/>
    <n v="0.311"/>
    <n v="0"/>
    <m/>
    <m/>
    <m/>
  </r>
  <r>
    <x v="546"/>
    <x v="30"/>
    <s v="RP"/>
    <s v="RP"/>
    <n v="-23.8"/>
    <n v="3"/>
    <n v="0"/>
    <n v="0"/>
    <n v="0"/>
    <n v="0"/>
    <n v="0"/>
    <n v="0"/>
    <n v="2.7"/>
    <n v="6"/>
    <n v="3"/>
    <n v="2"/>
    <n v="0"/>
    <n v="2"/>
    <n v="10.130000000000001"/>
    <n v="15.28"/>
    <n v="3"/>
    <n v="0.33300000000000002"/>
    <m/>
    <m/>
    <m/>
    <m/>
  </r>
  <r>
    <x v="547"/>
    <x v="16"/>
    <s v="SP"/>
    <s v="SP"/>
    <n v="-23.9"/>
    <n v="3"/>
    <n v="3"/>
    <n v="0"/>
    <n v="0"/>
    <n v="1"/>
    <n v="0"/>
    <n v="0"/>
    <n v="11"/>
    <n v="19"/>
    <n v="14"/>
    <n v="3"/>
    <n v="9"/>
    <n v="7"/>
    <n v="11.45"/>
    <n v="7.1"/>
    <n v="2.36"/>
    <n v="0.45700000000000002"/>
    <n v="0"/>
    <m/>
    <m/>
    <m/>
  </r>
  <r>
    <x v="548"/>
    <x v="20"/>
    <s v="SP"/>
    <s v="SP"/>
    <n v="-23.9"/>
    <n v="8"/>
    <n v="8"/>
    <n v="0"/>
    <n v="1"/>
    <n v="6"/>
    <n v="0"/>
    <n v="0"/>
    <n v="39"/>
    <n v="53"/>
    <n v="35"/>
    <n v="8"/>
    <n v="45"/>
    <n v="14"/>
    <n v="8.08"/>
    <n v="4.79"/>
    <n v="1.72"/>
    <n v="0.40200000000000002"/>
    <n v="5"/>
    <m/>
    <m/>
    <m/>
  </r>
  <r>
    <x v="549"/>
    <x v="30"/>
    <s v="RP"/>
    <s v="RP"/>
    <n v="-24"/>
    <n v="14"/>
    <n v="0"/>
    <n v="0"/>
    <n v="0"/>
    <n v="1"/>
    <n v="2"/>
    <n v="1"/>
    <n v="12.7"/>
    <n v="13"/>
    <n v="9"/>
    <n v="2"/>
    <n v="9"/>
    <n v="13"/>
    <n v="6.4"/>
    <n v="7.23"/>
    <n v="2.0499999999999998"/>
    <n v="0.29699999999999999"/>
    <n v="0"/>
    <m/>
    <m/>
    <m/>
  </r>
  <r>
    <x v="550"/>
    <x v="0"/>
    <s v="RP"/>
    <s v="RP"/>
    <n v="-24"/>
    <n v="6"/>
    <n v="0"/>
    <n v="0"/>
    <n v="0"/>
    <n v="1"/>
    <n v="0"/>
    <n v="0"/>
    <n v="6.3"/>
    <n v="10"/>
    <n v="6"/>
    <n v="1"/>
    <n v="6"/>
    <n v="3"/>
    <n v="8.5299999999999994"/>
    <n v="4.8600000000000003"/>
    <n v="2.0499999999999998"/>
    <n v="0.40899999999999997"/>
    <n v="0"/>
    <m/>
    <m/>
    <m/>
  </r>
  <r>
    <x v="551"/>
    <x v="29"/>
    <s v="RP"/>
    <s v="RP"/>
    <n v="-24.4"/>
    <n v="10"/>
    <n v="0"/>
    <n v="0"/>
    <n v="0"/>
    <n v="0"/>
    <n v="0"/>
    <n v="0"/>
    <n v="22"/>
    <n v="25"/>
    <n v="15"/>
    <n v="3"/>
    <n v="18"/>
    <n v="8"/>
    <n v="6.14"/>
    <n v="4.6399999999999997"/>
    <n v="1.5"/>
    <n v="0.33800000000000002"/>
    <n v="0"/>
    <m/>
    <m/>
    <m/>
  </r>
  <r>
    <x v="552"/>
    <x v="6"/>
    <s v="RP"/>
    <s v="RP"/>
    <n v="-24.5"/>
    <n v="9"/>
    <n v="0"/>
    <n v="0"/>
    <n v="0"/>
    <n v="1"/>
    <n v="0"/>
    <n v="2"/>
    <n v="6.7"/>
    <n v="12"/>
    <n v="5"/>
    <n v="1"/>
    <n v="6"/>
    <n v="4"/>
    <n v="6.75"/>
    <n v="5.68"/>
    <n v="2.4"/>
    <n v="0.45800000000000002"/>
    <n v="0"/>
    <m/>
    <m/>
    <m/>
  </r>
  <r>
    <x v="553"/>
    <x v="15"/>
    <s v="RP"/>
    <s v="RP"/>
    <n v="-24.5"/>
    <n v="3"/>
    <n v="0"/>
    <n v="0"/>
    <n v="0"/>
    <n v="0"/>
    <n v="0"/>
    <n v="0"/>
    <n v="2.2999999999999998"/>
    <n v="6"/>
    <n v="4"/>
    <n v="0"/>
    <n v="2"/>
    <n v="2"/>
    <n v="15.43"/>
    <n v="4.1399999999999997"/>
    <n v="3.43"/>
    <n v="0.54500000000000004"/>
    <n v="0"/>
    <m/>
    <m/>
    <m/>
  </r>
  <r>
    <x v="554"/>
    <x v="25"/>
    <s v="RP"/>
    <s v="RP"/>
    <n v="-24.6"/>
    <n v="1"/>
    <n v="0"/>
    <n v="0"/>
    <n v="0"/>
    <n v="0"/>
    <n v="0"/>
    <n v="0"/>
    <n v="0.7"/>
    <n v="1"/>
    <n v="3"/>
    <n v="0"/>
    <n v="0"/>
    <n v="5"/>
    <n v="40.5"/>
    <n v="0"/>
    <n v="9"/>
    <n v="0.5"/>
    <n v="0"/>
    <m/>
    <m/>
    <m/>
  </r>
  <r>
    <x v="555"/>
    <x v="27"/>
    <s v="SP"/>
    <s v="SP"/>
    <n v="-24.8"/>
    <n v="10"/>
    <n v="10"/>
    <n v="0"/>
    <n v="0"/>
    <n v="6"/>
    <n v="0"/>
    <n v="0"/>
    <n v="50.3"/>
    <n v="68"/>
    <n v="32"/>
    <n v="8"/>
    <n v="45"/>
    <n v="20"/>
    <n v="5.72"/>
    <n v="4.8099999999999996"/>
    <n v="1.75"/>
    <n v="0.373"/>
    <n v="14"/>
    <m/>
    <m/>
    <m/>
  </r>
  <r>
    <x v="556"/>
    <x v="2"/>
    <s v="RP"/>
    <s v="RP"/>
    <n v="-24.9"/>
    <n v="4"/>
    <n v="0"/>
    <n v="0"/>
    <n v="0"/>
    <n v="0"/>
    <n v="0"/>
    <n v="0"/>
    <n v="7"/>
    <n v="9"/>
    <n v="8"/>
    <n v="1"/>
    <n v="7"/>
    <n v="4"/>
    <n v="10.29"/>
    <n v="4.8499999999999996"/>
    <n v="1.86"/>
    <n v="0.36399999999999999"/>
    <n v="0"/>
    <m/>
    <m/>
    <m/>
  </r>
  <r>
    <x v="557"/>
    <x v="29"/>
    <s v="RP"/>
    <s v="RP"/>
    <n v="-25"/>
    <n v="3"/>
    <n v="0"/>
    <n v="0"/>
    <n v="0"/>
    <n v="0"/>
    <n v="0"/>
    <n v="1"/>
    <n v="3"/>
    <n v="5"/>
    <n v="5"/>
    <n v="2"/>
    <n v="1"/>
    <n v="3"/>
    <n v="15"/>
    <n v="14.28"/>
    <n v="2.67"/>
    <n v="0.27300000000000002"/>
    <n v="0"/>
    <m/>
    <m/>
    <m/>
  </r>
  <r>
    <x v="558"/>
    <x v="5"/>
    <s v="RP"/>
    <s v="RP"/>
    <n v="-25.1"/>
    <n v="20"/>
    <n v="0"/>
    <n v="0"/>
    <n v="1"/>
    <n v="1"/>
    <n v="0"/>
    <n v="0"/>
    <n v="22.7"/>
    <n v="29"/>
    <n v="18"/>
    <n v="6"/>
    <n v="23"/>
    <n v="11"/>
    <n v="7.15"/>
    <n v="6.81"/>
    <n v="1.76"/>
    <n v="0.34799999999999998"/>
    <n v="0"/>
    <m/>
    <m/>
    <m/>
  </r>
  <r>
    <x v="559"/>
    <x v="23"/>
    <s v="SP"/>
    <s v="SP"/>
    <n v="-26.1"/>
    <n v="6"/>
    <n v="5"/>
    <n v="0"/>
    <n v="0"/>
    <n v="2"/>
    <n v="0"/>
    <n v="0"/>
    <n v="24"/>
    <n v="28"/>
    <n v="23"/>
    <n v="5"/>
    <n v="20"/>
    <n v="17"/>
    <n v="8.6300000000000008"/>
    <n v="6.57"/>
    <n v="1.88"/>
    <n v="0.34799999999999998"/>
    <n v="0"/>
    <m/>
    <m/>
    <m/>
  </r>
  <r>
    <x v="560"/>
    <x v="25"/>
    <s v="RP"/>
    <s v="RP"/>
    <n v="-26.2"/>
    <n v="1"/>
    <n v="0"/>
    <n v="0"/>
    <n v="0"/>
    <n v="0"/>
    <n v="0"/>
    <n v="0"/>
    <n v="3"/>
    <n v="7"/>
    <n v="6"/>
    <n v="2"/>
    <n v="2"/>
    <n v="2"/>
    <n v="18"/>
    <n v="12.61"/>
    <n v="3"/>
    <n v="0.41699999999999998"/>
    <n v="0"/>
    <m/>
    <m/>
    <m/>
  </r>
  <r>
    <x v="561"/>
    <x v="19"/>
    <s v="RP"/>
    <s v="RP"/>
    <n v="-26.5"/>
    <n v="9"/>
    <n v="0"/>
    <n v="0"/>
    <n v="0"/>
    <n v="0"/>
    <n v="0"/>
    <n v="0"/>
    <n v="8"/>
    <n v="9"/>
    <n v="10"/>
    <n v="3"/>
    <n v="8"/>
    <n v="6"/>
    <n v="11.25"/>
    <n v="8.4"/>
    <n v="1.88"/>
    <n v="0.27300000000000002"/>
    <n v="0"/>
    <m/>
    <m/>
    <m/>
  </r>
  <r>
    <x v="562"/>
    <x v="0"/>
    <s v="RP"/>
    <s v="RP"/>
    <n v="-26.7"/>
    <n v="17"/>
    <n v="0"/>
    <n v="0"/>
    <n v="0"/>
    <n v="1"/>
    <n v="0"/>
    <n v="3"/>
    <n v="15"/>
    <n v="13"/>
    <n v="12"/>
    <n v="2"/>
    <n v="13"/>
    <n v="14"/>
    <n v="7.2"/>
    <n v="6.28"/>
    <n v="1.8"/>
    <n v="0.26200000000000001"/>
    <n v="0"/>
    <m/>
    <m/>
    <m/>
  </r>
  <r>
    <x v="563"/>
    <x v="29"/>
    <s v="SP"/>
    <s v="SP"/>
    <n v="-26.7"/>
    <n v="8"/>
    <n v="5"/>
    <n v="1"/>
    <n v="0"/>
    <n v="4"/>
    <n v="0"/>
    <n v="0"/>
    <n v="28"/>
    <n v="33"/>
    <n v="27"/>
    <n v="6"/>
    <n v="30"/>
    <n v="19"/>
    <n v="8.68"/>
    <n v="6.39"/>
    <n v="1.86"/>
    <n v="0.34200000000000003"/>
    <n v="0"/>
    <m/>
    <m/>
    <m/>
  </r>
  <r>
    <x v="564"/>
    <x v="9"/>
    <s v="RP"/>
    <s v="RP"/>
    <n v="-27.1"/>
    <n v="1"/>
    <n v="0"/>
    <n v="0"/>
    <n v="0"/>
    <n v="0"/>
    <n v="0"/>
    <n v="0"/>
    <n v="0.7"/>
    <n v="5"/>
    <n v="6"/>
    <n v="1"/>
    <n v="1"/>
    <n v="1"/>
    <n v="81"/>
    <n v="0"/>
    <n v="9"/>
    <n v="0.999"/>
    <n v="0"/>
    <m/>
    <m/>
    <m/>
  </r>
  <r>
    <x v="565"/>
    <x v="23"/>
    <s v="RP"/>
    <s v="RP"/>
    <n v="-27.1"/>
    <n v="15"/>
    <n v="0"/>
    <n v="0"/>
    <n v="0"/>
    <n v="0"/>
    <n v="0"/>
    <n v="0"/>
    <n v="18.3"/>
    <n v="21"/>
    <n v="11"/>
    <n v="2"/>
    <n v="9"/>
    <n v="12"/>
    <n v="5.4"/>
    <n v="5.84"/>
    <n v="1.8"/>
    <n v="0.30199999999999999"/>
    <n v="0"/>
    <m/>
    <m/>
    <m/>
  </r>
  <r>
    <x v="566"/>
    <x v="5"/>
    <s v="RP"/>
    <s v="RP"/>
    <n v="-27.2"/>
    <n v="4"/>
    <n v="0"/>
    <n v="0"/>
    <n v="0"/>
    <n v="0"/>
    <n v="0"/>
    <n v="0"/>
    <n v="4.3"/>
    <n v="7"/>
    <n v="7"/>
    <n v="1"/>
    <n v="3"/>
    <n v="5"/>
    <n v="14.54"/>
    <n v="8.36"/>
    <n v="2.77"/>
    <n v="0.4"/>
    <n v="0"/>
    <m/>
    <m/>
    <m/>
  </r>
  <r>
    <x v="567"/>
    <x v="19"/>
    <s v="RP"/>
    <s v="RP"/>
    <n v="-27.4"/>
    <n v="3"/>
    <n v="0"/>
    <n v="0"/>
    <n v="0"/>
    <n v="0"/>
    <n v="0"/>
    <n v="0"/>
    <n v="3.3"/>
    <n v="5"/>
    <n v="7"/>
    <n v="1"/>
    <n v="2"/>
    <n v="5"/>
    <n v="18.899999999999999"/>
    <n v="12.28"/>
    <n v="3"/>
    <n v="0.36399999999999999"/>
    <n v="0"/>
    <m/>
    <m/>
    <m/>
  </r>
  <r>
    <x v="568"/>
    <x v="29"/>
    <s v="RP"/>
    <s v="RP"/>
    <n v="-27.7"/>
    <n v="1"/>
    <n v="0"/>
    <n v="0"/>
    <n v="0"/>
    <n v="0"/>
    <n v="0"/>
    <n v="0"/>
    <n v="0.3"/>
    <n v="1"/>
    <n v="6"/>
    <n v="0"/>
    <n v="0"/>
    <n v="5"/>
    <n v="162"/>
    <n v="0"/>
    <n v="18.02"/>
    <n v="0.5"/>
    <n v="0"/>
    <m/>
    <m/>
    <m/>
  </r>
  <r>
    <x v="569"/>
    <x v="4"/>
    <s v="RP"/>
    <s v="RP"/>
    <n v="-27.9"/>
    <n v="13"/>
    <n v="0"/>
    <n v="0"/>
    <n v="0"/>
    <n v="2"/>
    <n v="0"/>
    <n v="4"/>
    <n v="10.3"/>
    <n v="17"/>
    <n v="9"/>
    <n v="0"/>
    <n v="8"/>
    <n v="6"/>
    <n v="7.84"/>
    <n v="4.05"/>
    <n v="2.23"/>
    <n v="0.42499999999999999"/>
    <n v="0"/>
    <m/>
    <m/>
    <m/>
  </r>
  <r>
    <x v="570"/>
    <x v="7"/>
    <s v="RP"/>
    <s v="RP"/>
    <n v="-28"/>
    <n v="1"/>
    <n v="1"/>
    <n v="0"/>
    <n v="0"/>
    <n v="1"/>
    <n v="0"/>
    <n v="0"/>
    <n v="3.3"/>
    <n v="10"/>
    <n v="7"/>
    <n v="0"/>
    <n v="4"/>
    <n v="2"/>
    <n v="18.899999999999999"/>
    <n v="4.4800000000000004"/>
    <n v="3.6"/>
    <n v="0.66700000000000004"/>
    <n v="0"/>
    <m/>
    <m/>
    <m/>
  </r>
  <r>
    <x v="571"/>
    <x v="29"/>
    <s v="RP"/>
    <s v="RP"/>
    <n v="-28.1"/>
    <n v="9"/>
    <n v="0"/>
    <n v="0"/>
    <n v="0"/>
    <n v="0"/>
    <n v="0"/>
    <n v="2"/>
    <n v="9.3000000000000007"/>
    <n v="16"/>
    <n v="11"/>
    <n v="2"/>
    <n v="7"/>
    <n v="2"/>
    <n v="10.61"/>
    <n v="5.53"/>
    <n v="1.93"/>
    <n v="0.42399999999999999"/>
    <n v="0"/>
    <m/>
    <m/>
    <m/>
  </r>
  <r>
    <x v="572"/>
    <x v="4"/>
    <s v="SP"/>
    <s v="SP"/>
    <n v="-28.3"/>
    <n v="6"/>
    <n v="6"/>
    <n v="0"/>
    <n v="1"/>
    <n v="2"/>
    <n v="0"/>
    <n v="0"/>
    <n v="24.3"/>
    <n v="37"/>
    <n v="26"/>
    <n v="9"/>
    <n v="21"/>
    <n v="15"/>
    <n v="9.6199999999999992"/>
    <n v="8.2100000000000009"/>
    <n v="2.14"/>
    <n v="0.36799999999999999"/>
    <n v="0"/>
    <m/>
    <m/>
    <m/>
  </r>
  <r>
    <x v="573"/>
    <x v="3"/>
    <s v="RP"/>
    <s v="RP"/>
    <n v="-28.7"/>
    <n v="5"/>
    <n v="0"/>
    <n v="0"/>
    <n v="0"/>
    <n v="0"/>
    <n v="0"/>
    <n v="0"/>
    <n v="9.3000000000000007"/>
    <n v="13"/>
    <n v="11"/>
    <n v="3"/>
    <n v="5"/>
    <n v="5"/>
    <n v="10.61"/>
    <n v="8.31"/>
    <n v="1.93"/>
    <n v="0.33300000000000002"/>
    <n v="0"/>
    <m/>
    <m/>
    <m/>
  </r>
  <r>
    <x v="574"/>
    <x v="29"/>
    <s v="SP"/>
    <s v="SP"/>
    <n v="-28.8"/>
    <n v="4"/>
    <n v="4"/>
    <n v="0"/>
    <n v="0"/>
    <n v="4"/>
    <n v="0"/>
    <n v="0"/>
    <n v="18"/>
    <n v="27"/>
    <n v="18"/>
    <n v="5"/>
    <n v="6"/>
    <n v="14"/>
    <n v="9"/>
    <n v="8.7200000000000006"/>
    <n v="2.2799999999999998"/>
    <n v="0.32800000000000001"/>
    <n v="0"/>
    <m/>
    <m/>
    <m/>
  </r>
  <r>
    <x v="575"/>
    <x v="15"/>
    <s v="RP"/>
    <s v="RP"/>
    <n v="-28.8"/>
    <n v="10"/>
    <n v="0"/>
    <n v="0"/>
    <n v="1"/>
    <n v="1"/>
    <n v="0"/>
    <n v="0"/>
    <n v="13.3"/>
    <n v="21"/>
    <n v="15"/>
    <n v="1"/>
    <n v="16"/>
    <n v="10"/>
    <n v="10.130000000000001"/>
    <n v="4.55"/>
    <n v="2.33"/>
    <n v="0.46500000000000002"/>
    <n v="0"/>
    <m/>
    <m/>
    <m/>
  </r>
  <r>
    <x v="576"/>
    <x v="30"/>
    <s v="SP"/>
    <s v="SP"/>
    <n v="-29.3"/>
    <n v="4"/>
    <n v="4"/>
    <n v="0"/>
    <n v="0"/>
    <n v="3"/>
    <n v="0"/>
    <n v="0"/>
    <n v="16.7"/>
    <n v="25"/>
    <n v="19"/>
    <n v="4"/>
    <n v="10"/>
    <n v="15"/>
    <n v="10.26"/>
    <n v="8.08"/>
    <n v="2.4"/>
    <n v="0.36199999999999999"/>
    <n v="0"/>
    <m/>
    <m/>
    <m/>
  </r>
  <r>
    <x v="577"/>
    <x v="23"/>
    <s v="SP"/>
    <s v="SP"/>
    <n v="-29.3"/>
    <n v="5"/>
    <n v="5"/>
    <n v="0"/>
    <n v="0"/>
    <n v="4"/>
    <n v="0"/>
    <n v="0"/>
    <n v="18.3"/>
    <n v="27"/>
    <n v="20"/>
    <n v="9"/>
    <n v="9"/>
    <n v="14"/>
    <n v="9.82"/>
    <n v="10.97"/>
    <n v="2.2400000000000002"/>
    <n v="0.3"/>
    <n v="0"/>
    <m/>
    <m/>
    <m/>
  </r>
  <r>
    <x v="578"/>
    <x v="9"/>
    <s v="RP"/>
    <s v="RP"/>
    <n v="-29.3"/>
    <n v="13"/>
    <n v="0"/>
    <n v="0"/>
    <n v="0"/>
    <n v="2"/>
    <n v="0"/>
    <n v="2"/>
    <n v="10.3"/>
    <n v="23"/>
    <n v="9"/>
    <n v="1"/>
    <n v="15"/>
    <n v="6"/>
    <n v="7.84"/>
    <n v="3.37"/>
    <n v="2.81"/>
    <n v="0.59499999999999997"/>
    <n v="0"/>
    <m/>
    <m/>
    <m/>
  </r>
  <r>
    <x v="579"/>
    <x v="26"/>
    <s v="RP"/>
    <s v="RP"/>
    <n v="-29.8"/>
    <n v="6"/>
    <n v="0"/>
    <n v="0"/>
    <n v="0"/>
    <n v="0"/>
    <n v="0"/>
    <n v="0"/>
    <n v="11"/>
    <n v="22"/>
    <n v="10"/>
    <n v="2"/>
    <n v="4"/>
    <n v="2"/>
    <n v="8.18"/>
    <n v="5.46"/>
    <n v="2.1800000000000002"/>
    <n v="0.44400000000000001"/>
    <n v="0"/>
    <m/>
    <m/>
    <m/>
  </r>
  <r>
    <x v="580"/>
    <x v="28"/>
    <s v="RP"/>
    <s v="RP"/>
    <n v="-29.8"/>
    <n v="5"/>
    <n v="0"/>
    <n v="0"/>
    <n v="0"/>
    <n v="0"/>
    <n v="0"/>
    <n v="0"/>
    <n v="5"/>
    <n v="7"/>
    <n v="10"/>
    <n v="1"/>
    <n v="5"/>
    <n v="7"/>
    <n v="18"/>
    <n v="8.08"/>
    <n v="2.8"/>
    <n v="0.375"/>
    <n v="0"/>
    <m/>
    <m/>
    <m/>
  </r>
  <r>
    <x v="581"/>
    <x v="26"/>
    <s v="RP"/>
    <s v="RP"/>
    <n v="-30"/>
    <n v="12"/>
    <n v="0"/>
    <n v="0"/>
    <n v="1"/>
    <n v="1"/>
    <n v="0"/>
    <n v="0"/>
    <n v="10.7"/>
    <n v="15"/>
    <n v="15"/>
    <n v="2"/>
    <n v="13"/>
    <n v="12"/>
    <n v="12.66"/>
    <n v="6.65"/>
    <n v="2.5299999999999998"/>
    <n v="0.44800000000000001"/>
    <n v="0"/>
    <m/>
    <m/>
    <m/>
  </r>
  <r>
    <x v="582"/>
    <x v="17"/>
    <s v="RP"/>
    <s v="RP"/>
    <n v="-30.3"/>
    <n v="6"/>
    <n v="0"/>
    <n v="0"/>
    <n v="0"/>
    <n v="1"/>
    <n v="0"/>
    <n v="0"/>
    <n v="10"/>
    <n v="17"/>
    <n v="12"/>
    <n v="3"/>
    <n v="8"/>
    <n v="5"/>
    <n v="10.8"/>
    <n v="7.38"/>
    <n v="2.2000000000000002"/>
    <n v="0.38900000000000001"/>
    <n v="0"/>
    <m/>
    <m/>
    <m/>
  </r>
  <r>
    <x v="583"/>
    <x v="9"/>
    <s v="RP"/>
    <s v="RP"/>
    <n v="-31.8"/>
    <n v="8"/>
    <n v="0"/>
    <n v="0"/>
    <n v="0"/>
    <n v="0"/>
    <n v="0"/>
    <n v="1"/>
    <n v="8.6999999999999993"/>
    <n v="15"/>
    <n v="11"/>
    <n v="3"/>
    <n v="6"/>
    <n v="8"/>
    <n v="11.42"/>
    <n v="9.51"/>
    <n v="2.65"/>
    <n v="0.36399999999999999"/>
    <n v="0"/>
    <m/>
    <m/>
    <m/>
  </r>
  <r>
    <x v="584"/>
    <x v="26"/>
    <s v="SP"/>
    <s v="SP"/>
    <n v="-31.9"/>
    <n v="7"/>
    <n v="6"/>
    <n v="0"/>
    <n v="1"/>
    <n v="4"/>
    <n v="0"/>
    <n v="0"/>
    <n v="26"/>
    <n v="46"/>
    <n v="26"/>
    <n v="3"/>
    <n v="11"/>
    <n v="12"/>
    <n v="9"/>
    <n v="5.43"/>
    <n v="2.23"/>
    <n v="0.42199999999999999"/>
    <n v="0"/>
    <m/>
    <m/>
    <m/>
  </r>
  <r>
    <x v="585"/>
    <x v="29"/>
    <s v="SP"/>
    <s v="SP"/>
    <n v="-32"/>
    <n v="10"/>
    <n v="9"/>
    <n v="1"/>
    <n v="1"/>
    <n v="4"/>
    <n v="0"/>
    <n v="0"/>
    <n v="48.7"/>
    <n v="65"/>
    <n v="40"/>
    <n v="13"/>
    <n v="46"/>
    <n v="31"/>
    <n v="7.4"/>
    <n v="6.96"/>
    <n v="1.97"/>
    <n v="0.36099999999999999"/>
    <n v="1"/>
    <m/>
    <m/>
    <m/>
  </r>
  <r>
    <x v="586"/>
    <x v="29"/>
    <s v="RP"/>
    <s v="RP"/>
    <n v="-34.9"/>
    <n v="9"/>
    <n v="1"/>
    <n v="0"/>
    <n v="1"/>
    <n v="1"/>
    <n v="0"/>
    <n v="0"/>
    <n v="19.7"/>
    <n v="29"/>
    <n v="22"/>
    <n v="5"/>
    <n v="13"/>
    <n v="12"/>
    <n v="10.07"/>
    <n v="7.24"/>
    <n v="2.08"/>
    <n v="0.35799999999999998"/>
    <n v="0"/>
    <m/>
    <m/>
    <m/>
  </r>
  <r>
    <x v="587"/>
    <x v="29"/>
    <s v="SP"/>
    <s v="SP"/>
    <n v="-35.799999999999997"/>
    <n v="14"/>
    <n v="4"/>
    <n v="1"/>
    <n v="1"/>
    <n v="5"/>
    <n v="0"/>
    <n v="0"/>
    <n v="27.7"/>
    <n v="34"/>
    <n v="39"/>
    <n v="3"/>
    <n v="29"/>
    <n v="24"/>
    <n v="12.69"/>
    <n v="5.63"/>
    <n v="2.1"/>
    <n v="0.36899999999999999"/>
    <n v="2"/>
    <m/>
    <m/>
    <m/>
  </r>
  <r>
    <x v="588"/>
    <x v="29"/>
    <s v="SP"/>
    <s v="SP"/>
    <n v="-35.9"/>
    <n v="10"/>
    <n v="10"/>
    <n v="0"/>
    <n v="1"/>
    <n v="4"/>
    <n v="0"/>
    <n v="0"/>
    <n v="47"/>
    <n v="69"/>
    <n v="42"/>
    <n v="9"/>
    <n v="33"/>
    <n v="23"/>
    <n v="8.0399999999999991"/>
    <n v="6.02"/>
    <n v="1.96"/>
    <n v="0.38500000000000001"/>
    <n v="0"/>
    <m/>
    <m/>
    <m/>
  </r>
  <r>
    <x v="589"/>
    <x v="5"/>
    <s v="RP"/>
    <s v="RP"/>
    <n v="-36.200000000000003"/>
    <n v="5"/>
    <n v="0"/>
    <n v="0"/>
    <n v="0"/>
    <n v="0"/>
    <n v="0"/>
    <n v="0"/>
    <n v="13.3"/>
    <n v="17"/>
    <n v="18"/>
    <n v="2"/>
    <n v="6"/>
    <n v="11"/>
    <n v="12.15"/>
    <n v="7.03"/>
    <n v="2.1"/>
    <n v="0.31900000000000001"/>
    <n v="0"/>
    <m/>
    <m/>
    <m/>
  </r>
  <r>
    <x v="590"/>
    <x v="31"/>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AC0FC58-50C5-4381-B6AB-A506088D040D}" name="Pitchers" cacheId="4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Player">
  <location ref="P20:AA22" firstHeaderRow="0" firstDataRow="1" firstDataCol="1" rowPageCount="1" colPageCount="1"/>
  <pivotFields count="26">
    <pivotField axis="axisRow" showAll="0" sortType="descending">
      <items count="592">
        <item h="1" x="181"/>
        <item h="1" x="73"/>
        <item h="1" x="544"/>
        <item h="1" x="185"/>
        <item h="1" x="569"/>
        <item h="1" x="54"/>
        <item h="1" x="411"/>
        <item h="1" x="586"/>
        <item h="1" x="259"/>
        <item h="1" x="150"/>
        <item h="1" x="551"/>
        <item h="1" x="276"/>
        <item h="1" x="495"/>
        <item h="1" x="42"/>
        <item h="1" x="22"/>
        <item h="1" x="578"/>
        <item h="1" x="286"/>
        <item h="1" x="231"/>
        <item h="1" x="27"/>
        <item h="1" x="475"/>
        <item h="1" x="543"/>
        <item h="1" x="287"/>
        <item h="1" x="377"/>
        <item h="1" x="424"/>
        <item h="1" x="68"/>
        <item h="1" x="83"/>
        <item h="1" x="122"/>
        <item h="1" x="165"/>
        <item h="1" x="219"/>
        <item h="1" x="532"/>
        <item h="1" x="492"/>
        <item h="1" x="52"/>
        <item h="1" x="171"/>
        <item h="1" x="308"/>
        <item h="1" x="306"/>
        <item h="1" x="389"/>
        <item h="1" x="335"/>
        <item h="1" x="441"/>
        <item h="1" x="175"/>
        <item h="1" x="339"/>
        <item h="1" x="489"/>
        <item h="1" x="142"/>
        <item h="1" x="215"/>
        <item h="1" x="205"/>
        <item h="1" x="75"/>
        <item h="1" x="229"/>
        <item h="1" x="223"/>
        <item h="1" x="129"/>
        <item h="1" x="43"/>
        <item h="1" x="118"/>
        <item h="1" x="40"/>
        <item h="1" x="156"/>
        <item h="1" x="235"/>
        <item h="1" x="270"/>
        <item h="1" x="80"/>
        <item h="1" x="318"/>
        <item h="1" x="545"/>
        <item h="1" x="21"/>
        <item h="1" x="241"/>
        <item h="1" x="508"/>
        <item h="1" x="26"/>
        <item h="1" x="174"/>
        <item h="1" x="486"/>
        <item h="1" x="559"/>
        <item h="1" x="65"/>
        <item h="1" x="573"/>
        <item h="1" x="372"/>
        <item h="1" x="19"/>
        <item h="1" x="513"/>
        <item h="1" x="312"/>
        <item h="1" x="67"/>
        <item h="1" x="216"/>
        <item h="1" x="439"/>
        <item h="1" x="317"/>
        <item h="1" x="126"/>
        <item h="1" x="9"/>
        <item h="1" x="515"/>
        <item h="1" x="322"/>
        <item h="1" x="373"/>
        <item h="1" x="471"/>
        <item h="1" x="301"/>
        <item h="1" x="161"/>
        <item h="1" x="252"/>
        <item h="1" x="437"/>
        <item h="1" x="178"/>
        <item h="1" x="547"/>
        <item h="1" x="406"/>
        <item h="1" x="69"/>
        <item h="1" x="359"/>
        <item h="1" x="109"/>
        <item h="1" x="12"/>
        <item h="1" x="33"/>
        <item h="1" x="516"/>
        <item h="1" x="179"/>
        <item h="1" x="332"/>
        <item h="1" x="456"/>
        <item h="1" x="112"/>
        <item h="1" x="31"/>
        <item h="1" x="548"/>
        <item h="1" x="38"/>
        <item h="1" x="130"/>
        <item h="1" x="380"/>
        <item h="1" x="485"/>
        <item h="1" x="125"/>
        <item h="1" x="409"/>
        <item h="1" x="34"/>
        <item h="1" x="517"/>
        <item h="1" x="581"/>
        <item h="1" x="571"/>
        <item h="1" x="56"/>
        <item h="1" x="364"/>
        <item h="1" x="30"/>
        <item h="1" x="123"/>
        <item h="1" x="14"/>
        <item h="1" x="131"/>
        <item h="1" x="268"/>
        <item h="1" x="427"/>
        <item h="1" x="35"/>
        <item h="1" x="134"/>
        <item h="1" x="580"/>
        <item h="1" x="325"/>
        <item h="1" x="79"/>
        <item h="1" x="253"/>
        <item h="1" x="11"/>
        <item h="1" x="158"/>
        <item h="1" x="137"/>
        <item h="1" x="236"/>
        <item h="1" x="46"/>
        <item h="1" x="162"/>
        <item h="1" x="367"/>
        <item h="1" x="186"/>
        <item h="1" x="151"/>
        <item h="1" x="61"/>
        <item h="1" x="6"/>
        <item h="1" x="430"/>
        <item h="1" x="10"/>
        <item h="1" x="62"/>
        <item h="1" x="237"/>
        <item h="1" x="264"/>
        <item h="1" x="530"/>
        <item h="1" x="370"/>
        <item h="1" x="17"/>
        <item h="1" x="173"/>
        <item h="1" x="13"/>
        <item h="1" x="117"/>
        <item h="1" x="345"/>
        <item h="1" x="338"/>
        <item h="1" x="278"/>
        <item h="1" x="245"/>
        <item h="1" x="315"/>
        <item h="1" x="583"/>
        <item h="1" x="225"/>
        <item h="1" x="55"/>
        <item h="1" x="565"/>
        <item h="1" x="421"/>
        <item h="1" x="360"/>
        <item h="1" x="47"/>
        <item h="1" x="261"/>
        <item h="1" x="258"/>
        <item h="1" x="92"/>
        <item h="1" x="108"/>
        <item h="1" x="124"/>
        <item h="1" x="493"/>
        <item h="1" x="501"/>
        <item h="1" x="243"/>
        <item h="1" x="45"/>
        <item h="1" x="78"/>
        <item h="1" x="152"/>
        <item h="1" x="562"/>
        <item h="1" x="420"/>
        <item h="1" x="330"/>
        <item h="1" x="319"/>
        <item h="1" x="563"/>
        <item h="1" x="260"/>
        <item h="1" x="541"/>
        <item h="1" x="292"/>
        <item h="1" x="143"/>
        <item h="1" x="166"/>
        <item h="1" x="467"/>
        <item h="1" x="500"/>
        <item h="1" x="333"/>
        <item h="1" x="58"/>
        <item h="1" x="222"/>
        <item h="1" x="403"/>
        <item h="1" x="89"/>
        <item h="1" x="549"/>
        <item h="1" x="86"/>
        <item h="1" x="265"/>
        <item h="1" x="139"/>
        <item h="1" x="476"/>
        <item h="1" x="356"/>
        <item h="1" x="368"/>
        <item h="1" x="153"/>
        <item h="1" x="1"/>
        <item h="1" x="539"/>
        <item h="1" x="99"/>
        <item h="1" x="538"/>
        <item h="1" x="210"/>
        <item h="1" x="167"/>
        <item h="1" x="450"/>
        <item h="1" x="240"/>
        <item h="1" x="363"/>
        <item h="1" x="49"/>
        <item h="1" x="461"/>
        <item h="1" x="408"/>
        <item h="1" x="436"/>
        <item h="1" x="537"/>
        <item h="1" x="196"/>
        <item h="1" x="41"/>
        <item h="1" x="523"/>
        <item h="1" x="148"/>
        <item h="1" x="94"/>
        <item h="1" x="71"/>
        <item h="1" x="209"/>
        <item h="1" x="187"/>
        <item h="1" x="266"/>
        <item h="1" x="417"/>
        <item h="1" x="331"/>
        <item h="1" x="558"/>
        <item h="1" x="572"/>
        <item h="1" x="577"/>
        <item h="1" x="277"/>
        <item h="1" x="233"/>
        <item h="1" x="29"/>
        <item h="1" x="88"/>
        <item h="1" x="63"/>
        <item h="1" x="379"/>
        <item h="1" x="206"/>
        <item h="1" x="282"/>
        <item h="1" x="438"/>
        <item h="1" x="48"/>
        <item h="1" x="163"/>
        <item h="1" x="7"/>
        <item h="1" x="297"/>
        <item h="1" x="511"/>
        <item h="1" x="452"/>
        <item h="1" x="285"/>
        <item h="1" x="585"/>
        <item h="1" x="144"/>
        <item h="1" x="127"/>
        <item h="1" x="473"/>
        <item h="1" x="32"/>
        <item h="1" x="281"/>
        <item h="1" x="201"/>
        <item h="1" x="208"/>
        <item h="1" x="307"/>
        <item h="1" x="91"/>
        <item h="1" x="271"/>
        <item h="1" x="138"/>
        <item h="1" x="193"/>
        <item h="1" x="159"/>
        <item h="1" x="85"/>
        <item h="1" x="97"/>
        <item h="1" x="588"/>
        <item h="1" x="102"/>
        <item h="1" x="246"/>
        <item h="1" x="51"/>
        <item h="1" x="552"/>
        <item h="1" x="36"/>
        <item h="1" x="50"/>
        <item h="1" x="396"/>
        <item h="1" x="23"/>
        <item h="1" x="584"/>
        <item h="1" x="566"/>
        <item h="1" x="147"/>
        <item h="1" x="121"/>
        <item h="1" x="576"/>
        <item h="1" x="247"/>
        <item h="1" x="28"/>
        <item h="1" x="95"/>
        <item h="1" x="81"/>
        <item h="1" x="366"/>
        <item h="1" x="218"/>
        <item h="1" x="204"/>
        <item h="1" x="169"/>
        <item h="1" x="499"/>
        <item h="1" x="536"/>
        <item h="1" x="250"/>
        <item h="1" x="64"/>
        <item h="1" x="37"/>
        <item h="1" x="221"/>
        <item h="1" x="87"/>
        <item h="1" x="105"/>
        <item h="1" x="567"/>
        <item h="1" x="18"/>
        <item h="1" x="531"/>
        <item h="1" x="479"/>
        <item h="1" x="93"/>
        <item h="1" x="82"/>
        <item h="1" x="321"/>
        <item h="1" x="119"/>
        <item h="1" x="44"/>
        <item h="1" x="66"/>
        <item h="1" x="104"/>
        <item h="1" x="184"/>
        <item h="1" x="279"/>
        <item h="1" x="3"/>
        <item h="1" x="582"/>
        <item h="1" x="2"/>
        <item h="1" x="115"/>
        <item h="1" x="133"/>
        <item h="1" x="323"/>
        <item h="1" x="77"/>
        <item h="1" x="239"/>
        <item h="1" x="155"/>
        <item h="1" x="340"/>
        <item h="1" x="53"/>
        <item h="1" x="348"/>
        <item h="1" x="202"/>
        <item h="1" x="101"/>
        <item h="1" x="39"/>
        <item h="1" x="228"/>
        <item h="1" x="224"/>
        <item h="1" x="589"/>
        <item h="1" x="203"/>
        <item h="1" x="415"/>
        <item h="1" x="100"/>
        <item h="1" x="195"/>
        <item h="1" x="534"/>
        <item h="1" x="275"/>
        <item h="1" x="535"/>
        <item h="1" x="369"/>
        <item h="1" x="98"/>
        <item h="1" x="453"/>
        <item x="192"/>
        <item h="1" x="447"/>
        <item h="1" x="351"/>
        <item h="1" x="146"/>
        <item h="1" x="509"/>
        <item h="1" x="527"/>
        <item h="1" x="514"/>
        <item h="1" x="371"/>
        <item h="1" x="76"/>
        <item h="1" x="113"/>
        <item h="1" x="391"/>
        <item h="1" x="444"/>
        <item h="1" x="211"/>
        <item h="1" x="328"/>
        <item h="1" x="313"/>
        <item h="1" x="291"/>
        <item h="1" x="428"/>
        <item h="1" x="157"/>
        <item h="1" x="128"/>
        <item h="1" x="141"/>
        <item h="1" x="244"/>
        <item h="1" x="575"/>
        <item h="1" x="336"/>
        <item h="1" x="387"/>
        <item h="1" x="135"/>
        <item h="1" x="344"/>
        <item h="1" x="70"/>
        <item h="1" x="0"/>
        <item h="1" x="170"/>
        <item h="1" x="587"/>
        <item h="1" x="4"/>
        <item h="1" x="16"/>
        <item h="1" x="8"/>
        <item h="1" x="505"/>
        <item h="1" x="468"/>
        <item h="1" x="555"/>
        <item h="1" x="220"/>
        <item h="1" x="238"/>
        <item h="1" x="136"/>
        <item h="1" x="107"/>
        <item h="1" x="256"/>
        <item h="1" x="556"/>
        <item h="1" x="355"/>
        <item h="1" x="455"/>
        <item h="1" x="388"/>
        <item h="1" x="300"/>
        <item h="1" x="183"/>
        <item h="1" x="540"/>
        <item h="1" x="284"/>
        <item h="1" x="507"/>
        <item h="1" x="390"/>
        <item h="1" x="191"/>
        <item h="1" x="120"/>
        <item h="1" x="164"/>
        <item h="1" x="401"/>
        <item h="1" x="448"/>
        <item h="1" x="579"/>
        <item h="1" x="404"/>
        <item h="1" x="341"/>
        <item h="1" x="132"/>
        <item h="1" x="198"/>
        <item h="1" x="24"/>
        <item h="1" x="116"/>
        <item h="1" x="60"/>
        <item h="1" x="106"/>
        <item h="1" x="110"/>
        <item h="1" x="483"/>
        <item h="1" x="84"/>
        <item h="1" x="295"/>
        <item h="1" x="497"/>
        <item h="1" x="458"/>
        <item h="1" x="57"/>
        <item h="1" x="561"/>
        <item h="1" x="90"/>
        <item h="1" x="5"/>
        <item h="1" x="342"/>
        <item h="1" x="15"/>
        <item h="1" x="200"/>
        <item h="1" x="512"/>
        <item h="1" x="381"/>
        <item h="1" x="189"/>
        <item h="1" x="469"/>
        <item h="1" x="374"/>
        <item h="1" x="74"/>
        <item h="1" x="590"/>
        <item h="1" x="298"/>
        <item h="1" x="280"/>
        <item h="1" x="384"/>
        <item h="1" x="498"/>
        <item h="1" x="96"/>
        <item h="1" x="334"/>
        <item h="1" x="168"/>
        <item h="1" x="337"/>
        <item h="1" x="454"/>
        <item h="1" x="526"/>
        <item h="1" x="114"/>
        <item h="1" x="145"/>
        <item h="1" x="234"/>
        <item h="1" x="25"/>
        <item h="1" x="311"/>
        <item h="1" x="442"/>
        <item h="1" x="249"/>
        <item h="1" x="190"/>
        <item h="1" x="59"/>
        <item h="1" x="358"/>
        <item h="1" x="352"/>
        <item h="1" x="392"/>
        <item h="1" x="418"/>
        <item h="1" x="242"/>
        <item h="1" x="180"/>
        <item h="1" x="361"/>
        <item h="1" x="212"/>
        <item h="1" x="329"/>
        <item h="1" x="327"/>
        <item h="1" x="413"/>
        <item h="1" x="299"/>
        <item h="1" x="353"/>
        <item h="1" x="177"/>
        <item h="1" x="320"/>
        <item h="1" x="149"/>
        <item h="1" x="378"/>
        <item h="1" x="382"/>
        <item h="1" x="503"/>
        <item h="1" x="293"/>
        <item h="1" x="302"/>
        <item h="1" x="416"/>
        <item h="1" x="400"/>
        <item h="1" x="217"/>
        <item h="1" x="395"/>
        <item h="1" x="412"/>
        <item h="1" x="304"/>
        <item h="1" x="435"/>
        <item h="1" x="303"/>
        <item h="1" x="393"/>
        <item h="1" x="357"/>
        <item h="1" x="269"/>
        <item h="1" x="172"/>
        <item h="1" x="431"/>
        <item h="1" x="433"/>
        <item h="1" x="520"/>
        <item h="1" x="449"/>
        <item h="1" x="254"/>
        <item h="1" x="542"/>
        <item h="1" x="478"/>
        <item h="1" x="316"/>
        <item h="1" x="140"/>
        <item h="1" x="423"/>
        <item h="1" x="533"/>
        <item h="1" x="564"/>
        <item h="1" x="568"/>
        <item h="1" x="20"/>
        <item h="1" x="72"/>
        <item h="1" x="103"/>
        <item h="1" x="111"/>
        <item h="1" x="154"/>
        <item h="1" x="160"/>
        <item h="1" x="176"/>
        <item h="1" x="182"/>
        <item h="1" x="188"/>
        <item h="1" x="194"/>
        <item h="1" x="197"/>
        <item h="1" x="199"/>
        <item h="1" x="207"/>
        <item h="1" x="213"/>
        <item h="1" x="214"/>
        <item h="1" x="226"/>
        <item h="1" x="227"/>
        <item h="1" x="230"/>
        <item h="1" x="232"/>
        <item h="1" x="248"/>
        <item h="1" x="251"/>
        <item h="1" x="255"/>
        <item h="1" x="257"/>
        <item h="1" x="262"/>
        <item h="1" x="263"/>
        <item h="1" x="267"/>
        <item h="1" x="272"/>
        <item h="1" x="273"/>
        <item h="1" x="274"/>
        <item h="1" x="283"/>
        <item h="1" x="288"/>
        <item h="1" x="289"/>
        <item h="1" x="290"/>
        <item h="1" x="294"/>
        <item h="1" x="296"/>
        <item h="1" x="305"/>
        <item h="1" x="309"/>
        <item h="1" x="310"/>
        <item h="1" x="314"/>
        <item h="1" x="324"/>
        <item h="1" x="326"/>
        <item h="1" x="343"/>
        <item h="1" x="346"/>
        <item h="1" x="347"/>
        <item h="1" x="349"/>
        <item h="1" x="350"/>
        <item h="1" x="354"/>
        <item h="1" x="362"/>
        <item h="1" x="365"/>
        <item h="1" x="375"/>
        <item h="1" x="376"/>
        <item h="1" x="383"/>
        <item h="1" x="385"/>
        <item h="1" x="386"/>
        <item h="1" x="394"/>
        <item h="1" x="397"/>
        <item h="1" x="398"/>
        <item h="1" x="399"/>
        <item h="1" x="402"/>
        <item h="1" x="405"/>
        <item h="1" x="407"/>
        <item h="1" x="410"/>
        <item h="1" x="414"/>
        <item h="1" x="419"/>
        <item h="1" x="422"/>
        <item h="1" x="425"/>
        <item h="1" x="426"/>
        <item h="1" x="429"/>
        <item h="1" x="432"/>
        <item h="1" x="434"/>
        <item h="1" x="440"/>
        <item h="1" x="443"/>
        <item h="1" x="445"/>
        <item h="1" x="446"/>
        <item h="1" x="451"/>
        <item h="1" x="457"/>
        <item h="1" x="459"/>
        <item h="1" x="460"/>
        <item h="1" x="462"/>
        <item h="1" x="463"/>
        <item h="1" x="464"/>
        <item h="1" x="465"/>
        <item h="1" x="466"/>
        <item h="1" x="470"/>
        <item h="1" x="472"/>
        <item h="1" x="474"/>
        <item h="1" x="477"/>
        <item h="1" x="480"/>
        <item h="1" x="481"/>
        <item h="1" x="482"/>
        <item h="1" x="484"/>
        <item h="1" x="487"/>
        <item h="1" x="488"/>
        <item h="1" x="490"/>
        <item h="1" x="491"/>
        <item h="1" x="494"/>
        <item h="1" x="496"/>
        <item h="1" x="502"/>
        <item h="1" x="504"/>
        <item h="1" x="506"/>
        <item h="1" x="510"/>
        <item h="1" x="518"/>
        <item h="1" x="519"/>
        <item h="1" x="521"/>
        <item h="1" x="522"/>
        <item h="1" x="524"/>
        <item h="1" x="525"/>
        <item h="1" x="528"/>
        <item h="1" x="529"/>
        <item h="1" x="546"/>
        <item h="1" x="550"/>
        <item h="1" x="553"/>
        <item h="1" x="554"/>
        <item h="1" x="557"/>
        <item h="1" x="560"/>
        <item h="1" x="570"/>
        <item h="1" x="574"/>
        <item t="default"/>
      </items>
      <autoSortScope>
        <pivotArea dataOnly="0" outline="0" fieldPosition="0">
          <references count="1">
            <reference field="4294967294" count="1" selected="0">
              <x v="9"/>
            </reference>
          </references>
        </pivotArea>
      </autoSortScope>
    </pivotField>
    <pivotField axis="axisPage" multipleItemSelectionAllowed="1" showAll="0">
      <items count="33">
        <item x="15"/>
        <item x="5"/>
        <item x="8"/>
        <item x="6"/>
        <item x="24"/>
        <item x="7"/>
        <item x="22"/>
        <item x="16"/>
        <item x="21"/>
        <item x="26"/>
        <item x="11"/>
        <item x="10"/>
        <item x="28"/>
        <item x="4"/>
        <item x="9"/>
        <item x="25"/>
        <item x="18"/>
        <item x="1"/>
        <item x="20"/>
        <item x="12"/>
        <item x="29"/>
        <item x="19"/>
        <item x="3"/>
        <item x="17"/>
        <item x="13"/>
        <item x="27"/>
        <item x="0"/>
        <item x="2"/>
        <item x="14"/>
        <item x="23"/>
        <item x="31"/>
        <item x="30"/>
        <item t="default"/>
      </items>
    </pivotField>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 dataField="1" showAll="0"/>
    <pivotField dataField="1" showAll="0"/>
    <pivotField dataField="1" showAll="0"/>
    <pivotField dataField="1" showAll="0"/>
    <pivotField dataField="1" showAll="0"/>
    <pivotField showAll="0"/>
    <pivotField showAll="0"/>
    <pivotField dataField="1" showAll="0"/>
    <pivotField dataField="1" showAll="0"/>
    <pivotField dataField="1" showAll="0"/>
  </pivotFields>
  <rowFields count="1">
    <field x="0"/>
  </rowFields>
  <rowItems count="2">
    <i>
      <x v="324"/>
    </i>
    <i t="grand">
      <x/>
    </i>
  </rowItems>
  <colFields count="1">
    <field x="-2"/>
  </colFields>
  <colItems count="11">
    <i>
      <x/>
    </i>
    <i i="1">
      <x v="1"/>
    </i>
    <i i="2">
      <x v="2"/>
    </i>
    <i i="3">
      <x v="3"/>
    </i>
    <i i="4">
      <x v="4"/>
    </i>
    <i i="5">
      <x v="5"/>
    </i>
    <i i="6">
      <x v="6"/>
    </i>
    <i i="7">
      <x v="7"/>
    </i>
    <i i="8">
      <x v="8"/>
    </i>
    <i i="9">
      <x v="9"/>
    </i>
    <i i="10">
      <x v="10"/>
    </i>
  </colItems>
  <pageFields count="1">
    <pageField fld="1" hier="-1"/>
  </pageFields>
  <dataFields count="11">
    <dataField name="GS " fld="6" baseField="0" baseItem="0"/>
    <dataField name="GP" fld="5" baseField="0" baseItem="0"/>
    <dataField name="IP " fld="12" baseField="0" baseItem="0"/>
    <dataField name="K (SO)" fld="16" baseField="0" baseItem="0"/>
    <dataField name="Walks " fld="17" baseField="0" baseItem="0"/>
    <dataField name="ERA " fld="18" baseField="0" baseItem="0"/>
    <dataField name="FIP " fld="19" baseField="0" baseItem="0"/>
    <dataField name="WHIP " fld="20" baseField="0" baseItem="0"/>
    <dataField name="K/BB " fld="23" baseField="0" baseItem="18"/>
    <dataField name="K/GP " fld="24" baseField="0" baseItem="0"/>
    <dataField name="sWin % " fld="25" baseField="0" baseItem="0"/>
  </dataFields>
  <formats count="61">
    <format dxfId="1117">
      <pivotArea collapsedLevelsAreSubtotals="1" fieldPosition="0">
        <references count="2">
          <reference field="4294967294" count="1" selected="0">
            <x v="10"/>
          </reference>
          <reference field="0" count="408">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x v="400"/>
            <x v="401"/>
            <x v="402"/>
            <x v="403"/>
            <x v="404"/>
            <x v="405"/>
            <x v="406"/>
            <x v="407"/>
          </reference>
        </references>
      </pivotArea>
    </format>
    <format dxfId="1116">
      <pivotArea dataOnly="0" labelOnly="1" outline="0" fieldPosition="0">
        <references count="1">
          <reference field="4294967294" count="2">
            <x v="0"/>
            <x v="1"/>
          </reference>
        </references>
      </pivotArea>
    </format>
    <format dxfId="1115">
      <pivotArea outline="0" collapsedLevelsAreSubtotals="1" fieldPosition="0"/>
    </format>
    <format dxfId="1114">
      <pivotArea dataOnly="0" labelOnly="1" outline="0" fieldPosition="0">
        <references count="1">
          <reference field="4294967294" count="9">
            <x v="0"/>
            <x v="1"/>
            <x v="3"/>
            <x v="5"/>
            <x v="6"/>
            <x v="7"/>
            <x v="8"/>
            <x v="9"/>
            <x v="10"/>
          </reference>
        </references>
      </pivotArea>
    </format>
    <format dxfId="1113">
      <pivotArea field="0" type="button" dataOnly="0" labelOnly="1" outline="0" axis="axisRow" fieldPosition="0"/>
    </format>
    <format dxfId="1112">
      <pivotArea dataOnly="0" labelOnly="1" outline="0" fieldPosition="0">
        <references count="1">
          <reference field="4294967294" count="9">
            <x v="0"/>
            <x v="1"/>
            <x v="3"/>
            <x v="5"/>
            <x v="6"/>
            <x v="7"/>
            <x v="8"/>
            <x v="9"/>
            <x v="10"/>
          </reference>
        </references>
      </pivotArea>
    </format>
    <format dxfId="1111">
      <pivotArea field="0" type="button" dataOnly="0" labelOnly="1" outline="0" axis="axisRow" fieldPosition="0"/>
    </format>
    <format dxfId="1110">
      <pivotArea dataOnly="0" labelOnly="1" outline="0" fieldPosition="0">
        <references count="1">
          <reference field="4294967294" count="9">
            <x v="0"/>
            <x v="1"/>
            <x v="3"/>
            <x v="5"/>
            <x v="6"/>
            <x v="7"/>
            <x v="8"/>
            <x v="9"/>
            <x v="10"/>
          </reference>
        </references>
      </pivotArea>
    </format>
    <format dxfId="1109">
      <pivotArea grandRow="1" outline="0" collapsedLevelsAreSubtotals="1" fieldPosition="0"/>
    </format>
    <format dxfId="1108">
      <pivotArea dataOnly="0" labelOnly="1" grandRow="1" outline="0" fieldPosition="0"/>
    </format>
    <format dxfId="1107">
      <pivotArea grandRow="1" outline="0" collapsedLevelsAreSubtotals="1" fieldPosition="0"/>
    </format>
    <format dxfId="1106">
      <pivotArea collapsedLevelsAreSubtotals="1" fieldPosition="0">
        <references count="1">
          <reference field="0" count="1">
            <x v="413"/>
          </reference>
        </references>
      </pivotArea>
    </format>
    <format dxfId="1105">
      <pivotArea dataOnly="0" labelOnly="1" fieldPosition="0">
        <references count="1">
          <reference field="0" count="1">
            <x v="413"/>
          </reference>
        </references>
      </pivotArea>
    </format>
    <format dxfId="1104">
      <pivotArea collapsedLevelsAreSubtotals="1" fieldPosition="0">
        <references count="1">
          <reference field="0" count="1">
            <x v="351"/>
          </reference>
        </references>
      </pivotArea>
    </format>
    <format dxfId="1103">
      <pivotArea dataOnly="0" labelOnly="1" fieldPosition="0">
        <references count="1">
          <reference field="0" count="1">
            <x v="351"/>
          </reference>
        </references>
      </pivotArea>
    </format>
    <format dxfId="1102">
      <pivotArea collapsedLevelsAreSubtotals="1" fieldPosition="0">
        <references count="1">
          <reference field="0" count="1">
            <x v="111"/>
          </reference>
        </references>
      </pivotArea>
    </format>
    <format dxfId="1101">
      <pivotArea dataOnly="0" labelOnly="1" fieldPosition="0">
        <references count="1">
          <reference field="0" count="1">
            <x v="111"/>
          </reference>
        </references>
      </pivotArea>
    </format>
    <format dxfId="1100">
      <pivotArea collapsedLevelsAreSubtotals="1" fieldPosition="0">
        <references count="1">
          <reference field="0" count="1">
            <x v="171"/>
          </reference>
        </references>
      </pivotArea>
    </format>
    <format dxfId="1099">
      <pivotArea dataOnly="0" labelOnly="1" fieldPosition="0">
        <references count="1">
          <reference field="0" count="1">
            <x v="171"/>
          </reference>
        </references>
      </pivotArea>
    </format>
    <format dxfId="1098">
      <pivotArea collapsedLevelsAreSubtotals="1" fieldPosition="0">
        <references count="1">
          <reference field="0" count="1">
            <x v="81"/>
          </reference>
        </references>
      </pivotArea>
    </format>
    <format dxfId="1097">
      <pivotArea dataOnly="0" labelOnly="1" fieldPosition="0">
        <references count="1">
          <reference field="0" count="1">
            <x v="81"/>
          </reference>
        </references>
      </pivotArea>
    </format>
    <format dxfId="1096">
      <pivotArea type="all" dataOnly="0" outline="0" fieldPosition="0"/>
    </format>
    <format dxfId="1095">
      <pivotArea outline="0" collapsedLevelsAreSubtotals="1" fieldPosition="0"/>
    </format>
    <format dxfId="1094">
      <pivotArea field="0" type="button" dataOnly="0" labelOnly="1" outline="0" axis="axisRow" fieldPosition="0"/>
    </format>
    <format dxfId="1093">
      <pivotArea type="all" dataOnly="0" outline="0" fieldPosition="0"/>
    </format>
    <format dxfId="1092">
      <pivotArea outline="0" collapsedLevelsAreSubtotals="1" fieldPosition="0"/>
    </format>
    <format dxfId="1091">
      <pivotArea field="0" type="button" dataOnly="0" labelOnly="1" outline="0" axis="axisRow" fieldPosition="0"/>
    </format>
    <format dxfId="1090">
      <pivotArea dataOnly="0" labelOnly="1" fieldPosition="0">
        <references count="1">
          <reference field="0" count="16">
            <x v="56"/>
            <x v="81"/>
            <x v="111"/>
            <x v="138"/>
            <x v="171"/>
            <x v="176"/>
            <x v="181"/>
            <x v="222"/>
            <x v="244"/>
            <x v="312"/>
            <x v="335"/>
            <x v="351"/>
            <x v="400"/>
            <x v="413"/>
            <x v="416"/>
            <x v="419"/>
          </reference>
        </references>
      </pivotArea>
    </format>
    <format dxfId="1089">
      <pivotArea dataOnly="0" labelOnly="1" grandRow="1" outline="0" fieldPosition="0"/>
    </format>
    <format dxfId="1088">
      <pivotArea dataOnly="0" labelOnly="1" outline="0" fieldPosition="0">
        <references count="1">
          <reference field="4294967294" count="9">
            <x v="0"/>
            <x v="1"/>
            <x v="3"/>
            <x v="5"/>
            <x v="6"/>
            <x v="7"/>
            <x v="8"/>
            <x v="9"/>
            <x v="10"/>
          </reference>
        </references>
      </pivotArea>
    </format>
    <format dxfId="1087">
      <pivotArea collapsedLevelsAreSubtotals="1" fieldPosition="0">
        <references count="1">
          <reference field="0" count="1">
            <x v="413"/>
          </reference>
        </references>
      </pivotArea>
    </format>
    <format dxfId="1086">
      <pivotArea dataOnly="0" labelOnly="1" fieldPosition="0">
        <references count="1">
          <reference field="0" count="1">
            <x v="413"/>
          </reference>
        </references>
      </pivotArea>
    </format>
    <format dxfId="1085">
      <pivotArea collapsedLevelsAreSubtotals="1" fieldPosition="0">
        <references count="1">
          <reference field="0" count="1">
            <x v="351"/>
          </reference>
        </references>
      </pivotArea>
    </format>
    <format dxfId="1084">
      <pivotArea dataOnly="0" labelOnly="1" fieldPosition="0">
        <references count="1">
          <reference field="0" count="1">
            <x v="351"/>
          </reference>
        </references>
      </pivotArea>
    </format>
    <format dxfId="1083">
      <pivotArea collapsedLevelsAreSubtotals="1" fieldPosition="0">
        <references count="1">
          <reference field="0" count="1">
            <x v="111"/>
          </reference>
        </references>
      </pivotArea>
    </format>
    <format dxfId="1082">
      <pivotArea dataOnly="0" labelOnly="1" fieldPosition="0">
        <references count="1">
          <reference field="0" count="1">
            <x v="111"/>
          </reference>
        </references>
      </pivotArea>
    </format>
    <format dxfId="1081">
      <pivotArea collapsedLevelsAreSubtotals="1" fieldPosition="0">
        <references count="1">
          <reference field="0" count="1">
            <x v="171"/>
          </reference>
        </references>
      </pivotArea>
    </format>
    <format dxfId="1080">
      <pivotArea dataOnly="0" labelOnly="1" fieldPosition="0">
        <references count="1">
          <reference field="0" count="1">
            <x v="171"/>
          </reference>
        </references>
      </pivotArea>
    </format>
    <format dxfId="1079">
      <pivotArea collapsedLevelsAreSubtotals="1" fieldPosition="0">
        <references count="1">
          <reference field="0" count="1">
            <x v="81"/>
          </reference>
        </references>
      </pivotArea>
    </format>
    <format dxfId="1078">
      <pivotArea dataOnly="0" labelOnly="1" fieldPosition="0">
        <references count="1">
          <reference field="0" count="1">
            <x v="81"/>
          </reference>
        </references>
      </pivotArea>
    </format>
    <format dxfId="1077">
      <pivotArea collapsedLevelsAreSubtotals="1" fieldPosition="0">
        <references count="1">
          <reference field="0" count="1">
            <x v="244"/>
          </reference>
        </references>
      </pivotArea>
    </format>
    <format dxfId="1076">
      <pivotArea dataOnly="0" labelOnly="1" fieldPosition="0">
        <references count="1">
          <reference field="0" count="1">
            <x v="244"/>
          </reference>
        </references>
      </pivotArea>
    </format>
    <format dxfId="1075">
      <pivotArea collapsedLevelsAreSubtotals="1" fieldPosition="0">
        <references count="1">
          <reference field="0" count="1">
            <x v="244"/>
          </reference>
        </references>
      </pivotArea>
    </format>
    <format dxfId="1074">
      <pivotArea dataOnly="0" labelOnly="1" fieldPosition="0">
        <references count="1">
          <reference field="0" count="1">
            <x v="244"/>
          </reference>
        </references>
      </pivotArea>
    </format>
    <format dxfId="1073">
      <pivotArea collapsedLevelsAreSubtotals="1" fieldPosition="0">
        <references count="1">
          <reference field="0" count="1">
            <x v="419"/>
          </reference>
        </references>
      </pivotArea>
    </format>
    <format dxfId="1072">
      <pivotArea dataOnly="0" labelOnly="1" fieldPosition="0">
        <references count="1">
          <reference field="0" count="1">
            <x v="419"/>
          </reference>
        </references>
      </pivotArea>
    </format>
    <format dxfId="1071">
      <pivotArea collapsedLevelsAreSubtotals="1" fieldPosition="0">
        <references count="1">
          <reference field="0" count="1">
            <x v="419"/>
          </reference>
        </references>
      </pivotArea>
    </format>
    <format dxfId="1070">
      <pivotArea dataOnly="0" labelOnly="1" fieldPosition="0">
        <references count="1">
          <reference field="0" count="1">
            <x v="419"/>
          </reference>
        </references>
      </pivotArea>
    </format>
    <format dxfId="1069">
      <pivotArea collapsedLevelsAreSubtotals="1" fieldPosition="0">
        <references count="1">
          <reference field="0" count="1">
            <x v="335"/>
          </reference>
        </references>
      </pivotArea>
    </format>
    <format dxfId="1068">
      <pivotArea dataOnly="0" labelOnly="1" fieldPosition="0">
        <references count="1">
          <reference field="0" count="1">
            <x v="335"/>
          </reference>
        </references>
      </pivotArea>
    </format>
    <format dxfId="1067">
      <pivotArea collapsedLevelsAreSubtotals="1" fieldPosition="0">
        <references count="1">
          <reference field="0" count="1">
            <x v="335"/>
          </reference>
        </references>
      </pivotArea>
    </format>
    <format dxfId="1066">
      <pivotArea dataOnly="0" labelOnly="1" fieldPosition="0">
        <references count="1">
          <reference field="0" count="1">
            <x v="335"/>
          </reference>
        </references>
      </pivotArea>
    </format>
    <format dxfId="1065">
      <pivotArea collapsedLevelsAreSubtotals="1" fieldPosition="0">
        <references count="2">
          <reference field="4294967294" count="1" selected="0">
            <x v="5"/>
          </reference>
          <reference field="0" count="0"/>
        </references>
      </pivotArea>
    </format>
    <format dxfId="1064">
      <pivotArea collapsedLevelsAreSubtotals="1" fieldPosition="0">
        <references count="2">
          <reference field="4294967294" count="1" selected="0">
            <x v="6"/>
          </reference>
          <reference field="0" count="0"/>
        </references>
      </pivotArea>
    </format>
    <format dxfId="1063">
      <pivotArea collapsedLevelsAreSubtotals="1" fieldPosition="0">
        <references count="2">
          <reference field="4294967294" count="1" selected="0">
            <x v="8"/>
          </reference>
          <reference field="0" count="0"/>
        </references>
      </pivotArea>
    </format>
    <format dxfId="1062">
      <pivotArea collapsedLevelsAreSubtotals="1" fieldPosition="0">
        <references count="2">
          <reference field="4294967294" count="1" selected="0">
            <x v="9"/>
          </reference>
          <reference field="0" count="0"/>
        </references>
      </pivotArea>
    </format>
    <format dxfId="1061">
      <pivotArea collapsedLevelsAreSubtotals="1" fieldPosition="0">
        <references count="2">
          <reference field="4294967294" count="1" selected="0">
            <x v="7"/>
          </reference>
          <reference field="0" count="0"/>
        </references>
      </pivotArea>
    </format>
    <format dxfId="1060">
      <pivotArea dataOnly="0" labelOnly="1" outline="0" fieldPosition="0">
        <references count="1">
          <reference field="4294967294" count="1">
            <x v="4"/>
          </reference>
        </references>
      </pivotArea>
    </format>
    <format dxfId="1059">
      <pivotArea dataOnly="0" labelOnly="1" outline="0" fieldPosition="0">
        <references count="1">
          <reference field="4294967294" count="1">
            <x v="2"/>
          </reference>
        </references>
      </pivotArea>
    </format>
    <format dxfId="1058">
      <pivotArea field="0" grandRow="1" outline="0" collapsedLevelsAreSubtotals="1" axis="axisRow" fieldPosition="0">
        <references count="1">
          <reference field="4294967294" count="3" selected="0">
            <x v="8"/>
            <x v="9"/>
            <x v="10"/>
          </reference>
        </references>
      </pivotArea>
    </format>
    <format dxfId="1057">
      <pivotArea collapsedLevelsAreSubtotals="1" fieldPosition="0">
        <references count="2">
          <reference field="4294967294" count="1" selected="0">
            <x v="10"/>
          </reference>
          <reference field="0" count="1">
            <x v="4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15BF6DE-C2E0-4D0A-AF88-5D3DC6CC0DCE}" name="PivotTable1" cacheId="3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L2:N33" firstHeaderRow="0" firstDataRow="1" firstDataCol="1"/>
  <pivotFields count="8">
    <pivotField showAll="0"/>
    <pivotField showAll="0"/>
    <pivotField axis="axisRow" showAll="0">
      <items count="33">
        <item x="0"/>
        <item x="1"/>
        <item x="14"/>
        <item x="21"/>
        <item x="17"/>
        <item x="9"/>
        <item x="25"/>
        <item x="24"/>
        <item x="23"/>
        <item x="19"/>
        <item x="11"/>
        <item x="29"/>
        <item x="4"/>
        <item x="6"/>
        <item x="28"/>
        <item x="26"/>
        <item x="7"/>
        <item x="20"/>
        <item x="8"/>
        <item x="22"/>
        <item x="18"/>
        <item x="16"/>
        <item x="13"/>
        <item x="15"/>
        <item x="12"/>
        <item x="10"/>
        <item x="3"/>
        <item x="2"/>
        <item x="5"/>
        <item x="27"/>
        <item h="1" x="31"/>
        <item h="1" x="30"/>
        <item t="default"/>
      </items>
    </pivotField>
    <pivotField showAll="0"/>
    <pivotField showAll="0"/>
    <pivotField dataField="1" showAll="0"/>
    <pivotField dataField="1" showAll="0"/>
    <pivotField showAll="0"/>
  </pivotFields>
  <rowFields count="1">
    <field x="2"/>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Fields count="1">
    <field x="-2"/>
  </colFields>
  <colItems count="2">
    <i>
      <x/>
    </i>
    <i i="1">
      <x v="1"/>
    </i>
  </colItems>
  <dataFields count="2">
    <dataField name="Sum of Bat WAR" fld="5" baseField="0" baseItem="0"/>
    <dataField name="Sum of Pit WAR" fld="6" baseField="0" baseItem="0"/>
  </dataFields>
  <formats count="7">
    <format dxfId="1056">
      <pivotArea collapsedLevelsAreSubtotals="1" fieldPosition="0">
        <references count="1">
          <reference field="2" count="0"/>
        </references>
      </pivotArea>
    </format>
    <format dxfId="1055">
      <pivotArea outline="0" collapsedLevelsAreSubtotals="1" fieldPosition="0"/>
    </format>
    <format dxfId="1054">
      <pivotArea dataOnly="0" labelOnly="1" fieldPosition="0">
        <references count="1">
          <reference field="2" count="0"/>
        </references>
      </pivotArea>
    </format>
    <format dxfId="1053">
      <pivotArea dataOnly="0" labelOnly="1" grandRow="1" outline="0" fieldPosition="0"/>
    </format>
    <format dxfId="1052">
      <pivotArea outline="0" collapsedLevelsAreSubtotals="1" fieldPosition="0"/>
    </format>
    <format dxfId="1051">
      <pivotArea dataOnly="0" labelOnly="1" fieldPosition="0">
        <references count="1">
          <reference field="2" count="0"/>
        </references>
      </pivotArea>
    </format>
    <format dxfId="1050">
      <pivotArea dataOnly="0" labelOnly="1" grandRow="1" outline="0" fieldPosition="0"/>
    </format>
  </formats>
  <conditionalFormats count="1">
    <conditionalFormat priority="4">
      <pivotAreas count="1">
        <pivotArea type="data" collapsedLevelsAreSubtotals="1" fieldPosition="0">
          <references count="2">
            <reference field="4294967294" count="1" selected="0">
              <x v="0"/>
            </reference>
            <reference field="2" count="30">
              <x v="0"/>
              <x v="1"/>
              <x v="2"/>
              <x v="3"/>
              <x v="4"/>
              <x v="5"/>
              <x v="6"/>
              <x v="7"/>
              <x v="8"/>
              <x v="9"/>
              <x v="10"/>
              <x v="11"/>
              <x v="12"/>
              <x v="13"/>
              <x v="14"/>
              <x v="15"/>
              <x v="16"/>
              <x v="17"/>
              <x v="18"/>
              <x v="19"/>
              <x v="20"/>
              <x v="21"/>
              <x v="22"/>
              <x v="23"/>
              <x v="24"/>
              <x v="25"/>
              <x v="26"/>
              <x v="27"/>
              <x v="28"/>
              <x v="29"/>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785E3D9-134B-45C0-876F-6333749BDCE3}" name="PivotTable10" cacheId="2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Team">
  <location ref="AL2:AN33" firstHeaderRow="0" firstDataRow="1" firstDataCol="1"/>
  <pivotFields count="30">
    <pivotField axis="axisRow" showAll="0">
      <items count="31">
        <item x="15"/>
        <item x="16"/>
        <item x="0"/>
        <item x="1"/>
        <item x="17"/>
        <item x="2"/>
        <item x="18"/>
        <item x="3"/>
        <item x="19"/>
        <item x="4"/>
        <item x="5"/>
        <item x="6"/>
        <item x="7"/>
        <item x="20"/>
        <item x="21"/>
        <item x="22"/>
        <item x="8"/>
        <item x="23"/>
        <item x="9"/>
        <item x="10"/>
        <item x="24"/>
        <item x="25"/>
        <item x="26"/>
        <item x="27"/>
        <item x="11"/>
        <item x="28"/>
        <item x="12"/>
        <item x="13"/>
        <item x="14"/>
        <item x="29"/>
        <item t="default"/>
      </items>
    </pivotField>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Fields count="1">
    <field x="-2"/>
  </colFields>
  <colItems count="2">
    <i>
      <x/>
    </i>
    <i i="1">
      <x v="1"/>
    </i>
  </colItems>
  <dataFields count="2">
    <dataField name="Wins" fld="5" baseField="0" baseItem="0"/>
    <dataField name="Losse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C1DC20F-BC34-4BE8-9A18-C9730B8563C9}" name="PivotTable9" cacheId="3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rowHeaderCaption="Team">
  <location ref="AG2:AI33" firstHeaderRow="0" firstDataRow="1" firstDataCol="1"/>
  <pivotFields count="30">
    <pivotField axis="axisRow" showAll="0">
      <items count="31">
        <item x="0"/>
        <item x="1"/>
        <item x="15"/>
        <item x="16"/>
        <item x="2"/>
        <item x="17"/>
        <item x="3"/>
        <item x="18"/>
        <item x="4"/>
        <item x="19"/>
        <item x="20"/>
        <item x="21"/>
        <item x="22"/>
        <item x="5"/>
        <item x="6"/>
        <item x="7"/>
        <item x="23"/>
        <item x="8"/>
        <item x="24"/>
        <item x="25"/>
        <item x="9"/>
        <item x="10"/>
        <item x="11"/>
        <item x="12"/>
        <item x="26"/>
        <item x="13"/>
        <item x="27"/>
        <item x="28"/>
        <item x="29"/>
        <item x="14"/>
        <item t="default"/>
      </items>
    </pivotField>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Fields count="1">
    <field x="-2"/>
  </colFields>
  <colItems count="2">
    <i>
      <x/>
    </i>
    <i i="1">
      <x v="1"/>
    </i>
  </colItems>
  <dataFields count="2">
    <dataField name="Wins" fld="5" baseField="0" baseItem="0"/>
    <dataField name="Losse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2576159-92BB-4E8B-825E-EE5C658110A2}" name="Batters" cacheId="4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rowHeaderCaption="Name">
  <location ref="A7:D22" firstHeaderRow="0" firstDataRow="1" firstDataCol="1" rowPageCount="4" colPageCount="1"/>
  <pivotFields count="20">
    <pivotField axis="axisRow" showAll="0" sortType="descending">
      <items count="513">
        <item x="385"/>
        <item x="8"/>
        <item x="189"/>
        <item x="68"/>
        <item x="76"/>
        <item x="1"/>
        <item x="303"/>
        <item x="248"/>
        <item x="339"/>
        <item x="72"/>
        <item x="252"/>
        <item x="394"/>
        <item x="277"/>
        <item x="291"/>
        <item x="120"/>
        <item x="196"/>
        <item x="57"/>
        <item x="190"/>
        <item x="180"/>
        <item x="159"/>
        <item x="273"/>
        <item x="83"/>
        <item x="118"/>
        <item x="449"/>
        <item x="149"/>
        <item x="21"/>
        <item x="82"/>
        <item x="85"/>
        <item x="487"/>
        <item x="94"/>
        <item x="389"/>
        <item x="473"/>
        <item x="444"/>
        <item x="84"/>
        <item x="387"/>
        <item x="347"/>
        <item x="178"/>
        <item x="11"/>
        <item x="471"/>
        <item x="47"/>
        <item x="400"/>
        <item x="264"/>
        <item x="311"/>
        <item x="131"/>
        <item x="116"/>
        <item x="137"/>
        <item x="79"/>
        <item x="175"/>
        <item x="50"/>
        <item x="414"/>
        <item x="88"/>
        <item x="472"/>
        <item x="203"/>
        <item x="106"/>
        <item x="44"/>
        <item x="429"/>
        <item x="92"/>
        <item x="367"/>
        <item x="46"/>
        <item x="169"/>
        <item x="96"/>
        <item x="496"/>
        <item x="445"/>
        <item x="200"/>
        <item x="241"/>
        <item x="153"/>
        <item x="361"/>
        <item x="9"/>
        <item x="443"/>
        <item x="140"/>
        <item x="282"/>
        <item x="164"/>
        <item x="275"/>
        <item x="147"/>
        <item x="299"/>
        <item x="36"/>
        <item x="26"/>
        <item x="105"/>
        <item x="49"/>
        <item x="366"/>
        <item x="132"/>
        <item x="192"/>
        <item x="497"/>
        <item x="23"/>
        <item x="395"/>
        <item x="181"/>
        <item x="198"/>
        <item x="376"/>
        <item x="480"/>
        <item x="295"/>
        <item x="144"/>
        <item x="100"/>
        <item x="476"/>
        <item x="101"/>
        <item x="460"/>
        <item x="499"/>
        <item x="424"/>
        <item x="269"/>
        <item x="329"/>
        <item x="163"/>
        <item x="209"/>
        <item x="353"/>
        <item x="279"/>
        <item x="197"/>
        <item x="244"/>
        <item x="258"/>
        <item x="193"/>
        <item x="462"/>
        <item x="507"/>
        <item x="364"/>
        <item x="505"/>
        <item x="65"/>
        <item x="228"/>
        <item x="288"/>
        <item x="171"/>
        <item x="237"/>
        <item x="305"/>
        <item x="19"/>
        <item x="145"/>
        <item x="243"/>
        <item x="77"/>
        <item x="208"/>
        <item x="331"/>
        <item x="201"/>
        <item x="60"/>
        <item x="309"/>
        <item x="383"/>
        <item x="3"/>
        <item x="373"/>
        <item x="167"/>
        <item x="254"/>
        <item x="296"/>
        <item x="297"/>
        <item x="402"/>
        <item x="199"/>
        <item x="61"/>
        <item x="70"/>
        <item x="266"/>
        <item x="143"/>
        <item x="34"/>
        <item x="202"/>
        <item x="286"/>
        <item x="289"/>
        <item x="97"/>
        <item x="162"/>
        <item x="486"/>
        <item x="340"/>
        <item x="54"/>
        <item x="121"/>
        <item x="335"/>
        <item x="62"/>
        <item x="284"/>
        <item x="91"/>
        <item x="73"/>
        <item x="158"/>
        <item x="123"/>
        <item x="249"/>
        <item x="133"/>
        <item x="442"/>
        <item x="438"/>
        <item x="114"/>
        <item x="345"/>
        <item x="195"/>
        <item x="71"/>
        <item x="365"/>
        <item x="416"/>
        <item x="219"/>
        <item x="265"/>
        <item x="349"/>
        <item x="52"/>
        <item x="31"/>
        <item x="259"/>
        <item x="220"/>
        <item x="357"/>
        <item x="150"/>
        <item x="89"/>
        <item x="391"/>
        <item x="165"/>
        <item x="142"/>
        <item x="87"/>
        <item x="328"/>
        <item x="290"/>
        <item x="236"/>
        <item x="104"/>
        <item x="447"/>
        <item x="211"/>
        <item x="369"/>
        <item x="111"/>
        <item x="138"/>
        <item x="457"/>
        <item x="206"/>
        <item x="151"/>
        <item x="43"/>
        <item x="39"/>
        <item x="456"/>
        <item x="491"/>
        <item x="262"/>
        <item x="41"/>
        <item x="33"/>
        <item x="318"/>
        <item x="363"/>
        <item x="285"/>
        <item x="326"/>
        <item x="287"/>
        <item x="67"/>
        <item x="110"/>
        <item x="263"/>
        <item x="268"/>
        <item x="463"/>
        <item x="315"/>
        <item x="417"/>
        <item x="20"/>
        <item x="6"/>
        <item x="119"/>
        <item x="157"/>
        <item x="58"/>
        <item x="380"/>
        <item x="64"/>
        <item x="148"/>
        <item x="107"/>
        <item x="166"/>
        <item x="225"/>
        <item x="313"/>
        <item x="75"/>
        <item x="113"/>
        <item x="231"/>
        <item x="213"/>
        <item x="350"/>
        <item x="272"/>
        <item x="430"/>
        <item x="152"/>
        <item x="215"/>
        <item x="307"/>
        <item x="342"/>
        <item x="459"/>
        <item x="115"/>
        <item x="508"/>
        <item x="51"/>
        <item x="130"/>
        <item x="35"/>
        <item x="102"/>
        <item x="239"/>
        <item x="32"/>
        <item x="103"/>
        <item x="381"/>
        <item x="154"/>
        <item x="393"/>
        <item x="229"/>
        <item x="17"/>
        <item x="399"/>
        <item x="492"/>
        <item x="283"/>
        <item x="95"/>
        <item x="392"/>
        <item x="172"/>
        <item x="194"/>
        <item x="155"/>
        <item x="2"/>
        <item x="222"/>
        <item x="388"/>
        <item x="302"/>
        <item x="48"/>
        <item x="470"/>
        <item x="240"/>
        <item x="53"/>
        <item x="325"/>
        <item x="15"/>
        <item x="223"/>
        <item x="184"/>
        <item x="469"/>
        <item x="139"/>
        <item x="212"/>
        <item x="30"/>
        <item x="490"/>
        <item x="168"/>
        <item x="450"/>
        <item x="81"/>
        <item x="378"/>
        <item x="253"/>
        <item x="506"/>
        <item x="421"/>
        <item x="136"/>
        <item x="332"/>
        <item x="280"/>
        <item x="27"/>
        <item x="186"/>
        <item x="338"/>
        <item x="453"/>
        <item x="354"/>
        <item x="187"/>
        <item x="24"/>
        <item x="216"/>
        <item x="510"/>
        <item x="42"/>
        <item x="247"/>
        <item x="292"/>
        <item x="423"/>
        <item x="55"/>
        <item x="301"/>
        <item x="358"/>
        <item x="294"/>
        <item x="278"/>
        <item x="232"/>
        <item x="371"/>
        <item x="37"/>
        <item x="40"/>
        <item x="12"/>
        <item x="401"/>
        <item x="333"/>
        <item x="183"/>
        <item x="351"/>
        <item x="426"/>
        <item x="221"/>
        <item x="127"/>
        <item x="63"/>
        <item x="74"/>
        <item x="13"/>
        <item x="217"/>
        <item x="5"/>
        <item x="18"/>
        <item x="251"/>
        <item x="246"/>
        <item x="227"/>
        <item x="4"/>
        <item x="306"/>
        <item x="323"/>
        <item x="78"/>
        <item x="230"/>
        <item x="122"/>
        <item x="458"/>
        <item x="185"/>
        <item x="377"/>
        <item x="0"/>
        <item x="316"/>
        <item x="69"/>
        <item x="293"/>
        <item x="495"/>
        <item x="304"/>
        <item x="176"/>
        <item x="28"/>
        <item x="174"/>
        <item x="38"/>
        <item x="404"/>
        <item x="250"/>
        <item x="344"/>
        <item x="22"/>
        <item x="368"/>
        <item x="420"/>
        <item x="161"/>
        <item x="10"/>
        <item x="99"/>
        <item x="191"/>
        <item x="146"/>
        <item x="128"/>
        <item x="271"/>
        <item x="245"/>
        <item x="488"/>
        <item x="66"/>
        <item x="160"/>
        <item x="98"/>
        <item x="356"/>
        <item x="25"/>
        <item x="257"/>
        <item x="408"/>
        <item x="135"/>
        <item x="382"/>
        <item x="479"/>
        <item x="56"/>
        <item x="466"/>
        <item x="310"/>
        <item x="390"/>
        <item x="330"/>
        <item x="226"/>
        <item x="324"/>
        <item x="124"/>
        <item x="281"/>
        <item x="156"/>
        <item x="205"/>
        <item x="233"/>
        <item x="455"/>
        <item x="126"/>
        <item x="427"/>
        <item x="320"/>
        <item x="179"/>
        <item x="334"/>
        <item x="214"/>
        <item x="407"/>
        <item x="86"/>
        <item x="29"/>
        <item x="14"/>
        <item x="59"/>
        <item x="308"/>
        <item x="509"/>
        <item x="267"/>
        <item x="45"/>
        <item x="234"/>
        <item x="207"/>
        <item x="336"/>
        <item x="109"/>
        <item x="93"/>
        <item x="204"/>
        <item x="80"/>
        <item x="359"/>
        <item x="125"/>
        <item x="16"/>
        <item x="182"/>
        <item x="274"/>
        <item x="337"/>
        <item x="7"/>
        <item x="360"/>
        <item x="235"/>
        <item x="177"/>
        <item x="511"/>
        <item x="321"/>
        <item x="464"/>
        <item x="348"/>
        <item x="322"/>
        <item x="504"/>
        <item x="425"/>
        <item x="418"/>
        <item x="465"/>
        <item x="398"/>
        <item x="129"/>
        <item x="117"/>
        <item x="370"/>
        <item x="134"/>
        <item x="112"/>
        <item x="327"/>
        <item x="300"/>
        <item x="413"/>
        <item x="435"/>
        <item x="210"/>
        <item x="255"/>
        <item x="441"/>
        <item x="276"/>
        <item x="218"/>
        <item x="436"/>
        <item x="483"/>
        <item x="485"/>
        <item x="454"/>
        <item x="261"/>
        <item x="375"/>
        <item x="141"/>
        <item x="433"/>
        <item x="188"/>
        <item x="90"/>
        <item x="498"/>
        <item x="314"/>
        <item x="379"/>
        <item x="362"/>
        <item x="317"/>
        <item x="170"/>
        <item x="397"/>
        <item x="270"/>
        <item x="406"/>
        <item x="352"/>
        <item x="346"/>
        <item x="256"/>
        <item x="410"/>
        <item x="405"/>
        <item x="242"/>
        <item x="461"/>
        <item x="298"/>
        <item x="478"/>
        <item x="173"/>
        <item x="484"/>
        <item x="412"/>
        <item x="489"/>
        <item x="501"/>
        <item x="372"/>
        <item x="224"/>
        <item x="502"/>
        <item x="386"/>
        <item x="343"/>
        <item x="431"/>
        <item x="355"/>
        <item x="374"/>
        <item x="503"/>
        <item x="312"/>
        <item x="422"/>
        <item x="419"/>
        <item x="500"/>
        <item x="493"/>
        <item x="446"/>
        <item x="108"/>
        <item x="238"/>
        <item x="260"/>
        <item x="319"/>
        <item x="341"/>
        <item x="384"/>
        <item x="396"/>
        <item x="403"/>
        <item x="409"/>
        <item x="411"/>
        <item x="415"/>
        <item x="428"/>
        <item x="432"/>
        <item x="434"/>
        <item x="437"/>
        <item x="439"/>
        <item x="440"/>
        <item x="448"/>
        <item x="451"/>
        <item x="452"/>
        <item x="467"/>
        <item x="468"/>
        <item x="474"/>
        <item x="475"/>
        <item x="477"/>
        <item x="481"/>
        <item x="482"/>
        <item x="494"/>
        <item t="default"/>
      </items>
      <autoSortScope>
        <pivotArea dataOnly="0" outline="0" fieldPosition="0">
          <references count="1">
            <reference field="4294967294" count="1" selected="0">
              <x v="0"/>
            </reference>
          </references>
        </pivotArea>
      </autoSortScope>
    </pivotField>
    <pivotField axis="axisPage" multipleItemSelectionAllowed="1" showAll="0">
      <items count="33">
        <item h="1" x="15"/>
        <item h="1" x="14"/>
        <item h="1" x="0"/>
        <item h="1" x="7"/>
        <item h="1" x="12"/>
        <item h="1" x="20"/>
        <item h="1" x="11"/>
        <item h="1" x="22"/>
        <item h="1" x="28"/>
        <item h="1" x="27"/>
        <item h="1" x="29"/>
        <item h="1" x="30"/>
        <item h="1" x="5"/>
        <item h="1" x="21"/>
        <item h="1" x="8"/>
        <item h="1" x="2"/>
        <item h="1" x="18"/>
        <item h="1" x="16"/>
        <item h="1" x="24"/>
        <item h="1" x="4"/>
        <item h="1" x="6"/>
        <item h="1" x="13"/>
        <item h="1" x="25"/>
        <item h="1" x="23"/>
        <item h="1" x="26"/>
        <item h="1" x="17"/>
        <item h="1" x="10"/>
        <item x="3"/>
        <item h="1" x="1"/>
        <item h="1" x="9"/>
        <item h="1" x="19"/>
        <item h="1" x="31"/>
        <item t="default"/>
      </items>
    </pivotField>
    <pivotField showAll="0"/>
    <pivotField showAll="0"/>
    <pivotField showAll="0"/>
    <pivotField showAll="0"/>
    <pivotField showAll="0"/>
    <pivotField axis="axisPage" showAll="0">
      <items count="203">
        <item m="1" x="183"/>
        <item x="171"/>
        <item x="170"/>
        <item x="179"/>
        <item x="162"/>
        <item x="164"/>
        <item x="172"/>
        <item x="159"/>
        <item m="1" x="193"/>
        <item x="167"/>
        <item x="165"/>
        <item x="168"/>
        <item x="174"/>
        <item x="157"/>
        <item x="161"/>
        <item x="160"/>
        <item x="176"/>
        <item m="1" x="190"/>
        <item x="173"/>
        <item x="151"/>
        <item x="144"/>
        <item x="155"/>
        <item x="177"/>
        <item x="178"/>
        <item m="1" x="194"/>
        <item x="150"/>
        <item x="181"/>
        <item x="158"/>
        <item x="175"/>
        <item x="138"/>
        <item x="139"/>
        <item x="110"/>
        <item x="137"/>
        <item x="89"/>
        <item x="169"/>
        <item x="147"/>
        <item x="134"/>
        <item x="163"/>
        <item m="1" x="184"/>
        <item x="148"/>
        <item x="153"/>
        <item m="1" x="195"/>
        <item x="152"/>
        <item x="180"/>
        <item x="141"/>
        <item m="1" x="197"/>
        <item m="1" x="188"/>
        <item x="125"/>
        <item m="1" x="189"/>
        <item x="130"/>
        <item x="182"/>
        <item x="154"/>
        <item x="132"/>
        <item x="117"/>
        <item x="146"/>
        <item x="63"/>
        <item x="156"/>
        <item x="143"/>
        <item x="142"/>
        <item x="120"/>
        <item x="116"/>
        <item x="115"/>
        <item x="95"/>
        <item x="118"/>
        <item x="114"/>
        <item x="100"/>
        <item x="121"/>
        <item x="136"/>
        <item x="111"/>
        <item x="81"/>
        <item x="82"/>
        <item x="98"/>
        <item x="104"/>
        <item x="119"/>
        <item x="135"/>
        <item x="140"/>
        <item x="64"/>
        <item m="1" x="199"/>
        <item x="109"/>
        <item x="96"/>
        <item x="52"/>
        <item x="133"/>
        <item x="105"/>
        <item x="149"/>
        <item x="122"/>
        <item x="128"/>
        <item x="145"/>
        <item x="123"/>
        <item x="166"/>
        <item x="129"/>
        <item x="91"/>
        <item x="126"/>
        <item x="131"/>
        <item x="99"/>
        <item x="97"/>
        <item x="106"/>
        <item x="103"/>
        <item x="102"/>
        <item m="1" x="191"/>
        <item x="68"/>
        <item m="1" x="187"/>
        <item x="65"/>
        <item x="44"/>
        <item x="112"/>
        <item x="108"/>
        <item x="43"/>
        <item x="93"/>
        <item x="92"/>
        <item x="60"/>
        <item x="124"/>
        <item x="77"/>
        <item x="69"/>
        <item x="79"/>
        <item x="55"/>
        <item x="87"/>
        <item x="107"/>
        <item x="80"/>
        <item x="127"/>
        <item m="1" x="185"/>
        <item x="66"/>
        <item x="83"/>
        <item x="85"/>
        <item x="84"/>
        <item x="101"/>
        <item x="73"/>
        <item m="1" x="198"/>
        <item x="113"/>
        <item m="1" x="201"/>
        <item x="32"/>
        <item x="49"/>
        <item x="75"/>
        <item x="94"/>
        <item x="6"/>
        <item x="30"/>
        <item x="36"/>
        <item x="12"/>
        <item x="72"/>
        <item x="45"/>
        <item x="76"/>
        <item x="46"/>
        <item x="71"/>
        <item x="51"/>
        <item x="8"/>
        <item m="1" x="186"/>
        <item x="90"/>
        <item m="1" x="196"/>
        <item m="1" x="192"/>
        <item m="1" x="200"/>
        <item x="56"/>
        <item x="0"/>
        <item x="1"/>
        <item x="2"/>
        <item x="3"/>
        <item x="4"/>
        <item x="5"/>
        <item x="7"/>
        <item x="9"/>
        <item x="10"/>
        <item x="11"/>
        <item x="13"/>
        <item x="14"/>
        <item x="15"/>
        <item x="16"/>
        <item x="17"/>
        <item x="18"/>
        <item x="19"/>
        <item x="20"/>
        <item x="21"/>
        <item x="22"/>
        <item x="23"/>
        <item x="24"/>
        <item x="25"/>
        <item x="26"/>
        <item x="27"/>
        <item x="28"/>
        <item x="29"/>
        <item x="31"/>
        <item x="33"/>
        <item x="34"/>
        <item x="35"/>
        <item x="37"/>
        <item x="38"/>
        <item x="39"/>
        <item x="40"/>
        <item x="41"/>
        <item x="42"/>
        <item x="47"/>
        <item x="48"/>
        <item x="50"/>
        <item x="53"/>
        <item x="54"/>
        <item x="57"/>
        <item x="58"/>
        <item x="59"/>
        <item x="61"/>
        <item x="62"/>
        <item x="67"/>
        <item x="70"/>
        <item x="74"/>
        <item x="78"/>
        <item x="86"/>
        <item x="88"/>
        <item t="default"/>
      </items>
    </pivotField>
    <pivotField showAll="0"/>
    <pivotField showAll="0"/>
    <pivotField axis="axisPage" showAll="0">
      <items count="19">
        <item x="16"/>
        <item x="8"/>
        <item x="14"/>
        <item x="12"/>
        <item x="15"/>
        <item x="13"/>
        <item x="17"/>
        <item x="10"/>
        <item x="9"/>
        <item x="3"/>
        <item x="7"/>
        <item x="2"/>
        <item x="0"/>
        <item x="5"/>
        <item x="1"/>
        <item x="4"/>
        <item x="6"/>
        <item x="11"/>
        <item t="default"/>
      </items>
    </pivotField>
    <pivotField axis="axisPage" showAll="0">
      <items count="46">
        <item x="43"/>
        <item x="41"/>
        <item x="42"/>
        <item x="40"/>
        <item x="39"/>
        <item x="38"/>
        <item x="36"/>
        <item x="37"/>
        <item x="35"/>
        <item x="33"/>
        <item x="34"/>
        <item x="32"/>
        <item x="30"/>
        <item x="27"/>
        <item x="44"/>
        <item x="29"/>
        <item x="20"/>
        <item x="28"/>
        <item x="26"/>
        <item x="31"/>
        <item x="21"/>
        <item x="16"/>
        <item x="22"/>
        <item x="25"/>
        <item x="15"/>
        <item x="19"/>
        <item x="0"/>
        <item x="17"/>
        <item x="10"/>
        <item x="24"/>
        <item x="11"/>
        <item x="12"/>
        <item x="6"/>
        <item x="13"/>
        <item x="23"/>
        <item x="1"/>
        <item x="2"/>
        <item x="3"/>
        <item x="4"/>
        <item x="5"/>
        <item x="7"/>
        <item x="8"/>
        <item x="9"/>
        <item x="14"/>
        <item x="18"/>
        <item t="default"/>
      </items>
    </pivotField>
    <pivotField showAll="0"/>
    <pivotField showAll="0"/>
    <pivotField showAll="0"/>
    <pivotField showAll="0"/>
    <pivotField dataField="1" showAll="0"/>
    <pivotField dataField="1" showAll="0"/>
    <pivotField dataField="1" showAll="0"/>
    <pivotField showAll="0"/>
  </pivotFields>
  <rowFields count="1">
    <field x="0"/>
  </rowFields>
  <rowItems count="15">
    <i>
      <x v="404"/>
    </i>
    <i>
      <x v="212"/>
    </i>
    <i>
      <x v="323"/>
    </i>
    <i>
      <x v="143"/>
    </i>
    <i>
      <x v="389"/>
    </i>
    <i>
      <x v="150"/>
    </i>
    <i>
      <x v="255"/>
    </i>
    <i>
      <x v="357"/>
    </i>
    <i>
      <x v="252"/>
    </i>
    <i>
      <x v="205"/>
    </i>
    <i>
      <x v="386"/>
    </i>
    <i>
      <x v="73"/>
    </i>
    <i>
      <x v="125"/>
    </i>
    <i>
      <x v="44"/>
    </i>
    <i t="grand">
      <x/>
    </i>
  </rowItems>
  <colFields count="1">
    <field x="-2"/>
  </colFields>
  <colItems count="3">
    <i>
      <x/>
    </i>
    <i i="1">
      <x v="1"/>
    </i>
    <i i="2">
      <x v="2"/>
    </i>
  </colItems>
  <pageFields count="4">
    <pageField fld="1" hier="-1"/>
    <pageField fld="11" hier="-1"/>
    <pageField fld="10" hier="-1"/>
    <pageField fld="7" hier="-1"/>
  </pageFields>
  <dataFields count="3">
    <dataField name="Bat AVG" fld="16" subtotal="average" baseField="0" baseItem="0"/>
    <dataField name="On Base %" fld="17" subtotal="average" baseField="0" baseItem="0"/>
    <dataField name="Slugger %" fld="18" subtotal="average" baseField="0" baseItem="0"/>
  </dataFields>
  <formats count="29">
    <format dxfId="1045">
      <pivotArea type="all" dataOnly="0" outline="0" fieldPosition="0"/>
    </format>
    <format dxfId="1044">
      <pivotArea outline="0" collapsedLevelsAreSubtotals="1" fieldPosition="0"/>
    </format>
    <format dxfId="1043">
      <pivotArea field="0" type="button" dataOnly="0" labelOnly="1" outline="0" axis="axisRow" fieldPosition="0"/>
    </format>
    <format dxfId="1042">
      <pivotArea dataOnly="0" labelOnly="1" fieldPosition="0">
        <references count="1">
          <reference field="0" count="50">
            <x v="2"/>
            <x v="5"/>
            <x v="9"/>
            <x v="37"/>
            <x v="44"/>
            <x v="45"/>
            <x v="50"/>
            <x v="54"/>
            <x v="59"/>
            <x v="67"/>
            <x v="78"/>
            <x v="116"/>
            <x v="118"/>
            <x v="130"/>
            <x v="136"/>
            <x v="137"/>
            <x v="147"/>
            <x v="150"/>
            <x v="153"/>
            <x v="163"/>
            <x v="169"/>
            <x v="173"/>
            <x v="187"/>
            <x v="196"/>
            <x v="205"/>
            <x v="213"/>
            <x v="237"/>
            <x v="241"/>
            <x v="248"/>
            <x v="264"/>
            <x v="266"/>
            <x v="272"/>
            <x v="284"/>
            <x v="293"/>
            <x v="294"/>
            <x v="305"/>
            <x v="318"/>
            <x v="319"/>
            <x v="323"/>
            <x v="339"/>
            <x v="349"/>
            <x v="353"/>
            <x v="373"/>
            <x v="376"/>
            <x v="378"/>
            <x v="389"/>
            <x v="394"/>
            <x v="399"/>
            <x v="401"/>
            <x v="408"/>
          </reference>
        </references>
      </pivotArea>
    </format>
    <format dxfId="1041">
      <pivotArea dataOnly="0" labelOnly="1" fieldPosition="0">
        <references count="1">
          <reference field="0" count="50">
            <x v="1"/>
            <x v="4"/>
            <x v="6"/>
            <x v="15"/>
            <x v="16"/>
            <x v="22"/>
            <x v="33"/>
            <x v="60"/>
            <x v="65"/>
            <x v="70"/>
            <x v="71"/>
            <x v="75"/>
            <x v="111"/>
            <x v="122"/>
            <x v="124"/>
            <x v="132"/>
            <x v="139"/>
            <x v="148"/>
            <x v="152"/>
            <x v="172"/>
            <x v="177"/>
            <x v="178"/>
            <x v="179"/>
            <x v="180"/>
            <x v="185"/>
            <x v="197"/>
            <x v="198"/>
            <x v="204"/>
            <x v="211"/>
            <x v="247"/>
            <x v="252"/>
            <x v="257"/>
            <x v="261"/>
            <x v="263"/>
            <x v="276"/>
            <x v="288"/>
            <x v="297"/>
            <x v="306"/>
            <x v="309"/>
            <x v="315"/>
            <x v="328"/>
            <x v="338"/>
            <x v="345"/>
            <x v="351"/>
            <x v="358"/>
            <x v="359"/>
            <x v="377"/>
            <x v="380"/>
            <x v="388"/>
            <x v="404"/>
          </reference>
        </references>
      </pivotArea>
    </format>
    <format dxfId="1040">
      <pivotArea dataOnly="0" labelOnly="1" fieldPosition="0">
        <references count="1">
          <reference field="0" count="50">
            <x v="18"/>
            <x v="25"/>
            <x v="26"/>
            <x v="29"/>
            <x v="39"/>
            <x v="42"/>
            <x v="47"/>
            <x v="52"/>
            <x v="53"/>
            <x v="69"/>
            <x v="77"/>
            <x v="83"/>
            <x v="86"/>
            <x v="93"/>
            <x v="98"/>
            <x v="105"/>
            <x v="109"/>
            <x v="135"/>
            <x v="141"/>
            <x v="143"/>
            <x v="144"/>
            <x v="156"/>
            <x v="167"/>
            <x v="212"/>
            <x v="214"/>
            <x v="215"/>
            <x v="224"/>
            <x v="225"/>
            <x v="231"/>
            <x v="235"/>
            <x v="239"/>
            <x v="242"/>
            <x v="285"/>
            <x v="286"/>
            <x v="290"/>
            <x v="291"/>
            <x v="295"/>
            <x v="322"/>
            <x v="332"/>
            <x v="334"/>
            <x v="341"/>
            <x v="354"/>
            <x v="361"/>
            <x v="370"/>
            <x v="371"/>
            <x v="372"/>
            <x v="385"/>
            <x v="393"/>
            <x v="405"/>
            <x v="406"/>
          </reference>
        </references>
      </pivotArea>
    </format>
    <format dxfId="1039">
      <pivotArea dataOnly="0" labelOnly="1" fieldPosition="0">
        <references count="1">
          <reference field="0" count="50">
            <x v="3"/>
            <x v="10"/>
            <x v="17"/>
            <x v="21"/>
            <x v="24"/>
            <x v="43"/>
            <x v="46"/>
            <x v="58"/>
            <x v="100"/>
            <x v="104"/>
            <x v="106"/>
            <x v="112"/>
            <x v="113"/>
            <x v="114"/>
            <x v="115"/>
            <x v="117"/>
            <x v="121"/>
            <x v="129"/>
            <x v="138"/>
            <x v="170"/>
            <x v="175"/>
            <x v="183"/>
            <x v="192"/>
            <x v="199"/>
            <x v="207"/>
            <x v="217"/>
            <x v="218"/>
            <x v="220"/>
            <x v="221"/>
            <x v="243"/>
            <x v="258"/>
            <x v="281"/>
            <x v="283"/>
            <x v="303"/>
            <x v="308"/>
            <x v="310"/>
            <x v="314"/>
            <x v="316"/>
            <x v="317"/>
            <x v="321"/>
            <x v="326"/>
            <x v="327"/>
            <x v="335"/>
            <x v="362"/>
            <x v="369"/>
            <x v="374"/>
            <x v="375"/>
            <x v="390"/>
            <x v="400"/>
            <x v="407"/>
          </reference>
        </references>
      </pivotArea>
    </format>
    <format dxfId="1038">
      <pivotArea dataOnly="0" labelOnly="1" fieldPosition="0">
        <references count="1">
          <reference field="0" count="50">
            <x v="12"/>
            <x v="13"/>
            <x v="32"/>
            <x v="36"/>
            <x v="40"/>
            <x v="57"/>
            <x v="61"/>
            <x v="72"/>
            <x v="90"/>
            <x v="91"/>
            <x v="96"/>
            <x v="99"/>
            <x v="107"/>
            <x v="119"/>
            <x v="125"/>
            <x v="126"/>
            <x v="127"/>
            <x v="134"/>
            <x v="157"/>
            <x v="160"/>
            <x v="162"/>
            <x v="181"/>
            <x v="190"/>
            <x v="193"/>
            <x v="202"/>
            <x v="203"/>
            <x v="206"/>
            <x v="219"/>
            <x v="223"/>
            <x v="229"/>
            <x v="230"/>
            <x v="234"/>
            <x v="238"/>
            <x v="245"/>
            <x v="254"/>
            <x v="255"/>
            <x v="256"/>
            <x v="260"/>
            <x v="268"/>
            <x v="312"/>
            <x v="320"/>
            <x v="347"/>
            <x v="350"/>
            <x v="352"/>
            <x v="355"/>
            <x v="364"/>
            <x v="383"/>
            <x v="387"/>
            <x v="396"/>
            <x v="403"/>
          </reference>
        </references>
      </pivotArea>
    </format>
    <format dxfId="1037">
      <pivotArea dataOnly="0" labelOnly="1" fieldPosition="0">
        <references count="1">
          <reference field="0" count="50">
            <x v="8"/>
            <x v="11"/>
            <x v="14"/>
            <x v="19"/>
            <x v="31"/>
            <x v="55"/>
            <x v="62"/>
            <x v="63"/>
            <x v="74"/>
            <x v="76"/>
            <x v="79"/>
            <x v="80"/>
            <x v="81"/>
            <x v="95"/>
            <x v="97"/>
            <x v="101"/>
            <x v="123"/>
            <x v="128"/>
            <x v="140"/>
            <x v="142"/>
            <x v="146"/>
            <x v="154"/>
            <x v="155"/>
            <x v="161"/>
            <x v="164"/>
            <x v="165"/>
            <x v="171"/>
            <x v="188"/>
            <x v="201"/>
            <x v="208"/>
            <x v="226"/>
            <x v="232"/>
            <x v="244"/>
            <x v="265"/>
            <x v="270"/>
            <x v="271"/>
            <x v="279"/>
            <x v="287"/>
            <x v="289"/>
            <x v="298"/>
            <x v="301"/>
            <x v="304"/>
            <x v="307"/>
            <x v="313"/>
            <x v="340"/>
            <x v="346"/>
            <x v="357"/>
            <x v="366"/>
            <x v="382"/>
            <x v="398"/>
          </reference>
        </references>
      </pivotArea>
    </format>
    <format dxfId="1036">
      <pivotArea dataOnly="0" labelOnly="1" fieldPosition="0">
        <references count="1">
          <reference field="0" count="50">
            <x v="0"/>
            <x v="27"/>
            <x v="30"/>
            <x v="34"/>
            <x v="35"/>
            <x v="51"/>
            <x v="56"/>
            <x v="66"/>
            <x v="73"/>
            <x v="85"/>
            <x v="87"/>
            <x v="89"/>
            <x v="92"/>
            <x v="94"/>
            <x v="103"/>
            <x v="108"/>
            <x v="110"/>
            <x v="174"/>
            <x v="176"/>
            <x v="184"/>
            <x v="194"/>
            <x v="200"/>
            <x v="209"/>
            <x v="233"/>
            <x v="249"/>
            <x v="250"/>
            <x v="251"/>
            <x v="262"/>
            <x v="275"/>
            <x v="277"/>
            <x v="280"/>
            <x v="292"/>
            <x v="296"/>
            <x v="299"/>
            <x v="300"/>
            <x v="302"/>
            <x v="329"/>
            <x v="330"/>
            <x v="331"/>
            <x v="333"/>
            <x v="336"/>
            <x v="337"/>
            <x v="344"/>
            <x v="348"/>
            <x v="368"/>
            <x v="381"/>
            <x v="391"/>
            <x v="397"/>
            <x v="409"/>
            <x v="410"/>
          </reference>
        </references>
      </pivotArea>
    </format>
    <format dxfId="1035">
      <pivotArea dataOnly="0" labelOnly="1" fieldPosition="0">
        <references count="1">
          <reference field="0" count="50">
            <x v="20"/>
            <x v="23"/>
            <x v="28"/>
            <x v="38"/>
            <x v="41"/>
            <x v="48"/>
            <x v="49"/>
            <x v="64"/>
            <x v="68"/>
            <x v="82"/>
            <x v="84"/>
            <x v="88"/>
            <x v="102"/>
            <x v="120"/>
            <x v="131"/>
            <x v="133"/>
            <x v="149"/>
            <x v="158"/>
            <x v="159"/>
            <x v="166"/>
            <x v="168"/>
            <x v="182"/>
            <x v="186"/>
            <x v="189"/>
            <x v="191"/>
            <x v="195"/>
            <x v="210"/>
            <x v="222"/>
            <x v="227"/>
            <x v="228"/>
            <x v="236"/>
            <x v="253"/>
            <x v="259"/>
            <x v="267"/>
            <x v="269"/>
            <x v="273"/>
            <x v="274"/>
            <x v="278"/>
            <x v="282"/>
            <x v="324"/>
            <x v="342"/>
            <x v="343"/>
            <x v="356"/>
            <x v="360"/>
            <x v="379"/>
            <x v="384"/>
            <x v="386"/>
            <x v="392"/>
            <x v="395"/>
            <x v="411"/>
          </reference>
        </references>
      </pivotArea>
    </format>
    <format dxfId="1034">
      <pivotArea dataOnly="0" labelOnly="1" fieldPosition="0">
        <references count="1">
          <reference field="0" count="13">
            <x v="7"/>
            <x v="145"/>
            <x v="151"/>
            <x v="216"/>
            <x v="240"/>
            <x v="246"/>
            <x v="311"/>
            <x v="325"/>
            <x v="363"/>
            <x v="365"/>
            <x v="367"/>
            <x v="402"/>
            <x v="412"/>
          </reference>
        </references>
      </pivotArea>
    </format>
    <format dxfId="1033">
      <pivotArea dataOnly="0" labelOnly="1" grandRow="1" outline="0" fieldPosition="0"/>
    </format>
    <format dxfId="1032">
      <pivotArea dataOnly="0" labelOnly="1" outline="0" fieldPosition="0">
        <references count="1">
          <reference field="4294967294" count="3">
            <x v="0"/>
            <x v="1"/>
            <x v="2"/>
          </reference>
        </references>
      </pivotArea>
    </format>
    <format dxfId="1031">
      <pivotArea type="all" dataOnly="0" outline="0" fieldPosition="0"/>
    </format>
    <format dxfId="1030">
      <pivotArea outline="0" collapsedLevelsAreSubtotals="1" fieldPosition="0"/>
    </format>
    <format dxfId="1029">
      <pivotArea field="0" type="button" dataOnly="0" labelOnly="1" outline="0" axis="axisRow" fieldPosition="0"/>
    </format>
    <format dxfId="1028">
      <pivotArea dataOnly="0" labelOnly="1" fieldPosition="0">
        <references count="1">
          <reference field="0" count="50">
            <x v="2"/>
            <x v="5"/>
            <x v="9"/>
            <x v="37"/>
            <x v="44"/>
            <x v="45"/>
            <x v="50"/>
            <x v="54"/>
            <x v="59"/>
            <x v="67"/>
            <x v="78"/>
            <x v="116"/>
            <x v="118"/>
            <x v="130"/>
            <x v="136"/>
            <x v="137"/>
            <x v="147"/>
            <x v="150"/>
            <x v="153"/>
            <x v="163"/>
            <x v="169"/>
            <x v="173"/>
            <x v="187"/>
            <x v="196"/>
            <x v="205"/>
            <x v="213"/>
            <x v="237"/>
            <x v="241"/>
            <x v="248"/>
            <x v="264"/>
            <x v="266"/>
            <x v="272"/>
            <x v="284"/>
            <x v="293"/>
            <x v="294"/>
            <x v="305"/>
            <x v="318"/>
            <x v="319"/>
            <x v="323"/>
            <x v="339"/>
            <x v="349"/>
            <x v="353"/>
            <x v="373"/>
            <x v="376"/>
            <x v="378"/>
            <x v="389"/>
            <x v="394"/>
            <x v="399"/>
            <x v="401"/>
            <x v="408"/>
          </reference>
        </references>
      </pivotArea>
    </format>
    <format dxfId="1027">
      <pivotArea dataOnly="0" labelOnly="1" fieldPosition="0">
        <references count="1">
          <reference field="0" count="50">
            <x v="1"/>
            <x v="4"/>
            <x v="6"/>
            <x v="15"/>
            <x v="16"/>
            <x v="22"/>
            <x v="33"/>
            <x v="60"/>
            <x v="65"/>
            <x v="70"/>
            <x v="71"/>
            <x v="75"/>
            <x v="111"/>
            <x v="122"/>
            <x v="124"/>
            <x v="132"/>
            <x v="139"/>
            <x v="148"/>
            <x v="152"/>
            <x v="172"/>
            <x v="177"/>
            <x v="178"/>
            <x v="179"/>
            <x v="180"/>
            <x v="185"/>
            <x v="197"/>
            <x v="198"/>
            <x v="204"/>
            <x v="211"/>
            <x v="247"/>
            <x v="252"/>
            <x v="257"/>
            <x v="261"/>
            <x v="263"/>
            <x v="276"/>
            <x v="288"/>
            <x v="297"/>
            <x v="306"/>
            <x v="309"/>
            <x v="315"/>
            <x v="328"/>
            <x v="338"/>
            <x v="345"/>
            <x v="351"/>
            <x v="358"/>
            <x v="359"/>
            <x v="377"/>
            <x v="380"/>
            <x v="388"/>
            <x v="404"/>
          </reference>
        </references>
      </pivotArea>
    </format>
    <format dxfId="1026">
      <pivotArea dataOnly="0" labelOnly="1" fieldPosition="0">
        <references count="1">
          <reference field="0" count="50">
            <x v="18"/>
            <x v="25"/>
            <x v="26"/>
            <x v="29"/>
            <x v="39"/>
            <x v="42"/>
            <x v="47"/>
            <x v="52"/>
            <x v="53"/>
            <x v="69"/>
            <x v="77"/>
            <x v="83"/>
            <x v="86"/>
            <x v="93"/>
            <x v="98"/>
            <x v="105"/>
            <x v="109"/>
            <x v="135"/>
            <x v="141"/>
            <x v="143"/>
            <x v="144"/>
            <x v="156"/>
            <x v="167"/>
            <x v="212"/>
            <x v="214"/>
            <x v="215"/>
            <x v="224"/>
            <x v="225"/>
            <x v="231"/>
            <x v="235"/>
            <x v="239"/>
            <x v="242"/>
            <x v="285"/>
            <x v="286"/>
            <x v="290"/>
            <x v="291"/>
            <x v="295"/>
            <x v="322"/>
            <x v="332"/>
            <x v="334"/>
            <x v="341"/>
            <x v="354"/>
            <x v="361"/>
            <x v="370"/>
            <x v="371"/>
            <x v="372"/>
            <x v="385"/>
            <x v="393"/>
            <x v="405"/>
            <x v="406"/>
          </reference>
        </references>
      </pivotArea>
    </format>
    <format dxfId="1025">
      <pivotArea dataOnly="0" labelOnly="1" fieldPosition="0">
        <references count="1">
          <reference field="0" count="50">
            <x v="3"/>
            <x v="10"/>
            <x v="17"/>
            <x v="21"/>
            <x v="24"/>
            <x v="43"/>
            <x v="46"/>
            <x v="58"/>
            <x v="100"/>
            <x v="104"/>
            <x v="106"/>
            <x v="112"/>
            <x v="113"/>
            <x v="114"/>
            <x v="115"/>
            <x v="117"/>
            <x v="121"/>
            <x v="129"/>
            <x v="138"/>
            <x v="170"/>
            <x v="175"/>
            <x v="183"/>
            <x v="192"/>
            <x v="199"/>
            <x v="207"/>
            <x v="217"/>
            <x v="218"/>
            <x v="220"/>
            <x v="221"/>
            <x v="243"/>
            <x v="258"/>
            <x v="281"/>
            <x v="283"/>
            <x v="303"/>
            <x v="308"/>
            <x v="310"/>
            <x v="314"/>
            <x v="316"/>
            <x v="317"/>
            <x v="321"/>
            <x v="326"/>
            <x v="327"/>
            <x v="335"/>
            <x v="362"/>
            <x v="369"/>
            <x v="374"/>
            <x v="375"/>
            <x v="390"/>
            <x v="400"/>
            <x v="407"/>
          </reference>
        </references>
      </pivotArea>
    </format>
    <format dxfId="1024">
      <pivotArea dataOnly="0" labelOnly="1" fieldPosition="0">
        <references count="1">
          <reference field="0" count="50">
            <x v="12"/>
            <x v="13"/>
            <x v="32"/>
            <x v="36"/>
            <x v="40"/>
            <x v="57"/>
            <x v="61"/>
            <x v="72"/>
            <x v="90"/>
            <x v="91"/>
            <x v="96"/>
            <x v="99"/>
            <x v="107"/>
            <x v="119"/>
            <x v="125"/>
            <x v="126"/>
            <x v="127"/>
            <x v="134"/>
            <x v="157"/>
            <x v="160"/>
            <x v="162"/>
            <x v="181"/>
            <x v="190"/>
            <x v="193"/>
            <x v="202"/>
            <x v="203"/>
            <x v="206"/>
            <x v="219"/>
            <x v="223"/>
            <x v="229"/>
            <x v="230"/>
            <x v="234"/>
            <x v="238"/>
            <x v="245"/>
            <x v="254"/>
            <x v="255"/>
            <x v="256"/>
            <x v="260"/>
            <x v="268"/>
            <x v="312"/>
            <x v="320"/>
            <x v="347"/>
            <x v="350"/>
            <x v="352"/>
            <x v="355"/>
            <x v="364"/>
            <x v="383"/>
            <x v="387"/>
            <x v="396"/>
            <x v="403"/>
          </reference>
        </references>
      </pivotArea>
    </format>
    <format dxfId="1023">
      <pivotArea dataOnly="0" labelOnly="1" fieldPosition="0">
        <references count="1">
          <reference field="0" count="50">
            <x v="8"/>
            <x v="11"/>
            <x v="14"/>
            <x v="19"/>
            <x v="31"/>
            <x v="55"/>
            <x v="62"/>
            <x v="63"/>
            <x v="74"/>
            <x v="76"/>
            <x v="79"/>
            <x v="80"/>
            <x v="81"/>
            <x v="95"/>
            <x v="97"/>
            <x v="101"/>
            <x v="123"/>
            <x v="128"/>
            <x v="140"/>
            <x v="142"/>
            <x v="146"/>
            <x v="154"/>
            <x v="155"/>
            <x v="161"/>
            <x v="164"/>
            <x v="165"/>
            <x v="171"/>
            <x v="188"/>
            <x v="201"/>
            <x v="208"/>
            <x v="226"/>
            <x v="232"/>
            <x v="244"/>
            <x v="265"/>
            <x v="270"/>
            <x v="271"/>
            <x v="279"/>
            <x v="287"/>
            <x v="289"/>
            <x v="298"/>
            <x v="301"/>
            <x v="304"/>
            <x v="307"/>
            <x v="313"/>
            <x v="340"/>
            <x v="346"/>
            <x v="357"/>
            <x v="366"/>
            <x v="382"/>
            <x v="398"/>
          </reference>
        </references>
      </pivotArea>
    </format>
    <format dxfId="1022">
      <pivotArea dataOnly="0" labelOnly="1" fieldPosition="0">
        <references count="1">
          <reference field="0" count="50">
            <x v="0"/>
            <x v="27"/>
            <x v="30"/>
            <x v="34"/>
            <x v="35"/>
            <x v="51"/>
            <x v="56"/>
            <x v="66"/>
            <x v="73"/>
            <x v="85"/>
            <x v="87"/>
            <x v="89"/>
            <x v="92"/>
            <x v="94"/>
            <x v="103"/>
            <x v="108"/>
            <x v="110"/>
            <x v="174"/>
            <x v="176"/>
            <x v="184"/>
            <x v="194"/>
            <x v="200"/>
            <x v="209"/>
            <x v="233"/>
            <x v="249"/>
            <x v="250"/>
            <x v="251"/>
            <x v="262"/>
            <x v="275"/>
            <x v="277"/>
            <x v="280"/>
            <x v="292"/>
            <x v="296"/>
            <x v="299"/>
            <x v="300"/>
            <x v="302"/>
            <x v="329"/>
            <x v="330"/>
            <x v="331"/>
            <x v="333"/>
            <x v="336"/>
            <x v="337"/>
            <x v="344"/>
            <x v="348"/>
            <x v="368"/>
            <x v="381"/>
            <x v="391"/>
            <x v="397"/>
            <x v="409"/>
            <x v="410"/>
          </reference>
        </references>
      </pivotArea>
    </format>
    <format dxfId="1021">
      <pivotArea dataOnly="0" labelOnly="1" fieldPosition="0">
        <references count="1">
          <reference field="0" count="50">
            <x v="20"/>
            <x v="23"/>
            <x v="28"/>
            <x v="38"/>
            <x v="41"/>
            <x v="48"/>
            <x v="49"/>
            <x v="64"/>
            <x v="68"/>
            <x v="82"/>
            <x v="84"/>
            <x v="88"/>
            <x v="102"/>
            <x v="120"/>
            <x v="131"/>
            <x v="133"/>
            <x v="149"/>
            <x v="158"/>
            <x v="159"/>
            <x v="166"/>
            <x v="168"/>
            <x v="182"/>
            <x v="186"/>
            <x v="189"/>
            <x v="191"/>
            <x v="195"/>
            <x v="210"/>
            <x v="222"/>
            <x v="227"/>
            <x v="228"/>
            <x v="236"/>
            <x v="253"/>
            <x v="259"/>
            <x v="267"/>
            <x v="269"/>
            <x v="273"/>
            <x v="274"/>
            <x v="278"/>
            <x v="282"/>
            <x v="324"/>
            <x v="342"/>
            <x v="343"/>
            <x v="356"/>
            <x v="360"/>
            <x v="379"/>
            <x v="384"/>
            <x v="386"/>
            <x v="392"/>
            <x v="395"/>
            <x v="411"/>
          </reference>
        </references>
      </pivotArea>
    </format>
    <format dxfId="1020">
      <pivotArea dataOnly="0" labelOnly="1" fieldPosition="0">
        <references count="1">
          <reference field="0" count="13">
            <x v="7"/>
            <x v="145"/>
            <x v="151"/>
            <x v="216"/>
            <x v="240"/>
            <x v="246"/>
            <x v="311"/>
            <x v="325"/>
            <x v="363"/>
            <x v="365"/>
            <x v="367"/>
            <x v="402"/>
            <x v="412"/>
          </reference>
        </references>
      </pivotArea>
    </format>
    <format dxfId="1019">
      <pivotArea dataOnly="0" labelOnly="1" grandRow="1" outline="0" fieldPosition="0"/>
    </format>
    <format dxfId="1018">
      <pivotArea dataOnly="0" labelOnly="1" outline="0" fieldPosition="0">
        <references count="1">
          <reference field="4294967294" count="3">
            <x v="0"/>
            <x v="1"/>
            <x v="2"/>
          </reference>
        </references>
      </pivotArea>
    </format>
    <format dxfId="1017">
      <pivotArea grandRow="1" outline="0" collapsedLevelsAreSubtotals="1" fieldPosition="0"/>
    </format>
  </formats>
  <chartFormats count="3">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1B71E30-12DD-45F1-806F-C3D4E4FA67FE}" name="PivotTable2" cacheId="4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N3:R21" firstHeaderRow="0" firstDataRow="1" firstDataCol="1" rowPageCount="1" colPageCount="1"/>
  <pivotFields count="20">
    <pivotField axis="axisRow" showAll="0" sortType="descending">
      <items count="513">
        <item x="385"/>
        <item x="8"/>
        <item x="189"/>
        <item x="68"/>
        <item x="76"/>
        <item x="1"/>
        <item x="303"/>
        <item x="248"/>
        <item x="339"/>
        <item x="72"/>
        <item x="252"/>
        <item x="394"/>
        <item x="277"/>
        <item x="291"/>
        <item x="120"/>
        <item x="196"/>
        <item x="57"/>
        <item x="190"/>
        <item x="180"/>
        <item x="159"/>
        <item x="273"/>
        <item x="83"/>
        <item x="118"/>
        <item x="449"/>
        <item x="149"/>
        <item x="21"/>
        <item x="82"/>
        <item x="85"/>
        <item x="487"/>
        <item x="94"/>
        <item x="389"/>
        <item x="473"/>
        <item x="444"/>
        <item x="84"/>
        <item x="387"/>
        <item x="347"/>
        <item x="178"/>
        <item x="11"/>
        <item x="471"/>
        <item x="47"/>
        <item x="400"/>
        <item x="264"/>
        <item x="311"/>
        <item x="464"/>
        <item x="131"/>
        <item x="116"/>
        <item x="137"/>
        <item x="79"/>
        <item x="175"/>
        <item x="50"/>
        <item x="414"/>
        <item x="88"/>
        <item x="472"/>
        <item x="203"/>
        <item x="106"/>
        <item x="44"/>
        <item x="429"/>
        <item x="92"/>
        <item x="367"/>
        <item x="46"/>
        <item x="169"/>
        <item x="96"/>
        <item x="496"/>
        <item x="445"/>
        <item x="200"/>
        <item x="241"/>
        <item x="153"/>
        <item x="361"/>
        <item x="9"/>
        <item x="443"/>
        <item x="140"/>
        <item x="282"/>
        <item x="164"/>
        <item x="275"/>
        <item x="147"/>
        <item x="299"/>
        <item x="36"/>
        <item x="26"/>
        <item x="105"/>
        <item x="49"/>
        <item x="366"/>
        <item x="132"/>
        <item x="192"/>
        <item x="497"/>
        <item x="23"/>
        <item x="395"/>
        <item x="181"/>
        <item x="198"/>
        <item x="376"/>
        <item x="480"/>
        <item x="295"/>
        <item x="144"/>
        <item x="100"/>
        <item x="476"/>
        <item x="425"/>
        <item x="101"/>
        <item x="460"/>
        <item x="499"/>
        <item x="424"/>
        <item x="269"/>
        <item x="329"/>
        <item x="163"/>
        <item x="209"/>
        <item x="353"/>
        <item x="279"/>
        <item x="197"/>
        <item x="244"/>
        <item x="348"/>
        <item x="258"/>
        <item x="193"/>
        <item x="462"/>
        <item x="507"/>
        <item x="364"/>
        <item x="505"/>
        <item x="65"/>
        <item x="228"/>
        <item x="288"/>
        <item x="171"/>
        <item x="237"/>
        <item x="305"/>
        <item x="19"/>
        <item x="145"/>
        <item x="243"/>
        <item x="77"/>
        <item x="208"/>
        <item x="331"/>
        <item x="201"/>
        <item x="60"/>
        <item x="309"/>
        <item x="383"/>
        <item x="3"/>
        <item x="373"/>
        <item x="167"/>
        <item x="254"/>
        <item x="296"/>
        <item x="297"/>
        <item x="402"/>
        <item x="199"/>
        <item x="61"/>
        <item x="70"/>
        <item x="266"/>
        <item x="143"/>
        <item x="34"/>
        <item x="202"/>
        <item x="286"/>
        <item x="289"/>
        <item x="97"/>
        <item x="162"/>
        <item x="486"/>
        <item x="340"/>
        <item x="54"/>
        <item x="121"/>
        <item x="335"/>
        <item x="62"/>
        <item x="284"/>
        <item x="91"/>
        <item x="73"/>
        <item x="158"/>
        <item x="123"/>
        <item x="249"/>
        <item x="133"/>
        <item x="442"/>
        <item x="438"/>
        <item x="114"/>
        <item x="345"/>
        <item x="195"/>
        <item x="71"/>
        <item x="365"/>
        <item x="416"/>
        <item x="219"/>
        <item x="265"/>
        <item x="349"/>
        <item x="52"/>
        <item x="31"/>
        <item x="259"/>
        <item x="220"/>
        <item x="357"/>
        <item x="150"/>
        <item x="89"/>
        <item x="391"/>
        <item x="165"/>
        <item x="142"/>
        <item x="87"/>
        <item x="328"/>
        <item x="290"/>
        <item x="236"/>
        <item x="104"/>
        <item x="447"/>
        <item x="211"/>
        <item x="369"/>
        <item x="111"/>
        <item x="138"/>
        <item x="457"/>
        <item x="206"/>
        <item x="151"/>
        <item x="43"/>
        <item x="39"/>
        <item x="456"/>
        <item x="491"/>
        <item x="262"/>
        <item x="41"/>
        <item x="33"/>
        <item x="318"/>
        <item x="363"/>
        <item x="285"/>
        <item x="326"/>
        <item x="287"/>
        <item x="67"/>
        <item x="110"/>
        <item x="263"/>
        <item x="268"/>
        <item x="463"/>
        <item x="315"/>
        <item x="417"/>
        <item x="20"/>
        <item x="6"/>
        <item x="119"/>
        <item x="157"/>
        <item x="58"/>
        <item x="380"/>
        <item x="64"/>
        <item x="148"/>
        <item x="107"/>
        <item x="166"/>
        <item x="225"/>
        <item x="313"/>
        <item x="75"/>
        <item x="113"/>
        <item x="231"/>
        <item x="213"/>
        <item x="350"/>
        <item x="272"/>
        <item x="430"/>
        <item x="152"/>
        <item x="215"/>
        <item x="398"/>
        <item x="307"/>
        <item x="342"/>
        <item x="459"/>
        <item x="115"/>
        <item x="508"/>
        <item x="51"/>
        <item x="130"/>
        <item x="35"/>
        <item x="102"/>
        <item x="504"/>
        <item x="129"/>
        <item x="239"/>
        <item x="32"/>
        <item x="103"/>
        <item x="381"/>
        <item x="154"/>
        <item x="393"/>
        <item x="229"/>
        <item x="17"/>
        <item x="399"/>
        <item x="492"/>
        <item x="283"/>
        <item x="95"/>
        <item x="392"/>
        <item x="172"/>
        <item x="194"/>
        <item x="155"/>
        <item x="2"/>
        <item x="222"/>
        <item x="388"/>
        <item x="302"/>
        <item x="48"/>
        <item x="470"/>
        <item x="240"/>
        <item x="53"/>
        <item x="325"/>
        <item x="15"/>
        <item x="223"/>
        <item x="184"/>
        <item x="469"/>
        <item x="139"/>
        <item x="212"/>
        <item x="30"/>
        <item x="490"/>
        <item x="168"/>
        <item x="450"/>
        <item x="81"/>
        <item x="378"/>
        <item x="253"/>
        <item x="506"/>
        <item x="421"/>
        <item x="136"/>
        <item x="332"/>
        <item x="280"/>
        <item x="27"/>
        <item x="186"/>
        <item x="338"/>
        <item x="453"/>
        <item x="354"/>
        <item x="187"/>
        <item x="24"/>
        <item x="216"/>
        <item x="510"/>
        <item x="42"/>
        <item x="247"/>
        <item x="321"/>
        <item x="292"/>
        <item x="423"/>
        <item x="55"/>
        <item x="301"/>
        <item x="358"/>
        <item x="294"/>
        <item x="278"/>
        <item x="232"/>
        <item x="117"/>
        <item x="371"/>
        <item x="37"/>
        <item x="40"/>
        <item x="12"/>
        <item x="401"/>
        <item x="333"/>
        <item x="183"/>
        <item x="351"/>
        <item x="426"/>
        <item x="221"/>
        <item x="127"/>
        <item x="63"/>
        <item x="74"/>
        <item x="13"/>
        <item x="217"/>
        <item x="5"/>
        <item x="18"/>
        <item x="251"/>
        <item x="246"/>
        <item x="227"/>
        <item x="4"/>
        <item x="306"/>
        <item x="323"/>
        <item x="78"/>
        <item x="230"/>
        <item x="122"/>
        <item x="458"/>
        <item x="185"/>
        <item x="377"/>
        <item x="0"/>
        <item x="316"/>
        <item x="69"/>
        <item x="293"/>
        <item x="495"/>
        <item x="304"/>
        <item x="176"/>
        <item x="28"/>
        <item x="174"/>
        <item x="322"/>
        <item x="38"/>
        <item x="404"/>
        <item x="250"/>
        <item x="418"/>
        <item x="344"/>
        <item x="22"/>
        <item x="368"/>
        <item x="420"/>
        <item x="161"/>
        <item x="10"/>
        <item x="99"/>
        <item x="191"/>
        <item x="146"/>
        <item x="128"/>
        <item x="271"/>
        <item x="245"/>
        <item x="488"/>
        <item x="66"/>
        <item x="160"/>
        <item x="98"/>
        <item x="356"/>
        <item x="25"/>
        <item x="257"/>
        <item x="408"/>
        <item x="135"/>
        <item x="382"/>
        <item x="479"/>
        <item x="56"/>
        <item x="466"/>
        <item x="310"/>
        <item x="390"/>
        <item x="330"/>
        <item x="226"/>
        <item x="324"/>
        <item x="124"/>
        <item x="281"/>
        <item x="156"/>
        <item x="205"/>
        <item x="233"/>
        <item x="455"/>
        <item x="126"/>
        <item x="427"/>
        <item x="465"/>
        <item x="320"/>
        <item x="179"/>
        <item x="370"/>
        <item x="334"/>
        <item x="214"/>
        <item x="407"/>
        <item x="86"/>
        <item x="29"/>
        <item x="14"/>
        <item x="59"/>
        <item x="308"/>
        <item x="509"/>
        <item x="267"/>
        <item x="45"/>
        <item x="234"/>
        <item x="207"/>
        <item x="336"/>
        <item x="109"/>
        <item x="93"/>
        <item x="204"/>
        <item x="80"/>
        <item x="359"/>
        <item x="125"/>
        <item x="16"/>
        <item x="182"/>
        <item x="274"/>
        <item x="337"/>
        <item x="7"/>
        <item x="360"/>
        <item x="235"/>
        <item x="177"/>
        <item x="511"/>
        <item x="134"/>
        <item x="112"/>
        <item x="327"/>
        <item x="300"/>
        <item x="413"/>
        <item x="435"/>
        <item x="210"/>
        <item x="255"/>
        <item x="441"/>
        <item x="276"/>
        <item x="218"/>
        <item x="436"/>
        <item x="483"/>
        <item x="485"/>
        <item x="454"/>
        <item x="261"/>
        <item x="375"/>
        <item x="141"/>
        <item x="433"/>
        <item x="188"/>
        <item x="90"/>
        <item x="498"/>
        <item x="314"/>
        <item x="379"/>
        <item x="362"/>
        <item x="317"/>
        <item x="170"/>
        <item x="397"/>
        <item x="270"/>
        <item x="406"/>
        <item x="352"/>
        <item x="346"/>
        <item x="256"/>
        <item x="410"/>
        <item x="405"/>
        <item x="242"/>
        <item x="461"/>
        <item x="298"/>
        <item x="478"/>
        <item x="173"/>
        <item x="484"/>
        <item x="412"/>
        <item x="489"/>
        <item x="501"/>
        <item x="372"/>
        <item x="224"/>
        <item x="502"/>
        <item x="386"/>
        <item x="343"/>
        <item x="431"/>
        <item x="355"/>
        <item x="374"/>
        <item x="503"/>
        <item x="312"/>
        <item x="422"/>
        <item x="419"/>
        <item x="500"/>
        <item x="493"/>
        <item x="446"/>
        <item x="108"/>
        <item x="238"/>
        <item x="260"/>
        <item x="319"/>
        <item x="341"/>
        <item x="384"/>
        <item x="396"/>
        <item x="403"/>
        <item x="409"/>
        <item x="411"/>
        <item x="415"/>
        <item x="428"/>
        <item x="432"/>
        <item x="434"/>
        <item x="437"/>
        <item x="439"/>
        <item x="440"/>
        <item x="448"/>
        <item x="451"/>
        <item x="452"/>
        <item x="467"/>
        <item x="468"/>
        <item x="474"/>
        <item x="475"/>
        <item x="477"/>
        <item x="481"/>
        <item x="482"/>
        <item x="494"/>
        <item t="default"/>
      </items>
      <autoSortScope>
        <pivotArea dataOnly="0" outline="0" fieldPosition="0">
          <references count="1">
            <reference field="4294967294" count="1" selected="0">
              <x v="0"/>
            </reference>
          </references>
        </pivotArea>
      </autoSortScope>
    </pivotField>
    <pivotField axis="axisPage" showAll="0">
      <items count="33">
        <item x="15"/>
        <item x="14"/>
        <item x="0"/>
        <item x="7"/>
        <item x="12"/>
        <item x="20"/>
        <item x="11"/>
        <item x="22"/>
        <item x="28"/>
        <item x="27"/>
        <item x="29"/>
        <item x="30"/>
        <item x="5"/>
        <item x="21"/>
        <item x="8"/>
        <item x="2"/>
        <item x="18"/>
        <item x="16"/>
        <item x="24"/>
        <item x="4"/>
        <item x="6"/>
        <item x="13"/>
        <item x="25"/>
        <item x="23"/>
        <item x="26"/>
        <item x="17"/>
        <item x="10"/>
        <item x="3"/>
        <item x="1"/>
        <item x="9"/>
        <item x="19"/>
        <item x="31"/>
        <item t="default"/>
      </items>
    </pivotField>
    <pivotField showAll="0"/>
    <pivotField showAll="0"/>
    <pivotField showAll="0"/>
    <pivotField dataField="1" showAll="0"/>
    <pivotField showAll="0"/>
    <pivotField dataField="1" showAll="0"/>
    <pivotField showAll="0"/>
    <pivotField dataField="1" showAll="0"/>
    <pivotField showAll="0"/>
    <pivotField dataField="1" showAll="0"/>
    <pivotField showAll="0"/>
    <pivotField showAll="0"/>
    <pivotField showAll="0"/>
    <pivotField showAll="0"/>
    <pivotField showAll="0"/>
    <pivotField showAll="0"/>
    <pivotField showAll="0"/>
    <pivotField showAll="0"/>
  </pivotFields>
  <rowFields count="1">
    <field x="0"/>
  </rowFields>
  <rowItems count="18">
    <i>
      <x v="411"/>
    </i>
    <i>
      <x v="77"/>
    </i>
    <i>
      <x v="51"/>
    </i>
    <i>
      <x v="342"/>
    </i>
    <i>
      <x v="193"/>
    </i>
    <i>
      <x v="408"/>
    </i>
    <i>
      <x v="53"/>
    </i>
    <i>
      <x v="321"/>
    </i>
    <i>
      <x v="183"/>
    </i>
    <i>
      <x v="259"/>
    </i>
    <i>
      <x v="288"/>
    </i>
    <i>
      <x v="135"/>
    </i>
    <i>
      <x v="469"/>
    </i>
    <i>
      <x v="396"/>
    </i>
    <i>
      <x v="94"/>
    </i>
    <i>
      <x v="446"/>
    </i>
    <i>
      <x v="256"/>
    </i>
    <i t="grand">
      <x/>
    </i>
  </rowItems>
  <colFields count="1">
    <field x="-2"/>
  </colFields>
  <colItems count="4">
    <i>
      <x/>
    </i>
    <i i="1">
      <x v="1"/>
    </i>
    <i i="2">
      <x v="2"/>
    </i>
    <i i="3">
      <x v="3"/>
    </i>
  </colItems>
  <pageFields count="1">
    <pageField fld="1" item="17" hier="-1"/>
  </pageFields>
  <dataFields count="4">
    <dataField name="AB " fld="7" baseField="0" baseItem="0"/>
    <dataField name="GP" fld="5" baseField="0" baseItem="0"/>
    <dataField name="H " fld="9" baseField="0" baseItem="0"/>
    <dataField name="RBI " fld="11" baseField="0" baseItem="0"/>
  </dataFields>
  <formats count="4">
    <format dxfId="1049">
      <pivotArea outline="0" collapsedLevelsAreSubtotals="1" fieldPosition="0">
        <references count="1">
          <reference field="4294967294" count="3" selected="0">
            <x v="1"/>
            <x v="2"/>
            <x v="3"/>
          </reference>
        </references>
      </pivotArea>
    </format>
    <format dxfId="1048">
      <pivotArea dataOnly="0" labelOnly="1" outline="0" fieldPosition="0">
        <references count="1">
          <reference field="4294967294" count="3">
            <x v="1"/>
            <x v="2"/>
            <x v="3"/>
          </reference>
        </references>
      </pivotArea>
    </format>
    <format dxfId="1047">
      <pivotArea outline="0" collapsedLevelsAreSubtotals="1" fieldPosition="0">
        <references count="1">
          <reference field="4294967294" count="3" selected="0">
            <x v="1"/>
            <x v="2"/>
            <x v="3"/>
          </reference>
        </references>
      </pivotArea>
    </format>
    <format dxfId="1046">
      <pivotArea dataOnly="0" labelOnly="1" outline="0" fieldPosition="0">
        <references count="1">
          <reference field="4294967294" count="3">
            <x v="1"/>
            <x v="2"/>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5897A18-1A14-464D-9E55-C9FBF4B5B1AB}" name="PivotTable2" cacheId="4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2:K33" firstHeaderRow="0" firstDataRow="1" firstDataCol="1"/>
  <pivotFields count="5">
    <pivotField dataField="1" showAll="0"/>
    <pivotField showAll="0"/>
    <pivotField axis="axisRow" showAll="0">
      <items count="32">
        <item x="1"/>
        <item x="2"/>
        <item x="24"/>
        <item x="21"/>
        <item x="9"/>
        <item x="17"/>
        <item x="19"/>
        <item x="18"/>
        <item x="26"/>
        <item x="10"/>
        <item x="8"/>
        <item x="27"/>
        <item x="20"/>
        <item x="11"/>
        <item x="16"/>
        <item x="23"/>
        <item x="0"/>
        <item x="28"/>
        <item x="14"/>
        <item m="1" x="30"/>
        <item x="7"/>
        <item x="5"/>
        <item x="15"/>
        <item x="13"/>
        <item x="6"/>
        <item x="22"/>
        <item x="12"/>
        <item x="3"/>
        <item x="4"/>
        <item x="25"/>
        <item x="29"/>
        <item t="default"/>
      </items>
    </pivotField>
    <pivotField showAll="0"/>
    <pivotField dataField="1" showAll="0"/>
  </pivotFields>
  <rowFields count="1">
    <field x="2"/>
  </rowFields>
  <rowItems count="31">
    <i>
      <x/>
    </i>
    <i>
      <x v="1"/>
    </i>
    <i>
      <x v="2"/>
    </i>
    <i>
      <x v="3"/>
    </i>
    <i>
      <x v="4"/>
    </i>
    <i>
      <x v="5"/>
    </i>
    <i>
      <x v="6"/>
    </i>
    <i>
      <x v="7"/>
    </i>
    <i>
      <x v="8"/>
    </i>
    <i>
      <x v="9"/>
    </i>
    <i>
      <x v="10"/>
    </i>
    <i>
      <x v="11"/>
    </i>
    <i>
      <x v="12"/>
    </i>
    <i>
      <x v="13"/>
    </i>
    <i>
      <x v="14"/>
    </i>
    <i>
      <x v="15"/>
    </i>
    <i>
      <x v="16"/>
    </i>
    <i>
      <x v="17"/>
    </i>
    <i>
      <x v="18"/>
    </i>
    <i>
      <x v="20"/>
    </i>
    <i>
      <x v="21"/>
    </i>
    <i>
      <x v="22"/>
    </i>
    <i>
      <x v="23"/>
    </i>
    <i>
      <x v="24"/>
    </i>
    <i>
      <x v="25"/>
    </i>
    <i>
      <x v="26"/>
    </i>
    <i>
      <x v="27"/>
    </i>
    <i>
      <x v="28"/>
    </i>
    <i>
      <x v="29"/>
    </i>
    <i>
      <x v="30"/>
    </i>
    <i t="grand">
      <x/>
    </i>
  </rowItems>
  <colFields count="1">
    <field x="-2"/>
  </colFields>
  <colItems count="2">
    <i>
      <x/>
    </i>
    <i i="1">
      <x v="1"/>
    </i>
  </colItems>
  <dataFields count="2">
    <dataField name="AVG Value" fld="4" subtotal="average" baseField="0" baseItem="0"/>
    <dataField name="AVG Rank" fld="0" subtotal="average" baseField="0" baseItem="0"/>
  </dataFields>
  <formats count="1">
    <format dxfId="10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1" connectionId="39" xr16:uid="{529219F3-EACC-4671-83AA-CFC5C45257BB}"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0" connectionId="38" xr16:uid="{192A176A-684D-4696-8E3F-019A3A4AB5A3}"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9" connectionId="36" xr16:uid="{2105A54E-39C7-43FE-AF32-6D35285B2D68}"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8" connectionId="34" xr16:uid="{50EFB5D6-23C2-4CD0-98A5-7E2D6CD6FF7F}"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7" connectionId="33" xr16:uid="{0EA51480-0CB7-4AAA-8445-E003BDFDC73D}"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6" connectionId="31" xr16:uid="{222724A9-C77A-47CB-B96E-23BA46386911}"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2" connectionId="12" xr16:uid="{2E08903D-E810-4C95-B3F9-EDD5AB1605C1}"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5" connectionId="16" xr16:uid="{EEBC4706-131C-4D6A-AB00-135DE91F8D91}"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4" connectionId="15" xr16:uid="{C434DEC4-6554-4937-AEC3-0E264608F628}"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0" connectionId="14" xr16:uid="{C5C48EAF-7533-4169-8B07-D034127FC705}"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1" connectionId="19" xr16:uid="{D0AB34D3-B006-4785-9DA0-1F02EAD85AEA}"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4" connectionId="4" xr16:uid="{BA9B156F-61CD-4E60-8116-BDF10F57E216}"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3" connectionId="3" xr16:uid="{3CE9B40B-A8C0-42CC-B7CB-25A164D18E52}"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0" connectionId="10" xr16:uid="{D760D2E6-4E0E-4A03-BD07-9E097BFDABD7}"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44" xr16:uid="{BC442C5C-5C5D-4761-81B1-4CDA2B8788DC}"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24" connectionId="23" xr16:uid="{F3E00E6B-C985-42BE-8765-48271819A7AA}"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25" connectionId="30" xr16:uid="{766AF8D9-C8CB-48AF-99B5-4BBC3CFB2ECC}"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6" connectionId="6" xr16:uid="{D10517EE-8C17-40C4-9107-734BB4A821DF}"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5" connectionId="5" xr16:uid="{AFCAA107-DC90-452F-A372-85A6730DD2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23" connectionId="21" xr16:uid="{4BD2AE3F-3FD9-4BCE-98F2-F213DCE8ED4F}"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connectionId="43" xr16:uid="{43B24276-FDA2-4D1B-BF7E-A42C8FCC562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8" connectionId="28" xr16:uid="{CDAEA776-6765-4124-9E63-F71E0DD562F6}"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1" connectionId="11" xr16:uid="{C1422815-E48E-4DB4-8D36-B504F850558C}"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22" connectionId="20" xr16:uid="{C00AC250-9907-4CBF-B308-B15724D39E1F}"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7" connectionId="7" xr16:uid="{CF9349DE-829A-431A-9A87-3ECAA5A57088}"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9" connectionId="9" xr16:uid="{6B587655-99DA-4A43-8ABC-375CB8F107FA}"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6" connectionId="17" xr16:uid="{6401CD3A-1DCB-4578-9089-312E7E88C107}"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7" connectionId="27" xr16:uid="{CBE37C8F-AA8E-498B-B3E9-BAC794B4E86B}"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9" connectionId="29" xr16:uid="{E561B120-F856-4D04-981A-1B6B30AAA23A}"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8" connectionId="8" xr16:uid="{5C1BB420-2E30-4097-A443-8FAB7D4DAC46}"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6" connectionId="25" xr16:uid="{C4F005B8-BF1F-4B4C-9A07-EC8977F40163}"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4" connectionId="22" xr16:uid="{AA443FD2-D7DF-4B0F-AF6C-86631F08DDF7}"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CurStreak.py?EndDate=04%2F13%2F2023" connectionId="32" xr16:uid="{3AEE00E4-F8AC-4600-BE54-E4ACFBFCDDEB}"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mlbhittingstats" connectionId="26" xr16:uid="{9ABDA72B-777E-4BB6-A263-9C53B076BD3E}"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mlbpitchingstats" connectionId="18" xr16:uid="{C2F894E7-4909-45EB-8D06-53750A910D8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ou_trends" connectionId="13" xr16:uid="{27E96088-02C9-4A26-9E12-19BAB0D6A2D9}"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ats_trends" connectionId="2" xr16:uid="{82ED4100-0D32-4EEB-BCC0-96C399CF1C8C}"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win_trends" connectionId="1" xr16:uid="{CF6477CC-DA43-4F5E-A1D6-B53791E1E4D9}"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run-differential" connectionId="40" xr16:uid="{E23349BB-85F1-4E27-8DAB-07B75BA31975}"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left-on-base-per-game" connectionId="35" xr16:uid="{F4C7E8D9-A782-427F-A06E-8113EF2B22DB}"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arned-run-average" connectionId="41" xr16:uid="{07DDE2FE-D57F-482F-B0AE-D51363D4C083}"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fielding-independent-pitching" connectionId="24" xr16:uid="{18C1FBEC-4233-4A00-8727-7CA679BD5311}"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lineups" connectionId="42" xr16:uid="{35698854-A16C-4A9F-8734-556CCCE9F179}"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probable-pitchers" connectionId="37" xr16:uid="{BA9570DA-240A-4AD9-9D8B-CE8D96EFAB8F}"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8" Type="http://schemas.openxmlformats.org/officeDocument/2006/relationships/queryTable" Target="../queryTables/queryTable6.xml"/><Relationship Id="rId13" Type="http://schemas.openxmlformats.org/officeDocument/2006/relationships/queryTable" Target="../queryTables/queryTable11.xml"/><Relationship Id="rId18" Type="http://schemas.openxmlformats.org/officeDocument/2006/relationships/queryTable" Target="../queryTables/queryTable16.xml"/><Relationship Id="rId26" Type="http://schemas.openxmlformats.org/officeDocument/2006/relationships/queryTable" Target="../queryTables/queryTable24.xml"/><Relationship Id="rId3" Type="http://schemas.openxmlformats.org/officeDocument/2006/relationships/queryTable" Target="../queryTables/queryTable1.xml"/><Relationship Id="rId21" Type="http://schemas.openxmlformats.org/officeDocument/2006/relationships/queryTable" Target="../queryTables/queryTable19.xml"/><Relationship Id="rId7" Type="http://schemas.openxmlformats.org/officeDocument/2006/relationships/queryTable" Target="../queryTables/queryTable5.xml"/><Relationship Id="rId12" Type="http://schemas.openxmlformats.org/officeDocument/2006/relationships/queryTable" Target="../queryTables/queryTable10.xml"/><Relationship Id="rId17" Type="http://schemas.openxmlformats.org/officeDocument/2006/relationships/queryTable" Target="../queryTables/queryTable15.xml"/><Relationship Id="rId25" Type="http://schemas.openxmlformats.org/officeDocument/2006/relationships/queryTable" Target="../queryTables/queryTable23.xml"/><Relationship Id="rId2" Type="http://schemas.openxmlformats.org/officeDocument/2006/relationships/drawing" Target="../drawings/drawing2.xml"/><Relationship Id="rId16" Type="http://schemas.openxmlformats.org/officeDocument/2006/relationships/queryTable" Target="../queryTables/queryTable14.xml"/><Relationship Id="rId20" Type="http://schemas.openxmlformats.org/officeDocument/2006/relationships/queryTable" Target="../queryTables/queryTable18.xml"/><Relationship Id="rId29" Type="http://schemas.openxmlformats.org/officeDocument/2006/relationships/queryTable" Target="../queryTables/queryTable27.xml"/><Relationship Id="rId1" Type="http://schemas.openxmlformats.org/officeDocument/2006/relationships/printerSettings" Target="../printerSettings/printerSettings2.bin"/><Relationship Id="rId6" Type="http://schemas.openxmlformats.org/officeDocument/2006/relationships/queryTable" Target="../queryTables/queryTable4.xml"/><Relationship Id="rId11" Type="http://schemas.openxmlformats.org/officeDocument/2006/relationships/queryTable" Target="../queryTables/queryTable9.xml"/><Relationship Id="rId24" Type="http://schemas.openxmlformats.org/officeDocument/2006/relationships/queryTable" Target="../queryTables/queryTable22.xml"/><Relationship Id="rId32" Type="http://schemas.openxmlformats.org/officeDocument/2006/relationships/queryTable" Target="../queryTables/queryTable30.xml"/><Relationship Id="rId5" Type="http://schemas.openxmlformats.org/officeDocument/2006/relationships/queryTable" Target="../queryTables/queryTable3.xml"/><Relationship Id="rId15" Type="http://schemas.openxmlformats.org/officeDocument/2006/relationships/queryTable" Target="../queryTables/queryTable13.xml"/><Relationship Id="rId23" Type="http://schemas.openxmlformats.org/officeDocument/2006/relationships/queryTable" Target="../queryTables/queryTable21.xml"/><Relationship Id="rId28" Type="http://schemas.openxmlformats.org/officeDocument/2006/relationships/queryTable" Target="../queryTables/queryTable26.xml"/><Relationship Id="rId10" Type="http://schemas.openxmlformats.org/officeDocument/2006/relationships/queryTable" Target="../queryTables/queryTable8.xml"/><Relationship Id="rId19" Type="http://schemas.openxmlformats.org/officeDocument/2006/relationships/queryTable" Target="../queryTables/queryTable17.xml"/><Relationship Id="rId31" Type="http://schemas.openxmlformats.org/officeDocument/2006/relationships/queryTable" Target="../queryTables/queryTable29.xml"/><Relationship Id="rId4" Type="http://schemas.openxmlformats.org/officeDocument/2006/relationships/queryTable" Target="../queryTables/queryTable2.xml"/><Relationship Id="rId9" Type="http://schemas.openxmlformats.org/officeDocument/2006/relationships/queryTable" Target="../queryTables/queryTable7.xml"/><Relationship Id="rId14" Type="http://schemas.openxmlformats.org/officeDocument/2006/relationships/queryTable" Target="../queryTables/queryTable12.xml"/><Relationship Id="rId22" Type="http://schemas.openxmlformats.org/officeDocument/2006/relationships/queryTable" Target="../queryTables/queryTable20.xml"/><Relationship Id="rId27" Type="http://schemas.openxmlformats.org/officeDocument/2006/relationships/queryTable" Target="../queryTables/queryTable25.xml"/><Relationship Id="rId30" Type="http://schemas.openxmlformats.org/officeDocument/2006/relationships/queryTable" Target="../queryTables/queryTable28.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ww.mlb.com/stats/team"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www.fangraphs.com/leaders/war" TargetMode="Externa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hyperlink" Target="https://www.statmuse.com/mlb/ask/mlb-team-record-home" TargetMode="Externa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hyperlink" Target="https://www.statmuse.com/mlb/ask/mlb-team-record-away"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4.xml"/><Relationship Id="rId1" Type="http://schemas.openxmlformats.org/officeDocument/2006/relationships/hyperlink" Target="https://www.statmuse.com/mlb/ask/orioles-game-log" TargetMode="External"/><Relationship Id="rId4" Type="http://schemas.openxmlformats.org/officeDocument/2006/relationships/queryTable" Target="../queryTables/queryTable32.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queryTable" Target="../queryTables/queryTable34.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5.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queryTable" Target="../queryTables/queryTable36.xml"/><Relationship Id="rId1" Type="http://schemas.openxmlformats.org/officeDocument/2006/relationships/printerSettings" Target="../printerSettings/printerSettings7.bin"/><Relationship Id="rId4" Type="http://schemas.openxmlformats.org/officeDocument/2006/relationships/queryTable" Target="../queryTables/queryTable38.xml"/></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queryTable" Target="../queryTables/queryTable39.xml"/></Relationships>
</file>

<file path=xl/worksheets/_rels/sheet14.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ivotTable" Target="../pivotTables/pivotTable7.xml"/></Relationships>
</file>

<file path=xl/worksheets/_rels/sheet15.xml.rels><?xml version="1.0" encoding="UTF-8" standalone="yes"?>
<Relationships xmlns="http://schemas.openxmlformats.org/package/2006/relationships"><Relationship Id="rId1" Type="http://schemas.openxmlformats.org/officeDocument/2006/relationships/queryTable" Target="../queryTables/queryTable43.xml"/></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44.xml"/><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1FAE3-2CF9-461A-BE37-07C4BE67D621}">
  <sheetPr codeName="Sheet2">
    <tabColor theme="1"/>
  </sheetPr>
  <dimension ref="A1:AZ79"/>
  <sheetViews>
    <sheetView showGridLines="0" tabSelected="1" topLeftCell="B1" zoomScale="90" zoomScaleNormal="90" workbookViewId="0">
      <pane ySplit="3" topLeftCell="A4" activePane="bottomLeft" state="frozen"/>
      <selection pane="bottomLeft" activeCell="Y14" sqref="Y14"/>
    </sheetView>
  </sheetViews>
  <sheetFormatPr defaultRowHeight="14.4" x14ac:dyDescent="0.3"/>
  <cols>
    <col min="1" max="1" width="10.6640625" customWidth="1"/>
    <col min="2" max="2" width="9.88671875" customWidth="1"/>
    <col min="3" max="3" width="4.6640625" customWidth="1"/>
    <col min="4" max="4" width="4.109375" customWidth="1"/>
    <col min="5" max="5" width="5" bestFit="1" customWidth="1"/>
    <col min="6" max="6" width="10.21875" bestFit="1" customWidth="1"/>
    <col min="7" max="7" width="12.21875" bestFit="1" customWidth="1"/>
    <col min="8" max="8" width="14.5546875" bestFit="1" customWidth="1"/>
    <col min="9" max="9" width="7.33203125" customWidth="1"/>
    <col min="10" max="10" width="12.33203125" style="1" bestFit="1" customWidth="1"/>
    <col min="11" max="11" width="6.5546875" bestFit="1" customWidth="1"/>
    <col min="12" max="12" width="14.5546875" bestFit="1" customWidth="1"/>
    <col min="13" max="13" width="16.77734375" bestFit="1" customWidth="1"/>
    <col min="14" max="14" width="3" bestFit="1" customWidth="1"/>
    <col min="15" max="15" width="11.109375" bestFit="1" customWidth="1"/>
    <col min="16" max="16" width="16.33203125" bestFit="1" customWidth="1"/>
    <col min="17" max="17" width="7" bestFit="1" customWidth="1"/>
    <col min="18" max="18" width="3.5546875" bestFit="1" customWidth="1"/>
    <col min="19" max="19" width="3.33203125" bestFit="1" customWidth="1"/>
    <col min="20" max="20" width="6.44140625" bestFit="1" customWidth="1"/>
    <col min="21" max="21" width="6.77734375" bestFit="1" customWidth="1"/>
    <col min="22" max="22" width="5" bestFit="1" customWidth="1"/>
    <col min="23" max="23" width="5.5546875" bestFit="1" customWidth="1"/>
    <col min="24" max="24" width="6.5546875" bestFit="1" customWidth="1"/>
    <col min="25" max="26" width="6.109375" bestFit="1" customWidth="1"/>
    <col min="27" max="27" width="7.88671875" bestFit="1" customWidth="1"/>
    <col min="28" max="28" width="7" bestFit="1" customWidth="1"/>
    <col min="29" max="31" width="10.77734375" customWidth="1"/>
    <col min="32" max="33" width="2.21875" hidden="1" customWidth="1"/>
  </cols>
  <sheetData>
    <row r="1" spans="1:52" ht="15" thickBot="1" x14ac:dyDescent="0.35">
      <c r="A1" s="32" t="str">
        <f>TRIM(VLOOKUP(H3,Formulas!$Z:$AC,4,0))</f>
        <v>Rockies</v>
      </c>
      <c r="B1" s="33" t="s">
        <v>1858</v>
      </c>
      <c r="C1" s="36" t="s">
        <v>2031</v>
      </c>
      <c r="D1" s="36" t="s">
        <v>2041</v>
      </c>
      <c r="E1" s="36">
        <f ca="1">YEAR(TODAY())</f>
        <v>2023</v>
      </c>
      <c r="F1" s="33"/>
      <c r="G1" s="33"/>
      <c r="H1" s="34" t="str">
        <f>VLOOKUP(TRIM(VLOOKUP(H3,Formulas!$Z:$AA,2,0)),TEAM!$T$35:$AK$65,2,0)</f>
        <v>NL</v>
      </c>
      <c r="I1" s="145" t="s">
        <v>93</v>
      </c>
      <c r="J1" s="35" t="s">
        <v>94</v>
      </c>
      <c r="K1" s="217" t="s">
        <v>95</v>
      </c>
      <c r="L1" s="34" t="str">
        <f ca="1">VLOOKUP(TRIM(VLOOKUP(K3,Formulas!$Z:$AA,2,0)),TEAM!$T$35:$AK$65,2,0)</f>
        <v>NL</v>
      </c>
      <c r="M1" s="33"/>
      <c r="N1" s="33"/>
      <c r="O1" s="36">
        <f ca="1">TODAY()</f>
        <v>45071</v>
      </c>
      <c r="P1" s="267" t="s">
        <v>96</v>
      </c>
      <c r="Q1" s="268"/>
      <c r="R1" s="269" t="s">
        <v>97</v>
      </c>
      <c r="S1" s="270"/>
      <c r="T1" s="270"/>
      <c r="U1" s="271"/>
      <c r="V1" s="33"/>
      <c r="W1" s="39" t="s">
        <v>1004</v>
      </c>
      <c r="X1" s="39" t="s">
        <v>998</v>
      </c>
      <c r="Y1" s="39" t="s">
        <v>82</v>
      </c>
      <c r="Z1" s="39" t="s">
        <v>136</v>
      </c>
      <c r="AA1" s="39" t="s">
        <v>985</v>
      </c>
      <c r="AB1" s="39" t="s">
        <v>989</v>
      </c>
      <c r="AC1" s="39" t="s">
        <v>990</v>
      </c>
      <c r="AD1" s="39" t="s">
        <v>991</v>
      </c>
      <c r="AE1" s="33"/>
      <c r="AF1" s="33" t="s">
        <v>78</v>
      </c>
      <c r="AG1" s="33" t="s">
        <v>98</v>
      </c>
      <c r="AH1" s="33"/>
      <c r="AI1" s="33"/>
      <c r="AJ1" s="33"/>
      <c r="AK1" s="33"/>
      <c r="AL1" s="33"/>
      <c r="AM1" s="33"/>
      <c r="AN1" s="33"/>
      <c r="AO1" s="33"/>
      <c r="AP1" s="33"/>
      <c r="AQ1" s="33"/>
      <c r="AR1" s="33"/>
      <c r="AS1" s="33"/>
      <c r="AT1" s="33"/>
      <c r="AU1" s="33"/>
      <c r="AV1" s="33"/>
      <c r="AW1" s="33"/>
      <c r="AX1" s="33"/>
      <c r="AY1" s="33"/>
      <c r="AZ1" s="37"/>
    </row>
    <row r="2" spans="1:52" ht="15" thickBot="1" x14ac:dyDescent="0.35">
      <c r="A2" s="38" t="str">
        <f ca="1">TRIM(VLOOKUP(K3,Formulas!$Z:$AC,4,0))</f>
        <v>Marlins</v>
      </c>
      <c r="B2" s="36" t="s">
        <v>1858</v>
      </c>
      <c r="C2" s="36"/>
      <c r="D2" s="36"/>
      <c r="E2" s="36"/>
      <c r="F2" s="36"/>
      <c r="G2" s="36"/>
      <c r="H2" s="272" t="s">
        <v>99</v>
      </c>
      <c r="I2" s="273"/>
      <c r="J2" s="39" t="s">
        <v>100</v>
      </c>
      <c r="K2" s="272" t="s">
        <v>101</v>
      </c>
      <c r="L2" s="274"/>
      <c r="M2" s="141" t="str">
        <f>TRIM(VLOOKUP(H3,Formulas!$Z:$AB,3,0))</f>
        <v>COL</v>
      </c>
      <c r="N2" s="143" t="s">
        <v>1234</v>
      </c>
      <c r="O2" s="142" t="str">
        <f ca="1">IF(LEFT(INDEX(Schedule!B6:AG244,MATCH(MainPage!O1,Schedule!A6:A244,0),MATCH((TRIM(VLOOKUP(H3,Formulas!$Z:$AB,3,0))),Schedule!B5:AG5,0)),1)="@",MID(INDEX(Schedule!B6:AG244,MATCH(MainPage!O1,Schedule!A6:A244,0),MATCH((TRIM(VLOOKUP(H3,Formulas!$Z:$AB,3,0))),Schedule!B5:AG5,0)),2,3),INDEX(Schedule!B6:AG244,MATCH(MainPage!O1,Schedule!A6:A244,0),MATCH((TRIM(VLOOKUP(H3,Formulas!$Z:$AB,3,0))),Schedule!B5:AG5,0)))</f>
        <v>MIA</v>
      </c>
      <c r="P2" s="140" t="s">
        <v>102</v>
      </c>
      <c r="Q2" s="40" t="s">
        <v>103</v>
      </c>
      <c r="R2" s="41" t="s">
        <v>104</v>
      </c>
      <c r="S2" s="42" t="s">
        <v>105</v>
      </c>
      <c r="T2" s="43" t="s">
        <v>106</v>
      </c>
      <c r="U2" s="44" t="s">
        <v>107</v>
      </c>
      <c r="V2" s="36"/>
      <c r="W2" s="36">
        <v>0.30299999999999999</v>
      </c>
      <c r="X2" s="36">
        <v>0.22289999999999999</v>
      </c>
      <c r="Y2" s="36">
        <v>3.3300000000000003E-2</v>
      </c>
      <c r="Z2" s="36">
        <v>2.5499999999999998E-2</v>
      </c>
      <c r="AA2" s="36">
        <v>9.9000000000000005E-2</v>
      </c>
      <c r="AB2" s="36">
        <v>0.19159999999999999</v>
      </c>
      <c r="AC2" s="36">
        <v>5.1499999999999997E-2</v>
      </c>
      <c r="AD2" s="36">
        <v>7.3200000000000001E-2</v>
      </c>
      <c r="AE2" s="36"/>
      <c r="AF2" s="36" t="s">
        <v>108</v>
      </c>
      <c r="AG2" s="36" t="s">
        <v>109</v>
      </c>
      <c r="AH2" s="36"/>
      <c r="AI2" s="36"/>
      <c r="AJ2" s="36"/>
      <c r="AK2" s="36"/>
      <c r="AL2" s="36"/>
      <c r="AM2" s="36"/>
      <c r="AN2" s="36"/>
      <c r="AO2" s="36"/>
      <c r="AP2" s="36"/>
      <c r="AQ2" s="36"/>
      <c r="AR2" s="36"/>
      <c r="AS2" s="36"/>
      <c r="AT2" s="36"/>
      <c r="AU2" s="36"/>
      <c r="AV2" s="36"/>
      <c r="AW2" s="36"/>
      <c r="AX2" s="36"/>
      <c r="AY2" s="36"/>
      <c r="AZ2" s="45"/>
    </row>
    <row r="3" spans="1:52" ht="15" thickBot="1" x14ac:dyDescent="0.35">
      <c r="A3" s="46"/>
      <c r="B3" s="46"/>
      <c r="C3" s="36"/>
      <c r="D3" s="36"/>
      <c r="E3" s="36"/>
      <c r="F3" s="36"/>
      <c r="G3" s="216" t="e">
        <f ca="1">INDEX(Starters!B2:H121,MATCH(VLOOKUP(MainPage!H3,Formulas!$Z:$AC,4,0),Starters!A2:A121,0),MATCH(MainPage!O1,Starters!B1:H1))</f>
        <v>#N/A</v>
      </c>
      <c r="H3" s="275" t="s">
        <v>56</v>
      </c>
      <c r="I3" s="276"/>
      <c r="J3" s="47" t="s">
        <v>112</v>
      </c>
      <c r="K3" s="277" t="str">
        <f ca="1">TRIM(VLOOKUP(O2,Formulas!$AE:$AG,3,0))</f>
        <v>Miami</v>
      </c>
      <c r="L3" s="278"/>
      <c r="M3" s="216" t="e">
        <f ca="1">INDEX(Starters!B2:H121,MATCH(VLOOKUP(MainPage!K3,Formulas!$Z:$AC,4,0),Starters!A2:A121,0),MATCH(MainPage!O1,Starters!B1:H1))</f>
        <v>#N/A</v>
      </c>
      <c r="N3" s="56"/>
      <c r="O3" s="56"/>
      <c r="P3" s="144"/>
      <c r="Q3" s="217"/>
      <c r="R3" s="48"/>
      <c r="S3" s="49"/>
      <c r="T3" s="49"/>
      <c r="U3" s="50"/>
      <c r="V3" s="36"/>
      <c r="W3" s="36">
        <v>0.30299999999999999</v>
      </c>
      <c r="X3" s="36">
        <v>0.22289999999999999</v>
      </c>
      <c r="Y3" s="36">
        <v>0.19159999999999999</v>
      </c>
      <c r="Z3" s="36">
        <v>9.9000000000000005E-2</v>
      </c>
      <c r="AA3" s="36">
        <v>7.3200000000000001E-2</v>
      </c>
      <c r="AB3" s="36">
        <v>5.1499999999999997E-2</v>
      </c>
      <c r="AC3" s="36">
        <v>3.3300000000000003E-2</v>
      </c>
      <c r="AD3" s="36">
        <v>2.5499999999999998E-2</v>
      </c>
      <c r="AE3" s="36"/>
      <c r="AF3" s="36"/>
      <c r="AG3" s="36"/>
      <c r="AH3" s="36"/>
      <c r="AI3" s="36"/>
      <c r="AJ3" s="36"/>
      <c r="AK3" s="36"/>
      <c r="AL3" s="36"/>
      <c r="AM3" s="36"/>
      <c r="AN3" s="36"/>
      <c r="AO3" s="36"/>
      <c r="AP3" s="36"/>
      <c r="AQ3" s="36"/>
      <c r="AR3" s="36"/>
      <c r="AS3" s="36"/>
      <c r="AT3" s="36"/>
      <c r="AU3" s="36"/>
      <c r="AV3" s="36"/>
      <c r="AW3" s="36"/>
      <c r="AX3" s="36"/>
      <c r="AY3" s="36"/>
      <c r="AZ3" s="45"/>
    </row>
    <row r="4" spans="1:52" ht="15" thickBot="1" x14ac:dyDescent="0.35">
      <c r="A4" s="51"/>
      <c r="B4" s="52"/>
      <c r="C4" s="36"/>
      <c r="D4" s="36"/>
      <c r="E4" s="36"/>
      <c r="F4" s="36"/>
      <c r="G4" s="53">
        <f>IFERROR(VLOOKUP(H3,ML_Line_OU!A:E,3,0),"")</f>
        <v>0.42</v>
      </c>
      <c r="H4" s="39" t="s">
        <v>113</v>
      </c>
      <c r="I4" s="54" t="str">
        <f>IFERROR(VLOOKUP(H3,ML_Line_OU!A:E,2,0),"")</f>
        <v>21-29-0</v>
      </c>
      <c r="J4" s="55">
        <f t="shared" ref="J4:J6" ca="1" si="0">G4-M4</f>
        <v>-8.0000000000000016E-2</v>
      </c>
      <c r="K4" s="54" t="str">
        <f ca="1">IFERROR(VLOOKUP(K3,ML_Line_OU!A:E,2,0),"")</f>
        <v>25-25-0</v>
      </c>
      <c r="L4" s="39" t="s">
        <v>113</v>
      </c>
      <c r="M4" s="53">
        <f ca="1">IFERROR(VLOOKUP(K3,ML_Line_OU!A:E,3,0),"")</f>
        <v>0.5</v>
      </c>
      <c r="N4" s="56"/>
      <c r="O4" s="56"/>
      <c r="P4" s="144"/>
      <c r="Q4" s="217"/>
      <c r="R4" s="48"/>
      <c r="S4" s="49"/>
      <c r="T4" s="49"/>
      <c r="U4" s="50"/>
      <c r="V4" s="36"/>
      <c r="W4" s="36">
        <v>1</v>
      </c>
      <c r="X4" s="36">
        <v>2</v>
      </c>
      <c r="Y4" s="36">
        <v>7</v>
      </c>
      <c r="Z4" s="36">
        <v>8</v>
      </c>
      <c r="AA4" s="36">
        <v>4</v>
      </c>
      <c r="AB4" s="36">
        <v>3</v>
      </c>
      <c r="AC4" s="36">
        <v>6</v>
      </c>
      <c r="AD4" s="36">
        <v>5</v>
      </c>
      <c r="AE4" s="36"/>
      <c r="AF4" s="36">
        <v>1</v>
      </c>
      <c r="AG4" s="36">
        <v>1</v>
      </c>
      <c r="AH4" s="36"/>
      <c r="AI4" s="36"/>
      <c r="AJ4" s="36"/>
      <c r="AK4" s="36"/>
      <c r="AL4" s="36"/>
      <c r="AM4" s="36"/>
      <c r="AN4" s="36"/>
      <c r="AO4" s="36"/>
      <c r="AP4" s="36"/>
      <c r="AQ4" s="36"/>
      <c r="AR4" s="36"/>
      <c r="AS4" s="36"/>
      <c r="AT4" s="36"/>
      <c r="AU4" s="36"/>
      <c r="AV4" s="36"/>
      <c r="AW4" s="36"/>
      <c r="AX4" s="36"/>
      <c r="AY4" s="36"/>
      <c r="AZ4" s="45"/>
    </row>
    <row r="5" spans="1:52" ht="15" thickBot="1" x14ac:dyDescent="0.35">
      <c r="A5" s="51"/>
      <c r="B5" s="52"/>
      <c r="C5" s="36"/>
      <c r="D5" s="36"/>
      <c r="E5" s="36"/>
      <c r="F5" s="56"/>
      <c r="G5" s="53">
        <f>VLOOKUP(TRIM(VLOOKUP(H3,Formulas!$Z:$AB,2,0)),Record!$AG:$AP,5,0)</f>
        <v>0.48</v>
      </c>
      <c r="H5" s="50" t="s">
        <v>115</v>
      </c>
      <c r="I5" s="57" t="str">
        <f>VLOOKUP(TRIM(VLOOKUP(H3,Formulas!$Z:$AB,2,0)),Record!$AG:$AP,4,0)</f>
        <v>12-13</v>
      </c>
      <c r="J5" s="55">
        <f t="shared" ca="1" si="0"/>
        <v>-8.0000000000000071E-2</v>
      </c>
      <c r="K5" s="57" t="str">
        <f ca="1">VLOOKUP(TRIM(VLOOKUP(K3,Formulas!$Z:$AB,2,0)),Record!$AG:$AP,4,0)</f>
        <v>14-11</v>
      </c>
      <c r="L5" s="39" t="s">
        <v>115</v>
      </c>
      <c r="M5" s="53">
        <f ca="1">VLOOKUP(TRIM(VLOOKUP(K3,Formulas!$Z:$AB,2,0)),Record!$AG:$AP,5,0)</f>
        <v>0.56000000000000005</v>
      </c>
      <c r="N5" s="56"/>
      <c r="O5" s="56"/>
      <c r="P5" s="144" t="str">
        <f>H3</f>
        <v>Colorado</v>
      </c>
      <c r="Q5" s="217" t="str">
        <f ca="1">K3</f>
        <v>Miami</v>
      </c>
      <c r="R5" s="48"/>
      <c r="S5" s="49"/>
      <c r="T5" s="49"/>
      <c r="U5" s="50"/>
      <c r="V5" s="36"/>
      <c r="W5" s="36"/>
      <c r="X5" s="36"/>
      <c r="Y5" s="36"/>
      <c r="Z5" s="36"/>
      <c r="AA5" s="36"/>
      <c r="AB5" s="36"/>
      <c r="AC5" s="36"/>
      <c r="AD5" s="36"/>
      <c r="AE5" s="36"/>
      <c r="AF5" s="36">
        <v>2</v>
      </c>
      <c r="AG5" s="36">
        <v>2</v>
      </c>
      <c r="AH5" s="36"/>
      <c r="AI5" s="36"/>
      <c r="AJ5" s="36"/>
      <c r="AK5" s="36"/>
      <c r="AL5" s="36"/>
      <c r="AM5" s="36"/>
      <c r="AN5" s="36"/>
      <c r="AO5" s="36"/>
      <c r="AP5" s="36"/>
      <c r="AQ5" s="36"/>
      <c r="AR5" s="36"/>
      <c r="AS5" s="36"/>
      <c r="AT5" s="36"/>
      <c r="AU5" s="36"/>
      <c r="AV5" s="36"/>
      <c r="AW5" s="36"/>
      <c r="AX5" s="36"/>
      <c r="AY5" s="36"/>
      <c r="AZ5" s="45"/>
    </row>
    <row r="6" spans="1:52" ht="15" thickBot="1" x14ac:dyDescent="0.35">
      <c r="A6" s="51"/>
      <c r="B6" s="52"/>
      <c r="C6" s="36"/>
      <c r="D6" s="36"/>
      <c r="E6" s="36"/>
      <c r="F6" s="56"/>
      <c r="G6" s="53">
        <f>VLOOKUP(TRIM(VLOOKUP(H3,Formulas!$Z:$AB,2,0)),Record!$AG:$AP,10,0)</f>
        <v>0.36</v>
      </c>
      <c r="H6" s="50" t="s">
        <v>114</v>
      </c>
      <c r="I6" s="58" t="str">
        <f>VLOOKUP(TRIM(VLOOKUP(H3,Formulas!$Z:$AB,2,0)),Record!$AG:$AP,9,0)</f>
        <v>9-16</v>
      </c>
      <c r="J6" s="55">
        <f t="shared" ca="1" si="0"/>
        <v>-8.0000000000000016E-2</v>
      </c>
      <c r="K6" s="58" t="str">
        <f ca="1">VLOOKUP(TRIM(VLOOKUP(K3,Formulas!$Z:$AB,2,0)),Record!$AG:$AP,9,0)</f>
        <v>11-14</v>
      </c>
      <c r="L6" s="39" t="s">
        <v>114</v>
      </c>
      <c r="M6" s="53">
        <f ca="1">VLOOKUP(TRIM(VLOOKUP(K3,Formulas!$Z:$AB,2,0)),Record!$AG:$AP,10,0)</f>
        <v>0.44</v>
      </c>
      <c r="N6" s="56"/>
      <c r="O6" s="56"/>
      <c r="P6" s="144"/>
      <c r="Q6" s="217"/>
      <c r="R6" s="48"/>
      <c r="S6" s="49"/>
      <c r="T6" s="49"/>
      <c r="U6" s="50"/>
      <c r="V6" s="36"/>
      <c r="W6" s="36"/>
      <c r="X6" s="36"/>
      <c r="Y6" s="36"/>
      <c r="Z6" s="36"/>
      <c r="AA6" s="36"/>
      <c r="AB6" s="36"/>
      <c r="AC6" s="36"/>
      <c r="AD6" s="36"/>
      <c r="AE6" s="36"/>
      <c r="AF6" s="36">
        <v>3</v>
      </c>
      <c r="AG6" s="36">
        <v>3</v>
      </c>
      <c r="AH6" s="36"/>
      <c r="AI6" s="36"/>
      <c r="AJ6" s="36"/>
      <c r="AK6" s="36"/>
      <c r="AL6" s="36"/>
      <c r="AM6" s="36"/>
      <c r="AN6" s="36"/>
      <c r="AO6" s="36"/>
      <c r="AP6" s="36"/>
      <c r="AQ6" s="36"/>
      <c r="AR6" s="36"/>
      <c r="AS6" s="36"/>
      <c r="AT6" s="36"/>
      <c r="AU6" s="36"/>
      <c r="AV6" s="36"/>
      <c r="AW6" s="36"/>
      <c r="AX6" s="36"/>
      <c r="AY6" s="36"/>
      <c r="AZ6" s="45"/>
    </row>
    <row r="7" spans="1:52" ht="15" thickBot="1" x14ac:dyDescent="0.35">
      <c r="A7" s="38"/>
      <c r="B7" s="36"/>
      <c r="C7" s="36"/>
      <c r="D7" s="36"/>
      <c r="E7" s="36"/>
      <c r="F7" s="36"/>
      <c r="G7" s="279"/>
      <c r="H7" s="39" t="s">
        <v>121</v>
      </c>
      <c r="I7" s="54">
        <f>IFERROR(VLOOKUP(H3,ML_Line_OU!A:R,18,0),"")</f>
        <v>27</v>
      </c>
      <c r="J7" s="59">
        <f ca="1">-(I7-K7)</f>
        <v>-11</v>
      </c>
      <c r="K7" s="54">
        <f ca="1">IFERROR(VLOOKUP(K3,ML_Line_OU!A:R,18,0),"")</f>
        <v>16</v>
      </c>
      <c r="L7" s="39" t="s">
        <v>121</v>
      </c>
      <c r="M7" s="281"/>
      <c r="N7" s="56"/>
      <c r="O7" s="56"/>
      <c r="P7" s="144"/>
      <c r="Q7" s="217"/>
      <c r="R7" s="48"/>
      <c r="S7" s="49"/>
      <c r="T7" s="49"/>
      <c r="U7" s="50"/>
      <c r="V7" s="36"/>
      <c r="W7" s="36"/>
      <c r="X7" s="36"/>
      <c r="Y7" s="36"/>
      <c r="Z7" s="36"/>
      <c r="AA7" s="36"/>
      <c r="AB7" s="36"/>
      <c r="AC7" s="258" t="str">
        <f>WAR!P2</f>
        <v>TEAM</v>
      </c>
      <c r="AD7" s="259" t="str">
        <f>WAR!Q2</f>
        <v>Batting</v>
      </c>
      <c r="AE7" s="260" t="str">
        <f>WAR!R2</f>
        <v>Pitching</v>
      </c>
      <c r="AF7" s="36">
        <v>4</v>
      </c>
      <c r="AG7" s="36">
        <v>4</v>
      </c>
      <c r="AH7" s="36"/>
      <c r="AI7" s="36"/>
      <c r="AJ7" s="36"/>
      <c r="AK7" s="36"/>
      <c r="AL7" s="36"/>
      <c r="AM7" s="36"/>
      <c r="AN7" s="36"/>
      <c r="AO7" s="36"/>
      <c r="AP7" s="36"/>
      <c r="AQ7" s="36"/>
      <c r="AR7" s="36"/>
      <c r="AS7" s="36"/>
      <c r="AT7" s="36"/>
      <c r="AU7" s="36"/>
      <c r="AV7" s="36"/>
      <c r="AW7" s="36"/>
      <c r="AX7" s="36"/>
      <c r="AY7" s="36"/>
      <c r="AZ7" s="45"/>
    </row>
    <row r="8" spans="1:52" ht="15" thickBot="1" x14ac:dyDescent="0.35">
      <c r="A8" s="38" t="e">
        <f>INDEX(LOB!H26,MATCH(MainPage!H3,LOB!B11,0),)</f>
        <v>#N/A</v>
      </c>
      <c r="B8" s="36"/>
      <c r="C8" s="36"/>
      <c r="D8" s="36"/>
      <c r="E8" s="36"/>
      <c r="F8" s="36"/>
      <c r="G8" s="280"/>
      <c r="H8" s="39" t="s">
        <v>122</v>
      </c>
      <c r="I8" s="54">
        <f>IFERROR(VLOOKUP(H3,ML_Line_OU!$G:$R,12,0),"")</f>
        <v>22</v>
      </c>
      <c r="J8" s="59">
        <f ca="1">-(I8-K8)</f>
        <v>5</v>
      </c>
      <c r="K8" s="54">
        <f ca="1">IFERROR(VLOOKUP(K3,ML_Line_OU!$G:$R,12,0),"")</f>
        <v>27</v>
      </c>
      <c r="L8" s="39" t="s">
        <v>122</v>
      </c>
      <c r="M8" s="282"/>
      <c r="N8" s="56"/>
      <c r="O8" s="46" t="str">
        <f ca="1">IF(LEFT(INDEX(Schedule!B6:AG244,MATCH(MainPage!O1,Schedule!A6:A244,0),MATCH((TRIM(VLOOKUP(H3,Formulas!$Z:$AB,3,0))),Schedule!B5:AG5,0)),1)="@",MID(INDEX(Schedule!B6:AG244,MATCH(MainPage!O1,Schedule!A6:A244,0),MATCH((TRIM(VLOOKUP(H3,Formulas!$Z:$AB,3,0))),Schedule!B5:AG5,0)),2,3),INDEX(Schedule!B6:AG244,MATCH(MainPage!O1,Schedule!A6:A244,0),MATCH((TRIM(VLOOKUP(H3,Formulas!$Z:$AB,3,0))),Schedule!B5:AG5,0)))</f>
        <v>MIA</v>
      </c>
      <c r="P8" s="144" t="s">
        <v>59</v>
      </c>
      <c r="Q8" s="217" t="s">
        <v>40</v>
      </c>
      <c r="R8" s="48"/>
      <c r="S8" s="49"/>
      <c r="T8" s="49"/>
      <c r="U8" s="50"/>
      <c r="V8" s="36"/>
      <c r="W8" s="36"/>
      <c r="X8" s="36"/>
      <c r="Y8" s="36"/>
      <c r="Z8" s="36"/>
      <c r="AA8" s="36"/>
      <c r="AB8" s="36"/>
      <c r="AC8" s="93" t="str">
        <f>WAR!P3</f>
        <v>ARI</v>
      </c>
      <c r="AD8" s="255">
        <f>WAR!Q3</f>
        <v>8.4</v>
      </c>
      <c r="AE8" s="98">
        <f>WAR!R3</f>
        <v>4.1999999999999984</v>
      </c>
      <c r="AF8" s="36" t="s">
        <v>117</v>
      </c>
      <c r="AG8" s="36">
        <v>5</v>
      </c>
      <c r="AH8" s="263">
        <f>SUM(AD8:AE8)</f>
        <v>12.599999999999998</v>
      </c>
      <c r="AI8" s="36"/>
      <c r="AJ8" s="36"/>
      <c r="AK8" s="36"/>
      <c r="AL8" s="36"/>
      <c r="AM8" s="36"/>
      <c r="AN8" s="36"/>
      <c r="AO8" s="36"/>
      <c r="AP8" s="36"/>
      <c r="AQ8" s="36"/>
      <c r="AR8" s="36"/>
      <c r="AS8" s="36"/>
      <c r="AT8" s="36"/>
      <c r="AU8" s="36"/>
      <c r="AV8" s="36"/>
      <c r="AW8" s="36"/>
      <c r="AX8" s="36"/>
      <c r="AY8" s="36"/>
      <c r="AZ8" s="45"/>
    </row>
    <row r="9" spans="1:52" ht="15" thickBot="1" x14ac:dyDescent="0.35">
      <c r="A9" s="38"/>
      <c r="B9" s="36"/>
      <c r="C9" s="36"/>
      <c r="D9" s="36"/>
      <c r="E9" s="36"/>
      <c r="F9" s="36"/>
      <c r="G9" s="56"/>
      <c r="H9" s="39" t="s">
        <v>123</v>
      </c>
      <c r="I9" s="54">
        <f>IFERROR(VLOOKUP(H3,ML_Line_OU!$M:$R,6,0),"")</f>
        <v>28</v>
      </c>
      <c r="J9" s="59">
        <f ca="1">-(I9-K9)</f>
        <v>-1</v>
      </c>
      <c r="K9" s="54">
        <f ca="1">IFERROR(VLOOKUP(K3,ML_Line_OU!$M:$R,6,0),"")</f>
        <v>27</v>
      </c>
      <c r="L9" s="39" t="s">
        <v>123</v>
      </c>
      <c r="M9" s="56"/>
      <c r="N9" s="56"/>
      <c r="O9" s="36"/>
      <c r="P9" s="36"/>
      <c r="Q9" s="46"/>
      <c r="R9" s="46"/>
      <c r="S9" s="46"/>
      <c r="T9" s="46"/>
      <c r="U9" s="36"/>
      <c r="V9" s="36"/>
      <c r="W9" s="36"/>
      <c r="X9" s="36"/>
      <c r="Y9" s="36"/>
      <c r="Z9" s="36"/>
      <c r="AA9" s="36"/>
      <c r="AB9" s="36"/>
      <c r="AC9" s="93" t="str">
        <f>WAR!P4</f>
        <v>ATL</v>
      </c>
      <c r="AD9" s="255">
        <f>WAR!Q4</f>
        <v>7.8000000000000007</v>
      </c>
      <c r="AE9" s="98">
        <f>WAR!R4</f>
        <v>7.1</v>
      </c>
      <c r="AF9" s="36"/>
      <c r="AG9" s="36">
        <v>6</v>
      </c>
      <c r="AH9" s="263">
        <f t="shared" ref="AH9:AH37" si="1">SUM(AD9:AE9)</f>
        <v>14.9</v>
      </c>
      <c r="AI9" s="36"/>
      <c r="AJ9" s="36"/>
      <c r="AK9" s="36"/>
      <c r="AL9" s="36"/>
      <c r="AM9" s="36"/>
      <c r="AN9" s="36"/>
      <c r="AO9" s="36"/>
      <c r="AP9" s="36"/>
      <c r="AQ9" s="36"/>
      <c r="AR9" s="36"/>
      <c r="AS9" s="36"/>
      <c r="AT9" s="36"/>
      <c r="AU9" s="36"/>
      <c r="AV9" s="36"/>
      <c r="AW9" s="36"/>
      <c r="AX9" s="36"/>
      <c r="AY9" s="36"/>
      <c r="AZ9" s="45"/>
    </row>
    <row r="10" spans="1:52" ht="15" thickBot="1" x14ac:dyDescent="0.35">
      <c r="A10" s="38"/>
      <c r="B10" s="36"/>
      <c r="C10" s="36"/>
      <c r="D10" s="36"/>
      <c r="E10" s="36"/>
      <c r="F10" s="36"/>
      <c r="G10" s="56">
        <v>1</v>
      </c>
      <c r="H10" s="39" t="s">
        <v>124</v>
      </c>
      <c r="I10" s="62">
        <f>VLOOKUP(TRIM(VLOOKUP(H3,Formulas!$Z:$AB,2,0)),TEAM!$T$35:$AK$65,5,0)</f>
        <v>4.3137254901960782</v>
      </c>
      <c r="J10" s="61">
        <f ca="1">I10-K10</f>
        <v>0.76470588235294112</v>
      </c>
      <c r="K10" s="62">
        <f ca="1">VLOOKUP(TRIM(VLOOKUP(K3,Formulas!$Z:$AA,2,0)),TEAM!$T$35:$AK$65,5,0)</f>
        <v>3.5490196078431371</v>
      </c>
      <c r="L10" s="39" t="s">
        <v>124</v>
      </c>
      <c r="M10" s="105">
        <f ca="1">SUM(K10,I10)</f>
        <v>7.8627450980392153</v>
      </c>
      <c r="N10" s="56"/>
      <c r="O10" s="36"/>
      <c r="P10" s="36"/>
      <c r="Q10" s="46"/>
      <c r="R10" s="46"/>
      <c r="S10" s="46"/>
      <c r="T10" s="46"/>
      <c r="U10" s="36"/>
      <c r="V10" s="36"/>
      <c r="W10" s="36"/>
      <c r="X10" s="36"/>
      <c r="Y10" s="36"/>
      <c r="Z10" s="36"/>
      <c r="AA10" s="36"/>
      <c r="AB10" s="36"/>
      <c r="AC10" s="93" t="str">
        <f>WAR!P5</f>
        <v>BAL</v>
      </c>
      <c r="AD10" s="255">
        <f>WAR!Q5</f>
        <v>6.799999999999998</v>
      </c>
      <c r="AE10" s="98">
        <f>WAR!R5</f>
        <v>4.8999999999999995</v>
      </c>
      <c r="AF10" s="36"/>
      <c r="AG10" s="36">
        <v>7</v>
      </c>
      <c r="AH10" s="263">
        <f t="shared" si="1"/>
        <v>11.699999999999998</v>
      </c>
      <c r="AI10" s="36"/>
      <c r="AJ10" s="36"/>
      <c r="AK10" s="36"/>
      <c r="AL10" s="36"/>
      <c r="AM10" s="36"/>
      <c r="AN10" s="36"/>
      <c r="AO10" s="36"/>
      <c r="AP10" s="36"/>
      <c r="AQ10" s="36"/>
      <c r="AR10" s="36"/>
      <c r="AS10" s="36"/>
      <c r="AT10" s="36"/>
      <c r="AU10" s="36"/>
      <c r="AV10" s="36"/>
      <c r="AW10" s="36"/>
      <c r="AX10" s="36"/>
      <c r="AY10" s="36"/>
      <c r="AZ10" s="45"/>
    </row>
    <row r="11" spans="1:52" ht="15" thickBot="1" x14ac:dyDescent="0.35">
      <c r="A11" s="38"/>
      <c r="B11" s="36"/>
      <c r="C11" s="36"/>
      <c r="D11" s="36"/>
      <c r="E11" s="36"/>
      <c r="F11" s="36"/>
      <c r="G11" s="56"/>
      <c r="H11" s="39" t="s">
        <v>999</v>
      </c>
      <c r="I11" s="108">
        <f>IFERROR(VLOOKUP(H3,LOB!V1:AB31,2,0),"")</f>
        <v>5</v>
      </c>
      <c r="J11" s="110">
        <f ca="1">-(I11-K11)</f>
        <v>-0.62000000000000011</v>
      </c>
      <c r="K11" s="108">
        <f ca="1">IFERROR(VLOOKUP(K3,LOB!V1:$AB$31,2,0),"")</f>
        <v>4.38</v>
      </c>
      <c r="L11" s="39" t="s">
        <v>999</v>
      </c>
      <c r="M11" s="106">
        <f t="shared" ref="M11:M13" ca="1" si="2">SUM(K11,I11)</f>
        <v>9.379999999999999</v>
      </c>
      <c r="N11" s="56"/>
      <c r="O11" s="36"/>
      <c r="P11" s="36"/>
      <c r="Q11" s="46"/>
      <c r="R11" s="46"/>
      <c r="S11" s="46"/>
      <c r="T11" s="36"/>
      <c r="U11" s="36"/>
      <c r="V11" s="36"/>
      <c r="W11" s="36"/>
      <c r="X11" s="36"/>
      <c r="Y11" s="36"/>
      <c r="Z11" s="36"/>
      <c r="AA11" s="36"/>
      <c r="AB11" s="36"/>
      <c r="AC11" s="93" t="str">
        <f>WAR!P6</f>
        <v>BOS</v>
      </c>
      <c r="AD11" s="255">
        <f>WAR!Q6</f>
        <v>6.9</v>
      </c>
      <c r="AE11" s="98">
        <f>WAR!R6</f>
        <v>2.2999999999999998</v>
      </c>
      <c r="AF11" s="36"/>
      <c r="AG11" s="36"/>
      <c r="AH11" s="263">
        <f t="shared" si="1"/>
        <v>9.1999999999999993</v>
      </c>
      <c r="AI11" s="36"/>
      <c r="AJ11" s="36"/>
      <c r="AK11" s="36"/>
      <c r="AL11" s="36"/>
      <c r="AM11" s="36"/>
      <c r="AN11" s="36"/>
      <c r="AO11" s="36"/>
      <c r="AP11" s="36"/>
      <c r="AQ11" s="36"/>
      <c r="AR11" s="36"/>
      <c r="AS11" s="36"/>
      <c r="AT11" s="36"/>
      <c r="AU11" s="36"/>
      <c r="AV11" s="36"/>
      <c r="AW11" s="36"/>
      <c r="AX11" s="36"/>
      <c r="AY11" s="36"/>
      <c r="AZ11" s="45"/>
    </row>
    <row r="12" spans="1:52" ht="15" thickBot="1" x14ac:dyDescent="0.35">
      <c r="A12" s="38"/>
      <c r="B12" s="36"/>
      <c r="C12" s="36"/>
      <c r="D12" s="36"/>
      <c r="E12" s="36"/>
      <c r="F12" s="36"/>
      <c r="G12" s="56"/>
      <c r="H12" s="39" t="s">
        <v>996</v>
      </c>
      <c r="I12" s="109">
        <f>IFERROR(VLOOKUP(H3,LOB!$L$1:$R$31,2,0),"")</f>
        <v>-51</v>
      </c>
      <c r="J12" s="111">
        <f t="shared" ref="J12" ca="1" si="3">I12-K12</f>
        <v>-2</v>
      </c>
      <c r="K12" s="109">
        <f ca="1">IFERROR(VLOOKUP(K3,LOB!$L$1:$R$31,2,0),"")</f>
        <v>-49</v>
      </c>
      <c r="L12" s="39" t="s">
        <v>996</v>
      </c>
      <c r="M12" s="106">
        <f t="shared" ca="1" si="2"/>
        <v>-100</v>
      </c>
      <c r="N12" s="56"/>
      <c r="O12" s="36"/>
      <c r="P12" s="36"/>
      <c r="Q12" s="46"/>
      <c r="R12" s="46"/>
      <c r="S12" s="46"/>
      <c r="T12" s="46"/>
      <c r="U12" s="36"/>
      <c r="V12" s="36"/>
      <c r="W12" s="36"/>
      <c r="X12" s="36"/>
      <c r="Y12" s="36"/>
      <c r="Z12" s="36"/>
      <c r="AA12" s="36"/>
      <c r="AB12" s="36"/>
      <c r="AC12" s="93" t="str">
        <f>WAR!P7</f>
        <v>CHC</v>
      </c>
      <c r="AD12" s="255">
        <f>WAR!Q7</f>
        <v>8.5000000000000018</v>
      </c>
      <c r="AE12" s="98">
        <f>WAR!R7</f>
        <v>5.1999999999999993</v>
      </c>
      <c r="AF12" s="36"/>
      <c r="AG12" s="36"/>
      <c r="AH12" s="263">
        <f t="shared" si="1"/>
        <v>13.700000000000001</v>
      </c>
      <c r="AI12" s="36"/>
      <c r="AJ12" s="36"/>
      <c r="AK12" s="36"/>
      <c r="AL12" s="36"/>
      <c r="AM12" s="36"/>
      <c r="AN12" s="36"/>
      <c r="AO12" s="36"/>
      <c r="AP12" s="36"/>
      <c r="AQ12" s="36"/>
      <c r="AR12" s="36"/>
      <c r="AS12" s="36"/>
      <c r="AT12" s="36"/>
      <c r="AU12" s="36"/>
      <c r="AV12" s="36"/>
      <c r="AW12" s="36"/>
      <c r="AX12" s="36"/>
      <c r="AY12" s="36"/>
      <c r="AZ12" s="45"/>
    </row>
    <row r="13" spans="1:52" ht="15" thickBot="1" x14ac:dyDescent="0.35">
      <c r="A13" s="38"/>
      <c r="B13" s="36"/>
      <c r="C13" s="36"/>
      <c r="D13" s="36"/>
      <c r="E13" s="36"/>
      <c r="F13" s="36"/>
      <c r="G13" s="56"/>
      <c r="H13" s="39" t="s">
        <v>125</v>
      </c>
      <c r="I13" s="60">
        <f>VLOOKUP(TRIM(VLOOKUP(H3,Formulas!$Z:$AB,2,0)),TEAM!$T$35:$AK$65,6,0)</f>
        <v>8.3725490196078436</v>
      </c>
      <c r="J13" s="61">
        <f t="shared" ref="J13:J14" ca="1" si="4">I13-K13</f>
        <v>-7.8431372549019329E-2</v>
      </c>
      <c r="K13" s="60">
        <f ca="1">VLOOKUP(TRIM(VLOOKUP(K3,Formulas!$Z:$AA,2,0)),TEAM!$T$35:$AK$65,6,0)</f>
        <v>8.4509803921568629</v>
      </c>
      <c r="L13" s="39" t="s">
        <v>125</v>
      </c>
      <c r="M13" s="106">
        <f t="shared" ca="1" si="2"/>
        <v>16.823529411764707</v>
      </c>
      <c r="N13" s="101" t="s">
        <v>992</v>
      </c>
      <c r="O13" s="36"/>
      <c r="P13" s="36"/>
      <c r="Q13" s="46"/>
      <c r="R13" s="46"/>
      <c r="S13" s="46"/>
      <c r="T13" s="46"/>
      <c r="U13" s="36"/>
      <c r="V13" s="36"/>
      <c r="W13" s="36"/>
      <c r="X13" s="36"/>
      <c r="Y13" s="36"/>
      <c r="Z13" s="36"/>
      <c r="AA13" s="36"/>
      <c r="AB13" s="36"/>
      <c r="AC13" s="93" t="str">
        <f>WAR!P8</f>
        <v>CHW</v>
      </c>
      <c r="AD13" s="255">
        <f>WAR!Q8</f>
        <v>2.2000000000000011</v>
      </c>
      <c r="AE13" s="98">
        <f>WAR!R8</f>
        <v>3.8</v>
      </c>
      <c r="AF13" s="36"/>
      <c r="AG13" s="36">
        <v>8</v>
      </c>
      <c r="AH13" s="263">
        <f t="shared" si="1"/>
        <v>6.0000000000000009</v>
      </c>
      <c r="AI13" s="36"/>
      <c r="AJ13" s="36"/>
      <c r="AK13" s="36"/>
      <c r="AL13" s="36"/>
      <c r="AM13" s="36"/>
      <c r="AN13" s="36"/>
      <c r="AO13" s="36"/>
      <c r="AP13" s="36"/>
      <c r="AQ13" s="36"/>
      <c r="AR13" s="36"/>
      <c r="AS13" s="36"/>
      <c r="AT13" s="36"/>
      <c r="AU13" s="36"/>
      <c r="AV13" s="36"/>
      <c r="AW13" s="36"/>
      <c r="AX13" s="36"/>
      <c r="AY13" s="36"/>
      <c r="AZ13" s="45"/>
    </row>
    <row r="14" spans="1:52" ht="15.6" customHeight="1" thickBot="1" x14ac:dyDescent="0.35">
      <c r="A14" s="38"/>
      <c r="B14" s="36"/>
      <c r="C14" s="36"/>
      <c r="D14" s="36"/>
      <c r="E14" s="36"/>
      <c r="F14" s="36"/>
      <c r="G14" s="56"/>
      <c r="H14" s="39" t="s">
        <v>82</v>
      </c>
      <c r="I14" s="60">
        <f>VLOOKUP(TRIM(VLOOKUP(H3,Formulas!$Z:$AB,2,0)),TEAM!$T$35:$AK$65,10,0)</f>
        <v>4.117647058823529</v>
      </c>
      <c r="J14" s="61">
        <f t="shared" ca="1" si="4"/>
        <v>0.76470588235294068</v>
      </c>
      <c r="K14" s="60">
        <f ca="1">VLOOKUP(TRIM(VLOOKUP(K3,Formulas!$Z:$AA,2,0)),TEAM!$T$35:$AK$65,10,0)</f>
        <v>3.3529411764705883</v>
      </c>
      <c r="L14" s="39" t="s">
        <v>82</v>
      </c>
      <c r="M14" s="106">
        <f t="shared" ref="M14:M20" ca="1" si="5">SUM(K14,I14)</f>
        <v>7.4705882352941178</v>
      </c>
      <c r="N14" s="102" t="s">
        <v>993</v>
      </c>
      <c r="O14" s="36"/>
      <c r="P14" s="249" t="s">
        <v>2069</v>
      </c>
      <c r="Q14" s="36"/>
      <c r="R14" s="36"/>
      <c r="S14" s="36"/>
      <c r="T14" s="36"/>
      <c r="U14" s="36"/>
      <c r="V14" s="36"/>
      <c r="W14" s="36"/>
      <c r="X14" s="36"/>
      <c r="Y14" s="36"/>
      <c r="Z14" s="36"/>
      <c r="AA14" s="36"/>
      <c r="AB14" s="36"/>
      <c r="AC14" s="93" t="str">
        <f>WAR!P9</f>
        <v>CIN</v>
      </c>
      <c r="AD14" s="255">
        <f>WAR!Q9</f>
        <v>2.4000000000000008</v>
      </c>
      <c r="AE14" s="98">
        <f>WAR!R9</f>
        <v>4.3999999999999995</v>
      </c>
      <c r="AF14" s="36"/>
      <c r="AG14" s="36" t="s">
        <v>118</v>
      </c>
      <c r="AH14" s="263">
        <f t="shared" si="1"/>
        <v>6.8000000000000007</v>
      </c>
      <c r="AI14" s="36"/>
      <c r="AJ14" s="36"/>
      <c r="AK14" s="36"/>
      <c r="AL14" s="36"/>
      <c r="AM14" s="36"/>
      <c r="AN14" s="36"/>
      <c r="AO14" s="36"/>
      <c r="AP14" s="36"/>
      <c r="AQ14" s="36"/>
      <c r="AR14" s="36"/>
      <c r="AS14" s="36"/>
      <c r="AT14" s="36"/>
      <c r="AU14" s="36"/>
      <c r="AV14" s="36"/>
      <c r="AW14" s="36"/>
      <c r="AX14" s="36"/>
      <c r="AY14" s="36"/>
      <c r="AZ14" s="45"/>
    </row>
    <row r="15" spans="1:52" ht="15" thickBot="1" x14ac:dyDescent="0.35">
      <c r="A15" s="36"/>
      <c r="B15" s="36"/>
      <c r="C15" s="36"/>
      <c r="D15" s="36"/>
      <c r="E15" s="36"/>
      <c r="F15" s="36"/>
      <c r="G15" s="36"/>
      <c r="H15" s="39" t="s">
        <v>136</v>
      </c>
      <c r="I15" s="60">
        <f>VLOOKUP(TRIM(VLOOKUP(H3,Formulas!$Z:$AB,2,0)),TEAM!$T$35:$AK$65,4,0)</f>
        <v>33</v>
      </c>
      <c r="J15" s="61">
        <f ca="1">I15-K15</f>
        <v>-0.15686274509803866</v>
      </c>
      <c r="K15" s="60">
        <f ca="1">VLOOKUP(TRIM(VLOOKUP(K3,Formulas!$Z:$AA,2,0)),TEAM!$T$35:$AK$65,4,0)</f>
        <v>33.156862745098039</v>
      </c>
      <c r="L15" s="54" t="s">
        <v>136</v>
      </c>
      <c r="M15" s="106">
        <f t="shared" ca="1" si="5"/>
        <v>66.156862745098039</v>
      </c>
      <c r="N15" s="102" t="s">
        <v>992</v>
      </c>
      <c r="O15" s="36"/>
      <c r="P15" s="36"/>
      <c r="Q15" s="36"/>
      <c r="R15" s="36"/>
      <c r="S15" s="36"/>
      <c r="T15" s="36"/>
      <c r="U15" s="36"/>
      <c r="V15" s="36"/>
      <c r="W15" s="36"/>
      <c r="X15" s="36"/>
      <c r="Y15" s="36"/>
      <c r="Z15" s="36"/>
      <c r="AA15" s="36"/>
      <c r="AB15" s="36"/>
      <c r="AC15" s="93" t="str">
        <f>WAR!P10</f>
        <v>CLE</v>
      </c>
      <c r="AD15" s="255">
        <f>WAR!Q10</f>
        <v>0.29999999999999993</v>
      </c>
      <c r="AE15" s="98">
        <f>WAR!R10</f>
        <v>4.9999999999999991</v>
      </c>
      <c r="AF15" s="36"/>
      <c r="AG15" s="36"/>
      <c r="AH15" s="263">
        <f t="shared" si="1"/>
        <v>5.2999999999999989</v>
      </c>
      <c r="AI15" s="36"/>
      <c r="AJ15" s="36"/>
      <c r="AK15" s="36"/>
      <c r="AL15" s="36"/>
      <c r="AM15" s="36"/>
      <c r="AN15" s="36"/>
      <c r="AO15" s="36"/>
      <c r="AP15" s="36"/>
      <c r="AQ15" s="36"/>
      <c r="AR15" s="36"/>
      <c r="AS15" s="36"/>
      <c r="AT15" s="36"/>
      <c r="AU15" s="36"/>
      <c r="AV15" s="36"/>
      <c r="AW15" s="36"/>
      <c r="AX15" s="36"/>
      <c r="AY15" s="36"/>
      <c r="AZ15" s="45"/>
    </row>
    <row r="16" spans="1:52" ht="15" thickBot="1" x14ac:dyDescent="0.35">
      <c r="A16" s="36"/>
      <c r="B16" s="36"/>
      <c r="C16" s="36"/>
      <c r="D16" s="36"/>
      <c r="E16" s="36"/>
      <c r="F16" s="36"/>
      <c r="G16" s="36"/>
      <c r="H16" s="39" t="s">
        <v>2191</v>
      </c>
      <c r="I16" s="60">
        <f ca="1">OFFSET(P21,0,6)</f>
        <v>4.5</v>
      </c>
      <c r="J16" s="61">
        <f ca="1">-(I16-K16)</f>
        <v>0</v>
      </c>
      <c r="K16" s="60">
        <f ca="1">OFFSET(P22,0,6)</f>
        <v>4.5</v>
      </c>
      <c r="L16" s="54" t="s">
        <v>2191</v>
      </c>
      <c r="M16" s="106">
        <f ca="1">SUM(K16,I16)</f>
        <v>9</v>
      </c>
      <c r="N16" s="102"/>
      <c r="O16" s="36"/>
      <c r="P16" s="36"/>
      <c r="Q16" s="36"/>
      <c r="R16" s="36"/>
      <c r="S16" s="36"/>
      <c r="T16" s="36"/>
      <c r="U16" s="36"/>
      <c r="V16" s="36"/>
      <c r="W16" s="36"/>
      <c r="X16" s="36"/>
      <c r="Y16" s="36"/>
      <c r="Z16" s="36"/>
      <c r="AA16" s="36"/>
      <c r="AB16" s="36"/>
      <c r="AC16" s="93" t="str">
        <f>WAR!P11</f>
        <v>COL</v>
      </c>
      <c r="AD16" s="255">
        <f>WAR!Q11</f>
        <v>-0.59999999999999931</v>
      </c>
      <c r="AE16" s="98">
        <f>WAR!R11</f>
        <v>3.1999999999999997</v>
      </c>
      <c r="AF16" s="36"/>
      <c r="AG16" s="36"/>
      <c r="AH16" s="263">
        <f t="shared" si="1"/>
        <v>2.6000000000000005</v>
      </c>
      <c r="AI16" s="36"/>
      <c r="AJ16" s="36"/>
      <c r="AK16" s="36"/>
      <c r="AL16" s="36"/>
      <c r="AM16" s="36"/>
      <c r="AN16" s="36"/>
      <c r="AO16" s="36"/>
      <c r="AP16" s="36"/>
      <c r="AQ16" s="36"/>
      <c r="AR16" s="36"/>
      <c r="AS16" s="36"/>
      <c r="AT16" s="36"/>
      <c r="AU16" s="36"/>
      <c r="AV16" s="36"/>
      <c r="AW16" s="36"/>
      <c r="AX16" s="36"/>
      <c r="AY16" s="36"/>
      <c r="AZ16" s="45"/>
    </row>
    <row r="17" spans="1:52" ht="15" thickBot="1" x14ac:dyDescent="0.35">
      <c r="A17" s="36"/>
      <c r="B17" s="36"/>
      <c r="C17" s="36"/>
      <c r="D17" s="36"/>
      <c r="E17" s="36"/>
      <c r="F17" s="36"/>
      <c r="G17" s="36"/>
      <c r="H17" s="39" t="s">
        <v>1000</v>
      </c>
      <c r="I17" s="70">
        <f>IFERROR(VLOOKUP(H3,LOB!B:H,2,0),"")</f>
        <v>14.42</v>
      </c>
      <c r="J17" s="110">
        <f ca="1">-(I17-K17)</f>
        <v>-0.22000000000000064</v>
      </c>
      <c r="K17" s="70">
        <f ca="1">IFERROR(VLOOKUP(K3,LOB!B:H,2,0),"")</f>
        <v>14.2</v>
      </c>
      <c r="L17" s="39" t="s">
        <v>1000</v>
      </c>
      <c r="M17" s="106">
        <f t="shared" ca="1" si="5"/>
        <v>28.619999999999997</v>
      </c>
      <c r="N17" s="102" t="s">
        <v>98</v>
      </c>
      <c r="O17" s="36"/>
      <c r="P17" s="36"/>
      <c r="Q17" s="36"/>
      <c r="R17" s="36"/>
      <c r="S17" s="36"/>
      <c r="T17" s="36"/>
      <c r="U17" s="36"/>
      <c r="V17" s="36"/>
      <c r="W17" s="36"/>
      <c r="X17" s="36"/>
      <c r="Y17" s="36"/>
      <c r="Z17" s="36"/>
      <c r="AA17" s="36"/>
      <c r="AB17" s="36"/>
      <c r="AC17" s="93" t="str">
        <f>WAR!P12</f>
        <v>DET</v>
      </c>
      <c r="AD17" s="255">
        <f>WAR!Q12</f>
        <v>2.3000000000000007</v>
      </c>
      <c r="AE17" s="98">
        <f>WAR!R12</f>
        <v>1.7999999999999996</v>
      </c>
      <c r="AF17" s="36"/>
      <c r="AG17" s="36"/>
      <c r="AH17" s="263">
        <f t="shared" si="1"/>
        <v>4.1000000000000005</v>
      </c>
      <c r="AI17" s="36"/>
      <c r="AJ17" s="36"/>
      <c r="AK17" s="36"/>
      <c r="AL17" s="36"/>
      <c r="AM17" s="36"/>
      <c r="AN17" s="36"/>
      <c r="AO17" s="36"/>
      <c r="AP17" s="36"/>
      <c r="AQ17" s="36"/>
      <c r="AR17" s="36"/>
      <c r="AS17" s="36"/>
      <c r="AT17" s="36"/>
      <c r="AU17" s="36"/>
      <c r="AV17" s="36"/>
      <c r="AW17" s="36"/>
      <c r="AX17" s="36"/>
      <c r="AY17" s="36"/>
      <c r="AZ17" s="45"/>
    </row>
    <row r="18" spans="1:52" ht="15" thickBot="1" x14ac:dyDescent="0.35">
      <c r="A18" s="36"/>
      <c r="B18" s="36"/>
      <c r="C18" s="36"/>
      <c r="D18" s="36"/>
      <c r="E18" s="36"/>
      <c r="F18" s="36"/>
      <c r="G18" s="36">
        <v>2</v>
      </c>
      <c r="H18" s="39" t="s">
        <v>1001</v>
      </c>
      <c r="I18" s="60">
        <f>VLOOKUP(TRIM(VLOOKUP(H3,Formulas!$Z:$AB,2,0)),FIP!$M$2:$O$33,2,0)</f>
        <v>5.18</v>
      </c>
      <c r="J18" s="61">
        <f ca="1">-(I18-K18)</f>
        <v>-1.4349999999999996</v>
      </c>
      <c r="K18" s="60">
        <f ca="1">VLOOKUP(TRIM(VLOOKUP(K3,Formulas!$Z:$AA,2,0)),FIP!$M$2:$O$33,2,0)</f>
        <v>3.7450000000000001</v>
      </c>
      <c r="L18" s="39" t="s">
        <v>1001</v>
      </c>
      <c r="M18" s="106">
        <f t="shared" ca="1" si="5"/>
        <v>8.9250000000000007</v>
      </c>
      <c r="N18" s="103" t="s">
        <v>111</v>
      </c>
      <c r="O18" s="36"/>
      <c r="P18" s="231" t="s">
        <v>32</v>
      </c>
      <c r="Q18" s="232" t="s">
        <v>1725</v>
      </c>
      <c r="R18" s="36"/>
      <c r="S18" s="36"/>
      <c r="T18" s="36"/>
      <c r="U18" s="36"/>
      <c r="V18" s="36"/>
      <c r="W18" s="36"/>
      <c r="X18" s="36"/>
      <c r="Y18" s="36"/>
      <c r="Z18" s="36"/>
      <c r="AA18" s="36"/>
      <c r="AB18" s="36"/>
      <c r="AC18" s="93" t="str">
        <f>WAR!P13</f>
        <v>HOU</v>
      </c>
      <c r="AD18" s="255">
        <f>WAR!Q13</f>
        <v>4.4000000000000012</v>
      </c>
      <c r="AE18" s="98">
        <f>WAR!R13</f>
        <v>7.2999999999999989</v>
      </c>
      <c r="AF18" s="36"/>
      <c r="AG18" s="36"/>
      <c r="AH18" s="263">
        <f t="shared" si="1"/>
        <v>11.7</v>
      </c>
      <c r="AI18" s="36"/>
      <c r="AJ18" s="36"/>
      <c r="AK18" s="36"/>
      <c r="AL18" s="36"/>
      <c r="AM18" s="36"/>
      <c r="AN18" s="36"/>
      <c r="AO18" s="36"/>
      <c r="AP18" s="36"/>
      <c r="AQ18" s="36"/>
      <c r="AR18" s="36"/>
      <c r="AS18" s="36"/>
      <c r="AT18" s="36"/>
      <c r="AU18" s="36"/>
      <c r="AV18" s="36"/>
      <c r="AW18" s="36"/>
      <c r="AX18" s="36"/>
      <c r="AY18" s="36"/>
      <c r="AZ18" s="45"/>
    </row>
    <row r="19" spans="1:52" ht="15" thickBot="1" x14ac:dyDescent="0.35">
      <c r="A19" s="36"/>
      <c r="B19" s="36"/>
      <c r="C19" s="36"/>
      <c r="D19" s="36"/>
      <c r="E19" s="36"/>
      <c r="F19" s="36"/>
      <c r="G19" s="36"/>
      <c r="H19" s="39" t="s">
        <v>1002</v>
      </c>
      <c r="I19" s="60">
        <f>VLOOKUP(TRIM(VLOOKUP(H3,Formulas!$Z:$AB,3,0)),WAR!$P$2:$R$33,2,0)</f>
        <v>-0.59999999999999931</v>
      </c>
      <c r="J19" s="61">
        <f ca="1">I19-K19</f>
        <v>-4.2</v>
      </c>
      <c r="K19" s="60">
        <f ca="1">VLOOKUP(TRIM(VLOOKUP(K3,Formulas!$Z:$AB,3,0)),WAR!$P$2:$R$33,2,0)</f>
        <v>3.6000000000000005</v>
      </c>
      <c r="L19" s="39" t="s">
        <v>1002</v>
      </c>
      <c r="M19" s="106">
        <f t="shared" ca="1" si="5"/>
        <v>3.0000000000000013</v>
      </c>
      <c r="N19" s="104" t="s">
        <v>994</v>
      </c>
      <c r="O19" s="36"/>
      <c r="P19" s="36"/>
      <c r="Q19" s="36"/>
      <c r="R19" s="36"/>
      <c r="S19" s="36"/>
      <c r="T19" s="36"/>
      <c r="U19" s="36"/>
      <c r="V19" s="36"/>
      <c r="W19" s="36"/>
      <c r="X19" s="36"/>
      <c r="Y19" s="36"/>
      <c r="Z19" s="36"/>
      <c r="AA19" s="36"/>
      <c r="AB19" s="36"/>
      <c r="AC19" s="93" t="str">
        <f>WAR!P14</f>
        <v>KCR</v>
      </c>
      <c r="AD19" s="255">
        <f>WAR!Q14</f>
        <v>2.1999999999999993</v>
      </c>
      <c r="AE19" s="98">
        <f>WAR!R14</f>
        <v>2.4999999999999996</v>
      </c>
      <c r="AF19" s="36"/>
      <c r="AG19" s="36"/>
      <c r="AH19" s="263">
        <f t="shared" si="1"/>
        <v>4.6999999999999993</v>
      </c>
      <c r="AI19" s="36"/>
      <c r="AJ19" s="36"/>
      <c r="AK19" s="36"/>
      <c r="AL19" s="36"/>
      <c r="AM19" s="36"/>
      <c r="AN19" s="36"/>
      <c r="AO19" s="36"/>
      <c r="AP19" s="36"/>
      <c r="AQ19" s="36"/>
      <c r="AR19" s="36"/>
      <c r="AS19" s="36"/>
      <c r="AT19" s="36"/>
      <c r="AU19" s="36"/>
      <c r="AV19" s="36"/>
      <c r="AW19" s="36"/>
      <c r="AX19" s="36"/>
      <c r="AY19" s="36"/>
      <c r="AZ19" s="45"/>
    </row>
    <row r="20" spans="1:52" ht="15" thickBot="1" x14ac:dyDescent="0.35">
      <c r="A20" s="36"/>
      <c r="B20" s="36"/>
      <c r="C20" s="36"/>
      <c r="D20" s="36"/>
      <c r="E20" s="36"/>
      <c r="F20" s="36"/>
      <c r="G20" s="36"/>
      <c r="H20" s="39" t="s">
        <v>1003</v>
      </c>
      <c r="I20" s="60">
        <f>VLOOKUP(TRIM(VLOOKUP(H3,Formulas!$Z:$AB,3,0)),WAR!$P$2:$R$33,3,0)</f>
        <v>3.1999999999999997</v>
      </c>
      <c r="J20" s="61">
        <f ca="1">I20-K20</f>
        <v>-1.5000000000000013</v>
      </c>
      <c r="K20" s="60">
        <f ca="1">VLOOKUP(TRIM(VLOOKUP(K3,Formulas!$Z:$AB,3,0)),WAR!$P$2:$R$33,3,0)</f>
        <v>4.7000000000000011</v>
      </c>
      <c r="L20" s="39" t="s">
        <v>1003</v>
      </c>
      <c r="M20" s="107">
        <f t="shared" ca="1" si="5"/>
        <v>7.9</v>
      </c>
      <c r="N20" s="36"/>
      <c r="O20" s="36"/>
      <c r="P20" s="239" t="s">
        <v>137</v>
      </c>
      <c r="Q20" s="241" t="s">
        <v>2068</v>
      </c>
      <c r="R20" s="253" t="s">
        <v>75</v>
      </c>
      <c r="S20" s="233" t="s">
        <v>2199</v>
      </c>
      <c r="T20" s="254" t="s">
        <v>2067</v>
      </c>
      <c r="U20" s="233" t="s">
        <v>2198</v>
      </c>
      <c r="V20" s="252" t="s">
        <v>2066</v>
      </c>
      <c r="W20" s="233" t="s">
        <v>1728</v>
      </c>
      <c r="X20" s="233" t="s">
        <v>1729</v>
      </c>
      <c r="Y20" s="233" t="s">
        <v>1730</v>
      </c>
      <c r="Z20" s="233" t="s">
        <v>1731</v>
      </c>
      <c r="AA20" s="234" t="s">
        <v>1732</v>
      </c>
      <c r="AB20" s="36"/>
      <c r="AC20" s="93" t="str">
        <f>WAR!P15</f>
        <v>LAA</v>
      </c>
      <c r="AD20" s="255">
        <f>WAR!Q15</f>
        <v>7.2999999999999989</v>
      </c>
      <c r="AE20" s="98">
        <f>WAR!R15</f>
        <v>5.6000000000000005</v>
      </c>
      <c r="AF20" s="36"/>
      <c r="AG20" s="36"/>
      <c r="AH20" s="263">
        <f t="shared" si="1"/>
        <v>12.899999999999999</v>
      </c>
      <c r="AI20" s="36"/>
      <c r="AJ20" s="36"/>
      <c r="AK20" s="36"/>
      <c r="AL20" s="36"/>
      <c r="AM20" s="36"/>
      <c r="AN20" s="36"/>
      <c r="AO20" s="36"/>
      <c r="AP20" s="36"/>
      <c r="AQ20" s="36"/>
      <c r="AR20" s="36"/>
      <c r="AS20" s="36"/>
      <c r="AT20" s="36"/>
      <c r="AU20" s="36"/>
      <c r="AV20" s="36"/>
      <c r="AW20" s="36"/>
      <c r="AX20" s="36"/>
      <c r="AY20" s="36"/>
      <c r="AZ20" s="45"/>
    </row>
    <row r="21" spans="1:52" ht="15" thickBot="1" x14ac:dyDescent="0.35">
      <c r="A21" s="36"/>
      <c r="B21" s="36"/>
      <c r="C21" s="36"/>
      <c r="D21" s="36"/>
      <c r="E21" s="36"/>
      <c r="F21" s="36"/>
      <c r="G21" s="36"/>
      <c r="H21" s="36"/>
      <c r="I21" s="36">
        <f>(($W$3*I12)-($X$3*I11)+($Y$3*I18)+($Z$3*I17)-($AA$3*I20)+($AB$3*I19)+($AC$3*I14)-($AD$3*I15))</f>
        <v>-15.116954352941175</v>
      </c>
      <c r="J21" s="53" t="str">
        <f ca="1">IF(K21&gt;I21,K3,H3)</f>
        <v>Miami</v>
      </c>
      <c r="K21" s="36">
        <f ca="1">(($W$3*K12)-($X$3*K11)+($Y$3*K18)+($Z$3*K17)-($AA$3*K20)+($AB$3*K19)+($AC$3*K14)-($AD$3*K15))</f>
        <v>-14.592447058823529</v>
      </c>
      <c r="L21" s="36"/>
      <c r="M21" s="36"/>
      <c r="N21" s="36"/>
      <c r="O21" s="34" t="str">
        <f>M2</f>
        <v>COL</v>
      </c>
      <c r="P21" s="223" t="s">
        <v>376</v>
      </c>
      <c r="Q21" s="235">
        <v>9</v>
      </c>
      <c r="R21" s="236">
        <v>9</v>
      </c>
      <c r="S21" s="236">
        <v>50</v>
      </c>
      <c r="T21" s="236">
        <v>35</v>
      </c>
      <c r="U21" s="236">
        <v>23</v>
      </c>
      <c r="V21" s="250">
        <v>4.5</v>
      </c>
      <c r="W21" s="250">
        <v>4.62</v>
      </c>
      <c r="X21" s="250">
        <v>1.42</v>
      </c>
      <c r="Y21" s="251">
        <v>1.5217391304347827</v>
      </c>
      <c r="Z21" s="250">
        <v>3.8888888888888888</v>
      </c>
      <c r="AA21" s="237">
        <v>0.33333333333333331</v>
      </c>
      <c r="AB21" s="36"/>
      <c r="AC21" s="93" t="str">
        <f>WAR!P16</f>
        <v>LAD</v>
      </c>
      <c r="AD21" s="255">
        <f>WAR!Q16</f>
        <v>9.4000000000000021</v>
      </c>
      <c r="AE21" s="98">
        <f>WAR!R16</f>
        <v>5.9000000000000012</v>
      </c>
      <c r="AF21" s="36"/>
      <c r="AG21" s="36"/>
      <c r="AH21" s="263">
        <f t="shared" si="1"/>
        <v>15.300000000000004</v>
      </c>
      <c r="AI21" s="36"/>
      <c r="AJ21" s="36"/>
      <c r="AK21" s="36"/>
      <c r="AL21" s="36"/>
      <c r="AM21" s="36"/>
      <c r="AN21" s="36"/>
      <c r="AO21" s="36"/>
      <c r="AP21" s="36"/>
      <c r="AQ21" s="36"/>
      <c r="AR21" s="36"/>
      <c r="AS21" s="36"/>
      <c r="AT21" s="36"/>
      <c r="AU21" s="36"/>
      <c r="AV21" s="36"/>
      <c r="AW21" s="36"/>
      <c r="AX21" s="36"/>
      <c r="AY21" s="36"/>
      <c r="AZ21" s="45"/>
    </row>
    <row r="22" spans="1:52" ht="15" thickBot="1" x14ac:dyDescent="0.35">
      <c r="A22" s="36"/>
      <c r="B22" s="36"/>
      <c r="C22" s="36"/>
      <c r="D22" s="36"/>
      <c r="E22" s="36"/>
      <c r="F22" s="36"/>
      <c r="G22" s="36"/>
      <c r="H22" s="36"/>
      <c r="I22" s="36"/>
      <c r="J22" s="65"/>
      <c r="K22" s="36"/>
      <c r="L22" s="36"/>
      <c r="M22" s="36"/>
      <c r="N22" s="36"/>
      <c r="O22" s="34" t="str">
        <f ca="1">O2</f>
        <v>MIA</v>
      </c>
      <c r="P22" s="240" t="s">
        <v>978</v>
      </c>
      <c r="Q22" s="238">
        <v>9</v>
      </c>
      <c r="R22" s="222">
        <v>9</v>
      </c>
      <c r="S22" s="222">
        <v>50</v>
      </c>
      <c r="T22" s="222">
        <v>35</v>
      </c>
      <c r="U22" s="222">
        <v>23</v>
      </c>
      <c r="V22" s="222">
        <v>4.5</v>
      </c>
      <c r="W22" s="222">
        <v>4.62</v>
      </c>
      <c r="X22" s="222">
        <v>1.42</v>
      </c>
      <c r="Y22" s="256">
        <v>1.5217391304347827</v>
      </c>
      <c r="Z22" s="256">
        <v>3.8888888888888888</v>
      </c>
      <c r="AA22" s="257">
        <v>0.33333333333333331</v>
      </c>
      <c r="AB22" s="36"/>
      <c r="AC22" s="93" t="str">
        <f>WAR!P17</f>
        <v>MIA</v>
      </c>
      <c r="AD22" s="255">
        <f>WAR!Q17</f>
        <v>3.6000000000000005</v>
      </c>
      <c r="AE22" s="98">
        <f>WAR!R17</f>
        <v>4.7000000000000011</v>
      </c>
      <c r="AF22" s="36"/>
      <c r="AG22" s="36"/>
      <c r="AH22" s="263">
        <f t="shared" si="1"/>
        <v>8.3000000000000007</v>
      </c>
      <c r="AI22" s="36"/>
      <c r="AJ22" s="36"/>
      <c r="AK22" s="36"/>
      <c r="AL22" s="36"/>
      <c r="AM22" s="36"/>
      <c r="AN22" s="36"/>
      <c r="AO22" s="36"/>
      <c r="AP22" s="36"/>
      <c r="AQ22" s="36"/>
      <c r="AR22" s="36"/>
      <c r="AS22" s="36"/>
      <c r="AT22" s="36"/>
      <c r="AU22" s="36"/>
      <c r="AV22" s="36"/>
      <c r="AW22" s="36"/>
      <c r="AX22" s="36"/>
      <c r="AY22" s="36"/>
      <c r="AZ22" s="45"/>
    </row>
    <row r="23" spans="1:52" x14ac:dyDescent="0.3">
      <c r="A23" s="38"/>
      <c r="B23" s="36"/>
      <c r="C23" s="36"/>
      <c r="D23" s="36"/>
      <c r="E23" s="36"/>
      <c r="F23" s="36"/>
      <c r="G23" s="36"/>
      <c r="H23" s="36"/>
      <c r="I23" s="36"/>
      <c r="J23" s="65"/>
      <c r="K23" s="36"/>
      <c r="L23" s="36"/>
      <c r="M23" s="36"/>
      <c r="N23" s="36"/>
      <c r="O23" s="36"/>
      <c r="AB23" s="36"/>
      <c r="AC23" s="93" t="str">
        <f>WAR!P18</f>
        <v>MIL</v>
      </c>
      <c r="AD23" s="255">
        <f>WAR!Q18</f>
        <v>5.6000000000000005</v>
      </c>
      <c r="AE23" s="98">
        <f>WAR!R18</f>
        <v>2.2999999999999989</v>
      </c>
      <c r="AF23" s="36"/>
      <c r="AG23" s="36"/>
      <c r="AH23" s="263">
        <f t="shared" si="1"/>
        <v>7.8999999999999995</v>
      </c>
      <c r="AI23" s="36"/>
      <c r="AJ23" s="36"/>
      <c r="AK23" s="36"/>
      <c r="AL23" s="36"/>
      <c r="AM23" s="36"/>
      <c r="AN23" s="36"/>
      <c r="AO23" s="36"/>
      <c r="AP23" s="36"/>
      <c r="AQ23" s="36"/>
      <c r="AR23" s="36"/>
      <c r="AS23" s="36"/>
      <c r="AT23" s="36"/>
      <c r="AU23" s="36"/>
      <c r="AV23" s="36"/>
      <c r="AW23" s="36"/>
      <c r="AX23" s="36"/>
      <c r="AY23" s="36"/>
      <c r="AZ23" s="45"/>
    </row>
    <row r="24" spans="1:52" x14ac:dyDescent="0.3">
      <c r="A24" s="38"/>
      <c r="B24" s="36"/>
      <c r="C24" s="36"/>
      <c r="D24" s="36"/>
      <c r="E24" s="36"/>
      <c r="F24" s="36"/>
      <c r="G24" s="36"/>
      <c r="H24" s="36"/>
      <c r="I24" s="36"/>
      <c r="J24" s="46"/>
      <c r="K24" s="36"/>
      <c r="L24" s="36"/>
      <c r="M24" s="36" t="str">
        <f>TRIM(VLOOKUP(H3,Formulas!$Z:$AB,3,0))</f>
        <v>COL</v>
      </c>
      <c r="N24" s="36"/>
      <c r="O24" s="36"/>
      <c r="P24" s="36"/>
      <c r="Q24" s="36"/>
      <c r="R24" s="36"/>
      <c r="S24" s="36"/>
      <c r="T24" s="46"/>
      <c r="U24" s="36"/>
      <c r="V24" s="36"/>
      <c r="W24" s="36"/>
      <c r="X24" s="36"/>
      <c r="Y24" s="36"/>
      <c r="Z24" s="36"/>
      <c r="AA24" s="36"/>
      <c r="AB24" s="36"/>
      <c r="AC24" s="93" t="str">
        <f>WAR!P19</f>
        <v>MIN</v>
      </c>
      <c r="AD24" s="255">
        <f>WAR!Q19</f>
        <v>5.3</v>
      </c>
      <c r="AE24" s="98">
        <f>WAR!R19</f>
        <v>8.6999999999999975</v>
      </c>
      <c r="AF24" s="36"/>
      <c r="AG24" s="36"/>
      <c r="AH24" s="263">
        <f t="shared" si="1"/>
        <v>13.999999999999996</v>
      </c>
      <c r="AI24" s="36"/>
      <c r="AJ24" s="36"/>
      <c r="AK24" s="36"/>
      <c r="AL24" s="36"/>
      <c r="AM24" s="36"/>
      <c r="AN24" s="36"/>
      <c r="AO24" s="36"/>
      <c r="AP24" s="36"/>
      <c r="AQ24" s="36"/>
      <c r="AR24" s="36"/>
      <c r="AS24" s="36"/>
      <c r="AT24" s="36"/>
      <c r="AU24" s="36"/>
      <c r="AV24" s="36"/>
      <c r="AW24" s="36"/>
      <c r="AX24" s="36"/>
      <c r="AY24" s="36"/>
      <c r="AZ24" s="45"/>
    </row>
    <row r="25" spans="1:52" x14ac:dyDescent="0.3">
      <c r="A25" s="38"/>
      <c r="B25" s="36"/>
      <c r="C25" s="36"/>
      <c r="D25" s="36"/>
      <c r="E25" s="36"/>
      <c r="F25" s="36"/>
      <c r="G25" s="36"/>
      <c r="H25" s="36"/>
      <c r="I25" s="36"/>
      <c r="J25" s="46"/>
      <c r="K25" s="36"/>
      <c r="L25" s="36"/>
      <c r="M25" s="36">
        <f ca="1">VLOOKUP(O1,Schedule!A:AG,1,0)</f>
        <v>45071</v>
      </c>
      <c r="N25" s="36"/>
      <c r="O25" s="36" t="e">
        <f ca="1">INDEX(Schedule!B6:AG244,MATCH((TRIM(VLOOKUP(H3,Formulas!$Z:$AB,3,0))),Schedule!B5:AG5,0),MATCH(MainPage!O1,Schedule!A6:A244,0))</f>
        <v>#REF!</v>
      </c>
      <c r="P25" s="36"/>
      <c r="Q25" s="36"/>
      <c r="R25" s="36"/>
      <c r="S25" s="36"/>
      <c r="T25" s="46"/>
      <c r="U25" s="36"/>
      <c r="V25" s="36"/>
      <c r="W25" s="36"/>
      <c r="X25" s="36"/>
      <c r="Y25" s="36"/>
      <c r="Z25" s="36"/>
      <c r="AA25" s="36"/>
      <c r="AB25" s="36"/>
      <c r="AC25" s="93" t="str">
        <f>WAR!P20</f>
        <v>NYM</v>
      </c>
      <c r="AD25" s="255">
        <f>WAR!Q20</f>
        <v>6.3000000000000016</v>
      </c>
      <c r="AE25" s="98">
        <f>WAR!R20</f>
        <v>0.79999999999999871</v>
      </c>
      <c r="AF25" s="36"/>
      <c r="AG25" s="36"/>
      <c r="AH25" s="263">
        <f t="shared" si="1"/>
        <v>7.1000000000000005</v>
      </c>
      <c r="AI25" s="36"/>
      <c r="AJ25" s="36"/>
      <c r="AK25" s="36"/>
      <c r="AL25" s="36"/>
      <c r="AM25" s="36"/>
      <c r="AN25" s="36"/>
      <c r="AO25" s="36"/>
      <c r="AP25" s="36"/>
      <c r="AQ25" s="36"/>
      <c r="AR25" s="36"/>
      <c r="AS25" s="36"/>
      <c r="AT25" s="36"/>
      <c r="AU25" s="36"/>
      <c r="AV25" s="36"/>
      <c r="AW25" s="36"/>
      <c r="AX25" s="36"/>
      <c r="AY25" s="36"/>
      <c r="AZ25" s="45"/>
    </row>
    <row r="26" spans="1:52" x14ac:dyDescent="0.3">
      <c r="A26" s="38"/>
      <c r="B26" s="36"/>
      <c r="C26" s="36"/>
      <c r="D26" s="36"/>
      <c r="E26" s="36"/>
      <c r="F26" s="36"/>
      <c r="G26" s="36"/>
      <c r="H26" s="36"/>
      <c r="I26" s="36"/>
      <c r="J26" s="46"/>
      <c r="K26" s="36"/>
      <c r="L26" s="36"/>
      <c r="M26" s="36"/>
      <c r="N26" s="36"/>
      <c r="O26" s="36"/>
      <c r="P26" s="36"/>
      <c r="Q26" s="36"/>
      <c r="R26" s="36"/>
      <c r="S26" s="36"/>
      <c r="T26" s="46"/>
      <c r="U26" s="36"/>
      <c r="V26" s="36"/>
      <c r="W26" s="36"/>
      <c r="X26" s="36"/>
      <c r="Y26" s="36"/>
      <c r="Z26" s="36"/>
      <c r="AA26" s="36"/>
      <c r="AB26" s="36"/>
      <c r="AC26" s="93" t="str">
        <f>WAR!P21</f>
        <v>NYY</v>
      </c>
      <c r="AD26" s="255">
        <f>WAR!Q21</f>
        <v>6.3</v>
      </c>
      <c r="AE26" s="98">
        <f>WAR!R21</f>
        <v>5.3000000000000016</v>
      </c>
      <c r="AF26" s="36"/>
      <c r="AG26" s="36"/>
      <c r="AH26" s="263">
        <f t="shared" si="1"/>
        <v>11.600000000000001</v>
      </c>
      <c r="AI26" s="36"/>
      <c r="AJ26" s="36"/>
      <c r="AK26" s="36"/>
      <c r="AL26" s="36"/>
      <c r="AM26" s="36"/>
      <c r="AN26" s="36"/>
      <c r="AO26" s="36"/>
      <c r="AP26" s="36"/>
      <c r="AQ26" s="36"/>
      <c r="AR26" s="36"/>
      <c r="AS26" s="36"/>
      <c r="AT26" s="36"/>
      <c r="AU26" s="36"/>
      <c r="AV26" s="36"/>
      <c r="AW26" s="36"/>
      <c r="AX26" s="36"/>
      <c r="AY26" s="36"/>
      <c r="AZ26" s="45"/>
    </row>
    <row r="27" spans="1:52" ht="15" thickBot="1" x14ac:dyDescent="0.35">
      <c r="A27" s="38"/>
      <c r="B27" s="36"/>
      <c r="C27" s="36"/>
      <c r="D27" s="36"/>
      <c r="E27" s="36"/>
      <c r="F27" s="36"/>
      <c r="G27" s="36"/>
      <c r="H27" s="36"/>
      <c r="I27" s="36"/>
      <c r="J27" s="46"/>
      <c r="K27" s="36"/>
      <c r="L27" s="36"/>
      <c r="M27" s="36"/>
      <c r="N27" s="36"/>
      <c r="O27" s="36"/>
      <c r="P27" s="36"/>
      <c r="Q27" s="36"/>
      <c r="R27" s="36"/>
      <c r="S27" s="36"/>
      <c r="T27" s="46"/>
      <c r="U27" s="36"/>
      <c r="V27" s="36"/>
      <c r="W27" s="36"/>
      <c r="X27" s="36"/>
      <c r="Y27" s="36"/>
      <c r="Z27" s="36"/>
      <c r="AA27" s="36"/>
      <c r="AB27" s="36"/>
      <c r="AC27" s="93" t="str">
        <f>WAR!P22</f>
        <v>OAK</v>
      </c>
      <c r="AD27" s="255">
        <f>WAR!Q22</f>
        <v>2.3000000000000007</v>
      </c>
      <c r="AE27" s="98">
        <f>WAR!R22</f>
        <v>-3.9000000000000004</v>
      </c>
      <c r="AF27" s="36"/>
      <c r="AG27" s="36"/>
      <c r="AH27" s="263">
        <f t="shared" si="1"/>
        <v>-1.5999999999999996</v>
      </c>
      <c r="AI27" s="36"/>
      <c r="AJ27" s="36"/>
      <c r="AK27" s="36"/>
      <c r="AL27" s="36"/>
      <c r="AM27" s="36"/>
      <c r="AN27" s="36"/>
      <c r="AO27" s="36"/>
      <c r="AP27" s="36"/>
      <c r="AQ27" s="36"/>
      <c r="AR27" s="36"/>
      <c r="AS27" s="36"/>
      <c r="AT27" s="36"/>
      <c r="AU27" s="36"/>
      <c r="AV27" s="36"/>
      <c r="AW27" s="36"/>
      <c r="AX27" s="36"/>
      <c r="AY27" s="36"/>
      <c r="AZ27" s="45"/>
    </row>
    <row r="28" spans="1:52" ht="15" thickBot="1" x14ac:dyDescent="0.35">
      <c r="A28" s="63" t="s">
        <v>2064</v>
      </c>
      <c r="B28" s="63" t="s">
        <v>2065</v>
      </c>
      <c r="C28" s="36"/>
      <c r="D28" s="36"/>
      <c r="E28" s="36"/>
      <c r="F28" s="36"/>
      <c r="G28" s="36"/>
      <c r="H28" s="36"/>
      <c r="I28" s="36"/>
      <c r="J28" s="46"/>
      <c r="K28" s="36"/>
      <c r="L28" s="36"/>
      <c r="M28" s="36"/>
      <c r="N28" s="36"/>
      <c r="O28" s="36"/>
      <c r="P28" s="36"/>
      <c r="Q28" s="36"/>
      <c r="R28" s="36"/>
      <c r="S28" s="36"/>
      <c r="T28" s="46"/>
      <c r="U28" s="36"/>
      <c r="V28" s="36"/>
      <c r="W28" s="36"/>
      <c r="X28" s="36"/>
      <c r="Y28" s="36"/>
      <c r="Z28" s="36"/>
      <c r="AA28" s="36"/>
      <c r="AB28" s="36"/>
      <c r="AC28" s="93" t="str">
        <f>WAR!P23</f>
        <v>PHI</v>
      </c>
      <c r="AD28" s="255">
        <f>WAR!Q23</f>
        <v>4.6000000000000005</v>
      </c>
      <c r="AE28" s="98">
        <f>WAR!R23</f>
        <v>7.2000000000000011</v>
      </c>
      <c r="AF28" s="36"/>
      <c r="AG28" s="36"/>
      <c r="AH28" s="263">
        <f t="shared" si="1"/>
        <v>11.8</v>
      </c>
      <c r="AI28" s="36"/>
      <c r="AJ28" s="36"/>
      <c r="AK28" s="36"/>
      <c r="AL28" s="36"/>
      <c r="AM28" s="36"/>
      <c r="AN28" s="36"/>
      <c r="AO28" s="36"/>
      <c r="AP28" s="36"/>
      <c r="AQ28" s="36"/>
      <c r="AR28" s="36"/>
      <c r="AS28" s="36"/>
      <c r="AT28" s="36"/>
      <c r="AU28" s="36"/>
      <c r="AV28" s="36"/>
      <c r="AW28" s="36"/>
      <c r="AX28" s="36"/>
      <c r="AY28" s="36"/>
      <c r="AZ28" s="45"/>
    </row>
    <row r="29" spans="1:52" ht="15" thickBot="1" x14ac:dyDescent="0.35">
      <c r="A29" s="283" t="s">
        <v>119</v>
      </c>
      <c r="B29" s="284"/>
      <c r="C29" s="36"/>
      <c r="D29" s="36"/>
      <c r="E29" s="36"/>
      <c r="F29" s="36"/>
      <c r="G29" s="36"/>
      <c r="H29" s="36"/>
      <c r="I29" s="36"/>
      <c r="J29" s="46"/>
      <c r="K29" s="36"/>
      <c r="L29" s="36"/>
      <c r="M29" s="36"/>
      <c r="N29" s="36"/>
      <c r="O29" s="36"/>
      <c r="P29" s="36"/>
      <c r="Q29" s="36"/>
      <c r="R29" s="36"/>
      <c r="S29" s="36"/>
      <c r="T29" s="46"/>
      <c r="U29" s="36"/>
      <c r="V29" s="36"/>
      <c r="W29" s="36"/>
      <c r="X29" s="36"/>
      <c r="Y29" s="36"/>
      <c r="Z29" s="36"/>
      <c r="AA29" s="36"/>
      <c r="AB29" s="36"/>
      <c r="AC29" s="93" t="str">
        <f>WAR!P24</f>
        <v>PIT</v>
      </c>
      <c r="AD29" s="255">
        <f>WAR!Q24</f>
        <v>5.5</v>
      </c>
      <c r="AE29" s="98">
        <f>WAR!R24</f>
        <v>5.5</v>
      </c>
      <c r="AF29" s="36"/>
      <c r="AG29" s="36"/>
      <c r="AH29" s="263">
        <f t="shared" si="1"/>
        <v>11</v>
      </c>
      <c r="AI29" s="36"/>
      <c r="AJ29" s="36"/>
      <c r="AK29" s="36"/>
      <c r="AL29" s="36"/>
      <c r="AM29" s="36"/>
      <c r="AN29" s="36"/>
      <c r="AO29" s="36"/>
      <c r="AP29" s="36"/>
      <c r="AQ29" s="36"/>
      <c r="AR29" s="36"/>
      <c r="AS29" s="36"/>
      <c r="AT29" s="36"/>
      <c r="AU29" s="36"/>
      <c r="AV29" s="36"/>
      <c r="AW29" s="36"/>
      <c r="AX29" s="36"/>
      <c r="AY29" s="36"/>
      <c r="AZ29" s="45"/>
    </row>
    <row r="30" spans="1:52" ht="15" thickBot="1" x14ac:dyDescent="0.35">
      <c r="A30" s="146">
        <f>_xlfn.CEILING.MATH(E17)</f>
        <v>0</v>
      </c>
      <c r="B30" s="285">
        <f>SUM(A30:A32)</f>
        <v>0</v>
      </c>
      <c r="C30" s="36"/>
      <c r="D30" s="36"/>
      <c r="E30" s="36"/>
      <c r="F30" s="36"/>
      <c r="G30" s="36"/>
      <c r="H30" s="36"/>
      <c r="I30" s="36"/>
      <c r="J30" s="46"/>
      <c r="K30" s="36"/>
      <c r="L30" s="36"/>
      <c r="M30" s="36"/>
      <c r="N30" s="36"/>
      <c r="O30" s="36"/>
      <c r="P30" s="36"/>
      <c r="Q30" s="36"/>
      <c r="R30" s="36"/>
      <c r="S30" s="36"/>
      <c r="T30" s="46"/>
      <c r="U30" s="36"/>
      <c r="V30" s="36"/>
      <c r="W30" s="36"/>
      <c r="X30" s="36"/>
      <c r="Y30" s="36"/>
      <c r="Z30" s="36"/>
      <c r="AA30" s="36"/>
      <c r="AB30" s="36"/>
      <c r="AC30" s="93" t="str">
        <f>WAR!P25</f>
        <v>SDP</v>
      </c>
      <c r="AD30" s="255">
        <f>WAR!Q25</f>
        <v>5.7</v>
      </c>
      <c r="AE30" s="98">
        <f>WAR!R25</f>
        <v>4.5000000000000009</v>
      </c>
      <c r="AF30" s="36"/>
      <c r="AG30" s="36"/>
      <c r="AH30" s="263">
        <f t="shared" si="1"/>
        <v>10.200000000000001</v>
      </c>
      <c r="AI30" s="36"/>
      <c r="AJ30" s="36"/>
      <c r="AK30" s="36"/>
      <c r="AL30" s="36"/>
      <c r="AM30" s="36"/>
      <c r="AN30" s="36"/>
      <c r="AO30" s="36"/>
      <c r="AP30" s="36"/>
      <c r="AQ30" s="36"/>
      <c r="AR30" s="36"/>
      <c r="AS30" s="36"/>
      <c r="AT30" s="36"/>
      <c r="AU30" s="36"/>
      <c r="AV30" s="36"/>
      <c r="AW30" s="36"/>
      <c r="AX30" s="36"/>
      <c r="AY30" s="36"/>
      <c r="AZ30" s="45"/>
    </row>
    <row r="31" spans="1:52" ht="15" thickBot="1" x14ac:dyDescent="0.35">
      <c r="A31" s="147"/>
      <c r="B31" s="286"/>
      <c r="C31" s="36"/>
      <c r="D31" s="36"/>
      <c r="E31" s="36"/>
      <c r="F31" s="36"/>
      <c r="G31" s="36"/>
      <c r="H31" s="36"/>
      <c r="I31" s="36"/>
      <c r="J31" s="46"/>
      <c r="K31" s="36"/>
      <c r="L31" s="36"/>
      <c r="M31" s="36"/>
      <c r="N31" s="36"/>
      <c r="O31" s="36"/>
      <c r="P31" s="36"/>
      <c r="Q31" s="36"/>
      <c r="R31" s="36"/>
      <c r="S31" s="36"/>
      <c r="T31" s="46"/>
      <c r="U31" s="36"/>
      <c r="V31" s="36"/>
      <c r="W31" s="36"/>
      <c r="X31" s="36"/>
      <c r="Y31" s="36"/>
      <c r="Z31" s="36"/>
      <c r="AA31" s="36"/>
      <c r="AB31" s="36"/>
      <c r="AC31" s="93" t="str">
        <f>WAR!P26</f>
        <v>SEA</v>
      </c>
      <c r="AD31" s="255">
        <f>WAR!Q26</f>
        <v>6.1</v>
      </c>
      <c r="AE31" s="98">
        <f>WAR!R26</f>
        <v>10.1</v>
      </c>
      <c r="AF31" s="36"/>
      <c r="AG31" s="36"/>
      <c r="AH31" s="263">
        <f t="shared" si="1"/>
        <v>16.2</v>
      </c>
      <c r="AI31" s="36"/>
      <c r="AJ31" s="36"/>
      <c r="AK31" s="36"/>
      <c r="AL31" s="36"/>
      <c r="AM31" s="36"/>
      <c r="AN31" s="36"/>
      <c r="AO31" s="36"/>
      <c r="AP31" s="36"/>
      <c r="AQ31" s="36"/>
      <c r="AR31" s="36"/>
      <c r="AS31" s="36"/>
      <c r="AT31" s="36"/>
      <c r="AU31" s="36"/>
      <c r="AV31" s="36"/>
      <c r="AW31" s="36"/>
      <c r="AX31" s="36"/>
      <c r="AY31" s="36"/>
      <c r="AZ31" s="45"/>
    </row>
    <row r="32" spans="1:52" ht="15" thickBot="1" x14ac:dyDescent="0.35">
      <c r="A32" s="218">
        <f>_xlfn.CEILING.MATH(E18)</f>
        <v>0</v>
      </c>
      <c r="B32" s="287"/>
      <c r="C32" s="36"/>
      <c r="D32" s="36"/>
      <c r="E32" s="36"/>
      <c r="F32" s="36"/>
      <c r="G32" s="36"/>
      <c r="H32" s="36"/>
      <c r="I32" s="36"/>
      <c r="J32" s="46"/>
      <c r="K32" s="36"/>
      <c r="L32" s="36"/>
      <c r="M32" s="36"/>
      <c r="N32" s="36"/>
      <c r="O32" s="36"/>
      <c r="P32" s="36"/>
      <c r="Q32" s="36"/>
      <c r="R32" s="36"/>
      <c r="S32" s="36"/>
      <c r="T32" s="46"/>
      <c r="U32" s="36"/>
      <c r="V32" s="36"/>
      <c r="W32" s="36"/>
      <c r="X32" s="36"/>
      <c r="Y32" s="36"/>
      <c r="Z32" s="36"/>
      <c r="AA32" s="36"/>
      <c r="AB32" s="36"/>
      <c r="AC32" s="93" t="str">
        <f>WAR!P27</f>
        <v>SFG</v>
      </c>
      <c r="AD32" s="255">
        <f>WAR!Q27</f>
        <v>6.6</v>
      </c>
      <c r="AE32" s="98">
        <f>WAR!R27</f>
        <v>3.1</v>
      </c>
      <c r="AF32" s="36"/>
      <c r="AG32" s="36"/>
      <c r="AH32" s="263">
        <f t="shared" si="1"/>
        <v>9.6999999999999993</v>
      </c>
      <c r="AI32" s="36"/>
      <c r="AJ32" s="36"/>
      <c r="AK32" s="36"/>
      <c r="AL32" s="36"/>
      <c r="AM32" s="36"/>
      <c r="AN32" s="36"/>
      <c r="AO32" s="36"/>
      <c r="AP32" s="36"/>
      <c r="AQ32" s="36"/>
      <c r="AR32" s="36"/>
      <c r="AS32" s="36"/>
      <c r="AT32" s="36"/>
      <c r="AU32" s="36"/>
      <c r="AV32" s="36"/>
      <c r="AW32" s="36"/>
      <c r="AX32" s="36"/>
      <c r="AY32" s="36"/>
      <c r="AZ32" s="45"/>
    </row>
    <row r="33" spans="1:52" ht="15" thickBot="1" x14ac:dyDescent="0.35">
      <c r="A33" s="34" t="s">
        <v>120</v>
      </c>
      <c r="B33" s="64">
        <f>ABS(A32-A30)</f>
        <v>0</v>
      </c>
      <c r="C33" s="36"/>
      <c r="D33" s="36"/>
      <c r="E33" s="36"/>
      <c r="F33" s="36"/>
      <c r="G33" s="36"/>
      <c r="H33" s="36"/>
      <c r="I33" s="36"/>
      <c r="J33" s="46"/>
      <c r="K33" s="36"/>
      <c r="L33" s="36"/>
      <c r="M33" s="36"/>
      <c r="N33" s="36"/>
      <c r="O33" s="36"/>
      <c r="P33" s="36"/>
      <c r="Q33" s="36"/>
      <c r="R33" s="36"/>
      <c r="S33" s="36"/>
      <c r="T33" s="46"/>
      <c r="U33" s="36"/>
      <c r="V33" s="36"/>
      <c r="W33" s="36"/>
      <c r="X33" s="36"/>
      <c r="Y33" s="36"/>
      <c r="Z33" s="36"/>
      <c r="AA33" s="36"/>
      <c r="AB33" s="36"/>
      <c r="AC33" s="93" t="str">
        <f>WAR!P28</f>
        <v>STL</v>
      </c>
      <c r="AD33" s="255">
        <f>WAR!Q28</f>
        <v>9.7000000000000011</v>
      </c>
      <c r="AE33" s="98">
        <f>WAR!R28</f>
        <v>3.6999999999999988</v>
      </c>
      <c r="AF33" s="36"/>
      <c r="AG33" s="36"/>
      <c r="AH33" s="263">
        <f t="shared" si="1"/>
        <v>13.4</v>
      </c>
      <c r="AI33" s="36"/>
      <c r="AJ33" s="36"/>
      <c r="AK33" s="36"/>
      <c r="AL33" s="36"/>
      <c r="AM33" s="36"/>
      <c r="AN33" s="36"/>
      <c r="AO33" s="36"/>
      <c r="AP33" s="36"/>
      <c r="AQ33" s="36"/>
      <c r="AR33" s="36"/>
      <c r="AS33" s="36"/>
      <c r="AT33" s="36"/>
      <c r="AU33" s="36"/>
      <c r="AV33" s="36"/>
      <c r="AW33" s="36"/>
      <c r="AX33" s="36"/>
      <c r="AY33" s="36"/>
      <c r="AZ33" s="45"/>
    </row>
    <row r="34" spans="1:52" ht="15" thickBot="1" x14ac:dyDescent="0.35">
      <c r="A34" s="288">
        <f>IFERROR(AVERAGE(C33,B33),"")</f>
        <v>0</v>
      </c>
      <c r="B34" s="289"/>
      <c r="C34" s="36"/>
      <c r="D34" s="36"/>
      <c r="E34" s="36"/>
      <c r="F34" s="36"/>
      <c r="G34" s="36"/>
      <c r="H34" s="36"/>
      <c r="I34" s="36"/>
      <c r="J34" s="46"/>
      <c r="K34" s="36"/>
      <c r="L34" s="36"/>
      <c r="M34" s="36"/>
      <c r="N34" s="36"/>
      <c r="O34" s="36"/>
      <c r="P34" s="36"/>
      <c r="Q34" s="36"/>
      <c r="R34" s="36"/>
      <c r="S34" s="36"/>
      <c r="T34" s="46"/>
      <c r="U34" s="36"/>
      <c r="V34" s="36"/>
      <c r="W34" s="36"/>
      <c r="X34" s="36"/>
      <c r="Y34" s="36"/>
      <c r="Z34" s="36"/>
      <c r="AA34" s="36"/>
      <c r="AB34" s="36"/>
      <c r="AC34" s="93" t="str">
        <f>WAR!P29</f>
        <v>TBR</v>
      </c>
      <c r="AD34" s="255">
        <f>WAR!Q29</f>
        <v>16.2</v>
      </c>
      <c r="AE34" s="98">
        <f>WAR!R29</f>
        <v>4.9000000000000004</v>
      </c>
      <c r="AF34" s="36"/>
      <c r="AG34" s="36"/>
      <c r="AH34" s="263">
        <f t="shared" si="1"/>
        <v>21.1</v>
      </c>
      <c r="AI34" s="36"/>
      <c r="AJ34" s="36"/>
      <c r="AK34" s="36"/>
      <c r="AL34" s="36"/>
      <c r="AM34" s="36"/>
      <c r="AN34" s="36"/>
      <c r="AO34" s="36"/>
      <c r="AP34" s="36"/>
      <c r="AQ34" s="36"/>
      <c r="AR34" s="36"/>
      <c r="AS34" s="36"/>
      <c r="AT34" s="36"/>
      <c r="AU34" s="36"/>
      <c r="AV34" s="36"/>
      <c r="AW34" s="36"/>
      <c r="AX34" s="36"/>
      <c r="AY34" s="36"/>
      <c r="AZ34" s="45"/>
    </row>
    <row r="35" spans="1:52" x14ac:dyDescent="0.3">
      <c r="A35" s="38"/>
      <c r="B35" s="36"/>
      <c r="C35" s="36"/>
      <c r="D35" s="36"/>
      <c r="E35" s="36"/>
      <c r="F35" s="36"/>
      <c r="G35" s="36"/>
      <c r="H35" s="36"/>
      <c r="I35" s="36"/>
      <c r="J35" s="46"/>
      <c r="K35" s="36"/>
      <c r="L35" s="36"/>
      <c r="M35" s="36"/>
      <c r="N35" s="36"/>
      <c r="O35" s="36"/>
      <c r="P35" s="36"/>
      <c r="Q35" s="36"/>
      <c r="R35" s="36"/>
      <c r="S35" s="36"/>
      <c r="T35" s="46"/>
      <c r="U35" s="36"/>
      <c r="V35" s="36"/>
      <c r="W35" s="36"/>
      <c r="X35" s="36"/>
      <c r="Y35" s="36"/>
      <c r="Z35" s="36"/>
      <c r="AA35" s="36"/>
      <c r="AB35" s="36"/>
      <c r="AC35" s="93" t="str">
        <f>WAR!P30</f>
        <v>TEX</v>
      </c>
      <c r="AD35" s="255">
        <f>WAR!Q30</f>
        <v>10.700000000000003</v>
      </c>
      <c r="AE35" s="98">
        <f>WAR!R30</f>
        <v>6.2000000000000011</v>
      </c>
      <c r="AF35" s="36"/>
      <c r="AG35" s="36"/>
      <c r="AH35" s="263">
        <f t="shared" si="1"/>
        <v>16.900000000000006</v>
      </c>
      <c r="AI35" s="36"/>
      <c r="AJ35" s="36"/>
      <c r="AK35" s="36"/>
      <c r="AL35" s="36"/>
      <c r="AM35" s="36"/>
      <c r="AN35" s="36"/>
      <c r="AO35" s="36"/>
      <c r="AP35" s="36"/>
      <c r="AQ35" s="36"/>
      <c r="AR35" s="36"/>
      <c r="AS35" s="36"/>
      <c r="AT35" s="36"/>
      <c r="AU35" s="36"/>
      <c r="AV35" s="36"/>
      <c r="AW35" s="36"/>
      <c r="AX35" s="36"/>
      <c r="AY35" s="36"/>
      <c r="AZ35" s="45"/>
    </row>
    <row r="36" spans="1:52" x14ac:dyDescent="0.3">
      <c r="A36" s="38"/>
      <c r="B36" s="36"/>
      <c r="C36" s="36"/>
      <c r="D36" s="36"/>
      <c r="E36" s="36"/>
      <c r="F36" s="36"/>
      <c r="G36" s="36"/>
      <c r="H36" s="36"/>
      <c r="I36" s="36"/>
      <c r="J36" s="46"/>
      <c r="K36" s="36"/>
      <c r="L36" s="36"/>
      <c r="M36" s="36"/>
      <c r="N36" s="36"/>
      <c r="O36" s="36"/>
      <c r="P36" s="36"/>
      <c r="Q36" s="36"/>
      <c r="R36" s="36"/>
      <c r="S36" s="36"/>
      <c r="T36" s="46"/>
      <c r="U36" s="36"/>
      <c r="V36" s="36"/>
      <c r="W36" s="36"/>
      <c r="X36" s="36"/>
      <c r="Y36" s="36"/>
      <c r="Z36" s="36"/>
      <c r="AA36" s="36"/>
      <c r="AB36" s="36"/>
      <c r="AC36" s="93" t="str">
        <f>WAR!P31</f>
        <v>TOR</v>
      </c>
      <c r="AD36" s="255">
        <f>WAR!Q31</f>
        <v>8.7000000000000011</v>
      </c>
      <c r="AE36" s="98">
        <f>WAR!R31</f>
        <v>3.9000000000000008</v>
      </c>
      <c r="AF36" s="36"/>
      <c r="AG36" s="36"/>
      <c r="AH36" s="263">
        <f t="shared" si="1"/>
        <v>12.600000000000001</v>
      </c>
      <c r="AI36" s="36"/>
      <c r="AJ36" s="36"/>
      <c r="AK36" s="36"/>
      <c r="AL36" s="36"/>
      <c r="AM36" s="36"/>
      <c r="AN36" s="36"/>
      <c r="AO36" s="36"/>
      <c r="AP36" s="36"/>
      <c r="AQ36" s="36"/>
      <c r="AR36" s="36"/>
      <c r="AS36" s="36"/>
      <c r="AT36" s="36"/>
      <c r="AU36" s="36"/>
      <c r="AV36" s="36"/>
      <c r="AW36" s="36"/>
      <c r="AX36" s="36"/>
      <c r="AY36" s="36"/>
      <c r="AZ36" s="45"/>
    </row>
    <row r="37" spans="1:52" ht="15" thickBot="1" x14ac:dyDescent="0.35">
      <c r="A37" s="38"/>
      <c r="B37" s="36"/>
      <c r="C37" s="36"/>
      <c r="D37" s="36"/>
      <c r="E37" s="36"/>
      <c r="F37" s="36"/>
      <c r="G37" s="36"/>
      <c r="H37" s="36"/>
      <c r="I37" s="36"/>
      <c r="J37" s="46"/>
      <c r="K37" s="36"/>
      <c r="L37" s="36"/>
      <c r="M37" s="36"/>
      <c r="N37" s="36"/>
      <c r="O37" s="36"/>
      <c r="P37" s="36"/>
      <c r="Q37" s="36"/>
      <c r="R37" s="36"/>
      <c r="S37" s="36"/>
      <c r="T37" s="46"/>
      <c r="U37" s="36"/>
      <c r="V37" s="36"/>
      <c r="W37" s="36"/>
      <c r="X37" s="36"/>
      <c r="Y37" s="36"/>
      <c r="Z37" s="36"/>
      <c r="AA37" s="36"/>
      <c r="AB37" s="36"/>
      <c r="AC37" s="93" t="str">
        <f>WAR!P32</f>
        <v>WSN</v>
      </c>
      <c r="AD37" s="255">
        <f>WAR!Q32</f>
        <v>3.0999999999999996</v>
      </c>
      <c r="AE37" s="98">
        <f>WAR!R32</f>
        <v>3.1999999999999993</v>
      </c>
      <c r="AF37" s="36"/>
      <c r="AG37" s="36"/>
      <c r="AH37" s="263">
        <f t="shared" si="1"/>
        <v>6.2999999999999989</v>
      </c>
      <c r="AI37" s="36"/>
      <c r="AJ37" s="36"/>
      <c r="AK37" s="36"/>
      <c r="AL37" s="36"/>
      <c r="AM37" s="36"/>
      <c r="AN37" s="36"/>
      <c r="AO37" s="36"/>
      <c r="AP37" s="36"/>
      <c r="AQ37" s="36"/>
      <c r="AR37" s="36"/>
      <c r="AS37" s="36"/>
      <c r="AT37" s="36"/>
      <c r="AU37" s="36"/>
      <c r="AV37" s="36"/>
      <c r="AW37" s="36"/>
      <c r="AX37" s="36"/>
      <c r="AY37" s="36"/>
      <c r="AZ37" s="45"/>
    </row>
    <row r="38" spans="1:52" x14ac:dyDescent="0.3">
      <c r="A38" s="38"/>
      <c r="B38" s="36"/>
      <c r="C38" s="36"/>
      <c r="D38" s="36"/>
      <c r="E38" s="36"/>
      <c r="F38" s="36"/>
      <c r="G38" s="36"/>
      <c r="H38" s="36"/>
      <c r="I38" s="36"/>
      <c r="J38" s="46"/>
      <c r="K38" s="36"/>
      <c r="L38" s="36"/>
      <c r="M38" s="36"/>
      <c r="N38" s="36"/>
      <c r="O38" s="36"/>
      <c r="P38" s="36"/>
      <c r="Q38" s="36"/>
      <c r="R38" s="36"/>
      <c r="S38" s="36"/>
      <c r="T38" s="46"/>
      <c r="U38" s="36"/>
      <c r="V38" s="36"/>
      <c r="W38" s="36"/>
      <c r="X38" s="36"/>
      <c r="Y38" s="36"/>
      <c r="Z38" s="36"/>
      <c r="AA38" s="36"/>
      <c r="AB38" s="36"/>
      <c r="AC38" s="264" t="s">
        <v>2992</v>
      </c>
      <c r="AD38" s="265"/>
      <c r="AE38" s="266"/>
      <c r="AF38" s="36"/>
      <c r="AG38" s="36"/>
      <c r="AH38" s="36"/>
      <c r="AI38" s="36"/>
      <c r="AJ38" s="36"/>
      <c r="AK38" s="36"/>
      <c r="AL38" s="36"/>
      <c r="AM38" s="36"/>
      <c r="AN38" s="36"/>
      <c r="AO38" s="36"/>
      <c r="AP38" s="36"/>
      <c r="AQ38" s="36"/>
      <c r="AR38" s="36"/>
      <c r="AS38" s="36"/>
      <c r="AT38" s="36"/>
      <c r="AU38" s="36"/>
      <c r="AV38" s="36"/>
      <c r="AW38" s="36"/>
      <c r="AX38" s="36"/>
      <c r="AY38" s="36"/>
      <c r="AZ38" s="45"/>
    </row>
    <row r="39" spans="1:52" x14ac:dyDescent="0.3">
      <c r="A39" s="38"/>
      <c r="B39" s="36"/>
      <c r="C39" s="36"/>
      <c r="D39" s="36"/>
      <c r="E39" s="36"/>
      <c r="F39" s="36"/>
      <c r="G39" s="36"/>
      <c r="H39" s="36"/>
      <c r="I39" s="36"/>
      <c r="J39" s="46"/>
      <c r="K39" s="36"/>
      <c r="L39" s="36"/>
      <c r="M39" s="36"/>
      <c r="N39" s="36"/>
      <c r="O39" s="36"/>
      <c r="P39" s="36"/>
      <c r="Q39" s="36"/>
      <c r="R39" s="36"/>
      <c r="S39" s="36"/>
      <c r="T39" s="46"/>
      <c r="U39" s="36"/>
      <c r="V39" s="36"/>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45"/>
    </row>
    <row r="40" spans="1:52" x14ac:dyDescent="0.3">
      <c r="A40" s="38"/>
      <c r="B40" s="36"/>
      <c r="C40" s="36"/>
      <c r="D40" s="36"/>
      <c r="E40" s="36"/>
      <c r="F40" s="36"/>
      <c r="G40" s="36"/>
      <c r="H40" s="36"/>
      <c r="I40" s="36"/>
      <c r="J40" s="46"/>
      <c r="K40" s="36"/>
      <c r="L40" s="36"/>
      <c r="M40" s="36"/>
      <c r="N40" s="36"/>
      <c r="O40" s="36"/>
      <c r="P40" s="36"/>
      <c r="Q40" s="36"/>
      <c r="R40" s="36"/>
      <c r="S40" s="36"/>
      <c r="T40" s="46"/>
      <c r="U40" s="36"/>
      <c r="V40" s="36"/>
      <c r="W40" s="36"/>
      <c r="X40" s="36"/>
      <c r="Y40" s="36"/>
      <c r="Z40" s="36"/>
      <c r="AA40" s="36"/>
      <c r="AB40" s="36"/>
      <c r="AC40" s="36"/>
      <c r="AD40" s="36"/>
      <c r="AE40" s="36"/>
      <c r="AF40" s="36"/>
      <c r="AG40" s="36"/>
      <c r="AH40" s="36"/>
      <c r="AI40" s="36"/>
      <c r="AJ40" s="36"/>
      <c r="AK40" s="36"/>
      <c r="AL40" s="36"/>
      <c r="AM40" s="36"/>
      <c r="AN40" s="36"/>
      <c r="AO40" s="36"/>
      <c r="AP40" s="36"/>
      <c r="AQ40" s="36"/>
      <c r="AR40" s="36"/>
      <c r="AS40" s="36"/>
      <c r="AT40" s="36"/>
      <c r="AU40" s="36"/>
      <c r="AV40" s="36"/>
      <c r="AW40" s="36"/>
      <c r="AX40" s="36"/>
      <c r="AY40" s="36"/>
      <c r="AZ40" s="45"/>
    </row>
    <row r="41" spans="1:52" x14ac:dyDescent="0.3">
      <c r="A41" s="38"/>
      <c r="B41" s="36"/>
      <c r="C41" s="36"/>
      <c r="D41" s="36"/>
      <c r="E41" s="36"/>
      <c r="F41" s="36"/>
      <c r="G41" s="36"/>
      <c r="H41" s="36"/>
      <c r="I41" s="36"/>
      <c r="J41" s="46"/>
      <c r="K41" s="36"/>
      <c r="L41" s="36"/>
      <c r="M41" s="36"/>
      <c r="N41" s="36"/>
      <c r="O41" s="36"/>
      <c r="P41" s="36"/>
      <c r="Q41" s="36"/>
      <c r="R41" s="36"/>
      <c r="S41" s="36"/>
      <c r="T41" s="46"/>
      <c r="U41" s="36"/>
      <c r="V41" s="36"/>
      <c r="W41" s="36"/>
      <c r="X41" s="36"/>
      <c r="Y41" s="36"/>
      <c r="Z41" s="36"/>
      <c r="AA41" s="36"/>
      <c r="AB41" s="36"/>
      <c r="AC41" s="36"/>
      <c r="AD41" s="36"/>
      <c r="AE41" s="36"/>
      <c r="AF41" s="36"/>
      <c r="AG41" s="36"/>
      <c r="AH41" s="36"/>
      <c r="AI41" s="36"/>
      <c r="AJ41" s="36"/>
      <c r="AK41" s="36"/>
      <c r="AL41" s="36"/>
      <c r="AM41" s="36"/>
      <c r="AN41" s="36"/>
      <c r="AO41" s="36"/>
      <c r="AP41" s="36"/>
      <c r="AQ41" s="36"/>
      <c r="AR41" s="36"/>
      <c r="AS41" s="36"/>
      <c r="AT41" s="36"/>
      <c r="AU41" s="36"/>
      <c r="AV41" s="36"/>
      <c r="AW41" s="36"/>
      <c r="AX41" s="36"/>
      <c r="AY41" s="36"/>
      <c r="AZ41" s="45"/>
    </row>
    <row r="42" spans="1:52" x14ac:dyDescent="0.3">
      <c r="A42" s="38"/>
      <c r="B42" s="36"/>
      <c r="C42" s="36"/>
      <c r="D42" s="36"/>
      <c r="E42" s="36"/>
      <c r="F42" s="36"/>
      <c r="G42" s="36"/>
      <c r="H42" s="36"/>
      <c r="I42" s="36"/>
      <c r="J42" s="46"/>
      <c r="K42" s="36"/>
      <c r="L42" s="36"/>
      <c r="M42" s="36"/>
      <c r="N42" s="36"/>
      <c r="O42" s="36"/>
      <c r="P42" s="36"/>
      <c r="Q42" s="36"/>
      <c r="R42" s="36"/>
      <c r="S42" s="36"/>
      <c r="T42" s="4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45"/>
    </row>
    <row r="43" spans="1:52" x14ac:dyDescent="0.3">
      <c r="A43" s="38"/>
      <c r="B43" s="36"/>
      <c r="C43" s="36"/>
      <c r="D43" s="36"/>
      <c r="E43" s="36"/>
      <c r="F43" s="36"/>
      <c r="G43" s="36"/>
      <c r="H43" s="36"/>
      <c r="I43" s="36"/>
      <c r="J43" s="46"/>
      <c r="K43" s="36"/>
      <c r="L43" s="36"/>
      <c r="M43" s="36"/>
      <c r="N43" s="36"/>
      <c r="O43" s="36"/>
      <c r="P43" s="36"/>
      <c r="Q43" s="36"/>
      <c r="R43" s="36"/>
      <c r="S43" s="36"/>
      <c r="T43" s="46"/>
      <c r="U43" s="36"/>
      <c r="V43" s="36"/>
      <c r="W43" s="36"/>
      <c r="X43" s="36"/>
      <c r="Y43" s="36"/>
      <c r="Z43" s="36"/>
      <c r="AA43" s="36"/>
      <c r="AB43" s="36"/>
      <c r="AC43" s="36"/>
      <c r="AD43" s="36"/>
      <c r="AE43" s="36"/>
      <c r="AF43" s="36"/>
      <c r="AG43" s="36"/>
      <c r="AH43" s="36"/>
      <c r="AI43" s="36"/>
      <c r="AJ43" s="36"/>
      <c r="AK43" s="36"/>
      <c r="AL43" s="36"/>
      <c r="AM43" s="36"/>
      <c r="AN43" s="36"/>
      <c r="AO43" s="36"/>
      <c r="AP43" s="36"/>
      <c r="AQ43" s="36"/>
      <c r="AR43" s="36"/>
      <c r="AS43" s="36"/>
      <c r="AT43" s="36"/>
      <c r="AU43" s="36"/>
      <c r="AV43" s="36"/>
      <c r="AW43" s="36"/>
      <c r="AX43" s="36"/>
      <c r="AY43" s="36"/>
      <c r="AZ43" s="45"/>
    </row>
    <row r="44" spans="1:52" x14ac:dyDescent="0.3">
      <c r="A44" s="38"/>
      <c r="B44" s="36"/>
      <c r="C44" s="36"/>
      <c r="D44" s="36"/>
      <c r="E44" s="36"/>
      <c r="F44" s="36"/>
      <c r="G44" s="36"/>
      <c r="H44" s="36"/>
      <c r="I44" s="36"/>
      <c r="J44" s="46"/>
      <c r="K44" s="36"/>
      <c r="L44" s="36"/>
      <c r="M44" s="36"/>
      <c r="N44" s="36"/>
      <c r="O44" s="36"/>
      <c r="P44" s="36"/>
      <c r="Q44" s="36"/>
      <c r="R44" s="36"/>
      <c r="S44" s="36"/>
      <c r="T44" s="4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45"/>
    </row>
    <row r="45" spans="1:52" x14ac:dyDescent="0.3">
      <c r="A45" s="38"/>
      <c r="B45" s="36"/>
      <c r="C45" s="36"/>
      <c r="D45" s="36"/>
      <c r="E45" s="36"/>
      <c r="F45" s="36"/>
      <c r="G45" s="36"/>
      <c r="H45" s="36"/>
      <c r="I45" s="36"/>
      <c r="J45" s="46"/>
      <c r="K45" s="36"/>
      <c r="L45" s="36"/>
      <c r="M45" s="36"/>
      <c r="N45" s="36"/>
      <c r="O45" s="36"/>
      <c r="P45" s="36"/>
      <c r="Q45" s="36"/>
      <c r="R45" s="36"/>
      <c r="S45" s="36"/>
      <c r="T45" s="46"/>
      <c r="U45" s="36"/>
      <c r="V45" s="36"/>
      <c r="W45" s="36"/>
      <c r="X45" s="36"/>
      <c r="Y45" s="36"/>
      <c r="Z45" s="36"/>
      <c r="AA45" s="36"/>
      <c r="AB45" s="36"/>
      <c r="AC45" s="36"/>
      <c r="AD45" s="36"/>
      <c r="AE45" s="36"/>
      <c r="AF45" s="36"/>
      <c r="AG45" s="36"/>
      <c r="AH45" s="36"/>
      <c r="AI45" s="36"/>
      <c r="AJ45" s="36"/>
      <c r="AK45" s="36"/>
      <c r="AL45" s="36"/>
      <c r="AM45" s="36"/>
      <c r="AN45" s="36"/>
      <c r="AO45" s="36"/>
      <c r="AP45" s="36"/>
      <c r="AQ45" s="36"/>
      <c r="AR45" s="36"/>
      <c r="AS45" s="36"/>
      <c r="AT45" s="36"/>
      <c r="AU45" s="36"/>
      <c r="AV45" s="36"/>
      <c r="AW45" s="36"/>
      <c r="AX45" s="36"/>
      <c r="AY45" s="36"/>
      <c r="AZ45" s="45"/>
    </row>
    <row r="46" spans="1:52" x14ac:dyDescent="0.3">
      <c r="A46" s="38"/>
      <c r="B46" s="36"/>
      <c r="C46" s="36"/>
      <c r="D46" s="36"/>
      <c r="E46" s="36"/>
      <c r="F46" s="36"/>
      <c r="G46" s="36"/>
      <c r="H46" s="36"/>
      <c r="I46" s="36"/>
      <c r="J46" s="46"/>
      <c r="K46" s="36"/>
      <c r="L46" s="36"/>
      <c r="M46" s="36"/>
      <c r="N46" s="36"/>
      <c r="O46" s="36"/>
      <c r="P46" s="36"/>
      <c r="Q46" s="36"/>
      <c r="R46" s="36"/>
      <c r="S46" s="36"/>
      <c r="T46" s="4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45"/>
    </row>
    <row r="47" spans="1:52" x14ac:dyDescent="0.3">
      <c r="A47" s="38"/>
      <c r="B47" s="36"/>
      <c r="C47" s="36"/>
      <c r="D47" s="36"/>
      <c r="E47" s="36"/>
      <c r="F47" s="36"/>
      <c r="G47" s="36"/>
      <c r="H47" s="36"/>
      <c r="I47" s="36"/>
      <c r="J47" s="46"/>
      <c r="K47" s="36"/>
      <c r="L47" s="36"/>
      <c r="M47" s="36"/>
      <c r="N47" s="36"/>
      <c r="O47" s="36"/>
      <c r="P47" s="36"/>
      <c r="Q47" s="36"/>
      <c r="R47" s="36"/>
      <c r="S47" s="36"/>
      <c r="T47" s="4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45"/>
    </row>
    <row r="48" spans="1:52" x14ac:dyDescent="0.3">
      <c r="A48" s="38"/>
      <c r="B48" s="36"/>
      <c r="C48" s="36"/>
      <c r="D48" s="36"/>
      <c r="E48" s="36"/>
      <c r="F48" s="36"/>
      <c r="G48" s="36"/>
      <c r="H48" s="36"/>
      <c r="I48" s="36"/>
      <c r="J48" s="46"/>
      <c r="K48" s="36"/>
      <c r="L48" s="36"/>
      <c r="M48" s="36"/>
      <c r="N48" s="36"/>
      <c r="O48" s="36"/>
      <c r="P48" s="36"/>
      <c r="Q48" s="36"/>
      <c r="R48" s="36"/>
      <c r="S48" s="36"/>
      <c r="T48" s="4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45"/>
    </row>
    <row r="49" spans="1:52" x14ac:dyDescent="0.3">
      <c r="A49" s="38"/>
      <c r="B49" s="36"/>
      <c r="C49" s="36"/>
      <c r="D49" s="36"/>
      <c r="E49" s="36"/>
      <c r="F49" s="36"/>
      <c r="G49" s="36"/>
      <c r="H49" s="36"/>
      <c r="I49" s="36"/>
      <c r="J49" s="46"/>
      <c r="K49" s="36"/>
      <c r="L49" s="36"/>
      <c r="M49" s="36"/>
      <c r="N49" s="36"/>
      <c r="O49" s="36"/>
      <c r="P49" s="36"/>
      <c r="Q49" s="36"/>
      <c r="R49" s="36"/>
      <c r="S49" s="36"/>
      <c r="T49" s="4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45"/>
    </row>
    <row r="50" spans="1:52" x14ac:dyDescent="0.3">
      <c r="A50" s="38"/>
      <c r="B50" s="36"/>
      <c r="C50" s="36"/>
      <c r="D50" s="36"/>
      <c r="E50" s="36"/>
      <c r="F50" s="36"/>
      <c r="G50" s="36"/>
      <c r="H50" s="36"/>
      <c r="I50" s="36"/>
      <c r="J50" s="46"/>
      <c r="K50" s="36"/>
      <c r="L50" s="36"/>
      <c r="M50" s="36"/>
      <c r="N50" s="36"/>
      <c r="O50" s="36"/>
      <c r="P50" s="36"/>
      <c r="Q50" s="36"/>
      <c r="R50" s="36"/>
      <c r="S50" s="36"/>
      <c r="T50" s="4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45"/>
    </row>
    <row r="51" spans="1:52" x14ac:dyDescent="0.3">
      <c r="A51" s="38"/>
      <c r="B51" s="36"/>
      <c r="C51" s="36"/>
      <c r="D51" s="36"/>
      <c r="E51" s="36"/>
      <c r="F51" s="36"/>
      <c r="G51" s="36"/>
      <c r="H51" s="36"/>
      <c r="I51" s="36"/>
      <c r="J51" s="46"/>
      <c r="K51" s="36"/>
      <c r="L51" s="36"/>
      <c r="M51" s="36"/>
      <c r="N51" s="36"/>
      <c r="O51" s="36"/>
      <c r="P51" s="36"/>
      <c r="Q51" s="36"/>
      <c r="R51" s="36"/>
      <c r="S51" s="36"/>
      <c r="T51" s="4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45"/>
    </row>
    <row r="52" spans="1:52" x14ac:dyDescent="0.3">
      <c r="A52" s="38"/>
      <c r="B52" s="36"/>
      <c r="C52" s="36"/>
      <c r="D52" s="36"/>
      <c r="E52" s="36"/>
      <c r="F52" s="36"/>
      <c r="G52" s="36"/>
      <c r="H52" s="36"/>
      <c r="I52" s="36"/>
      <c r="J52" s="46"/>
      <c r="K52" s="36"/>
      <c r="L52" s="36"/>
      <c r="M52" s="36"/>
      <c r="N52" s="36"/>
      <c r="O52" s="36"/>
      <c r="P52" s="36"/>
      <c r="Q52" s="36"/>
      <c r="R52" s="36"/>
      <c r="S52" s="36"/>
      <c r="T52" s="4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45"/>
    </row>
    <row r="53" spans="1:52" x14ac:dyDescent="0.3">
      <c r="A53" s="38"/>
      <c r="B53" s="36"/>
      <c r="C53" s="36"/>
      <c r="D53" s="36"/>
      <c r="E53" s="36"/>
      <c r="F53" s="36"/>
      <c r="G53" s="36"/>
      <c r="H53" s="36"/>
      <c r="I53" s="36"/>
      <c r="J53" s="46"/>
      <c r="K53" s="36"/>
      <c r="L53" s="36"/>
      <c r="M53" s="36"/>
      <c r="N53" s="36"/>
      <c r="O53" s="36"/>
      <c r="P53" s="36"/>
      <c r="Q53" s="36"/>
      <c r="R53" s="36"/>
      <c r="S53" s="36"/>
      <c r="T53" s="4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45"/>
    </row>
    <row r="54" spans="1:52" x14ac:dyDescent="0.3">
      <c r="A54" s="38"/>
      <c r="B54" s="36"/>
      <c r="C54" s="36"/>
      <c r="D54" s="36"/>
      <c r="E54" s="36"/>
      <c r="F54" s="36"/>
      <c r="G54" s="36"/>
      <c r="H54" s="36"/>
      <c r="I54" s="36"/>
      <c r="J54" s="46"/>
      <c r="K54" s="36"/>
      <c r="L54" s="36"/>
      <c r="M54" s="36"/>
      <c r="N54" s="36"/>
      <c r="O54" s="36"/>
      <c r="P54" s="36"/>
      <c r="Q54" s="36"/>
      <c r="R54" s="36"/>
      <c r="S54" s="36"/>
      <c r="T54" s="4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45"/>
    </row>
    <row r="55" spans="1:52" x14ac:dyDescent="0.3">
      <c r="A55" s="38"/>
      <c r="B55" s="36"/>
      <c r="C55" s="36"/>
      <c r="D55" s="36"/>
      <c r="E55" s="36"/>
      <c r="F55" s="36"/>
      <c r="G55" s="36"/>
      <c r="H55" s="36"/>
      <c r="I55" s="36"/>
      <c r="J55" s="46"/>
      <c r="K55" s="36"/>
      <c r="L55" s="36"/>
      <c r="M55" s="36"/>
      <c r="N55" s="36"/>
      <c r="O55" s="36"/>
      <c r="P55" s="36"/>
      <c r="Q55" s="36"/>
      <c r="R55" s="36"/>
      <c r="S55" s="36"/>
      <c r="T55" s="4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45"/>
    </row>
    <row r="56" spans="1:52" x14ac:dyDescent="0.3">
      <c r="A56" s="38"/>
      <c r="B56" s="36"/>
      <c r="C56" s="36"/>
      <c r="D56" s="36"/>
      <c r="E56" s="36"/>
      <c r="F56" s="36"/>
      <c r="G56" s="36"/>
      <c r="H56" s="36"/>
      <c r="I56" s="36"/>
      <c r="J56" s="46"/>
      <c r="K56" s="36"/>
      <c r="L56" s="36"/>
      <c r="M56" s="36"/>
      <c r="N56" s="36"/>
      <c r="O56" s="36"/>
      <c r="P56" s="36"/>
      <c r="Q56" s="36"/>
      <c r="R56" s="36"/>
      <c r="S56" s="36"/>
      <c r="T56" s="4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45"/>
    </row>
    <row r="57" spans="1:52" x14ac:dyDescent="0.3">
      <c r="A57" s="38"/>
      <c r="B57" s="36"/>
      <c r="C57" s="36"/>
      <c r="D57" s="36"/>
      <c r="E57" s="36"/>
      <c r="F57" s="36"/>
      <c r="G57" s="36"/>
      <c r="H57" s="36"/>
      <c r="I57" s="36"/>
      <c r="J57" s="46"/>
      <c r="K57" s="36"/>
      <c r="L57" s="36"/>
      <c r="M57" s="36"/>
      <c r="N57" s="36"/>
      <c r="O57" s="36"/>
      <c r="P57" s="36"/>
      <c r="Q57" s="36"/>
      <c r="R57" s="36"/>
      <c r="S57" s="36"/>
      <c r="T57" s="4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45"/>
    </row>
    <row r="58" spans="1:52" x14ac:dyDescent="0.3">
      <c r="A58" s="38"/>
      <c r="B58" s="36"/>
      <c r="C58" s="36"/>
      <c r="D58" s="36"/>
      <c r="E58" s="36"/>
      <c r="F58" s="36"/>
      <c r="G58" s="36"/>
      <c r="H58" s="36"/>
      <c r="I58" s="36"/>
      <c r="J58" s="46"/>
      <c r="K58" s="36"/>
      <c r="L58" s="36"/>
      <c r="M58" s="36"/>
      <c r="N58" s="36"/>
      <c r="O58" s="36"/>
      <c r="P58" s="36"/>
      <c r="Q58" s="36"/>
      <c r="R58" s="36"/>
      <c r="S58" s="36"/>
      <c r="T58" s="4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45"/>
    </row>
    <row r="59" spans="1:52" x14ac:dyDescent="0.3">
      <c r="A59" s="38"/>
      <c r="B59" s="36"/>
      <c r="C59" s="36"/>
      <c r="D59" s="36"/>
      <c r="E59" s="36"/>
      <c r="F59" s="36"/>
      <c r="G59" s="36"/>
      <c r="H59" s="36"/>
      <c r="I59" s="36"/>
      <c r="J59" s="46"/>
      <c r="K59" s="36"/>
      <c r="L59" s="36"/>
      <c r="M59" s="36"/>
      <c r="N59" s="36"/>
      <c r="O59" s="36"/>
      <c r="P59" s="36"/>
      <c r="Q59" s="36"/>
      <c r="R59" s="36"/>
      <c r="S59" s="36"/>
      <c r="T59" s="4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45"/>
    </row>
    <row r="60" spans="1:52" x14ac:dyDescent="0.3">
      <c r="A60" s="38"/>
      <c r="B60" s="36"/>
      <c r="C60" s="36"/>
      <c r="D60" s="36"/>
      <c r="E60" s="36"/>
      <c r="F60" s="36"/>
      <c r="G60" s="36"/>
      <c r="H60" s="36"/>
      <c r="I60" s="36"/>
      <c r="J60" s="46"/>
      <c r="K60" s="36"/>
      <c r="L60" s="36"/>
      <c r="M60" s="36"/>
      <c r="N60" s="36"/>
      <c r="O60" s="36"/>
      <c r="P60" s="36"/>
      <c r="Q60" s="36"/>
      <c r="R60" s="36"/>
      <c r="S60" s="36"/>
      <c r="T60" s="4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45"/>
    </row>
    <row r="61" spans="1:52" x14ac:dyDescent="0.3">
      <c r="A61" s="38"/>
      <c r="B61" s="36"/>
      <c r="C61" s="36"/>
      <c r="D61" s="36"/>
      <c r="E61" s="36"/>
      <c r="F61" s="36"/>
      <c r="G61" s="36"/>
      <c r="H61" s="36"/>
      <c r="I61" s="36"/>
      <c r="J61" s="46"/>
      <c r="K61" s="36"/>
      <c r="L61" s="36"/>
      <c r="M61" s="36"/>
      <c r="N61" s="36"/>
      <c r="O61" s="36"/>
      <c r="P61" s="36"/>
      <c r="Q61" s="36"/>
      <c r="R61" s="36"/>
      <c r="S61" s="36"/>
      <c r="T61" s="4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45"/>
    </row>
    <row r="62" spans="1:52" x14ac:dyDescent="0.3">
      <c r="A62" s="38"/>
      <c r="B62" s="36"/>
      <c r="C62" s="36"/>
      <c r="D62" s="36"/>
      <c r="E62" s="36"/>
      <c r="F62" s="36"/>
      <c r="G62" s="36"/>
      <c r="H62" s="36"/>
      <c r="I62" s="36"/>
      <c r="J62" s="46"/>
      <c r="K62" s="36"/>
      <c r="L62" s="36"/>
      <c r="M62" s="36"/>
      <c r="N62" s="36"/>
      <c r="O62" s="36"/>
      <c r="P62" s="36"/>
      <c r="Q62" s="36"/>
      <c r="R62" s="36"/>
      <c r="S62" s="36"/>
      <c r="T62" s="4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45"/>
    </row>
    <row r="63" spans="1:52" x14ac:dyDescent="0.3">
      <c r="A63" s="38"/>
      <c r="B63" s="36"/>
      <c r="C63" s="36"/>
      <c r="D63" s="36"/>
      <c r="E63" s="36"/>
      <c r="F63" s="36"/>
      <c r="G63" s="36"/>
      <c r="H63" s="36"/>
      <c r="I63" s="36"/>
      <c r="J63" s="46"/>
      <c r="K63" s="36"/>
      <c r="L63" s="36"/>
      <c r="M63" s="36"/>
      <c r="N63" s="36"/>
      <c r="O63" s="36"/>
      <c r="P63" s="36"/>
      <c r="Q63" s="36"/>
      <c r="R63" s="36"/>
      <c r="S63" s="36"/>
      <c r="T63" s="4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45"/>
    </row>
    <row r="64" spans="1:52" x14ac:dyDescent="0.3">
      <c r="A64" s="38"/>
      <c r="B64" s="36"/>
      <c r="C64" s="36"/>
      <c r="D64" s="36"/>
      <c r="E64" s="36"/>
      <c r="F64" s="36"/>
      <c r="G64" s="36"/>
      <c r="H64" s="36"/>
      <c r="I64" s="36"/>
      <c r="J64" s="46"/>
      <c r="K64" s="36"/>
      <c r="L64" s="36"/>
      <c r="M64" s="36"/>
      <c r="N64" s="36"/>
      <c r="O64" s="36"/>
      <c r="P64" s="36"/>
      <c r="Q64" s="36"/>
      <c r="R64" s="36"/>
      <c r="S64" s="36"/>
      <c r="T64" s="4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45"/>
    </row>
    <row r="65" spans="1:52" x14ac:dyDescent="0.3">
      <c r="A65" s="38"/>
      <c r="B65" s="36"/>
      <c r="C65" s="36"/>
      <c r="D65" s="36"/>
      <c r="E65" s="36"/>
      <c r="F65" s="36"/>
      <c r="G65" s="36"/>
      <c r="H65" s="36"/>
      <c r="I65" s="36"/>
      <c r="J65" s="46"/>
      <c r="K65" s="36"/>
      <c r="L65" s="36"/>
      <c r="M65" s="36"/>
      <c r="N65" s="36"/>
      <c r="O65" s="36"/>
      <c r="P65" s="36"/>
      <c r="Q65" s="36"/>
      <c r="R65" s="36"/>
      <c r="S65" s="36"/>
      <c r="T65" s="4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45"/>
    </row>
    <row r="66" spans="1:52" x14ac:dyDescent="0.3">
      <c r="A66" s="38"/>
      <c r="B66" s="36"/>
      <c r="C66" s="36"/>
      <c r="D66" s="36"/>
      <c r="E66" s="36"/>
      <c r="F66" s="36"/>
      <c r="G66" s="36"/>
      <c r="H66" s="36"/>
      <c r="I66" s="36"/>
      <c r="J66" s="46"/>
      <c r="K66" s="36"/>
      <c r="L66" s="36"/>
      <c r="M66" s="36"/>
      <c r="N66" s="36"/>
      <c r="O66" s="36"/>
      <c r="P66" s="36"/>
      <c r="Q66" s="36"/>
      <c r="R66" s="36"/>
      <c r="S66" s="36"/>
      <c r="T66" s="4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45"/>
    </row>
    <row r="67" spans="1:52" x14ac:dyDescent="0.3">
      <c r="A67" s="38"/>
      <c r="B67" s="36"/>
      <c r="C67" s="36"/>
      <c r="D67" s="36"/>
      <c r="E67" s="36"/>
      <c r="F67" s="36"/>
      <c r="G67" s="36"/>
      <c r="H67" s="36"/>
      <c r="I67" s="36"/>
      <c r="J67" s="46"/>
      <c r="K67" s="36"/>
      <c r="L67" s="36"/>
      <c r="M67" s="36"/>
      <c r="N67" s="36"/>
      <c r="O67" s="36"/>
      <c r="P67" s="36"/>
      <c r="Q67" s="36"/>
      <c r="R67" s="36"/>
      <c r="S67" s="36"/>
      <c r="T67" s="4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45"/>
    </row>
    <row r="68" spans="1:52" x14ac:dyDescent="0.3">
      <c r="A68" s="38"/>
      <c r="B68" s="36"/>
      <c r="C68" s="36"/>
      <c r="D68" s="36"/>
      <c r="E68" s="36"/>
      <c r="F68" s="36"/>
      <c r="G68" s="36"/>
      <c r="H68" s="36"/>
      <c r="I68" s="36"/>
      <c r="J68" s="46"/>
      <c r="K68" s="36"/>
      <c r="L68" s="36"/>
      <c r="M68" s="36"/>
      <c r="N68" s="36"/>
      <c r="O68" s="36"/>
      <c r="P68" s="36"/>
      <c r="Q68" s="36"/>
      <c r="R68" s="36"/>
      <c r="S68" s="36"/>
      <c r="T68" s="4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45"/>
    </row>
    <row r="69" spans="1:52" x14ac:dyDescent="0.3">
      <c r="A69" s="38"/>
      <c r="B69" s="36"/>
      <c r="C69" s="36"/>
      <c r="D69" s="36"/>
      <c r="E69" s="36"/>
      <c r="F69" s="36"/>
      <c r="G69" s="36"/>
      <c r="H69" s="36"/>
      <c r="I69" s="36"/>
      <c r="J69" s="46"/>
      <c r="K69" s="36"/>
      <c r="L69" s="36"/>
      <c r="M69" s="36"/>
      <c r="N69" s="36"/>
      <c r="O69" s="36"/>
      <c r="P69" s="36"/>
      <c r="Q69" s="36"/>
      <c r="R69" s="36"/>
      <c r="S69" s="36"/>
      <c r="T69" s="4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45"/>
    </row>
    <row r="70" spans="1:52" x14ac:dyDescent="0.3">
      <c r="A70" s="38"/>
      <c r="B70" s="36"/>
      <c r="C70" s="36"/>
      <c r="D70" s="36"/>
      <c r="E70" s="36"/>
      <c r="F70" s="36"/>
      <c r="G70" s="36"/>
      <c r="H70" s="36"/>
      <c r="I70" s="36"/>
      <c r="J70" s="46"/>
      <c r="K70" s="36"/>
      <c r="L70" s="36"/>
      <c r="M70" s="36"/>
      <c r="N70" s="36"/>
      <c r="O70" s="36"/>
      <c r="P70" s="36"/>
      <c r="Q70" s="36"/>
      <c r="R70" s="36"/>
      <c r="S70" s="36"/>
      <c r="T70" s="4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45"/>
    </row>
    <row r="71" spans="1:52" x14ac:dyDescent="0.3">
      <c r="A71" s="38"/>
      <c r="B71" s="36"/>
      <c r="C71" s="36"/>
      <c r="D71" s="36"/>
      <c r="E71" s="36"/>
      <c r="F71" s="36"/>
      <c r="G71" s="36"/>
      <c r="H71" s="36"/>
      <c r="I71" s="36"/>
      <c r="J71" s="46"/>
      <c r="K71" s="36"/>
      <c r="L71" s="36"/>
      <c r="M71" s="36"/>
      <c r="N71" s="36"/>
      <c r="O71" s="36"/>
      <c r="P71" s="36"/>
      <c r="Q71" s="36"/>
      <c r="R71" s="36"/>
      <c r="S71" s="36"/>
      <c r="T71" s="4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45"/>
    </row>
    <row r="72" spans="1:52" x14ac:dyDescent="0.3">
      <c r="A72" s="38"/>
      <c r="B72" s="36"/>
      <c r="C72" s="36"/>
      <c r="D72" s="36"/>
      <c r="E72" s="36"/>
      <c r="F72" s="36"/>
      <c r="G72" s="36"/>
      <c r="H72" s="36"/>
      <c r="I72" s="36"/>
      <c r="J72" s="46"/>
      <c r="K72" s="36"/>
      <c r="L72" s="36"/>
      <c r="M72" s="36"/>
      <c r="N72" s="36"/>
      <c r="O72" s="36"/>
      <c r="P72" s="36"/>
      <c r="Q72" s="36"/>
      <c r="R72" s="36"/>
      <c r="S72" s="36"/>
      <c r="T72" s="4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45"/>
    </row>
    <row r="73" spans="1:52" x14ac:dyDescent="0.3">
      <c r="A73" s="38"/>
      <c r="B73" s="36"/>
      <c r="C73" s="36"/>
      <c r="D73" s="36"/>
      <c r="E73" s="36"/>
      <c r="F73" s="36"/>
      <c r="G73" s="36"/>
      <c r="H73" s="36"/>
      <c r="I73" s="36"/>
      <c r="J73" s="46"/>
      <c r="K73" s="36"/>
      <c r="L73" s="36"/>
      <c r="M73" s="36"/>
      <c r="N73" s="36"/>
      <c r="O73" s="36"/>
      <c r="P73" s="36"/>
      <c r="Q73" s="36"/>
      <c r="R73" s="36"/>
      <c r="S73" s="36"/>
      <c r="T73" s="4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45"/>
    </row>
    <row r="74" spans="1:52" x14ac:dyDescent="0.3">
      <c r="A74" s="38"/>
      <c r="B74" s="36"/>
      <c r="C74" s="36"/>
      <c r="D74" s="36"/>
      <c r="E74" s="36"/>
      <c r="F74" s="36"/>
      <c r="G74" s="36"/>
      <c r="H74" s="36"/>
      <c r="I74" s="36"/>
      <c r="J74" s="46"/>
      <c r="K74" s="36"/>
      <c r="L74" s="36"/>
      <c r="M74" s="36"/>
      <c r="N74" s="36"/>
      <c r="O74" s="36"/>
      <c r="P74" s="36"/>
      <c r="Q74" s="36"/>
      <c r="R74" s="36"/>
      <c r="S74" s="36"/>
      <c r="T74" s="4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45"/>
    </row>
    <row r="75" spans="1:52" x14ac:dyDescent="0.3">
      <c r="A75" s="38"/>
      <c r="B75" s="36"/>
      <c r="C75" s="36"/>
      <c r="D75" s="36"/>
      <c r="E75" s="36"/>
      <c r="F75" s="36"/>
      <c r="G75" s="36"/>
      <c r="H75" s="36"/>
      <c r="I75" s="36"/>
      <c r="J75" s="46"/>
      <c r="K75" s="36"/>
      <c r="L75" s="36"/>
      <c r="M75" s="36"/>
      <c r="N75" s="36"/>
      <c r="O75" s="36"/>
      <c r="P75" s="36"/>
      <c r="Q75" s="36"/>
      <c r="R75" s="36"/>
      <c r="S75" s="36"/>
      <c r="T75" s="4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45"/>
    </row>
    <row r="76" spans="1:52" x14ac:dyDescent="0.3">
      <c r="A76" s="38"/>
      <c r="B76" s="36"/>
      <c r="C76" s="36"/>
      <c r="D76" s="36"/>
      <c r="E76" s="36"/>
      <c r="F76" s="36"/>
      <c r="G76" s="36"/>
      <c r="H76" s="36"/>
      <c r="I76" s="36"/>
      <c r="J76" s="46"/>
      <c r="K76" s="36"/>
      <c r="L76" s="36"/>
      <c r="M76" s="36"/>
      <c r="N76" s="36"/>
      <c r="O76" s="36"/>
      <c r="P76" s="36"/>
      <c r="Q76" s="36"/>
      <c r="R76" s="36"/>
      <c r="S76" s="36"/>
      <c r="T76" s="4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45"/>
    </row>
    <row r="77" spans="1:52" x14ac:dyDescent="0.3">
      <c r="A77" s="38"/>
      <c r="B77" s="36"/>
      <c r="C77" s="36"/>
      <c r="D77" s="36"/>
      <c r="E77" s="36"/>
      <c r="F77" s="36"/>
      <c r="G77" s="36"/>
      <c r="H77" s="36"/>
      <c r="I77" s="36"/>
      <c r="J77" s="46"/>
      <c r="K77" s="36"/>
      <c r="L77" s="36"/>
      <c r="M77" s="36"/>
      <c r="N77" s="36"/>
      <c r="O77" s="36"/>
      <c r="P77" s="36"/>
      <c r="Q77" s="36"/>
      <c r="R77" s="36"/>
      <c r="S77" s="36"/>
      <c r="T77" s="4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45"/>
    </row>
    <row r="78" spans="1:52" x14ac:dyDescent="0.3">
      <c r="A78" s="38"/>
      <c r="B78" s="36"/>
      <c r="C78" s="36"/>
      <c r="D78" s="36"/>
      <c r="E78" s="36"/>
      <c r="F78" s="36"/>
      <c r="G78" s="36"/>
      <c r="H78" s="36"/>
      <c r="I78" s="36"/>
      <c r="J78" s="46"/>
      <c r="K78" s="36"/>
      <c r="L78" s="36"/>
      <c r="M78" s="36"/>
      <c r="N78" s="36"/>
      <c r="O78" s="36"/>
      <c r="P78" s="36"/>
      <c r="Q78" s="36"/>
      <c r="R78" s="36"/>
      <c r="S78" s="36"/>
      <c r="T78" s="4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45"/>
    </row>
    <row r="79" spans="1:52" ht="15" thickBot="1" x14ac:dyDescent="0.35">
      <c r="A79" s="66"/>
      <c r="B79" s="67"/>
      <c r="C79" s="67"/>
      <c r="D79" s="67"/>
      <c r="E79" s="67"/>
      <c r="F79" s="67"/>
      <c r="G79" s="67"/>
      <c r="H79" s="67"/>
      <c r="I79" s="67"/>
      <c r="J79" s="68"/>
      <c r="K79" s="67"/>
      <c r="L79" s="67"/>
      <c r="M79" s="67"/>
      <c r="N79" s="67"/>
      <c r="O79" s="67"/>
      <c r="P79" s="67"/>
      <c r="Q79" s="67"/>
      <c r="R79" s="67"/>
      <c r="S79" s="67"/>
      <c r="T79" s="68"/>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9"/>
    </row>
  </sheetData>
  <autoFilter ref="AC7:AE7" xr:uid="{5B91FAE3-2CF9-461A-BE37-07C4BE67D621}"/>
  <mergeCells count="12">
    <mergeCell ref="G7:G8"/>
    <mergeCell ref="M7:M8"/>
    <mergeCell ref="A29:B29"/>
    <mergeCell ref="B30:B32"/>
    <mergeCell ref="A34:B34"/>
    <mergeCell ref="AC38:AE38"/>
    <mergeCell ref="P1:Q1"/>
    <mergeCell ref="R1:U1"/>
    <mergeCell ref="H2:I2"/>
    <mergeCell ref="K2:L2"/>
    <mergeCell ref="H3:I3"/>
    <mergeCell ref="K3:L3"/>
  </mergeCells>
  <conditionalFormatting sqref="J4:J20">
    <cfRule type="cellIs" dxfId="1015" priority="4" operator="equal">
      <formula>0</formula>
    </cfRule>
  </conditionalFormatting>
  <conditionalFormatting sqref="J4:J20">
    <cfRule type="cellIs" dxfId="1014" priority="9" operator="greaterThan">
      <formula>0</formula>
    </cfRule>
    <cfRule type="cellIs" dxfId="1013" priority="10" operator="lessThan">
      <formula>0</formula>
    </cfRule>
  </conditionalFormatting>
  <conditionalFormatting sqref="AD8:AD37">
    <cfRule type="colorScale" priority="3">
      <colorScale>
        <cfvo type="min"/>
        <cfvo type="percentile" val="50"/>
        <cfvo type="max"/>
        <color rgb="FFF8696B"/>
        <color rgb="FFFCFCFF"/>
        <color rgb="FF63BE7B"/>
      </colorScale>
    </cfRule>
  </conditionalFormatting>
  <conditionalFormatting sqref="AE8:AE37">
    <cfRule type="colorScale" priority="2">
      <colorScale>
        <cfvo type="min"/>
        <cfvo type="percentile" val="50"/>
        <cfvo type="max"/>
        <color rgb="FFF8696B"/>
        <color rgb="FFFCFCFF"/>
        <color rgb="FF63BE7B"/>
      </colorScale>
    </cfRule>
  </conditionalFormatting>
  <conditionalFormatting sqref="AH8:AH37">
    <cfRule type="colorScale" priority="1">
      <colorScale>
        <cfvo type="min"/>
        <cfvo type="percentile" val="50"/>
        <cfvo type="max"/>
        <color rgb="FFF8696B"/>
        <color rgb="FFFCFCFF"/>
        <color rgb="FF63BE7B"/>
      </colorScale>
    </cfRule>
  </conditionalFormatting>
  <dataValidations count="4">
    <dataValidation type="list" allowBlank="1" showInputMessage="1" showErrorMessage="1" sqref="R3:R8" xr:uid="{B76311A7-F2CA-4D29-94CE-8D217C8E1B28}">
      <formula1>$AF$1:$AG$1</formula1>
    </dataValidation>
    <dataValidation type="list" allowBlank="1" showInputMessage="1" showErrorMessage="1" sqref="T3:T8" xr:uid="{6EAB8156-B85F-4B19-B796-BA327F97D517}">
      <formula1>$AF$2:$AG$2</formula1>
    </dataValidation>
    <dataValidation type="list" allowBlank="1" showInputMessage="1" showErrorMessage="1" sqref="S3:S8" xr:uid="{465BDD63-0FF0-45A0-8B20-7587A87848D4}">
      <formula1>$AG$4:$AG$14</formula1>
    </dataValidation>
    <dataValidation type="list" allowBlank="1" showInputMessage="1" showErrorMessage="1" sqref="U3:U8" xr:uid="{B092B2ED-117B-4EC9-8D74-BA0C93EB3B29}">
      <formula1>$AF$4:$AF$8</formula1>
    </dataValidation>
  </dataValidations>
  <pageMargins left="0.7" right="0.7" top="0.75" bottom="0.75" header="0.3" footer="0.3"/>
  <pageSetup orientation="portrait" r:id="rId2"/>
  <ignoredErrors>
    <ignoredError sqref="J21" formula="1"/>
    <ignoredError sqref="C1" numberStoredAsText="1"/>
  </ignoredErrors>
  <drawing r:id="rId3"/>
  <extLst>
    <ext xmlns:x14="http://schemas.microsoft.com/office/spreadsheetml/2009/9/main" uri="{CCE6A557-97BC-4b89-ADB6-D9C93CAAB3DF}">
      <x14:dataValidations xmlns:xm="http://schemas.microsoft.com/office/excel/2006/main" count="4">
        <x14:dataValidation type="list" allowBlank="1" showInputMessage="1" showErrorMessage="1" xr:uid="{3F6845CF-B2DB-4018-B778-2ECC349E7777}">
          <x14:formula1>
            <xm:f>Formulas!$V$2:$V$31</xm:f>
          </x14:formula1>
          <xm:sqref>H3</xm:sqref>
        </x14:dataValidation>
        <x14:dataValidation type="list" allowBlank="1" showInputMessage="1" showErrorMessage="1" xr:uid="{F9D49834-CD4A-4819-A128-A705C9302172}">
          <x14:formula1>
            <xm:f>Formulas!$Z$2:$Z$31</xm:f>
          </x14:formula1>
          <xm:sqref>K3:L3</xm:sqref>
        </x14:dataValidation>
        <x14:dataValidation type="list" allowBlank="1" showInputMessage="1" showErrorMessage="1" xr:uid="{7D843BCE-05EB-422F-94BC-E33D3D9F5B43}">
          <x14:formula1>
            <xm:f>Formulas!$AI$2:$AI$13</xm:f>
          </x14:formula1>
          <xm:sqref>C1</xm:sqref>
        </x14:dataValidation>
        <x14:dataValidation type="list" allowBlank="1" showInputMessage="1" showErrorMessage="1" xr:uid="{EB747C78-1018-4A36-BE24-78E907DF58E5}">
          <x14:formula1>
            <xm:f>Formulas!$AJ$2:$AJ$32</xm:f>
          </x14:formula1>
          <xm:sqref>D1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0712-073E-4831-9ED2-0E97DF4018DD}">
  <sheetPr codeName="Sheet1"/>
  <dimension ref="A1:AP531"/>
  <sheetViews>
    <sheetView topLeftCell="A265" workbookViewId="0"/>
  </sheetViews>
  <sheetFormatPr defaultRowHeight="14.4" x14ac:dyDescent="0.3"/>
  <cols>
    <col min="1" max="1" width="27.44140625" bestFit="1" customWidth="1"/>
    <col min="2" max="2" width="5.77734375" bestFit="1" customWidth="1"/>
    <col min="3" max="3" width="3" bestFit="1" customWidth="1"/>
    <col min="4" max="4" width="4" bestFit="1" customWidth="1"/>
    <col min="5" max="6" width="3" bestFit="1" customWidth="1"/>
    <col min="7" max="8" width="3.109375" bestFit="1" customWidth="1"/>
    <col min="9" max="9" width="3.33203125" bestFit="1" customWidth="1"/>
    <col min="10" max="10" width="3.77734375" bestFit="1" customWidth="1"/>
    <col min="11" max="12" width="3.21875" bestFit="1" customWidth="1"/>
    <col min="13" max="14" width="3" bestFit="1" customWidth="1"/>
    <col min="15" max="21" width="6" bestFit="1" customWidth="1"/>
    <col min="23" max="23" width="22.6640625" bestFit="1" customWidth="1"/>
    <col min="24" max="24" width="8.5546875" style="1" bestFit="1" customWidth="1"/>
    <col min="25" max="25" width="6.6640625" style="1" bestFit="1" customWidth="1"/>
    <col min="26" max="26" width="2.88671875" bestFit="1" customWidth="1"/>
    <col min="27" max="27" width="4" bestFit="1" customWidth="1"/>
    <col min="28" max="28" width="2.77734375" bestFit="1" customWidth="1"/>
    <col min="29" max="29" width="2.88671875" bestFit="1" customWidth="1"/>
    <col min="30" max="31" width="3.77734375" bestFit="1" customWidth="1"/>
    <col min="32" max="32" width="4" bestFit="1" customWidth="1"/>
    <col min="33" max="33" width="4.44140625" bestFit="1" customWidth="1"/>
    <col min="34" max="35" width="3.88671875" bestFit="1" customWidth="1"/>
    <col min="36" max="36" width="3.6640625" bestFit="1" customWidth="1"/>
    <col min="37" max="37" width="3.5546875" bestFit="1" customWidth="1"/>
    <col min="38" max="38" width="5.44140625" bestFit="1" customWidth="1"/>
    <col min="39" max="39" width="5.21875" bestFit="1" customWidth="1"/>
    <col min="40" max="40" width="4.6640625" bestFit="1" customWidth="1"/>
    <col min="41" max="41" width="5" bestFit="1" customWidth="1"/>
  </cols>
  <sheetData>
    <row r="1" spans="1:42" x14ac:dyDescent="0.3">
      <c r="A1" t="s">
        <v>1545</v>
      </c>
      <c r="B1" t="s">
        <v>981</v>
      </c>
      <c r="C1" t="s">
        <v>1546</v>
      </c>
      <c r="D1" t="s">
        <v>76</v>
      </c>
      <c r="E1" t="s">
        <v>77</v>
      </c>
      <c r="F1" t="s">
        <v>78</v>
      </c>
      <c r="G1" t="s">
        <v>79</v>
      </c>
      <c r="H1" t="s">
        <v>80</v>
      </c>
      <c r="I1" t="s">
        <v>81</v>
      </c>
      <c r="J1" t="s">
        <v>82</v>
      </c>
      <c r="K1" t="s">
        <v>83</v>
      </c>
      <c r="L1" t="s">
        <v>84</v>
      </c>
      <c r="M1" t="s">
        <v>85</v>
      </c>
      <c r="N1" t="s">
        <v>86</v>
      </c>
      <c r="O1" t="s">
        <v>87</v>
      </c>
      <c r="P1" t="s">
        <v>88</v>
      </c>
      <c r="Q1" t="s">
        <v>89</v>
      </c>
      <c r="R1" t="s">
        <v>90</v>
      </c>
      <c r="S1" t="s">
        <v>88</v>
      </c>
      <c r="T1" t="s">
        <v>89</v>
      </c>
      <c r="U1" t="s">
        <v>90</v>
      </c>
      <c r="W1" s="290" t="s">
        <v>1571</v>
      </c>
      <c r="X1" s="290"/>
      <c r="Y1" s="290"/>
      <c r="Z1" s="290"/>
      <c r="AA1" s="290"/>
      <c r="AB1" s="290"/>
      <c r="AC1" s="290"/>
      <c r="AD1" s="290"/>
      <c r="AE1" s="290"/>
      <c r="AF1" s="290"/>
      <c r="AG1" s="290"/>
      <c r="AH1" s="290"/>
      <c r="AI1" s="290"/>
      <c r="AJ1" s="290"/>
      <c r="AK1" s="290"/>
      <c r="AL1" s="290"/>
      <c r="AM1" s="290"/>
      <c r="AN1" s="290"/>
      <c r="AO1" s="290"/>
    </row>
    <row r="2" spans="1:42" x14ac:dyDescent="0.3">
      <c r="A2" t="s">
        <v>1545</v>
      </c>
      <c r="B2" t="s">
        <v>981</v>
      </c>
      <c r="C2" t="s">
        <v>1546</v>
      </c>
      <c r="D2" t="s">
        <v>76</v>
      </c>
      <c r="E2" t="s">
        <v>77</v>
      </c>
      <c r="F2" t="s">
        <v>78</v>
      </c>
      <c r="G2" t="s">
        <v>79</v>
      </c>
      <c r="H2" t="s">
        <v>80</v>
      </c>
      <c r="I2" t="s">
        <v>81</v>
      </c>
      <c r="J2" t="s">
        <v>82</v>
      </c>
      <c r="K2" t="s">
        <v>83</v>
      </c>
      <c r="L2" t="s">
        <v>84</v>
      </c>
      <c r="M2" t="s">
        <v>85</v>
      </c>
      <c r="N2" t="s">
        <v>86</v>
      </c>
      <c r="O2" t="s">
        <v>87</v>
      </c>
      <c r="P2" t="s">
        <v>88</v>
      </c>
      <c r="Q2" t="s">
        <v>89</v>
      </c>
      <c r="R2" t="s">
        <v>90</v>
      </c>
      <c r="S2" t="s">
        <v>88</v>
      </c>
      <c r="T2" t="s">
        <v>89</v>
      </c>
      <c r="U2" t="s">
        <v>90</v>
      </c>
      <c r="W2" s="150" t="s">
        <v>1545</v>
      </c>
      <c r="X2" s="170" t="s">
        <v>1558</v>
      </c>
      <c r="Y2" s="170" t="s">
        <v>981</v>
      </c>
      <c r="Z2" s="150" t="s">
        <v>1546</v>
      </c>
      <c r="AA2" s="150" t="s">
        <v>76</v>
      </c>
      <c r="AB2" s="150" t="s">
        <v>77</v>
      </c>
      <c r="AC2" s="150" t="s">
        <v>78</v>
      </c>
      <c r="AD2" s="150" t="s">
        <v>79</v>
      </c>
      <c r="AE2" s="150" t="s">
        <v>80</v>
      </c>
      <c r="AF2" s="150" t="s">
        <v>81</v>
      </c>
      <c r="AG2" s="150" t="s">
        <v>82</v>
      </c>
      <c r="AH2" s="150" t="s">
        <v>83</v>
      </c>
      <c r="AI2" s="150" t="s">
        <v>84</v>
      </c>
      <c r="AJ2" s="150" t="s">
        <v>85</v>
      </c>
      <c r="AK2" s="150" t="s">
        <v>86</v>
      </c>
      <c r="AL2" s="150" t="s">
        <v>87</v>
      </c>
      <c r="AM2" s="150" t="s">
        <v>88</v>
      </c>
      <c r="AN2" s="150" t="s">
        <v>89</v>
      </c>
      <c r="AO2" s="150" t="s">
        <v>90</v>
      </c>
    </row>
    <row r="3" spans="1:42" x14ac:dyDescent="0.3">
      <c r="A3">
        <v>1</v>
      </c>
      <c r="B3" t="s">
        <v>234</v>
      </c>
      <c r="C3">
        <v>51</v>
      </c>
      <c r="D3">
        <v>218</v>
      </c>
      <c r="E3">
        <v>31</v>
      </c>
      <c r="F3">
        <v>71</v>
      </c>
      <c r="G3">
        <v>11</v>
      </c>
      <c r="H3">
        <v>0</v>
      </c>
      <c r="I3">
        <v>9</v>
      </c>
      <c r="J3">
        <v>30</v>
      </c>
      <c r="K3">
        <v>12</v>
      </c>
      <c r="L3">
        <v>35</v>
      </c>
      <c r="M3">
        <v>2</v>
      </c>
      <c r="N3">
        <v>3</v>
      </c>
      <c r="O3">
        <v>0.32600000000000001</v>
      </c>
      <c r="P3">
        <v>0.36399999999999999</v>
      </c>
      <c r="Q3">
        <v>0.5</v>
      </c>
      <c r="R3">
        <v>0.86399999999999999</v>
      </c>
      <c r="S3">
        <v>0.34200000000000003</v>
      </c>
      <c r="T3">
        <v>0.33900000000000002</v>
      </c>
      <c r="U3">
        <v>0.68100000000000005</v>
      </c>
      <c r="W3" t="str">
        <f ca="1">OFFSET($A3,1,0)</f>
        <v>BoB BichetteBichette</v>
      </c>
      <c r="X3" s="1" t="str">
        <f ca="1">OFFSET($A3,2,0)</f>
        <v>SS</v>
      </c>
      <c r="Y3" s="1" t="str">
        <f>B3</f>
        <v>TOR</v>
      </c>
      <c r="Z3" s="1">
        <f>C3</f>
        <v>51</v>
      </c>
      <c r="AA3" s="1">
        <f>D3</f>
        <v>218</v>
      </c>
      <c r="AB3" s="1">
        <f>E3</f>
        <v>31</v>
      </c>
      <c r="AC3" s="1">
        <f>F3</f>
        <v>71</v>
      </c>
      <c r="AD3" s="1">
        <f t="shared" ref="AD3:AO3" si="0">G3</f>
        <v>11</v>
      </c>
      <c r="AE3" s="1">
        <f t="shared" si="0"/>
        <v>0</v>
      </c>
      <c r="AF3" s="1">
        <f t="shared" si="0"/>
        <v>9</v>
      </c>
      <c r="AG3" s="1">
        <f t="shared" si="0"/>
        <v>30</v>
      </c>
      <c r="AH3" s="1">
        <f t="shared" si="0"/>
        <v>12</v>
      </c>
      <c r="AI3" s="1">
        <f t="shared" si="0"/>
        <v>35</v>
      </c>
      <c r="AJ3" s="1">
        <f t="shared" si="0"/>
        <v>2</v>
      </c>
      <c r="AK3" s="1">
        <f t="shared" si="0"/>
        <v>3</v>
      </c>
      <c r="AL3" s="25">
        <f t="shared" si="0"/>
        <v>0.32600000000000001</v>
      </c>
      <c r="AM3" s="1">
        <f t="shared" si="0"/>
        <v>0.36399999999999999</v>
      </c>
      <c r="AN3" s="1">
        <f t="shared" si="0"/>
        <v>0.5</v>
      </c>
      <c r="AO3" s="1">
        <f t="shared" si="0"/>
        <v>0.86399999999999999</v>
      </c>
      <c r="AP3" s="1"/>
    </row>
    <row r="4" spans="1:42" x14ac:dyDescent="0.3">
      <c r="A4" t="s">
        <v>1564</v>
      </c>
      <c r="W4" t="str">
        <f ca="1">OFFSET($A10,1,0)</f>
        <v>BobbyB Witt Jr.Witt</v>
      </c>
      <c r="X4" s="1" t="str">
        <f ca="1">OFFSET($A10,2,0)</f>
        <v>SS</v>
      </c>
      <c r="Y4" s="1" t="str">
        <f>B10</f>
        <v>KC</v>
      </c>
      <c r="Z4" s="1">
        <f>C10</f>
        <v>50</v>
      </c>
      <c r="AA4" s="1">
        <f>D10</f>
        <v>207</v>
      </c>
      <c r="AB4" s="1">
        <f>E10</f>
        <v>31</v>
      </c>
      <c r="AC4" s="1">
        <f>F10</f>
        <v>47</v>
      </c>
      <c r="AD4" s="1">
        <f t="shared" ref="AD4:AO4" si="1">G10</f>
        <v>7</v>
      </c>
      <c r="AE4" s="1">
        <f t="shared" si="1"/>
        <v>4</v>
      </c>
      <c r="AF4" s="1">
        <f t="shared" si="1"/>
        <v>7</v>
      </c>
      <c r="AG4" s="1">
        <f t="shared" si="1"/>
        <v>20</v>
      </c>
      <c r="AH4" s="1">
        <f t="shared" si="1"/>
        <v>11</v>
      </c>
      <c r="AI4" s="1">
        <f t="shared" si="1"/>
        <v>47</v>
      </c>
      <c r="AJ4" s="1">
        <f t="shared" si="1"/>
        <v>14</v>
      </c>
      <c r="AK4" s="1">
        <f t="shared" si="1"/>
        <v>3</v>
      </c>
      <c r="AL4" s="25">
        <f t="shared" si="1"/>
        <v>0.22700000000000001</v>
      </c>
      <c r="AM4" s="1">
        <f t="shared" si="1"/>
        <v>0.26500000000000001</v>
      </c>
      <c r="AN4" s="1">
        <f t="shared" si="1"/>
        <v>0.40100000000000002</v>
      </c>
      <c r="AO4" s="1">
        <f t="shared" si="1"/>
        <v>0.66600000000000004</v>
      </c>
      <c r="AP4" s="1"/>
    </row>
    <row r="5" spans="1:42" x14ac:dyDescent="0.3">
      <c r="A5" t="s">
        <v>1529</v>
      </c>
      <c r="W5" t="str">
        <f ca="1">OFFSET($A17,1,0)</f>
        <v>TreaT TurnerTurner</v>
      </c>
      <c r="X5" s="1" t="str">
        <f ca="1">OFFSET($A17,2,0)</f>
        <v>SS</v>
      </c>
      <c r="Y5" s="1" t="str">
        <f>B17</f>
        <v>PHI</v>
      </c>
      <c r="Z5" s="1">
        <f>C17</f>
        <v>48</v>
      </c>
      <c r="AA5" s="1">
        <f>D17</f>
        <v>204</v>
      </c>
      <c r="AB5" s="1">
        <f>E17</f>
        <v>25</v>
      </c>
      <c r="AC5" s="1">
        <f>F17</f>
        <v>51</v>
      </c>
      <c r="AD5" s="1">
        <f t="shared" ref="AD5:AO5" si="2">G17</f>
        <v>10</v>
      </c>
      <c r="AE5" s="1">
        <f t="shared" si="2"/>
        <v>2</v>
      </c>
      <c r="AF5" s="1">
        <f t="shared" si="2"/>
        <v>5</v>
      </c>
      <c r="AG5" s="1">
        <f t="shared" si="2"/>
        <v>13</v>
      </c>
      <c r="AH5" s="1">
        <f t="shared" si="2"/>
        <v>13</v>
      </c>
      <c r="AI5" s="1">
        <f t="shared" si="2"/>
        <v>58</v>
      </c>
      <c r="AJ5" s="1">
        <f t="shared" si="2"/>
        <v>6</v>
      </c>
      <c r="AK5" s="1">
        <f t="shared" si="2"/>
        <v>0</v>
      </c>
      <c r="AL5" s="25">
        <f t="shared" si="2"/>
        <v>0.25</v>
      </c>
      <c r="AM5" s="1">
        <f t="shared" si="2"/>
        <v>0.29499999999999998</v>
      </c>
      <c r="AN5" s="1">
        <f t="shared" si="2"/>
        <v>0.39200000000000002</v>
      </c>
      <c r="AO5" s="1">
        <f t="shared" si="2"/>
        <v>0.68700000000000006</v>
      </c>
      <c r="AP5" s="1"/>
    </row>
    <row r="6" spans="1:42" x14ac:dyDescent="0.3">
      <c r="A6">
        <v>1</v>
      </c>
      <c r="W6" t="str">
        <f ca="1">OFFSET($A24,1,0)</f>
        <v>FreddieF FreemanFreeman</v>
      </c>
      <c r="X6" s="1" t="str">
        <f ca="1">OFFSET($A24,2,0)</f>
        <v>1B</v>
      </c>
      <c r="Y6" s="1" t="str">
        <f>B24</f>
        <v>LAD</v>
      </c>
      <c r="Z6" s="1">
        <f>C24</f>
        <v>51</v>
      </c>
      <c r="AA6" s="1">
        <f>D24</f>
        <v>203</v>
      </c>
      <c r="AB6" s="1">
        <f>E24</f>
        <v>42</v>
      </c>
      <c r="AC6" s="1">
        <f>F24</f>
        <v>66</v>
      </c>
      <c r="AD6" s="1">
        <f t="shared" ref="AD6:AO6" si="3">G24</f>
        <v>18</v>
      </c>
      <c r="AE6" s="1">
        <f t="shared" si="3"/>
        <v>1</v>
      </c>
      <c r="AF6" s="1">
        <f t="shared" si="3"/>
        <v>9</v>
      </c>
      <c r="AG6" s="1">
        <f t="shared" si="3"/>
        <v>31</v>
      </c>
      <c r="AH6" s="1">
        <f t="shared" si="3"/>
        <v>24</v>
      </c>
      <c r="AI6" s="1">
        <f t="shared" si="3"/>
        <v>38</v>
      </c>
      <c r="AJ6" s="1">
        <f t="shared" si="3"/>
        <v>6</v>
      </c>
      <c r="AK6" s="1">
        <f t="shared" si="3"/>
        <v>1</v>
      </c>
      <c r="AL6" s="25">
        <f t="shared" si="3"/>
        <v>0.32500000000000001</v>
      </c>
      <c r="AM6" s="1">
        <f t="shared" si="3"/>
        <v>0.39900000000000002</v>
      </c>
      <c r="AN6" s="1">
        <f t="shared" si="3"/>
        <v>0.55700000000000005</v>
      </c>
      <c r="AO6" s="1">
        <f t="shared" si="3"/>
        <v>0.95599999999999996</v>
      </c>
      <c r="AP6" s="1"/>
    </row>
    <row r="7" spans="1:42" x14ac:dyDescent="0.3">
      <c r="A7" t="s">
        <v>1548</v>
      </c>
      <c r="W7" t="str">
        <f ca="1">OFFSET($A31,1,0)</f>
        <v>RyanR MountcastleMountcastle</v>
      </c>
      <c r="X7" s="1" t="str">
        <f ca="1">OFFSET($A31,2,0)</f>
        <v>1B</v>
      </c>
      <c r="Y7" s="1" t="str">
        <f>B31</f>
        <v>BAL</v>
      </c>
      <c r="Z7" s="1">
        <f>C31</f>
        <v>49</v>
      </c>
      <c r="AA7" s="1">
        <f>D31</f>
        <v>202</v>
      </c>
      <c r="AB7" s="1">
        <f>E31</f>
        <v>32</v>
      </c>
      <c r="AC7" s="1">
        <f>F31</f>
        <v>48</v>
      </c>
      <c r="AD7" s="1">
        <f t="shared" ref="AD7:AO7" si="4">G31</f>
        <v>11</v>
      </c>
      <c r="AE7" s="1">
        <f t="shared" si="4"/>
        <v>1</v>
      </c>
      <c r="AF7" s="1">
        <f t="shared" si="4"/>
        <v>11</v>
      </c>
      <c r="AG7" s="1">
        <f t="shared" si="4"/>
        <v>36</v>
      </c>
      <c r="AH7" s="1">
        <f t="shared" si="4"/>
        <v>9</v>
      </c>
      <c r="AI7" s="1">
        <f t="shared" si="4"/>
        <v>50</v>
      </c>
      <c r="AJ7" s="1">
        <f t="shared" si="4"/>
        <v>2</v>
      </c>
      <c r="AK7" s="1">
        <f t="shared" si="4"/>
        <v>0</v>
      </c>
      <c r="AL7" s="25">
        <f t="shared" si="4"/>
        <v>0.23799999999999999</v>
      </c>
      <c r="AM7" s="1">
        <f t="shared" si="4"/>
        <v>0.26900000000000002</v>
      </c>
      <c r="AN7" s="1">
        <f t="shared" si="4"/>
        <v>0.46500000000000002</v>
      </c>
      <c r="AO7" s="1">
        <f t="shared" si="4"/>
        <v>0.73399999999999999</v>
      </c>
      <c r="AP7" s="1"/>
    </row>
    <row r="8" spans="1:42" x14ac:dyDescent="0.3">
      <c r="A8" t="s">
        <v>1548</v>
      </c>
      <c r="W8" t="str">
        <f ca="1">OFFSET($A38,1,0)</f>
        <v>MarcusM SemienSemien</v>
      </c>
      <c r="X8" s="1" t="str">
        <f ca="1">OFFSET($A38,2,0)</f>
        <v>2B</v>
      </c>
      <c r="Y8" s="1" t="str">
        <f>B38</f>
        <v>TEX</v>
      </c>
      <c r="Z8" s="1">
        <f>C38</f>
        <v>49</v>
      </c>
      <c r="AA8" s="1">
        <f>D38</f>
        <v>201</v>
      </c>
      <c r="AB8" s="1">
        <f>E38</f>
        <v>45</v>
      </c>
      <c r="AC8" s="1">
        <f>F38</f>
        <v>60</v>
      </c>
      <c r="AD8" s="1">
        <f t="shared" ref="AD8:AO8" si="5">G38</f>
        <v>12</v>
      </c>
      <c r="AE8" s="1">
        <f t="shared" si="5"/>
        <v>2</v>
      </c>
      <c r="AF8" s="1">
        <f t="shared" si="5"/>
        <v>8</v>
      </c>
      <c r="AG8" s="1">
        <f t="shared" si="5"/>
        <v>40</v>
      </c>
      <c r="AH8" s="1">
        <f t="shared" si="5"/>
        <v>24</v>
      </c>
      <c r="AI8" s="1">
        <f t="shared" si="5"/>
        <v>36</v>
      </c>
      <c r="AJ8" s="1">
        <f t="shared" si="5"/>
        <v>7</v>
      </c>
      <c r="AK8" s="1">
        <f t="shared" si="5"/>
        <v>1</v>
      </c>
      <c r="AL8" s="25">
        <f t="shared" si="5"/>
        <v>0.29899999999999999</v>
      </c>
      <c r="AM8" s="1">
        <f t="shared" si="5"/>
        <v>0.373</v>
      </c>
      <c r="AN8" s="1">
        <f t="shared" si="5"/>
        <v>0.498</v>
      </c>
      <c r="AO8" s="1">
        <f t="shared" si="5"/>
        <v>0.871</v>
      </c>
      <c r="AP8" s="1"/>
    </row>
    <row r="9" spans="1:42" x14ac:dyDescent="0.3">
      <c r="A9" t="s">
        <v>1548</v>
      </c>
      <c r="W9" t="str">
        <f ca="1">OFFSET($A45,1,0)</f>
        <v>EsteuryE RuizRuiz</v>
      </c>
      <c r="X9" s="1" t="str">
        <f ca="1">OFFSET($A45,2,0)</f>
        <v>CF</v>
      </c>
      <c r="Y9" s="1" t="str">
        <f>B45</f>
        <v>OAK</v>
      </c>
      <c r="Z9" s="1">
        <f>C45</f>
        <v>51</v>
      </c>
      <c r="AA9" s="1">
        <f>D45</f>
        <v>200</v>
      </c>
      <c r="AB9" s="1">
        <f>E45</f>
        <v>23</v>
      </c>
      <c r="AC9" s="1">
        <f>F45</f>
        <v>56</v>
      </c>
      <c r="AD9" s="1">
        <f t="shared" ref="AD9:AO9" si="6">G45</f>
        <v>13</v>
      </c>
      <c r="AE9" s="1">
        <f t="shared" si="6"/>
        <v>1</v>
      </c>
      <c r="AF9" s="1">
        <f t="shared" si="6"/>
        <v>1</v>
      </c>
      <c r="AG9" s="1">
        <f t="shared" si="6"/>
        <v>22</v>
      </c>
      <c r="AH9" s="1">
        <f t="shared" si="6"/>
        <v>8</v>
      </c>
      <c r="AI9" s="1">
        <f t="shared" si="6"/>
        <v>39</v>
      </c>
      <c r="AJ9" s="1">
        <f t="shared" si="6"/>
        <v>26</v>
      </c>
      <c r="AK9" s="1">
        <f t="shared" si="6"/>
        <v>3</v>
      </c>
      <c r="AL9" s="25">
        <f t="shared" si="6"/>
        <v>0.28000000000000003</v>
      </c>
      <c r="AM9" s="1">
        <f t="shared" si="6"/>
        <v>0.34200000000000003</v>
      </c>
      <c r="AN9" s="1">
        <f t="shared" si="6"/>
        <v>0.37</v>
      </c>
      <c r="AO9" s="1">
        <f t="shared" si="6"/>
        <v>0.71199999999999997</v>
      </c>
      <c r="AP9" s="1"/>
    </row>
    <row r="10" spans="1:42" x14ac:dyDescent="0.3">
      <c r="A10">
        <v>2</v>
      </c>
      <c r="B10" t="s">
        <v>1520</v>
      </c>
      <c r="C10">
        <v>50</v>
      </c>
      <c r="D10">
        <v>207</v>
      </c>
      <c r="E10">
        <v>31</v>
      </c>
      <c r="F10">
        <v>47</v>
      </c>
      <c r="G10">
        <v>7</v>
      </c>
      <c r="H10">
        <v>4</v>
      </c>
      <c r="I10">
        <v>7</v>
      </c>
      <c r="J10">
        <v>20</v>
      </c>
      <c r="K10">
        <v>11</v>
      </c>
      <c r="L10">
        <v>47</v>
      </c>
      <c r="M10">
        <v>14</v>
      </c>
      <c r="N10">
        <v>3</v>
      </c>
      <c r="O10">
        <v>0.22700000000000001</v>
      </c>
      <c r="P10">
        <v>0.26500000000000001</v>
      </c>
      <c r="Q10">
        <v>0.40100000000000002</v>
      </c>
      <c r="R10">
        <v>0.66600000000000004</v>
      </c>
      <c r="S10">
        <v>0.35399999999999998</v>
      </c>
      <c r="T10">
        <v>0.53400000000000003</v>
      </c>
      <c r="U10">
        <v>0.88800000000000001</v>
      </c>
      <c r="W10" t="str">
        <f ca="1">OFFSET($A52,1,0)</f>
        <v>WanderW FrancoFranco</v>
      </c>
      <c r="X10" s="1" t="str">
        <f ca="1">OFFSET($A52,2,0)</f>
        <v>SS</v>
      </c>
      <c r="Y10" s="1" t="str">
        <f>B52</f>
        <v>TB</v>
      </c>
      <c r="Z10" s="1">
        <f>C52</f>
        <v>50</v>
      </c>
      <c r="AA10" s="1">
        <f>D52</f>
        <v>198</v>
      </c>
      <c r="AB10" s="1">
        <f>E52</f>
        <v>30</v>
      </c>
      <c r="AC10" s="1">
        <f>F52</f>
        <v>57</v>
      </c>
      <c r="AD10" s="1">
        <f t="shared" ref="AD10:AO10" si="7">G52</f>
        <v>15</v>
      </c>
      <c r="AE10" s="1">
        <f t="shared" si="7"/>
        <v>2</v>
      </c>
      <c r="AF10" s="1">
        <f t="shared" si="7"/>
        <v>7</v>
      </c>
      <c r="AG10" s="1">
        <f t="shared" si="7"/>
        <v>25</v>
      </c>
      <c r="AH10" s="1">
        <f t="shared" si="7"/>
        <v>19</v>
      </c>
      <c r="AI10" s="1">
        <f t="shared" si="7"/>
        <v>29</v>
      </c>
      <c r="AJ10" s="1">
        <f t="shared" si="7"/>
        <v>17</v>
      </c>
      <c r="AK10" s="1">
        <f t="shared" si="7"/>
        <v>5</v>
      </c>
      <c r="AL10" s="25">
        <f t="shared" si="7"/>
        <v>0.28799999999999998</v>
      </c>
      <c r="AM10" s="1">
        <f t="shared" si="7"/>
        <v>0.35499999999999998</v>
      </c>
      <c r="AN10" s="1">
        <f t="shared" si="7"/>
        <v>0.49</v>
      </c>
      <c r="AO10" s="1">
        <f t="shared" si="7"/>
        <v>0.84499999999999997</v>
      </c>
      <c r="AP10" s="1"/>
    </row>
    <row r="11" spans="1:42" x14ac:dyDescent="0.3">
      <c r="A11" t="s">
        <v>1837</v>
      </c>
      <c r="W11" t="str">
        <f ca="1">OFFSET($A59,1,0)</f>
        <v>NolanN ArenadoArenado</v>
      </c>
      <c r="X11" s="1" t="str">
        <f ca="1">OFFSET($A59,2,0)</f>
        <v>3B</v>
      </c>
      <c r="Y11" s="1" t="str">
        <f>B59</f>
        <v>STL</v>
      </c>
      <c r="Z11" s="1">
        <f>C59</f>
        <v>49</v>
      </c>
      <c r="AA11" s="1">
        <f>D59</f>
        <v>197</v>
      </c>
      <c r="AB11" s="1">
        <f>E59</f>
        <v>26</v>
      </c>
      <c r="AC11" s="1">
        <f>F59</f>
        <v>52</v>
      </c>
      <c r="AD11" s="1">
        <f t="shared" ref="AD11:AO11" si="8">G59</f>
        <v>5</v>
      </c>
      <c r="AE11" s="1">
        <f t="shared" si="8"/>
        <v>1</v>
      </c>
      <c r="AF11" s="1">
        <f t="shared" si="8"/>
        <v>9</v>
      </c>
      <c r="AG11" s="1">
        <f t="shared" si="8"/>
        <v>34</v>
      </c>
      <c r="AH11" s="1">
        <f t="shared" si="8"/>
        <v>14</v>
      </c>
      <c r="AI11" s="1">
        <f t="shared" si="8"/>
        <v>46</v>
      </c>
      <c r="AJ11" s="1">
        <f t="shared" si="8"/>
        <v>2</v>
      </c>
      <c r="AK11" s="1">
        <f t="shared" si="8"/>
        <v>2</v>
      </c>
      <c r="AL11" s="25">
        <f t="shared" si="8"/>
        <v>0.26400000000000001</v>
      </c>
      <c r="AM11" s="1">
        <f t="shared" si="8"/>
        <v>0.31</v>
      </c>
      <c r="AN11" s="1">
        <f t="shared" si="8"/>
        <v>0.437</v>
      </c>
      <c r="AO11" s="1">
        <f t="shared" si="8"/>
        <v>0.747</v>
      </c>
      <c r="AP11" s="1"/>
    </row>
    <row r="12" spans="1:42" x14ac:dyDescent="0.3">
      <c r="A12" t="s">
        <v>1529</v>
      </c>
      <c r="W12" t="str">
        <f ca="1">OFFSET($A66,1,0)</f>
        <v>BrysonB StottStott</v>
      </c>
      <c r="X12" s="1" t="str">
        <f ca="1">OFFSET($A66,2,0)</f>
        <v>2B</v>
      </c>
      <c r="Y12" s="1" t="str">
        <f>B66</f>
        <v>PHI</v>
      </c>
      <c r="Z12" s="1">
        <f>C66</f>
        <v>47</v>
      </c>
      <c r="AA12" s="1">
        <f>D66</f>
        <v>196</v>
      </c>
      <c r="AB12" s="1">
        <f>E66</f>
        <v>19</v>
      </c>
      <c r="AC12" s="1">
        <f>F66</f>
        <v>57</v>
      </c>
      <c r="AD12" s="1">
        <f t="shared" ref="AD12:AO12" si="9">G66</f>
        <v>8</v>
      </c>
      <c r="AE12" s="1">
        <f t="shared" si="9"/>
        <v>0</v>
      </c>
      <c r="AF12" s="1">
        <f t="shared" si="9"/>
        <v>5</v>
      </c>
      <c r="AG12" s="1">
        <f t="shared" si="9"/>
        <v>19</v>
      </c>
      <c r="AH12" s="1">
        <f t="shared" si="9"/>
        <v>10</v>
      </c>
      <c r="AI12" s="1">
        <f t="shared" si="9"/>
        <v>34</v>
      </c>
      <c r="AJ12" s="1">
        <f t="shared" si="9"/>
        <v>5</v>
      </c>
      <c r="AK12" s="1">
        <f t="shared" si="9"/>
        <v>1</v>
      </c>
      <c r="AL12" s="25">
        <f t="shared" si="9"/>
        <v>0.29099999999999998</v>
      </c>
      <c r="AM12" s="1">
        <f t="shared" si="9"/>
        <v>0.32500000000000001</v>
      </c>
      <c r="AN12" s="1">
        <f t="shared" si="9"/>
        <v>0.40799999999999997</v>
      </c>
      <c r="AO12" s="1">
        <f t="shared" si="9"/>
        <v>0.73299999999999998</v>
      </c>
      <c r="AP12" s="1"/>
    </row>
    <row r="13" spans="1:42" x14ac:dyDescent="0.3">
      <c r="A13">
        <v>2</v>
      </c>
      <c r="W13" t="str">
        <f ca="1">OFFSET($A73,1,0)</f>
        <v>FranciscoF LindorLindor</v>
      </c>
      <c r="X13" s="1" t="str">
        <f ca="1">OFFSET($A73,2,0)</f>
        <v>SS</v>
      </c>
      <c r="Y13" s="1" t="str">
        <f>B73</f>
        <v>NYM</v>
      </c>
      <c r="Z13" s="1">
        <f>C73</f>
        <v>50</v>
      </c>
      <c r="AA13" s="1">
        <f>D73</f>
        <v>194</v>
      </c>
      <c r="AB13" s="1">
        <f>E73</f>
        <v>29</v>
      </c>
      <c r="AC13" s="1">
        <f>F73</f>
        <v>44</v>
      </c>
      <c r="AD13" s="1">
        <f t="shared" ref="AD13:AO13" si="10">G73</f>
        <v>15</v>
      </c>
      <c r="AE13" s="1">
        <f t="shared" si="10"/>
        <v>0</v>
      </c>
      <c r="AF13" s="1">
        <f t="shared" si="10"/>
        <v>7</v>
      </c>
      <c r="AG13" s="1">
        <f t="shared" si="10"/>
        <v>33</v>
      </c>
      <c r="AH13" s="1">
        <f t="shared" si="10"/>
        <v>17</v>
      </c>
      <c r="AI13" s="1">
        <f t="shared" si="10"/>
        <v>50</v>
      </c>
      <c r="AJ13" s="1">
        <f t="shared" si="10"/>
        <v>4</v>
      </c>
      <c r="AK13" s="1">
        <f t="shared" si="10"/>
        <v>1</v>
      </c>
      <c r="AL13" s="25">
        <f t="shared" si="10"/>
        <v>0.22700000000000001</v>
      </c>
      <c r="AM13" s="1">
        <f t="shared" si="10"/>
        <v>0.30399999999999999</v>
      </c>
      <c r="AN13" s="1">
        <f t="shared" si="10"/>
        <v>0.41199999999999998</v>
      </c>
      <c r="AO13" s="1">
        <f t="shared" si="10"/>
        <v>0.71599999999999997</v>
      </c>
      <c r="AP13" s="1"/>
    </row>
    <row r="14" spans="1:42" x14ac:dyDescent="0.3">
      <c r="A14" t="s">
        <v>1548</v>
      </c>
      <c r="W14" t="str">
        <f ca="1">OFFSET($A80,1,0)</f>
        <v>JulioJ RodríguezRodriguez</v>
      </c>
      <c r="X14" s="1" t="str">
        <f ca="1">OFFSET($A80,2,0)</f>
        <v>CF</v>
      </c>
      <c r="Y14" s="1" t="str">
        <f>B80</f>
        <v>SEA</v>
      </c>
      <c r="Z14" s="1">
        <f>C80</f>
        <v>47</v>
      </c>
      <c r="AA14" s="1">
        <f>D80</f>
        <v>194</v>
      </c>
      <c r="AB14" s="1">
        <f>E80</f>
        <v>32</v>
      </c>
      <c r="AC14" s="1">
        <f>F80</f>
        <v>43</v>
      </c>
      <c r="AD14" s="1">
        <f t="shared" ref="AD14:AO14" si="11">G80</f>
        <v>10</v>
      </c>
      <c r="AE14" s="1">
        <f t="shared" si="11"/>
        <v>1</v>
      </c>
      <c r="AF14" s="1">
        <f t="shared" si="11"/>
        <v>7</v>
      </c>
      <c r="AG14" s="1">
        <f t="shared" si="11"/>
        <v>23</v>
      </c>
      <c r="AH14" s="1">
        <f t="shared" si="11"/>
        <v>17</v>
      </c>
      <c r="AI14" s="1">
        <f t="shared" si="11"/>
        <v>60</v>
      </c>
      <c r="AJ14" s="1">
        <f t="shared" si="11"/>
        <v>8</v>
      </c>
      <c r="AK14" s="1">
        <f t="shared" si="11"/>
        <v>4</v>
      </c>
      <c r="AL14" s="25">
        <f t="shared" si="11"/>
        <v>0.222</v>
      </c>
      <c r="AM14" s="1">
        <f t="shared" si="11"/>
        <v>0.29399999999999998</v>
      </c>
      <c r="AN14" s="1">
        <f t="shared" si="11"/>
        <v>0.39200000000000002</v>
      </c>
      <c r="AO14" s="1">
        <f t="shared" si="11"/>
        <v>0.68600000000000005</v>
      </c>
      <c r="AP14" s="1"/>
    </row>
    <row r="15" spans="1:42" x14ac:dyDescent="0.3">
      <c r="A15" t="s">
        <v>1548</v>
      </c>
      <c r="W15" t="str">
        <f ca="1">OFFSET($A87,1,0)</f>
        <v>RafaelR DeversDevers</v>
      </c>
      <c r="X15" s="1" t="str">
        <f ca="1">OFFSET($A87,2,0)</f>
        <v>3B</v>
      </c>
      <c r="Y15" s="1" t="str">
        <f>B87</f>
        <v>BOS</v>
      </c>
      <c r="Z15" s="1">
        <f>C87</f>
        <v>49</v>
      </c>
      <c r="AA15" s="1">
        <f>D87</f>
        <v>193</v>
      </c>
      <c r="AB15" s="1">
        <f>E87</f>
        <v>27</v>
      </c>
      <c r="AC15" s="1">
        <f>F87</f>
        <v>48</v>
      </c>
      <c r="AD15" s="1">
        <f t="shared" ref="AD15:AO15" si="12">G87</f>
        <v>12</v>
      </c>
      <c r="AE15" s="1">
        <f t="shared" si="12"/>
        <v>0</v>
      </c>
      <c r="AF15" s="1">
        <f t="shared" si="12"/>
        <v>13</v>
      </c>
      <c r="AG15" s="1">
        <f t="shared" si="12"/>
        <v>44</v>
      </c>
      <c r="AH15" s="1">
        <f t="shared" si="12"/>
        <v>10</v>
      </c>
      <c r="AI15" s="1">
        <f t="shared" si="12"/>
        <v>43</v>
      </c>
      <c r="AJ15" s="1">
        <f t="shared" si="12"/>
        <v>0</v>
      </c>
      <c r="AK15" s="1">
        <f t="shared" si="12"/>
        <v>1</v>
      </c>
      <c r="AL15" s="25">
        <f t="shared" si="12"/>
        <v>0.249</v>
      </c>
      <c r="AM15" s="1">
        <f t="shared" si="12"/>
        <v>0.28999999999999998</v>
      </c>
      <c r="AN15" s="1">
        <f t="shared" si="12"/>
        <v>0.51300000000000001</v>
      </c>
      <c r="AO15" s="1">
        <f t="shared" si="12"/>
        <v>0.80300000000000005</v>
      </c>
      <c r="AP15" s="1"/>
    </row>
    <row r="16" spans="1:42" x14ac:dyDescent="0.3">
      <c r="A16" t="s">
        <v>1548</v>
      </c>
      <c r="W16" t="str">
        <f ca="1">OFFSET($A94,1,0)</f>
        <v>NathanielN LoweLowe</v>
      </c>
      <c r="X16" s="1" t="str">
        <f ca="1">OFFSET($A94,2,0)</f>
        <v>1B</v>
      </c>
      <c r="Y16" s="1" t="str">
        <f>B94</f>
        <v>TEX</v>
      </c>
      <c r="Z16" s="1">
        <f>C94</f>
        <v>49</v>
      </c>
      <c r="AA16" s="1">
        <f>D94</f>
        <v>193</v>
      </c>
      <c r="AB16" s="1">
        <f>E94</f>
        <v>37</v>
      </c>
      <c r="AC16" s="1">
        <f>F94</f>
        <v>56</v>
      </c>
      <c r="AD16" s="1">
        <f t="shared" ref="AD16:AO16" si="13">G94</f>
        <v>16</v>
      </c>
      <c r="AE16" s="1">
        <f t="shared" si="13"/>
        <v>1</v>
      </c>
      <c r="AF16" s="1">
        <f t="shared" si="13"/>
        <v>5</v>
      </c>
      <c r="AG16" s="1">
        <f t="shared" si="13"/>
        <v>29</v>
      </c>
      <c r="AH16" s="1">
        <f t="shared" si="13"/>
        <v>24</v>
      </c>
      <c r="AI16" s="1">
        <f t="shared" si="13"/>
        <v>44</v>
      </c>
      <c r="AJ16" s="1">
        <f t="shared" si="13"/>
        <v>0</v>
      </c>
      <c r="AK16" s="1">
        <f t="shared" si="13"/>
        <v>0</v>
      </c>
      <c r="AL16" s="25">
        <f t="shared" si="13"/>
        <v>0.28999999999999998</v>
      </c>
      <c r="AM16" s="1">
        <f t="shared" si="13"/>
        <v>0.37</v>
      </c>
      <c r="AN16" s="1">
        <f t="shared" si="13"/>
        <v>0.46100000000000002</v>
      </c>
      <c r="AO16" s="1">
        <f t="shared" si="13"/>
        <v>0.83099999999999996</v>
      </c>
      <c r="AP16" s="1"/>
    </row>
    <row r="17" spans="1:42" x14ac:dyDescent="0.3">
      <c r="A17">
        <v>3</v>
      </c>
      <c r="B17" t="s">
        <v>311</v>
      </c>
      <c r="C17">
        <v>48</v>
      </c>
      <c r="D17">
        <v>204</v>
      </c>
      <c r="E17">
        <v>25</v>
      </c>
      <c r="F17">
        <v>51</v>
      </c>
      <c r="G17">
        <v>10</v>
      </c>
      <c r="H17">
        <v>2</v>
      </c>
      <c r="I17">
        <v>5</v>
      </c>
      <c r="J17">
        <v>13</v>
      </c>
      <c r="K17">
        <v>13</v>
      </c>
      <c r="L17">
        <v>58</v>
      </c>
      <c r="M17">
        <v>6</v>
      </c>
      <c r="N17">
        <v>0</v>
      </c>
      <c r="O17">
        <v>0.25</v>
      </c>
      <c r="P17">
        <v>0.29499999999999998</v>
      </c>
      <c r="Q17">
        <v>0.39200000000000002</v>
      </c>
      <c r="R17">
        <v>0.68700000000000006</v>
      </c>
      <c r="S17">
        <v>0.38300000000000001</v>
      </c>
      <c r="T17">
        <v>0.52400000000000002</v>
      </c>
      <c r="U17">
        <v>0.90700000000000003</v>
      </c>
      <c r="W17" t="str">
        <f ca="1">OFFSET($A101,1,0)</f>
        <v>JoeyJ MenesesMeneses</v>
      </c>
      <c r="X17" s="1" t="str">
        <f ca="1">OFFSET($A101,2,0)</f>
        <v>DH</v>
      </c>
      <c r="Y17" s="1" t="str">
        <f>B101</f>
        <v>WSH</v>
      </c>
      <c r="Z17" s="1">
        <f>C101</f>
        <v>46</v>
      </c>
      <c r="AA17" s="1">
        <f>D101</f>
        <v>193</v>
      </c>
      <c r="AB17" s="1">
        <f>E101</f>
        <v>17</v>
      </c>
      <c r="AC17" s="1">
        <f>F101</f>
        <v>57</v>
      </c>
      <c r="AD17" s="1">
        <f t="shared" ref="AD17:AO17" si="14">G101</f>
        <v>12</v>
      </c>
      <c r="AE17" s="1">
        <f t="shared" si="14"/>
        <v>0</v>
      </c>
      <c r="AF17" s="1">
        <f t="shared" si="14"/>
        <v>2</v>
      </c>
      <c r="AG17" s="1">
        <f t="shared" si="14"/>
        <v>24</v>
      </c>
      <c r="AH17" s="1">
        <f t="shared" si="14"/>
        <v>9</v>
      </c>
      <c r="AI17" s="1">
        <f t="shared" si="14"/>
        <v>42</v>
      </c>
      <c r="AJ17" s="1">
        <f t="shared" si="14"/>
        <v>0</v>
      </c>
      <c r="AK17" s="1">
        <f t="shared" si="14"/>
        <v>0</v>
      </c>
      <c r="AL17" s="25">
        <f t="shared" si="14"/>
        <v>0.29499999999999998</v>
      </c>
      <c r="AM17" s="1">
        <f t="shared" si="14"/>
        <v>0.32700000000000001</v>
      </c>
      <c r="AN17" s="1">
        <f t="shared" si="14"/>
        <v>0.38900000000000001</v>
      </c>
      <c r="AO17" s="1">
        <f t="shared" si="14"/>
        <v>0.71599999999999997</v>
      </c>
      <c r="AP17" s="1"/>
    </row>
    <row r="18" spans="1:42" x14ac:dyDescent="0.3">
      <c r="A18" t="s">
        <v>1549</v>
      </c>
      <c r="W18" t="str">
        <f ca="1">OFFSET($A108,1,0)</f>
        <v>PaulP GoldschmidtGoldschmidt</v>
      </c>
      <c r="X18" s="1" t="str">
        <f ca="1">OFFSET($A108,2,0)</f>
        <v>1B</v>
      </c>
      <c r="Y18" s="1" t="str">
        <f>B108</f>
        <v>STL</v>
      </c>
      <c r="Z18" s="1">
        <f>C108</f>
        <v>50</v>
      </c>
      <c r="AA18" s="1">
        <f>D108</f>
        <v>192</v>
      </c>
      <c r="AB18" s="1">
        <f>E108</f>
        <v>36</v>
      </c>
      <c r="AC18" s="1">
        <f>F108</f>
        <v>56</v>
      </c>
      <c r="AD18" s="1">
        <f t="shared" ref="AD18:AO18" si="15">G108</f>
        <v>16</v>
      </c>
      <c r="AE18" s="1">
        <f t="shared" si="15"/>
        <v>0</v>
      </c>
      <c r="AF18" s="1">
        <f t="shared" si="15"/>
        <v>9</v>
      </c>
      <c r="AG18" s="1">
        <f t="shared" si="15"/>
        <v>25</v>
      </c>
      <c r="AH18" s="1">
        <f t="shared" si="15"/>
        <v>33</v>
      </c>
      <c r="AI18" s="1">
        <f t="shared" si="15"/>
        <v>46</v>
      </c>
      <c r="AJ18" s="1">
        <f t="shared" si="15"/>
        <v>7</v>
      </c>
      <c r="AK18" s="1">
        <f t="shared" si="15"/>
        <v>0</v>
      </c>
      <c r="AL18" s="25">
        <f t="shared" si="15"/>
        <v>0.29199999999999998</v>
      </c>
      <c r="AM18" s="1">
        <f t="shared" si="15"/>
        <v>0.40100000000000002</v>
      </c>
      <c r="AN18" s="1">
        <f t="shared" si="15"/>
        <v>0.51600000000000001</v>
      </c>
      <c r="AO18" s="1">
        <f t="shared" si="15"/>
        <v>0.91700000000000004</v>
      </c>
      <c r="AP18" s="1"/>
    </row>
    <row r="19" spans="1:42" x14ac:dyDescent="0.3">
      <c r="A19" t="s">
        <v>1529</v>
      </c>
      <c r="W19" t="str">
        <f ca="1">OFFSET($A115,1,0)</f>
        <v>GeorgeG SpringerSpringer</v>
      </c>
      <c r="X19" s="1" t="str">
        <f ca="1">OFFSET($A115,2,0)</f>
        <v>RF</v>
      </c>
      <c r="Y19" s="1" t="str">
        <f>B115</f>
        <v>TOR</v>
      </c>
      <c r="Z19" s="1">
        <f>C115</f>
        <v>49</v>
      </c>
      <c r="AA19" s="1">
        <f>D115</f>
        <v>192</v>
      </c>
      <c r="AB19" s="1">
        <f>E115</f>
        <v>27</v>
      </c>
      <c r="AC19" s="1">
        <f>F115</f>
        <v>48</v>
      </c>
      <c r="AD19" s="1">
        <f t="shared" ref="AD19:AO19" si="16">G115</f>
        <v>2</v>
      </c>
      <c r="AE19" s="1">
        <f t="shared" si="16"/>
        <v>1</v>
      </c>
      <c r="AF19" s="1">
        <f t="shared" si="16"/>
        <v>7</v>
      </c>
      <c r="AG19" s="1">
        <f t="shared" si="16"/>
        <v>22</v>
      </c>
      <c r="AH19" s="1">
        <f t="shared" si="16"/>
        <v>19</v>
      </c>
      <c r="AI19" s="1">
        <f t="shared" si="16"/>
        <v>32</v>
      </c>
      <c r="AJ19" s="1">
        <f t="shared" si="16"/>
        <v>8</v>
      </c>
      <c r="AK19" s="1">
        <f t="shared" si="16"/>
        <v>1</v>
      </c>
      <c r="AL19" s="25">
        <f t="shared" si="16"/>
        <v>0.25</v>
      </c>
      <c r="AM19" s="1">
        <f t="shared" si="16"/>
        <v>0.32100000000000001</v>
      </c>
      <c r="AN19" s="1">
        <f t="shared" si="16"/>
        <v>0.38</v>
      </c>
      <c r="AO19" s="1">
        <f t="shared" si="16"/>
        <v>0.70099999999999996</v>
      </c>
      <c r="AP19" s="1"/>
    </row>
    <row r="20" spans="1:42" x14ac:dyDescent="0.3">
      <c r="A20">
        <v>3</v>
      </c>
      <c r="W20" t="str">
        <f ca="1">OFFSET($A122,1,0)</f>
        <v>RonaldR AcuñaAcuna</v>
      </c>
      <c r="X20" s="1" t="str">
        <f ca="1">OFFSET($A122,2,0)</f>
        <v>RF</v>
      </c>
      <c r="Y20" s="1" t="str">
        <f>B122</f>
        <v>ATL</v>
      </c>
      <c r="Z20" s="1">
        <f>C122</f>
        <v>49</v>
      </c>
      <c r="AA20" s="1">
        <f>D122</f>
        <v>191</v>
      </c>
      <c r="AB20" s="1">
        <f>E122</f>
        <v>46</v>
      </c>
      <c r="AC20" s="1">
        <f>F122</f>
        <v>63</v>
      </c>
      <c r="AD20" s="1">
        <f t="shared" ref="AD20:AO20" si="17">G122</f>
        <v>14</v>
      </c>
      <c r="AE20" s="1">
        <f t="shared" si="17"/>
        <v>0</v>
      </c>
      <c r="AF20" s="1">
        <f t="shared" si="17"/>
        <v>11</v>
      </c>
      <c r="AG20" s="1">
        <f t="shared" si="17"/>
        <v>27</v>
      </c>
      <c r="AH20" s="1">
        <f t="shared" si="17"/>
        <v>28</v>
      </c>
      <c r="AI20" s="1">
        <f t="shared" si="17"/>
        <v>32</v>
      </c>
      <c r="AJ20" s="1">
        <f t="shared" si="17"/>
        <v>20</v>
      </c>
      <c r="AK20" s="1">
        <f t="shared" si="17"/>
        <v>2</v>
      </c>
      <c r="AL20" s="25">
        <f t="shared" si="17"/>
        <v>0.33</v>
      </c>
      <c r="AM20" s="1">
        <f t="shared" si="17"/>
        <v>0.41899999999999998</v>
      </c>
      <c r="AN20" s="1">
        <f t="shared" si="17"/>
        <v>0.57599999999999996</v>
      </c>
      <c r="AO20" s="1">
        <f t="shared" si="17"/>
        <v>0.995</v>
      </c>
      <c r="AP20" s="1"/>
    </row>
    <row r="21" spans="1:42" x14ac:dyDescent="0.3">
      <c r="A21" t="s">
        <v>1548</v>
      </c>
      <c r="W21" t="str">
        <f ca="1">OFFSET($A129,1,0)</f>
        <v>TeoscarT HernándezHernandez</v>
      </c>
      <c r="X21" s="1" t="str">
        <f ca="1">OFFSET($A129,2,0)</f>
        <v>RF</v>
      </c>
      <c r="Y21" s="1" t="str">
        <f>B129</f>
        <v>SEA</v>
      </c>
      <c r="Z21" s="1">
        <f>C129</f>
        <v>49</v>
      </c>
      <c r="AA21" s="1">
        <f>D129</f>
        <v>191</v>
      </c>
      <c r="AB21" s="1">
        <f>E129</f>
        <v>21</v>
      </c>
      <c r="AC21" s="1">
        <f>F129</f>
        <v>45</v>
      </c>
      <c r="AD21" s="1">
        <f t="shared" ref="AD21:AO21" si="18">G129</f>
        <v>5</v>
      </c>
      <c r="AE21" s="1">
        <f t="shared" si="18"/>
        <v>1</v>
      </c>
      <c r="AF21" s="1">
        <f t="shared" si="18"/>
        <v>9</v>
      </c>
      <c r="AG21" s="1">
        <f t="shared" si="18"/>
        <v>25</v>
      </c>
      <c r="AH21" s="1">
        <f t="shared" si="18"/>
        <v>7</v>
      </c>
      <c r="AI21" s="1">
        <f t="shared" si="18"/>
        <v>71</v>
      </c>
      <c r="AJ21" s="1">
        <f t="shared" si="18"/>
        <v>2</v>
      </c>
      <c r="AK21" s="1">
        <f t="shared" si="18"/>
        <v>1</v>
      </c>
      <c r="AL21" s="25">
        <f t="shared" si="18"/>
        <v>0.23599999999999999</v>
      </c>
      <c r="AM21" s="1">
        <f t="shared" si="18"/>
        <v>0.27500000000000002</v>
      </c>
      <c r="AN21" s="1">
        <f t="shared" si="18"/>
        <v>0.41399999999999998</v>
      </c>
      <c r="AO21" s="1">
        <f t="shared" si="18"/>
        <v>0.68899999999999995</v>
      </c>
      <c r="AP21" s="1"/>
    </row>
    <row r="22" spans="1:42" x14ac:dyDescent="0.3">
      <c r="A22" t="s">
        <v>1548</v>
      </c>
      <c r="W22" t="str">
        <f ca="1">OFFSET($A136,1,0)</f>
        <v>HunterH RenfroeRenfroe</v>
      </c>
      <c r="X22" s="1" t="str">
        <f ca="1">OFFSET($A136,2,0)</f>
        <v>RF</v>
      </c>
      <c r="Y22" s="1" t="str">
        <f>B136</f>
        <v>LAA</v>
      </c>
      <c r="Z22" s="1">
        <f>C136</f>
        <v>49</v>
      </c>
      <c r="AA22" s="1">
        <f>D136</f>
        <v>191</v>
      </c>
      <c r="AB22" s="1">
        <f>E136</f>
        <v>30</v>
      </c>
      <c r="AC22" s="1">
        <f>F136</f>
        <v>49</v>
      </c>
      <c r="AD22" s="1">
        <f t="shared" ref="AD22:AO22" si="19">G136</f>
        <v>10</v>
      </c>
      <c r="AE22" s="1">
        <f t="shared" si="19"/>
        <v>0</v>
      </c>
      <c r="AF22" s="1">
        <f t="shared" si="19"/>
        <v>10</v>
      </c>
      <c r="AG22" s="1">
        <f t="shared" si="19"/>
        <v>29</v>
      </c>
      <c r="AH22" s="1">
        <f t="shared" si="19"/>
        <v>16</v>
      </c>
      <c r="AI22" s="1">
        <f t="shared" si="19"/>
        <v>44</v>
      </c>
      <c r="AJ22" s="1">
        <f t="shared" si="19"/>
        <v>0</v>
      </c>
      <c r="AK22" s="1">
        <f t="shared" si="19"/>
        <v>0</v>
      </c>
      <c r="AL22" s="25">
        <f t="shared" si="19"/>
        <v>0.25700000000000001</v>
      </c>
      <c r="AM22" s="1">
        <f t="shared" si="19"/>
        <v>0.311</v>
      </c>
      <c r="AN22" s="1">
        <f t="shared" si="19"/>
        <v>0.46600000000000003</v>
      </c>
      <c r="AO22" s="1">
        <f t="shared" si="19"/>
        <v>0.77700000000000002</v>
      </c>
      <c r="AP22" s="1"/>
    </row>
    <row r="23" spans="1:42" x14ac:dyDescent="0.3">
      <c r="A23" t="s">
        <v>1548</v>
      </c>
      <c r="W23" t="str">
        <f ca="1">OFFSET($A143,1,0)</f>
        <v>NickN CastellanosCastellanos</v>
      </c>
      <c r="X23" s="1" t="str">
        <f ca="1">OFFSET($A143,2,0)</f>
        <v>RF</v>
      </c>
      <c r="Y23" s="1" t="str">
        <f>B143</f>
        <v>PHI</v>
      </c>
      <c r="Z23" s="1">
        <f>C143</f>
        <v>49</v>
      </c>
      <c r="AA23" s="1">
        <f>D143</f>
        <v>190</v>
      </c>
      <c r="AB23" s="1">
        <f>E143</f>
        <v>33</v>
      </c>
      <c r="AC23" s="1">
        <f>F143</f>
        <v>55</v>
      </c>
      <c r="AD23" s="1">
        <f t="shared" ref="AD23:AO23" si="20">G143</f>
        <v>16</v>
      </c>
      <c r="AE23" s="1">
        <f t="shared" si="20"/>
        <v>0</v>
      </c>
      <c r="AF23" s="1">
        <f t="shared" si="20"/>
        <v>5</v>
      </c>
      <c r="AG23" s="1">
        <f t="shared" si="20"/>
        <v>26</v>
      </c>
      <c r="AH23" s="1">
        <f t="shared" si="20"/>
        <v>15</v>
      </c>
      <c r="AI23" s="1">
        <f t="shared" si="20"/>
        <v>54</v>
      </c>
      <c r="AJ23" s="1">
        <f t="shared" si="20"/>
        <v>2</v>
      </c>
      <c r="AK23" s="1">
        <f t="shared" si="20"/>
        <v>2</v>
      </c>
      <c r="AL23" s="25">
        <f t="shared" si="20"/>
        <v>0.28899999999999998</v>
      </c>
      <c r="AM23" s="1">
        <f t="shared" si="20"/>
        <v>0.34</v>
      </c>
      <c r="AN23" s="1">
        <f t="shared" si="20"/>
        <v>0.45300000000000001</v>
      </c>
      <c r="AO23" s="1">
        <f t="shared" si="20"/>
        <v>0.79300000000000004</v>
      </c>
      <c r="AP23" s="1"/>
    </row>
    <row r="24" spans="1:42" x14ac:dyDescent="0.3">
      <c r="A24">
        <v>4</v>
      </c>
      <c r="B24" t="s">
        <v>226</v>
      </c>
      <c r="C24">
        <v>51</v>
      </c>
      <c r="D24">
        <v>203</v>
      </c>
      <c r="E24">
        <v>42</v>
      </c>
      <c r="F24">
        <v>66</v>
      </c>
      <c r="G24">
        <v>18</v>
      </c>
      <c r="H24">
        <v>1</v>
      </c>
      <c r="I24">
        <v>9</v>
      </c>
      <c r="J24">
        <v>31</v>
      </c>
      <c r="K24">
        <v>24</v>
      </c>
      <c r="L24">
        <v>38</v>
      </c>
      <c r="M24">
        <v>6</v>
      </c>
      <c r="N24">
        <v>1</v>
      </c>
      <c r="O24">
        <v>0.32500000000000001</v>
      </c>
      <c r="P24">
        <v>0.39900000000000002</v>
      </c>
      <c r="Q24">
        <v>0.55700000000000005</v>
      </c>
      <c r="R24">
        <v>0.95599999999999996</v>
      </c>
      <c r="S24">
        <v>0.35299999999999998</v>
      </c>
      <c r="T24">
        <v>0.47899999999999998</v>
      </c>
      <c r="U24">
        <v>0.83199999999999996</v>
      </c>
      <c r="W24" t="str">
        <f ca="1">OFFSET($A150,1,0)</f>
        <v>MattM ChapmanChapman</v>
      </c>
      <c r="X24" s="1" t="str">
        <f ca="1">OFFSET($A150,2,0)</f>
        <v>3B</v>
      </c>
      <c r="Y24" s="1" t="str">
        <f>B150</f>
        <v>TOR</v>
      </c>
      <c r="Z24" s="1">
        <f>C150</f>
        <v>50</v>
      </c>
      <c r="AA24" s="1">
        <f>D150</f>
        <v>190</v>
      </c>
      <c r="AB24" s="1">
        <f>E150</f>
        <v>26</v>
      </c>
      <c r="AC24" s="1">
        <f>F150</f>
        <v>56</v>
      </c>
      <c r="AD24" s="1">
        <f t="shared" ref="AD24:AO24" si="21">G150</f>
        <v>19</v>
      </c>
      <c r="AE24" s="1">
        <f t="shared" si="21"/>
        <v>0</v>
      </c>
      <c r="AF24" s="1">
        <f t="shared" si="21"/>
        <v>7</v>
      </c>
      <c r="AG24" s="1">
        <f t="shared" si="21"/>
        <v>27</v>
      </c>
      <c r="AH24" s="1">
        <f t="shared" si="21"/>
        <v>22</v>
      </c>
      <c r="AI24" s="1">
        <f t="shared" si="21"/>
        <v>55</v>
      </c>
      <c r="AJ24" s="1">
        <f t="shared" si="21"/>
        <v>2</v>
      </c>
      <c r="AK24" s="1">
        <f t="shared" si="21"/>
        <v>2</v>
      </c>
      <c r="AL24" s="25">
        <f t="shared" si="21"/>
        <v>0.29499999999999998</v>
      </c>
      <c r="AM24" s="1">
        <f t="shared" si="21"/>
        <v>0.372</v>
      </c>
      <c r="AN24" s="1">
        <f t="shared" si="21"/>
        <v>0.505</v>
      </c>
      <c r="AO24" s="1">
        <f t="shared" si="21"/>
        <v>0.877</v>
      </c>
      <c r="AP24" s="1"/>
    </row>
    <row r="25" spans="1:42" x14ac:dyDescent="0.3">
      <c r="A25" t="s">
        <v>3044</v>
      </c>
      <c r="W25" t="str">
        <f ca="1">OFFSET($A157,1,0)</f>
        <v>BrandonB NimmoNimmo</v>
      </c>
      <c r="X25" s="1" t="str">
        <f ca="1">OFFSET($A157,2,0)</f>
        <v>CF</v>
      </c>
      <c r="Y25" s="1" t="str">
        <f>B157</f>
        <v>NYM</v>
      </c>
      <c r="Z25" s="1">
        <f>C157</f>
        <v>49</v>
      </c>
      <c r="AA25" s="1">
        <f>D157</f>
        <v>190</v>
      </c>
      <c r="AB25" s="1">
        <f>E157</f>
        <v>27</v>
      </c>
      <c r="AC25" s="1">
        <f>F157</f>
        <v>56</v>
      </c>
      <c r="AD25" s="1">
        <f t="shared" ref="AD25:AO25" si="22">G157</f>
        <v>10</v>
      </c>
      <c r="AE25" s="1">
        <f t="shared" si="22"/>
        <v>1</v>
      </c>
      <c r="AF25" s="1">
        <f t="shared" si="22"/>
        <v>4</v>
      </c>
      <c r="AG25" s="1">
        <f t="shared" si="22"/>
        <v>19</v>
      </c>
      <c r="AH25" s="1">
        <f t="shared" si="22"/>
        <v>22</v>
      </c>
      <c r="AI25" s="1">
        <f t="shared" si="22"/>
        <v>42</v>
      </c>
      <c r="AJ25" s="1">
        <f t="shared" si="22"/>
        <v>3</v>
      </c>
      <c r="AK25" s="1">
        <f t="shared" si="22"/>
        <v>1</v>
      </c>
      <c r="AL25" s="25">
        <f t="shared" si="22"/>
        <v>0.29499999999999998</v>
      </c>
      <c r="AM25" s="1">
        <f t="shared" si="22"/>
        <v>0.374</v>
      </c>
      <c r="AN25" s="1">
        <f t="shared" si="22"/>
        <v>0.42099999999999999</v>
      </c>
      <c r="AO25" s="1">
        <f t="shared" si="22"/>
        <v>0.79500000000000004</v>
      </c>
      <c r="AP25" s="1"/>
    </row>
    <row r="26" spans="1:42" x14ac:dyDescent="0.3">
      <c r="A26" t="s">
        <v>1527</v>
      </c>
      <c r="W26" t="str">
        <f ca="1">OFFSET($A164,1,0)</f>
        <v>JeremyJ PeñaPena</v>
      </c>
      <c r="X26" s="1" t="str">
        <f ca="1">OFFSET($A164,2,0)</f>
        <v>SS</v>
      </c>
      <c r="Y26" s="1" t="str">
        <f>B164</f>
        <v>HOU</v>
      </c>
      <c r="Z26" s="1">
        <f>C164</f>
        <v>49</v>
      </c>
      <c r="AA26" s="1">
        <f>D164</f>
        <v>190</v>
      </c>
      <c r="AB26" s="1">
        <f>E164</f>
        <v>25</v>
      </c>
      <c r="AC26" s="1">
        <f>F164</f>
        <v>46</v>
      </c>
      <c r="AD26" s="1">
        <f t="shared" ref="AD26:AO26" si="23">G164</f>
        <v>11</v>
      </c>
      <c r="AE26" s="1">
        <f t="shared" si="23"/>
        <v>1</v>
      </c>
      <c r="AF26" s="1">
        <f t="shared" si="23"/>
        <v>6</v>
      </c>
      <c r="AG26" s="1">
        <f t="shared" si="23"/>
        <v>22</v>
      </c>
      <c r="AH26" s="1">
        <f t="shared" si="23"/>
        <v>7</v>
      </c>
      <c r="AI26" s="1">
        <f t="shared" si="23"/>
        <v>48</v>
      </c>
      <c r="AJ26" s="1">
        <f t="shared" si="23"/>
        <v>6</v>
      </c>
      <c r="AK26" s="1">
        <f t="shared" si="23"/>
        <v>5</v>
      </c>
      <c r="AL26" s="25">
        <f t="shared" si="23"/>
        <v>0.24199999999999999</v>
      </c>
      <c r="AM26" s="1">
        <f t="shared" si="23"/>
        <v>0.28599999999999998</v>
      </c>
      <c r="AN26" s="1">
        <f t="shared" si="23"/>
        <v>0.40500000000000003</v>
      </c>
      <c r="AO26" s="1">
        <f t="shared" si="23"/>
        <v>0.69099999999999995</v>
      </c>
      <c r="AP26" s="1"/>
    </row>
    <row r="27" spans="1:42" x14ac:dyDescent="0.3">
      <c r="A27">
        <v>4</v>
      </c>
      <c r="W27" t="str">
        <f ca="1">OFFSET($A171,1,0)</f>
        <v>OzzieO AlbiesAlbies</v>
      </c>
      <c r="X27" s="1" t="str">
        <f ca="1">OFFSET($A171,2,0)</f>
        <v>2B</v>
      </c>
      <c r="Y27" s="1" t="str">
        <f>B171</f>
        <v>ATL</v>
      </c>
      <c r="Z27" s="1">
        <f>C171</f>
        <v>49</v>
      </c>
      <c r="AA27" s="1">
        <f>D171</f>
        <v>189</v>
      </c>
      <c r="AB27" s="1">
        <f>E171</f>
        <v>21</v>
      </c>
      <c r="AC27" s="1">
        <f>F171</f>
        <v>48</v>
      </c>
      <c r="AD27" s="1">
        <f t="shared" ref="AD27:AO27" si="24">G171</f>
        <v>10</v>
      </c>
      <c r="AE27" s="1">
        <f t="shared" si="24"/>
        <v>1</v>
      </c>
      <c r="AF27" s="1">
        <f t="shared" si="24"/>
        <v>10</v>
      </c>
      <c r="AG27" s="1">
        <f t="shared" si="24"/>
        <v>32</v>
      </c>
      <c r="AH27" s="1">
        <f t="shared" si="24"/>
        <v>10</v>
      </c>
      <c r="AI27" s="1">
        <f t="shared" si="24"/>
        <v>33</v>
      </c>
      <c r="AJ27" s="1">
        <f t="shared" si="24"/>
        <v>1</v>
      </c>
      <c r="AK27" s="1">
        <f t="shared" si="24"/>
        <v>0</v>
      </c>
      <c r="AL27" s="25">
        <f t="shared" si="24"/>
        <v>0.254</v>
      </c>
      <c r="AM27" s="1">
        <f t="shared" si="24"/>
        <v>0.29899999999999999</v>
      </c>
      <c r="AN27" s="1">
        <f t="shared" si="24"/>
        <v>0.47599999999999998</v>
      </c>
      <c r="AO27" s="1">
        <f t="shared" si="24"/>
        <v>0.77500000000000002</v>
      </c>
      <c r="AP27" s="1"/>
    </row>
    <row r="28" spans="1:42" x14ac:dyDescent="0.3">
      <c r="A28" t="s">
        <v>1548</v>
      </c>
      <c r="W28" t="str">
        <f ca="1">OFFSET($A180,1,0)</f>
        <v>StevenS KwanKwan</v>
      </c>
      <c r="X28" s="1" t="str">
        <f ca="1">OFFSET($A180,2,0)</f>
        <v>LF</v>
      </c>
      <c r="Y28" s="1" t="str">
        <f>B180</f>
        <v>CLE</v>
      </c>
      <c r="Z28" s="1">
        <f>C180</f>
        <v>49</v>
      </c>
      <c r="AA28" s="1">
        <f>D180</f>
        <v>189</v>
      </c>
      <c r="AB28" s="1">
        <f>E180</f>
        <v>26</v>
      </c>
      <c r="AC28" s="1">
        <f>F180</f>
        <v>48</v>
      </c>
      <c r="AD28" s="1">
        <f t="shared" ref="AD28:AO28" si="25">G180</f>
        <v>11</v>
      </c>
      <c r="AE28" s="1">
        <f t="shared" si="25"/>
        <v>1</v>
      </c>
      <c r="AF28" s="1">
        <f t="shared" si="25"/>
        <v>1</v>
      </c>
      <c r="AG28" s="1">
        <f t="shared" si="25"/>
        <v>14</v>
      </c>
      <c r="AH28" s="1">
        <f t="shared" si="25"/>
        <v>27</v>
      </c>
      <c r="AI28" s="1">
        <f t="shared" si="25"/>
        <v>23</v>
      </c>
      <c r="AJ28" s="1">
        <f t="shared" si="25"/>
        <v>9</v>
      </c>
      <c r="AK28" s="1">
        <f t="shared" si="25"/>
        <v>1</v>
      </c>
      <c r="AL28" s="25">
        <f t="shared" si="25"/>
        <v>0.254</v>
      </c>
      <c r="AM28" s="1">
        <f t="shared" si="25"/>
        <v>0.34200000000000003</v>
      </c>
      <c r="AN28" s="1">
        <f t="shared" si="25"/>
        <v>0.33900000000000002</v>
      </c>
      <c r="AO28" s="1">
        <f t="shared" si="25"/>
        <v>0.68100000000000005</v>
      </c>
      <c r="AP28" s="1"/>
    </row>
    <row r="29" spans="1:42" x14ac:dyDescent="0.3">
      <c r="A29" t="s">
        <v>1548</v>
      </c>
      <c r="W29" t="str">
        <f ca="1">OFFSET($A187,1,0)</f>
        <v>ShoheiS OhtaniOhtani</v>
      </c>
      <c r="X29" s="1" t="str">
        <f ca="1">OFFSET($A187,2,0)</f>
        <v>DH</v>
      </c>
      <c r="Y29" s="1" t="str">
        <f>B187</f>
        <v>LAA</v>
      </c>
      <c r="Z29" s="1">
        <f>C187</f>
        <v>49</v>
      </c>
      <c r="AA29" s="1">
        <f>D187</f>
        <v>189</v>
      </c>
      <c r="AB29" s="1">
        <f>E187</f>
        <v>28</v>
      </c>
      <c r="AC29" s="1">
        <f>F187</f>
        <v>53</v>
      </c>
      <c r="AD29" s="1">
        <f t="shared" ref="AD29:AO29" si="26">G187</f>
        <v>8</v>
      </c>
      <c r="AE29" s="1">
        <f t="shared" si="26"/>
        <v>2</v>
      </c>
      <c r="AF29" s="1">
        <f t="shared" si="26"/>
        <v>12</v>
      </c>
      <c r="AG29" s="1">
        <f t="shared" si="26"/>
        <v>33</v>
      </c>
      <c r="AH29" s="1">
        <f t="shared" si="26"/>
        <v>22</v>
      </c>
      <c r="AI29" s="1">
        <f t="shared" si="26"/>
        <v>46</v>
      </c>
      <c r="AJ29" s="1">
        <f t="shared" si="26"/>
        <v>6</v>
      </c>
      <c r="AK29" s="1">
        <f t="shared" si="26"/>
        <v>3</v>
      </c>
      <c r="AL29" s="25">
        <f t="shared" si="26"/>
        <v>0.28000000000000003</v>
      </c>
      <c r="AM29" s="1">
        <f t="shared" si="26"/>
        <v>0.35399999999999998</v>
      </c>
      <c r="AN29" s="1">
        <f t="shared" si="26"/>
        <v>0.53400000000000003</v>
      </c>
      <c r="AO29" s="1">
        <f t="shared" si="26"/>
        <v>0.88800000000000001</v>
      </c>
      <c r="AP29" s="1"/>
    </row>
    <row r="30" spans="1:42" x14ac:dyDescent="0.3">
      <c r="A30" t="s">
        <v>1548</v>
      </c>
      <c r="W30" t="str">
        <f ca="1">OFFSET($A194,1,0)</f>
        <v>AnthonyA RizzoRizzo</v>
      </c>
      <c r="X30" s="1" t="str">
        <f ca="1">OFFSET($A194,2,0)</f>
        <v>1B</v>
      </c>
      <c r="Y30" s="1" t="str">
        <f>B194</f>
        <v>NYY</v>
      </c>
      <c r="Z30" s="1">
        <f>C194</f>
        <v>49</v>
      </c>
      <c r="AA30" s="1">
        <f>D194</f>
        <v>189</v>
      </c>
      <c r="AB30" s="1">
        <f>E194</f>
        <v>30</v>
      </c>
      <c r="AC30" s="1">
        <f>F194</f>
        <v>58</v>
      </c>
      <c r="AD30" s="1">
        <f t="shared" ref="AD30:AO30" si="27">G194</f>
        <v>8</v>
      </c>
      <c r="AE30" s="1">
        <f t="shared" si="27"/>
        <v>0</v>
      </c>
      <c r="AF30" s="1">
        <f t="shared" si="27"/>
        <v>11</v>
      </c>
      <c r="AG30" s="1">
        <f t="shared" si="27"/>
        <v>30</v>
      </c>
      <c r="AH30" s="1">
        <f t="shared" si="27"/>
        <v>18</v>
      </c>
      <c r="AI30" s="1">
        <f t="shared" si="27"/>
        <v>50</v>
      </c>
      <c r="AJ30" s="1">
        <f t="shared" si="27"/>
        <v>0</v>
      </c>
      <c r="AK30" s="1">
        <f t="shared" si="27"/>
        <v>2</v>
      </c>
      <c r="AL30" s="25">
        <f t="shared" si="27"/>
        <v>0.307</v>
      </c>
      <c r="AM30" s="1">
        <f t="shared" si="27"/>
        <v>0.38300000000000001</v>
      </c>
      <c r="AN30" s="1">
        <f t="shared" si="27"/>
        <v>0.52400000000000002</v>
      </c>
      <c r="AO30" s="1">
        <f t="shared" si="27"/>
        <v>0.90700000000000003</v>
      </c>
      <c r="AP30" s="1"/>
    </row>
    <row r="31" spans="1:42" x14ac:dyDescent="0.3">
      <c r="A31">
        <v>5</v>
      </c>
      <c r="B31" t="s">
        <v>278</v>
      </c>
      <c r="C31">
        <v>49</v>
      </c>
      <c r="D31">
        <v>202</v>
      </c>
      <c r="E31">
        <v>32</v>
      </c>
      <c r="F31">
        <v>48</v>
      </c>
      <c r="G31">
        <v>11</v>
      </c>
      <c r="H31">
        <v>1</v>
      </c>
      <c r="I31">
        <v>11</v>
      </c>
      <c r="J31">
        <v>36</v>
      </c>
      <c r="K31">
        <v>9</v>
      </c>
      <c r="L31">
        <v>50</v>
      </c>
      <c r="M31">
        <v>2</v>
      </c>
      <c r="N31">
        <v>0</v>
      </c>
      <c r="O31">
        <v>0.23799999999999999</v>
      </c>
      <c r="P31">
        <v>0.26900000000000002</v>
      </c>
      <c r="Q31">
        <v>0.46500000000000002</v>
      </c>
      <c r="R31">
        <v>0.73399999999999999</v>
      </c>
      <c r="S31">
        <v>0.33600000000000002</v>
      </c>
      <c r="T31">
        <v>0.42599999999999999</v>
      </c>
      <c r="U31">
        <v>0.76200000000000001</v>
      </c>
      <c r="W31" t="str">
        <f ca="1">OFFSET($A201,1,0)</f>
        <v>ThairoT EstradaEstrada</v>
      </c>
      <c r="X31" s="1" t="str">
        <f ca="1">OFFSET($A201,2,0)</f>
        <v>2B</v>
      </c>
      <c r="Y31" s="1" t="str">
        <f>B201</f>
        <v>SF</v>
      </c>
      <c r="Z31" s="1">
        <f>C201</f>
        <v>46</v>
      </c>
      <c r="AA31" s="1">
        <f>D201</f>
        <v>188</v>
      </c>
      <c r="AB31" s="1">
        <f>E201</f>
        <v>30</v>
      </c>
      <c r="AC31" s="1">
        <f>F201</f>
        <v>58</v>
      </c>
      <c r="AD31" s="1">
        <f t="shared" ref="AD31:AO31" si="28">G201</f>
        <v>12</v>
      </c>
      <c r="AE31" s="1">
        <f t="shared" si="28"/>
        <v>1</v>
      </c>
      <c r="AF31" s="1">
        <f t="shared" si="28"/>
        <v>6</v>
      </c>
      <c r="AG31" s="1">
        <f t="shared" si="28"/>
        <v>17</v>
      </c>
      <c r="AH31" s="1">
        <f t="shared" si="28"/>
        <v>9</v>
      </c>
      <c r="AI31" s="1">
        <f t="shared" si="28"/>
        <v>45</v>
      </c>
      <c r="AJ31" s="1">
        <f t="shared" si="28"/>
        <v>12</v>
      </c>
      <c r="AK31" s="1">
        <f t="shared" si="28"/>
        <v>3</v>
      </c>
      <c r="AL31" s="25">
        <f t="shared" si="28"/>
        <v>0.309</v>
      </c>
      <c r="AM31" s="1">
        <f t="shared" si="28"/>
        <v>0.35299999999999998</v>
      </c>
      <c r="AN31" s="1">
        <f t="shared" si="28"/>
        <v>0.47899999999999998</v>
      </c>
      <c r="AO31" s="1">
        <f t="shared" si="28"/>
        <v>0.83199999999999996</v>
      </c>
      <c r="AP31" s="1"/>
    </row>
    <row r="32" spans="1:42" x14ac:dyDescent="0.3">
      <c r="A32" t="s">
        <v>1556</v>
      </c>
      <c r="W32" t="str">
        <f ca="1">OFFSET($A208,1,0)</f>
        <v>AustinA RileyRiley</v>
      </c>
      <c r="X32" s="1" t="str">
        <f ca="1">OFFSET($A208,2,0)</f>
        <v>3B</v>
      </c>
      <c r="Y32" s="1" t="str">
        <f>B208</f>
        <v>ATL</v>
      </c>
      <c r="Z32" s="1">
        <f>C208</f>
        <v>49</v>
      </c>
      <c r="AA32" s="1">
        <f>D208</f>
        <v>188</v>
      </c>
      <c r="AB32" s="1">
        <f>E208</f>
        <v>28</v>
      </c>
      <c r="AC32" s="1">
        <f>F208</f>
        <v>49</v>
      </c>
      <c r="AD32" s="1">
        <f t="shared" ref="AD32:AO32" si="29">G208</f>
        <v>10</v>
      </c>
      <c r="AE32" s="1">
        <f t="shared" si="29"/>
        <v>0</v>
      </c>
      <c r="AF32" s="1">
        <f t="shared" si="29"/>
        <v>7</v>
      </c>
      <c r="AG32" s="1">
        <f t="shared" si="29"/>
        <v>23</v>
      </c>
      <c r="AH32" s="1">
        <f t="shared" si="29"/>
        <v>22</v>
      </c>
      <c r="AI32" s="1">
        <f t="shared" si="29"/>
        <v>56</v>
      </c>
      <c r="AJ32" s="1">
        <f t="shared" si="29"/>
        <v>0</v>
      </c>
      <c r="AK32" s="1">
        <f t="shared" si="29"/>
        <v>0</v>
      </c>
      <c r="AL32" s="25">
        <f t="shared" si="29"/>
        <v>0.26100000000000001</v>
      </c>
      <c r="AM32" s="1">
        <f t="shared" si="29"/>
        <v>0.33600000000000002</v>
      </c>
      <c r="AN32" s="1">
        <f t="shared" si="29"/>
        <v>0.42599999999999999</v>
      </c>
      <c r="AO32" s="1">
        <f t="shared" si="29"/>
        <v>0.76200000000000001</v>
      </c>
      <c r="AP32" s="1"/>
    </row>
    <row r="33" spans="1:42" x14ac:dyDescent="0.3">
      <c r="A33" t="s">
        <v>1527</v>
      </c>
      <c r="W33" t="str">
        <f ca="1">OFFSET($A215,1,0)</f>
        <v>AlexA BregmanBregman</v>
      </c>
      <c r="X33" s="1" t="str">
        <f ca="1">OFFSET($A215,2,0)</f>
        <v>3B</v>
      </c>
      <c r="Y33" s="1" t="str">
        <f>B215</f>
        <v>HOU</v>
      </c>
      <c r="Z33" s="1">
        <f>C215</f>
        <v>49</v>
      </c>
      <c r="AA33" s="1">
        <f>D215</f>
        <v>187</v>
      </c>
      <c r="AB33" s="1">
        <f>E215</f>
        <v>29</v>
      </c>
      <c r="AC33" s="1">
        <f>F215</f>
        <v>41</v>
      </c>
      <c r="AD33" s="1">
        <f t="shared" ref="AD33:AO33" si="30">G215</f>
        <v>6</v>
      </c>
      <c r="AE33" s="1">
        <f t="shared" si="30"/>
        <v>1</v>
      </c>
      <c r="AF33" s="1">
        <f t="shared" si="30"/>
        <v>6</v>
      </c>
      <c r="AG33" s="1">
        <f t="shared" si="30"/>
        <v>23</v>
      </c>
      <c r="AH33" s="1">
        <f t="shared" si="30"/>
        <v>28</v>
      </c>
      <c r="AI33" s="1">
        <f t="shared" si="30"/>
        <v>22</v>
      </c>
      <c r="AJ33" s="1">
        <f t="shared" si="30"/>
        <v>1</v>
      </c>
      <c r="AK33" s="1">
        <f t="shared" si="30"/>
        <v>0</v>
      </c>
      <c r="AL33" s="25">
        <f t="shared" si="30"/>
        <v>0.219</v>
      </c>
      <c r="AM33" s="1">
        <f t="shared" si="30"/>
        <v>0.32600000000000001</v>
      </c>
      <c r="AN33" s="1">
        <f t="shared" si="30"/>
        <v>0.35799999999999998</v>
      </c>
      <c r="AO33" s="1">
        <f t="shared" si="30"/>
        <v>0.68400000000000005</v>
      </c>
      <c r="AP33" s="1"/>
    </row>
    <row r="34" spans="1:42" x14ac:dyDescent="0.3">
      <c r="A34">
        <v>5</v>
      </c>
      <c r="W34" t="str">
        <f ca="1">OFFSET($A222,1,0)</f>
        <v>VladimirV Guerrero Jr.Guerrero</v>
      </c>
      <c r="X34" s="1" t="str">
        <f ca="1">OFFSET($A222,2,0)</f>
        <v>1B</v>
      </c>
      <c r="Y34" s="1" t="str">
        <f>B222</f>
        <v>TOR</v>
      </c>
      <c r="Z34" s="1">
        <f>C222</f>
        <v>48</v>
      </c>
      <c r="AA34" s="1">
        <f>D222</f>
        <v>187</v>
      </c>
      <c r="AB34" s="1">
        <f>E222</f>
        <v>26</v>
      </c>
      <c r="AC34" s="1">
        <f>F222</f>
        <v>56</v>
      </c>
      <c r="AD34" s="1">
        <f t="shared" ref="AD34:AO34" si="31">G222</f>
        <v>12</v>
      </c>
      <c r="AE34" s="1">
        <f t="shared" si="31"/>
        <v>0</v>
      </c>
      <c r="AF34" s="1">
        <f t="shared" si="31"/>
        <v>8</v>
      </c>
      <c r="AG34" s="1">
        <f t="shared" si="31"/>
        <v>34</v>
      </c>
      <c r="AH34" s="1">
        <f t="shared" si="31"/>
        <v>18</v>
      </c>
      <c r="AI34" s="1">
        <f t="shared" si="31"/>
        <v>34</v>
      </c>
      <c r="AJ34" s="1">
        <f t="shared" si="31"/>
        <v>2</v>
      </c>
      <c r="AK34" s="1">
        <f t="shared" si="31"/>
        <v>0</v>
      </c>
      <c r="AL34" s="25">
        <f t="shared" si="31"/>
        <v>0.29899999999999999</v>
      </c>
      <c r="AM34" s="1">
        <f t="shared" si="31"/>
        <v>0.36799999999999999</v>
      </c>
      <c r="AN34" s="1">
        <f t="shared" si="31"/>
        <v>0.49199999999999999</v>
      </c>
      <c r="AO34" s="1">
        <f t="shared" si="31"/>
        <v>0.86</v>
      </c>
      <c r="AP34" s="1"/>
    </row>
    <row r="35" spans="1:42" x14ac:dyDescent="0.3">
      <c r="A35" t="s">
        <v>1548</v>
      </c>
      <c r="W35" t="str">
        <f ca="1">OFFSET($A229,1,0)</f>
        <v>JonathanJ IndiaIndia</v>
      </c>
      <c r="X35" s="1" t="str">
        <f ca="1">OFFSET($A229,2,0)</f>
        <v>2B</v>
      </c>
      <c r="Y35" s="1" t="str">
        <f>B229</f>
        <v>CIN</v>
      </c>
      <c r="Z35" s="1">
        <f>C229</f>
        <v>50</v>
      </c>
      <c r="AA35" s="1">
        <f>D229</f>
        <v>187</v>
      </c>
      <c r="AB35" s="1">
        <f>E229</f>
        <v>40</v>
      </c>
      <c r="AC35" s="1">
        <f>F229</f>
        <v>54</v>
      </c>
      <c r="AD35" s="1">
        <f t="shared" ref="AD35:AO35" si="32">G229</f>
        <v>14</v>
      </c>
      <c r="AE35" s="1">
        <f t="shared" si="32"/>
        <v>0</v>
      </c>
      <c r="AF35" s="1">
        <f t="shared" si="32"/>
        <v>3</v>
      </c>
      <c r="AG35" s="1">
        <f t="shared" si="32"/>
        <v>18</v>
      </c>
      <c r="AH35" s="1">
        <f t="shared" si="32"/>
        <v>24</v>
      </c>
      <c r="AI35" s="1">
        <f t="shared" si="32"/>
        <v>40</v>
      </c>
      <c r="AJ35" s="1">
        <f t="shared" si="32"/>
        <v>8</v>
      </c>
      <c r="AK35" s="1">
        <f t="shared" si="32"/>
        <v>2</v>
      </c>
      <c r="AL35" s="25">
        <f t="shared" si="32"/>
        <v>0.28899999999999998</v>
      </c>
      <c r="AM35" s="1">
        <f t="shared" si="32"/>
        <v>0.379</v>
      </c>
      <c r="AN35" s="1">
        <f t="shared" si="32"/>
        <v>0.41199999999999998</v>
      </c>
      <c r="AO35" s="1">
        <f t="shared" si="32"/>
        <v>0.79100000000000004</v>
      </c>
      <c r="AP35" s="1"/>
    </row>
    <row r="36" spans="1:42" x14ac:dyDescent="0.3">
      <c r="A36" t="s">
        <v>1548</v>
      </c>
      <c r="W36" t="str">
        <f ca="1">OFFSET($A236,1,0)</f>
        <v>VinnieV PasquantinoPasquantino</v>
      </c>
      <c r="X36" s="1" t="str">
        <f ca="1">OFFSET($A236,2,0)</f>
        <v>1B</v>
      </c>
      <c r="Y36" s="1" t="str">
        <f>B236</f>
        <v>KC</v>
      </c>
      <c r="Z36" s="1">
        <f>C236</f>
        <v>50</v>
      </c>
      <c r="AA36" s="1">
        <f>D236</f>
        <v>187</v>
      </c>
      <c r="AB36" s="1">
        <f>E236</f>
        <v>22</v>
      </c>
      <c r="AC36" s="1">
        <f>F236</f>
        <v>49</v>
      </c>
      <c r="AD36" s="1">
        <f t="shared" ref="AD36:AO36" si="33">G236</f>
        <v>14</v>
      </c>
      <c r="AE36" s="1">
        <f t="shared" si="33"/>
        <v>0</v>
      </c>
      <c r="AF36" s="1">
        <f t="shared" si="33"/>
        <v>9</v>
      </c>
      <c r="AG36" s="1">
        <f t="shared" si="33"/>
        <v>24</v>
      </c>
      <c r="AH36" s="1">
        <f t="shared" si="33"/>
        <v>23</v>
      </c>
      <c r="AI36" s="1">
        <f t="shared" si="33"/>
        <v>27</v>
      </c>
      <c r="AJ36" s="1">
        <f t="shared" si="33"/>
        <v>0</v>
      </c>
      <c r="AK36" s="1">
        <f t="shared" si="33"/>
        <v>0</v>
      </c>
      <c r="AL36" s="25">
        <f t="shared" si="33"/>
        <v>0.26200000000000001</v>
      </c>
      <c r="AM36" s="1">
        <f t="shared" si="33"/>
        <v>0.34699999999999998</v>
      </c>
      <c r="AN36" s="1">
        <f t="shared" si="33"/>
        <v>0.48099999999999998</v>
      </c>
      <c r="AO36" s="1">
        <f t="shared" si="33"/>
        <v>0.82799999999999996</v>
      </c>
      <c r="AP36" s="1"/>
    </row>
    <row r="37" spans="1:42" x14ac:dyDescent="0.3">
      <c r="A37" t="s">
        <v>1548</v>
      </c>
      <c r="W37" t="str">
        <f ca="1">OFFSET($A243,1,0)</f>
        <v>DaultonD VarshoVarsho</v>
      </c>
      <c r="X37" s="1" t="str">
        <f ca="1">OFFSET($A243,2,0)</f>
        <v>LF</v>
      </c>
      <c r="Y37" s="1" t="str">
        <f>B243</f>
        <v>TOR</v>
      </c>
      <c r="Z37" s="1">
        <f>C243</f>
        <v>50</v>
      </c>
      <c r="AA37" s="1">
        <f>D243</f>
        <v>187</v>
      </c>
      <c r="AB37" s="1">
        <f>E243</f>
        <v>23</v>
      </c>
      <c r="AC37" s="1">
        <f>F243</f>
        <v>40</v>
      </c>
      <c r="AD37" s="1">
        <f t="shared" ref="AD37:AO37" si="34">G243</f>
        <v>8</v>
      </c>
      <c r="AE37" s="1">
        <f t="shared" si="34"/>
        <v>0</v>
      </c>
      <c r="AF37" s="1">
        <f t="shared" si="34"/>
        <v>7</v>
      </c>
      <c r="AG37" s="1">
        <f t="shared" si="34"/>
        <v>20</v>
      </c>
      <c r="AH37" s="1">
        <f t="shared" si="34"/>
        <v>17</v>
      </c>
      <c r="AI37" s="1">
        <f t="shared" si="34"/>
        <v>46</v>
      </c>
      <c r="AJ37" s="1">
        <f t="shared" si="34"/>
        <v>6</v>
      </c>
      <c r="AK37" s="1">
        <f t="shared" si="34"/>
        <v>1</v>
      </c>
      <c r="AL37" s="25">
        <f t="shared" si="34"/>
        <v>0.214</v>
      </c>
      <c r="AM37" s="1">
        <f t="shared" si="34"/>
        <v>0.28399999999999997</v>
      </c>
      <c r="AN37" s="1">
        <f t="shared" si="34"/>
        <v>0.36899999999999999</v>
      </c>
      <c r="AO37" s="1">
        <f t="shared" si="34"/>
        <v>0.65300000000000002</v>
      </c>
      <c r="AP37" s="1"/>
    </row>
    <row r="38" spans="1:42" x14ac:dyDescent="0.3">
      <c r="A38">
        <v>6</v>
      </c>
      <c r="B38" t="s">
        <v>264</v>
      </c>
      <c r="C38">
        <v>49</v>
      </c>
      <c r="D38">
        <v>201</v>
      </c>
      <c r="E38">
        <v>45</v>
      </c>
      <c r="F38">
        <v>60</v>
      </c>
      <c r="G38">
        <v>12</v>
      </c>
      <c r="H38">
        <v>2</v>
      </c>
      <c r="I38">
        <v>8</v>
      </c>
      <c r="J38">
        <v>40</v>
      </c>
      <c r="K38">
        <v>24</v>
      </c>
      <c r="L38">
        <v>36</v>
      </c>
      <c r="M38">
        <v>7</v>
      </c>
      <c r="N38">
        <v>1</v>
      </c>
      <c r="O38">
        <v>0.29899999999999999</v>
      </c>
      <c r="P38">
        <v>0.373</v>
      </c>
      <c r="Q38">
        <v>0.498</v>
      </c>
      <c r="R38">
        <v>0.871</v>
      </c>
      <c r="S38">
        <v>0.32600000000000001</v>
      </c>
      <c r="T38">
        <v>0.35799999999999998</v>
      </c>
      <c r="U38">
        <v>0.68400000000000005</v>
      </c>
      <c r="W38" t="str">
        <f ca="1">OFFSET($A250,1,0)</f>
        <v>AlexA VerdugoVerdugo</v>
      </c>
      <c r="X38" s="1" t="str">
        <f ca="1">OFFSET($A250,2,0)</f>
        <v>RF</v>
      </c>
      <c r="Y38" s="1" t="str">
        <f>B250</f>
        <v>BOS</v>
      </c>
      <c r="Z38" s="1">
        <f>C250</f>
        <v>48</v>
      </c>
      <c r="AA38" s="1">
        <f>D250</f>
        <v>187</v>
      </c>
      <c r="AB38" s="1">
        <f>E250</f>
        <v>37</v>
      </c>
      <c r="AC38" s="1">
        <f>F250</f>
        <v>53</v>
      </c>
      <c r="AD38" s="1">
        <f t="shared" ref="AD38:AO38" si="35">G250</f>
        <v>15</v>
      </c>
      <c r="AE38" s="1">
        <f t="shared" si="35"/>
        <v>1</v>
      </c>
      <c r="AF38" s="1">
        <f t="shared" si="35"/>
        <v>5</v>
      </c>
      <c r="AG38" s="1">
        <f t="shared" si="35"/>
        <v>19</v>
      </c>
      <c r="AH38" s="1">
        <f t="shared" si="35"/>
        <v>18</v>
      </c>
      <c r="AI38" s="1">
        <f t="shared" si="35"/>
        <v>28</v>
      </c>
      <c r="AJ38" s="1">
        <f t="shared" si="35"/>
        <v>3</v>
      </c>
      <c r="AK38" s="1">
        <f t="shared" si="35"/>
        <v>0</v>
      </c>
      <c r="AL38" s="25">
        <f t="shared" si="35"/>
        <v>0.28299999999999997</v>
      </c>
      <c r="AM38" s="1">
        <f t="shared" si="35"/>
        <v>0.35899999999999999</v>
      </c>
      <c r="AN38" s="1">
        <f t="shared" si="35"/>
        <v>0.45500000000000002</v>
      </c>
      <c r="AO38" s="1">
        <f t="shared" si="35"/>
        <v>0.81399999999999995</v>
      </c>
      <c r="AP38" s="1"/>
    </row>
    <row r="39" spans="1:42" x14ac:dyDescent="0.3">
      <c r="A39" t="s">
        <v>1547</v>
      </c>
      <c r="W39" t="str">
        <f ca="1">OFFSET($A257,1,0)</f>
        <v>PeteP AlonsoAlonso</v>
      </c>
      <c r="X39" s="1" t="str">
        <f ca="1">OFFSET($A257,2,0)</f>
        <v>1B</v>
      </c>
      <c r="Y39" s="1" t="str">
        <f>B257</f>
        <v>NYM</v>
      </c>
      <c r="Z39" s="1">
        <f>C257</f>
        <v>50</v>
      </c>
      <c r="AA39" s="1">
        <f>D257</f>
        <v>186</v>
      </c>
      <c r="AB39" s="1">
        <f>E257</f>
        <v>33</v>
      </c>
      <c r="AC39" s="1">
        <f>F257</f>
        <v>43</v>
      </c>
      <c r="AD39" s="1">
        <f t="shared" ref="AD39:AO39" si="36">G257</f>
        <v>3</v>
      </c>
      <c r="AE39" s="1">
        <f t="shared" si="36"/>
        <v>0</v>
      </c>
      <c r="AF39" s="1">
        <f t="shared" si="36"/>
        <v>18</v>
      </c>
      <c r="AG39" s="1">
        <f t="shared" si="36"/>
        <v>43</v>
      </c>
      <c r="AH39" s="1">
        <f t="shared" si="36"/>
        <v>24</v>
      </c>
      <c r="AI39" s="1">
        <f t="shared" si="36"/>
        <v>45</v>
      </c>
      <c r="AJ39" s="1">
        <f t="shared" si="36"/>
        <v>0</v>
      </c>
      <c r="AK39" s="1">
        <f t="shared" si="36"/>
        <v>0</v>
      </c>
      <c r="AL39" s="25">
        <f t="shared" si="36"/>
        <v>0.23100000000000001</v>
      </c>
      <c r="AM39" s="1">
        <f t="shared" si="36"/>
        <v>0.32500000000000001</v>
      </c>
      <c r="AN39" s="1">
        <f t="shared" si="36"/>
        <v>0.53800000000000003</v>
      </c>
      <c r="AO39" s="1">
        <f t="shared" si="36"/>
        <v>0.86299999999999999</v>
      </c>
      <c r="AP39" s="1"/>
    </row>
    <row r="40" spans="1:42" x14ac:dyDescent="0.3">
      <c r="A40" t="s">
        <v>79</v>
      </c>
      <c r="W40" t="str">
        <f ca="1">OFFSET($A264,1,0)</f>
        <v>AndrewA VaughnVaughn</v>
      </c>
      <c r="X40" s="1" t="str">
        <f ca="1">OFFSET($A264,2,0)</f>
        <v>1B</v>
      </c>
      <c r="Y40" s="1" t="str">
        <f>B264</f>
        <v>CWS</v>
      </c>
      <c r="Z40" s="1">
        <f>C264</f>
        <v>49</v>
      </c>
      <c r="AA40" s="1">
        <f>D264</f>
        <v>186</v>
      </c>
      <c r="AB40" s="1">
        <f>E264</f>
        <v>22</v>
      </c>
      <c r="AC40" s="1">
        <f>F264</f>
        <v>44</v>
      </c>
      <c r="AD40" s="1">
        <f t="shared" ref="AD40:AO40" si="37">G264</f>
        <v>13</v>
      </c>
      <c r="AE40" s="1">
        <f t="shared" si="37"/>
        <v>1</v>
      </c>
      <c r="AF40" s="1">
        <f t="shared" si="37"/>
        <v>5</v>
      </c>
      <c r="AG40" s="1">
        <f t="shared" si="37"/>
        <v>31</v>
      </c>
      <c r="AH40" s="1">
        <f t="shared" si="37"/>
        <v>18</v>
      </c>
      <c r="AI40" s="1">
        <f t="shared" si="37"/>
        <v>42</v>
      </c>
      <c r="AJ40" s="1">
        <f t="shared" si="37"/>
        <v>0</v>
      </c>
      <c r="AK40" s="1">
        <f t="shared" si="37"/>
        <v>0</v>
      </c>
      <c r="AL40" s="25">
        <f t="shared" si="37"/>
        <v>0.23699999999999999</v>
      </c>
      <c r="AM40" s="1">
        <f t="shared" si="37"/>
        <v>0.31900000000000001</v>
      </c>
      <c r="AN40" s="1">
        <f t="shared" si="37"/>
        <v>0.39800000000000002</v>
      </c>
      <c r="AO40" s="1">
        <f t="shared" si="37"/>
        <v>0.71699999999999997</v>
      </c>
      <c r="AP40" s="1"/>
    </row>
    <row r="41" spans="1:42" x14ac:dyDescent="0.3">
      <c r="A41">
        <v>6</v>
      </c>
      <c r="W41" t="str">
        <f ca="1">OFFSET($A271,1,0)</f>
        <v>JoseJ AbreuAbreu</v>
      </c>
      <c r="X41" s="1" t="str">
        <f ca="1">OFFSET($A271,2,0)</f>
        <v>1B</v>
      </c>
      <c r="Y41" s="1" t="str">
        <f>B271</f>
        <v>HOU</v>
      </c>
      <c r="Z41" s="1">
        <f>C271</f>
        <v>48</v>
      </c>
      <c r="AA41" s="1">
        <f>D271</f>
        <v>185</v>
      </c>
      <c r="AB41" s="1">
        <f>E271</f>
        <v>13</v>
      </c>
      <c r="AC41" s="1">
        <f>F271</f>
        <v>41</v>
      </c>
      <c r="AD41" s="1">
        <f t="shared" ref="AD41:AO41" si="38">G271</f>
        <v>7</v>
      </c>
      <c r="AE41" s="1">
        <f t="shared" si="38"/>
        <v>0</v>
      </c>
      <c r="AF41" s="1">
        <f t="shared" si="38"/>
        <v>0</v>
      </c>
      <c r="AG41" s="1">
        <f t="shared" si="38"/>
        <v>17</v>
      </c>
      <c r="AH41" s="1">
        <f t="shared" si="38"/>
        <v>14</v>
      </c>
      <c r="AI41" s="1">
        <f t="shared" si="38"/>
        <v>47</v>
      </c>
      <c r="AJ41" s="1">
        <f t="shared" si="38"/>
        <v>0</v>
      </c>
      <c r="AK41" s="1">
        <f t="shared" si="38"/>
        <v>0</v>
      </c>
      <c r="AL41" s="25">
        <f t="shared" si="38"/>
        <v>0.222</v>
      </c>
      <c r="AM41" s="1">
        <f t="shared" si="38"/>
        <v>0.28000000000000003</v>
      </c>
      <c r="AN41" s="1">
        <f t="shared" si="38"/>
        <v>0.25900000000000001</v>
      </c>
      <c r="AO41" s="1">
        <f t="shared" si="38"/>
        <v>0.53900000000000003</v>
      </c>
      <c r="AP41" s="1"/>
    </row>
    <row r="42" spans="1:42" x14ac:dyDescent="0.3">
      <c r="A42" t="s">
        <v>1548</v>
      </c>
      <c r="W42" t="str">
        <f ca="1">OFFSET($A278,1,0)</f>
        <v>DansbyD SwansonSwanson</v>
      </c>
      <c r="X42" s="1" t="str">
        <f ca="1">OFFSET($A278,2,0)</f>
        <v>SS</v>
      </c>
      <c r="Y42" s="1" t="str">
        <f>B278</f>
        <v>CHC</v>
      </c>
      <c r="Z42" s="1">
        <f>C278</f>
        <v>47</v>
      </c>
      <c r="AA42" s="1">
        <f>D278</f>
        <v>185</v>
      </c>
      <c r="AB42" s="1">
        <f>E278</f>
        <v>26</v>
      </c>
      <c r="AC42" s="1">
        <f>F278</f>
        <v>49</v>
      </c>
      <c r="AD42" s="1">
        <f t="shared" ref="AD42:AO42" si="39">G278</f>
        <v>12</v>
      </c>
      <c r="AE42" s="1">
        <f t="shared" si="39"/>
        <v>1</v>
      </c>
      <c r="AF42" s="1">
        <f t="shared" si="39"/>
        <v>4</v>
      </c>
      <c r="AG42" s="1">
        <f t="shared" si="39"/>
        <v>20</v>
      </c>
      <c r="AH42" s="1">
        <f t="shared" si="39"/>
        <v>29</v>
      </c>
      <c r="AI42" s="1">
        <f t="shared" si="39"/>
        <v>47</v>
      </c>
      <c r="AJ42" s="1">
        <f t="shared" si="39"/>
        <v>4</v>
      </c>
      <c r="AK42" s="1">
        <f t="shared" si="39"/>
        <v>1</v>
      </c>
      <c r="AL42" s="25">
        <f t="shared" si="39"/>
        <v>0.26500000000000001</v>
      </c>
      <c r="AM42" s="1">
        <f t="shared" si="39"/>
        <v>0.36699999999999999</v>
      </c>
      <c r="AN42" s="1">
        <f t="shared" si="39"/>
        <v>0.40500000000000003</v>
      </c>
      <c r="AO42" s="1">
        <f t="shared" si="39"/>
        <v>0.77200000000000002</v>
      </c>
      <c r="AP42" s="1"/>
    </row>
    <row r="43" spans="1:42" x14ac:dyDescent="0.3">
      <c r="A43" t="s">
        <v>1548</v>
      </c>
      <c r="W43" t="str">
        <f ca="1">OFFSET($A285,1,0)</f>
        <v>MookieM BettsBetts</v>
      </c>
      <c r="X43" s="1" t="str">
        <f ca="1">OFFSET($A285,2,0)</f>
        <v>RF</v>
      </c>
      <c r="Y43" s="1" t="str">
        <f>B285</f>
        <v>LAD</v>
      </c>
      <c r="Z43" s="1">
        <f>C285</f>
        <v>48</v>
      </c>
      <c r="AA43" s="1">
        <f>D285</f>
        <v>184</v>
      </c>
      <c r="AB43" s="1">
        <f>E285</f>
        <v>37</v>
      </c>
      <c r="AC43" s="1">
        <f>F285</f>
        <v>47</v>
      </c>
      <c r="AD43" s="1">
        <f t="shared" ref="AD43:AO43" si="40">G285</f>
        <v>14</v>
      </c>
      <c r="AE43" s="1">
        <f t="shared" si="40"/>
        <v>1</v>
      </c>
      <c r="AF43" s="1">
        <f t="shared" si="40"/>
        <v>11</v>
      </c>
      <c r="AG43" s="1">
        <f t="shared" si="40"/>
        <v>30</v>
      </c>
      <c r="AH43" s="1">
        <f t="shared" si="40"/>
        <v>31</v>
      </c>
      <c r="AI43" s="1">
        <f t="shared" si="40"/>
        <v>40</v>
      </c>
      <c r="AJ43" s="1">
        <f t="shared" si="40"/>
        <v>1</v>
      </c>
      <c r="AK43" s="1">
        <f t="shared" si="40"/>
        <v>1</v>
      </c>
      <c r="AL43" s="25">
        <f t="shared" si="40"/>
        <v>0.255</v>
      </c>
      <c r="AM43" s="1">
        <f t="shared" si="40"/>
        <v>0.36399999999999999</v>
      </c>
      <c r="AN43" s="1">
        <f t="shared" si="40"/>
        <v>0.52200000000000002</v>
      </c>
      <c r="AO43" s="1">
        <f t="shared" si="40"/>
        <v>0.88600000000000001</v>
      </c>
      <c r="AP43" s="1"/>
    </row>
    <row r="44" spans="1:42" x14ac:dyDescent="0.3">
      <c r="A44" t="s">
        <v>1548</v>
      </c>
      <c r="W44" t="str">
        <f ca="1">OFFSET($A292,1,0)</f>
        <v>TyT FranceFrance</v>
      </c>
      <c r="X44" s="1" t="str">
        <f ca="1">OFFSET($A292,2,0)</f>
        <v>1B</v>
      </c>
      <c r="Y44" s="1" t="str">
        <f>B292</f>
        <v>SEA</v>
      </c>
      <c r="Z44" s="1">
        <f>C292</f>
        <v>48</v>
      </c>
      <c r="AA44" s="1">
        <f>D292</f>
        <v>184</v>
      </c>
      <c r="AB44" s="1">
        <f>E292</f>
        <v>27</v>
      </c>
      <c r="AC44" s="1">
        <f>F292</f>
        <v>48</v>
      </c>
      <c r="AD44" s="1">
        <f t="shared" ref="AD44:AO44" si="41">G292</f>
        <v>13</v>
      </c>
      <c r="AE44" s="1">
        <f t="shared" si="41"/>
        <v>0</v>
      </c>
      <c r="AF44" s="1">
        <f t="shared" si="41"/>
        <v>3</v>
      </c>
      <c r="AG44" s="1">
        <f t="shared" si="41"/>
        <v>21</v>
      </c>
      <c r="AH44" s="1">
        <f t="shared" si="41"/>
        <v>15</v>
      </c>
      <c r="AI44" s="1">
        <f t="shared" si="41"/>
        <v>28</v>
      </c>
      <c r="AJ44" s="1">
        <f t="shared" si="41"/>
        <v>1</v>
      </c>
      <c r="AK44" s="1">
        <f t="shared" si="41"/>
        <v>0</v>
      </c>
      <c r="AL44" s="25">
        <f t="shared" si="41"/>
        <v>0.26100000000000001</v>
      </c>
      <c r="AM44" s="1">
        <f t="shared" si="41"/>
        <v>0.34100000000000003</v>
      </c>
      <c r="AN44" s="1">
        <f t="shared" si="41"/>
        <v>0.38</v>
      </c>
      <c r="AO44" s="1">
        <f t="shared" si="41"/>
        <v>0.72099999999999997</v>
      </c>
      <c r="AP44" s="1"/>
    </row>
    <row r="45" spans="1:42" x14ac:dyDescent="0.3">
      <c r="A45">
        <v>7</v>
      </c>
      <c r="B45" t="s">
        <v>325</v>
      </c>
      <c r="C45">
        <v>51</v>
      </c>
      <c r="D45">
        <v>200</v>
      </c>
      <c r="E45">
        <v>23</v>
      </c>
      <c r="F45">
        <v>56</v>
      </c>
      <c r="G45">
        <v>13</v>
      </c>
      <c r="H45">
        <v>1</v>
      </c>
      <c r="I45">
        <v>1</v>
      </c>
      <c r="J45">
        <v>22</v>
      </c>
      <c r="K45">
        <v>8</v>
      </c>
      <c r="L45">
        <v>39</v>
      </c>
      <c r="M45">
        <v>26</v>
      </c>
      <c r="N45">
        <v>3</v>
      </c>
      <c r="O45">
        <v>0.28000000000000003</v>
      </c>
      <c r="P45">
        <v>0.34200000000000003</v>
      </c>
      <c r="Q45">
        <v>0.37</v>
      </c>
      <c r="R45">
        <v>0.71199999999999997</v>
      </c>
      <c r="S45">
        <v>0.36799999999999999</v>
      </c>
      <c r="T45">
        <v>0.49199999999999999</v>
      </c>
      <c r="U45">
        <v>0.86</v>
      </c>
      <c r="W45" t="str">
        <f ca="1">OFFSET($A299,1,0)</f>
        <v>MattM OlsonOlson</v>
      </c>
      <c r="X45" s="1" t="str">
        <f ca="1">OFFSET($A299,2,0)</f>
        <v>1B</v>
      </c>
      <c r="Y45" s="1" t="str">
        <f>B299</f>
        <v>ATL</v>
      </c>
      <c r="Z45" s="1">
        <f>C299</f>
        <v>49</v>
      </c>
      <c r="AA45" s="1">
        <f>D299</f>
        <v>184</v>
      </c>
      <c r="AB45" s="1">
        <f>E299</f>
        <v>39</v>
      </c>
      <c r="AC45" s="1">
        <f>F299</f>
        <v>43</v>
      </c>
      <c r="AD45" s="1">
        <f t="shared" ref="AD45:AO45" si="42">G299</f>
        <v>10</v>
      </c>
      <c r="AE45" s="1">
        <f t="shared" si="42"/>
        <v>1</v>
      </c>
      <c r="AF45" s="1">
        <f t="shared" si="42"/>
        <v>14</v>
      </c>
      <c r="AG45" s="1">
        <f t="shared" si="42"/>
        <v>36</v>
      </c>
      <c r="AH45" s="1">
        <f t="shared" si="42"/>
        <v>35</v>
      </c>
      <c r="AI45" s="1">
        <f t="shared" si="42"/>
        <v>70</v>
      </c>
      <c r="AJ45" s="1">
        <f t="shared" si="42"/>
        <v>0</v>
      </c>
      <c r="AK45" s="1">
        <f t="shared" si="42"/>
        <v>0</v>
      </c>
      <c r="AL45" s="25">
        <f t="shared" si="42"/>
        <v>0.23400000000000001</v>
      </c>
      <c r="AM45" s="1">
        <f t="shared" si="42"/>
        <v>0.36199999999999999</v>
      </c>
      <c r="AN45" s="1">
        <f t="shared" si="42"/>
        <v>0.52700000000000002</v>
      </c>
      <c r="AO45" s="1">
        <f t="shared" si="42"/>
        <v>0.88900000000000001</v>
      </c>
      <c r="AP45" s="1"/>
    </row>
    <row r="46" spans="1:42" x14ac:dyDescent="0.3">
      <c r="A46" t="s">
        <v>3247</v>
      </c>
      <c r="W46" t="str">
        <f ca="1">OFFSET($A306,1,0)</f>
        <v>LaneL ThomasThomas</v>
      </c>
      <c r="X46" s="1" t="str">
        <f ca="1">OFFSET($A306,2,0)</f>
        <v>RF</v>
      </c>
      <c r="Y46" s="1" t="str">
        <f>B306</f>
        <v>WSH</v>
      </c>
      <c r="Z46" s="1">
        <f>C306</f>
        <v>48</v>
      </c>
      <c r="AA46" s="1">
        <f>D306</f>
        <v>184</v>
      </c>
      <c r="AB46" s="1">
        <f>E306</f>
        <v>31</v>
      </c>
      <c r="AC46" s="1">
        <f>F306</f>
        <v>54</v>
      </c>
      <c r="AD46" s="1">
        <f t="shared" ref="AD46:AO46" si="43">G306</f>
        <v>8</v>
      </c>
      <c r="AE46" s="1">
        <f t="shared" si="43"/>
        <v>1</v>
      </c>
      <c r="AF46" s="1">
        <f t="shared" si="43"/>
        <v>7</v>
      </c>
      <c r="AG46" s="1">
        <f t="shared" si="43"/>
        <v>25</v>
      </c>
      <c r="AH46" s="1">
        <f t="shared" si="43"/>
        <v>12</v>
      </c>
      <c r="AI46" s="1">
        <f t="shared" si="43"/>
        <v>51</v>
      </c>
      <c r="AJ46" s="1">
        <f t="shared" si="43"/>
        <v>4</v>
      </c>
      <c r="AK46" s="1">
        <f t="shared" si="43"/>
        <v>1</v>
      </c>
      <c r="AL46" s="25">
        <f t="shared" si="43"/>
        <v>0.29299999999999998</v>
      </c>
      <c r="AM46" s="1">
        <f t="shared" si="43"/>
        <v>0.34499999999999997</v>
      </c>
      <c r="AN46" s="1">
        <f t="shared" si="43"/>
        <v>0.46200000000000002</v>
      </c>
      <c r="AO46" s="1">
        <f t="shared" si="43"/>
        <v>0.80700000000000005</v>
      </c>
      <c r="AP46" s="1"/>
    </row>
    <row r="47" spans="1:42" x14ac:dyDescent="0.3">
      <c r="A47" t="s">
        <v>1530</v>
      </c>
      <c r="W47" t="str">
        <f ca="1">OFFSET($A313,1,0)</f>
        <v>JoshJ JungJung</v>
      </c>
      <c r="X47" s="1" t="str">
        <f ca="1">OFFSET($A313,2,0)</f>
        <v>3B</v>
      </c>
      <c r="Y47" s="1" t="str">
        <f>B313</f>
        <v>TEX</v>
      </c>
      <c r="Z47" s="1">
        <f>C313</f>
        <v>46</v>
      </c>
      <c r="AA47" s="1">
        <f>D313</f>
        <v>183</v>
      </c>
      <c r="AB47" s="1">
        <f>E313</f>
        <v>33</v>
      </c>
      <c r="AC47" s="1">
        <f>F313</f>
        <v>50</v>
      </c>
      <c r="AD47" s="1">
        <f t="shared" ref="AD47:AO47" si="44">G313</f>
        <v>8</v>
      </c>
      <c r="AE47" s="1">
        <f t="shared" si="44"/>
        <v>0</v>
      </c>
      <c r="AF47" s="1">
        <f t="shared" si="44"/>
        <v>11</v>
      </c>
      <c r="AG47" s="1">
        <f t="shared" si="44"/>
        <v>34</v>
      </c>
      <c r="AH47" s="1">
        <f t="shared" si="44"/>
        <v>12</v>
      </c>
      <c r="AI47" s="1">
        <f t="shared" si="44"/>
        <v>59</v>
      </c>
      <c r="AJ47" s="1">
        <f t="shared" si="44"/>
        <v>1</v>
      </c>
      <c r="AK47" s="1">
        <f t="shared" si="44"/>
        <v>1</v>
      </c>
      <c r="AL47" s="25">
        <f t="shared" si="44"/>
        <v>0.27300000000000002</v>
      </c>
      <c r="AM47" s="1">
        <f t="shared" si="44"/>
        <v>0.32</v>
      </c>
      <c r="AN47" s="1">
        <f t="shared" si="44"/>
        <v>0.497</v>
      </c>
      <c r="AO47" s="1">
        <f t="shared" si="44"/>
        <v>0.81699999999999995</v>
      </c>
      <c r="AP47" s="1"/>
    </row>
    <row r="48" spans="1:42" x14ac:dyDescent="0.3">
      <c r="A48">
        <v>7</v>
      </c>
      <c r="W48" t="str">
        <f ca="1">OFFSET($A320,1,0)</f>
        <v>KetelK MarteMarte</v>
      </c>
      <c r="X48" s="1" t="str">
        <f ca="1">OFFSET($A320,2,0)</f>
        <v>2B</v>
      </c>
      <c r="Y48" s="1" t="str">
        <f>B320</f>
        <v>AZ</v>
      </c>
      <c r="Z48" s="1">
        <f>C320</f>
        <v>47</v>
      </c>
      <c r="AA48" s="1">
        <f>D320</f>
        <v>183</v>
      </c>
      <c r="AB48" s="1">
        <f>E320</f>
        <v>27</v>
      </c>
      <c r="AC48" s="1">
        <f>F320</f>
        <v>51</v>
      </c>
      <c r="AD48" s="1">
        <f t="shared" ref="AD48:AO48" si="45">G320</f>
        <v>8</v>
      </c>
      <c r="AE48" s="1">
        <f t="shared" si="45"/>
        <v>4</v>
      </c>
      <c r="AF48" s="1">
        <f t="shared" si="45"/>
        <v>6</v>
      </c>
      <c r="AG48" s="1">
        <f t="shared" si="45"/>
        <v>20</v>
      </c>
      <c r="AH48" s="1">
        <f t="shared" si="45"/>
        <v>15</v>
      </c>
      <c r="AI48" s="1">
        <f t="shared" si="45"/>
        <v>33</v>
      </c>
      <c r="AJ48" s="1">
        <f t="shared" si="45"/>
        <v>4</v>
      </c>
      <c r="AK48" s="1">
        <f t="shared" si="45"/>
        <v>0</v>
      </c>
      <c r="AL48" s="25">
        <f t="shared" si="45"/>
        <v>0.27900000000000003</v>
      </c>
      <c r="AM48" s="1">
        <f t="shared" si="45"/>
        <v>0.34100000000000003</v>
      </c>
      <c r="AN48" s="1">
        <f t="shared" si="45"/>
        <v>0.46400000000000002</v>
      </c>
      <c r="AO48" s="1">
        <f t="shared" si="45"/>
        <v>0.80500000000000005</v>
      </c>
      <c r="AP48" s="1"/>
    </row>
    <row r="49" spans="1:42" x14ac:dyDescent="0.3">
      <c r="A49" t="s">
        <v>1548</v>
      </c>
      <c r="W49" t="str">
        <f ca="1">OFFSET($A327,1,0)</f>
        <v>LuisL Robert Jr.Robert</v>
      </c>
      <c r="X49" s="1" t="str">
        <f ca="1">OFFSET($A327,2,0)</f>
        <v>CF</v>
      </c>
      <c r="Y49" s="1" t="str">
        <f>B327</f>
        <v>CWS</v>
      </c>
      <c r="Z49" s="1">
        <f>C327</f>
        <v>49</v>
      </c>
      <c r="AA49" s="1">
        <f>D327</f>
        <v>183</v>
      </c>
      <c r="AB49" s="1">
        <f>E327</f>
        <v>34</v>
      </c>
      <c r="AC49" s="1">
        <f>F327</f>
        <v>50</v>
      </c>
      <c r="AD49" s="1">
        <f t="shared" ref="AD49:AO49" si="46">G327</f>
        <v>13</v>
      </c>
      <c r="AE49" s="1">
        <f t="shared" si="46"/>
        <v>0</v>
      </c>
      <c r="AF49" s="1">
        <f t="shared" si="46"/>
        <v>13</v>
      </c>
      <c r="AG49" s="1">
        <f t="shared" si="46"/>
        <v>29</v>
      </c>
      <c r="AH49" s="1">
        <f t="shared" si="46"/>
        <v>10</v>
      </c>
      <c r="AI49" s="1">
        <f t="shared" si="46"/>
        <v>54</v>
      </c>
      <c r="AJ49" s="1">
        <f t="shared" si="46"/>
        <v>2</v>
      </c>
      <c r="AK49" s="1">
        <f t="shared" si="46"/>
        <v>1</v>
      </c>
      <c r="AL49" s="25">
        <f t="shared" si="46"/>
        <v>0.27300000000000002</v>
      </c>
      <c r="AM49" s="1">
        <f t="shared" si="46"/>
        <v>0.32800000000000001</v>
      </c>
      <c r="AN49" s="1">
        <f t="shared" si="46"/>
        <v>0.55700000000000005</v>
      </c>
      <c r="AO49" s="1">
        <f t="shared" si="46"/>
        <v>0.88500000000000001</v>
      </c>
      <c r="AP49" s="1"/>
    </row>
    <row r="50" spans="1:42" x14ac:dyDescent="0.3">
      <c r="A50" t="s">
        <v>1548</v>
      </c>
      <c r="W50" t="str">
        <f ca="1">OFFSET($A334,1,0)</f>
        <v>EugenioE SuárezSuarez</v>
      </c>
      <c r="X50" s="1" t="str">
        <f ca="1">OFFSET($A334,2,0)</f>
        <v>3B</v>
      </c>
      <c r="Y50" s="1" t="str">
        <f>B334</f>
        <v>SEA</v>
      </c>
      <c r="Z50" s="1">
        <f>C334</f>
        <v>49</v>
      </c>
      <c r="AA50" s="1">
        <f>D334</f>
        <v>183</v>
      </c>
      <c r="AB50" s="1">
        <f>E334</f>
        <v>19</v>
      </c>
      <c r="AC50" s="1">
        <f>F334</f>
        <v>41</v>
      </c>
      <c r="AD50" s="1">
        <f t="shared" ref="AD50:AO50" si="47">G334</f>
        <v>5</v>
      </c>
      <c r="AE50" s="1">
        <f t="shared" si="47"/>
        <v>0</v>
      </c>
      <c r="AF50" s="1">
        <f t="shared" si="47"/>
        <v>5</v>
      </c>
      <c r="AG50" s="1">
        <f t="shared" si="47"/>
        <v>28</v>
      </c>
      <c r="AH50" s="1">
        <f t="shared" si="47"/>
        <v>25</v>
      </c>
      <c r="AI50" s="1">
        <f t="shared" si="47"/>
        <v>61</v>
      </c>
      <c r="AJ50" s="1">
        <f t="shared" si="47"/>
        <v>1</v>
      </c>
      <c r="AK50" s="1">
        <f t="shared" si="47"/>
        <v>1</v>
      </c>
      <c r="AL50" s="25">
        <f t="shared" si="47"/>
        <v>0.224</v>
      </c>
      <c r="AM50" s="1">
        <f t="shared" si="47"/>
        <v>0.32700000000000001</v>
      </c>
      <c r="AN50" s="1">
        <f t="shared" si="47"/>
        <v>0.33300000000000002</v>
      </c>
      <c r="AO50" s="1">
        <f t="shared" si="47"/>
        <v>0.66</v>
      </c>
      <c r="AP50" s="1"/>
    </row>
    <row r="51" spans="1:42" x14ac:dyDescent="0.3">
      <c r="A51" t="s">
        <v>1548</v>
      </c>
      <c r="W51" t="str">
        <f ca="1">OFFSET($A341,1,0)</f>
        <v>AlecA BohmBohm</v>
      </c>
      <c r="X51" s="1" t="str">
        <f ca="1">OFFSET($A341,2,0)</f>
        <v>1B</v>
      </c>
      <c r="Y51" s="1" t="str">
        <f>B341</f>
        <v>PHI</v>
      </c>
      <c r="Z51" s="1">
        <f>C341</f>
        <v>49</v>
      </c>
      <c r="AA51" s="1">
        <f>D341</f>
        <v>182</v>
      </c>
      <c r="AB51" s="1">
        <f>E341</f>
        <v>22</v>
      </c>
      <c r="AC51" s="1">
        <f>F341</f>
        <v>48</v>
      </c>
      <c r="AD51" s="1">
        <f t="shared" ref="AD51:AO51" si="48">G341</f>
        <v>8</v>
      </c>
      <c r="AE51" s="1">
        <f t="shared" si="48"/>
        <v>0</v>
      </c>
      <c r="AF51" s="1">
        <f t="shared" si="48"/>
        <v>5</v>
      </c>
      <c r="AG51" s="1">
        <f t="shared" si="48"/>
        <v>35</v>
      </c>
      <c r="AH51" s="1">
        <f t="shared" si="48"/>
        <v>14</v>
      </c>
      <c r="AI51" s="1">
        <f t="shared" si="48"/>
        <v>32</v>
      </c>
      <c r="AJ51" s="1">
        <f t="shared" si="48"/>
        <v>2</v>
      </c>
      <c r="AK51" s="1">
        <f t="shared" si="48"/>
        <v>1</v>
      </c>
      <c r="AL51" s="25">
        <f t="shared" si="48"/>
        <v>0.26400000000000001</v>
      </c>
      <c r="AM51" s="1">
        <f t="shared" si="48"/>
        <v>0.32</v>
      </c>
      <c r="AN51" s="1">
        <f t="shared" si="48"/>
        <v>0.39</v>
      </c>
      <c r="AO51" s="1">
        <f t="shared" si="48"/>
        <v>0.71</v>
      </c>
      <c r="AP51" s="1"/>
    </row>
    <row r="52" spans="1:42" x14ac:dyDescent="0.3">
      <c r="A52">
        <v>8</v>
      </c>
      <c r="B52" t="s">
        <v>1522</v>
      </c>
      <c r="C52">
        <v>50</v>
      </c>
      <c r="D52">
        <v>198</v>
      </c>
      <c r="E52">
        <v>30</v>
      </c>
      <c r="F52">
        <v>57</v>
      </c>
      <c r="G52">
        <v>15</v>
      </c>
      <c r="H52">
        <v>2</v>
      </c>
      <c r="I52">
        <v>7</v>
      </c>
      <c r="J52">
        <v>25</v>
      </c>
      <c r="K52">
        <v>19</v>
      </c>
      <c r="L52">
        <v>29</v>
      </c>
      <c r="M52">
        <v>17</v>
      </c>
      <c r="N52">
        <v>5</v>
      </c>
      <c r="O52">
        <v>0.28799999999999998</v>
      </c>
      <c r="P52">
        <v>0.35499999999999998</v>
      </c>
      <c r="Q52">
        <v>0.49</v>
      </c>
      <c r="R52">
        <v>0.84499999999999997</v>
      </c>
      <c r="S52">
        <v>0.379</v>
      </c>
      <c r="T52">
        <v>0.41199999999999998</v>
      </c>
      <c r="U52">
        <v>0.79100000000000004</v>
      </c>
      <c r="W52" t="str">
        <f ca="1">OFFSET($A348,1,0)</f>
        <v>JeimerJ CandelarioCandelario</v>
      </c>
      <c r="X52" s="1" t="str">
        <f ca="1">OFFSET($A348,2,0)</f>
        <v>3B</v>
      </c>
      <c r="Y52" s="1" t="str">
        <f>B348</f>
        <v>WSH</v>
      </c>
      <c r="Z52" s="1">
        <f>C348</f>
        <v>47</v>
      </c>
      <c r="AA52" s="1">
        <f>D348</f>
        <v>182</v>
      </c>
      <c r="AB52" s="1">
        <f>E348</f>
        <v>20</v>
      </c>
      <c r="AC52" s="1">
        <f>F348</f>
        <v>47</v>
      </c>
      <c r="AD52" s="1">
        <f t="shared" ref="AD52:AO52" si="49">G348</f>
        <v>13</v>
      </c>
      <c r="AE52" s="1">
        <f t="shared" si="49"/>
        <v>1</v>
      </c>
      <c r="AF52" s="1">
        <f t="shared" si="49"/>
        <v>6</v>
      </c>
      <c r="AG52" s="1">
        <f t="shared" si="49"/>
        <v>19</v>
      </c>
      <c r="AH52" s="1">
        <f t="shared" si="49"/>
        <v>13</v>
      </c>
      <c r="AI52" s="1">
        <f t="shared" si="49"/>
        <v>38</v>
      </c>
      <c r="AJ52" s="1">
        <f t="shared" si="49"/>
        <v>0</v>
      </c>
      <c r="AK52" s="1">
        <f t="shared" si="49"/>
        <v>0</v>
      </c>
      <c r="AL52" s="25">
        <f t="shared" si="49"/>
        <v>0.25800000000000001</v>
      </c>
      <c r="AM52" s="1">
        <f t="shared" si="49"/>
        <v>0.315</v>
      </c>
      <c r="AN52" s="1">
        <f t="shared" si="49"/>
        <v>0.44</v>
      </c>
      <c r="AO52" s="1">
        <f t="shared" si="49"/>
        <v>0.755</v>
      </c>
      <c r="AP52" s="1"/>
    </row>
    <row r="53" spans="1:42" x14ac:dyDescent="0.3">
      <c r="A53" t="s">
        <v>3078</v>
      </c>
      <c r="W53" t="str">
        <f ca="1">OFFSET($A357,1,0)</f>
        <v>RileyR GreeneGreene</v>
      </c>
      <c r="X53" s="1" t="str">
        <f ca="1">OFFSET($A357,2,0)</f>
        <v>CF</v>
      </c>
      <c r="Y53" t="str">
        <f>B357</f>
        <v>DET</v>
      </c>
      <c r="Z53">
        <f t="shared" ref="Z53:AO53" si="50">C357</f>
        <v>46</v>
      </c>
      <c r="AA53">
        <f t="shared" si="50"/>
        <v>182</v>
      </c>
      <c r="AB53">
        <f t="shared" si="50"/>
        <v>25</v>
      </c>
      <c r="AC53">
        <f t="shared" si="50"/>
        <v>53</v>
      </c>
      <c r="AD53">
        <f t="shared" si="50"/>
        <v>7</v>
      </c>
      <c r="AE53">
        <f t="shared" si="50"/>
        <v>2</v>
      </c>
      <c r="AF53">
        <f t="shared" si="50"/>
        <v>5</v>
      </c>
      <c r="AG53">
        <f t="shared" si="50"/>
        <v>17</v>
      </c>
      <c r="AH53">
        <f t="shared" si="50"/>
        <v>17</v>
      </c>
      <c r="AI53">
        <f t="shared" si="50"/>
        <v>57</v>
      </c>
      <c r="AJ53">
        <f t="shared" si="50"/>
        <v>5</v>
      </c>
      <c r="AK53">
        <f t="shared" si="50"/>
        <v>0</v>
      </c>
      <c r="AL53" s="91">
        <f t="shared" si="50"/>
        <v>0.29099999999999998</v>
      </c>
      <c r="AM53">
        <f t="shared" si="50"/>
        <v>0.35199999999999998</v>
      </c>
      <c r="AN53">
        <f t="shared" si="50"/>
        <v>0.434</v>
      </c>
      <c r="AO53">
        <f t="shared" si="50"/>
        <v>0.78600000000000003</v>
      </c>
    </row>
    <row r="54" spans="1:42" x14ac:dyDescent="0.3">
      <c r="A54" t="s">
        <v>1529</v>
      </c>
      <c r="W54" t="str">
        <f ca="1">OFFSET($A364,1,0)</f>
        <v>CedricC MullinsMullins</v>
      </c>
      <c r="X54" s="1" t="str">
        <f ca="1">OFFSET($A364,2,0)</f>
        <v>CF</v>
      </c>
      <c r="Y54" t="str">
        <f>B364</f>
        <v>BAL</v>
      </c>
      <c r="Z54">
        <f t="shared" ref="Z54:AO54" si="51">C364</f>
        <v>49</v>
      </c>
      <c r="AA54">
        <f t="shared" si="51"/>
        <v>182</v>
      </c>
      <c r="AB54">
        <f t="shared" si="51"/>
        <v>24</v>
      </c>
      <c r="AC54">
        <f t="shared" si="51"/>
        <v>50</v>
      </c>
      <c r="AD54">
        <f t="shared" si="51"/>
        <v>12</v>
      </c>
      <c r="AE54">
        <f t="shared" si="51"/>
        <v>3</v>
      </c>
      <c r="AF54">
        <f t="shared" si="51"/>
        <v>8</v>
      </c>
      <c r="AG54">
        <f t="shared" si="51"/>
        <v>39</v>
      </c>
      <c r="AH54">
        <f t="shared" si="51"/>
        <v>24</v>
      </c>
      <c r="AI54">
        <f t="shared" si="51"/>
        <v>36</v>
      </c>
      <c r="AJ54">
        <f t="shared" si="51"/>
        <v>13</v>
      </c>
      <c r="AK54">
        <f t="shared" si="51"/>
        <v>1</v>
      </c>
      <c r="AL54" s="91">
        <f t="shared" si="51"/>
        <v>0.27500000000000002</v>
      </c>
      <c r="AM54">
        <f t="shared" si="51"/>
        <v>0.35899999999999999</v>
      </c>
      <c r="AN54">
        <f t="shared" si="51"/>
        <v>0.505</v>
      </c>
      <c r="AO54">
        <f t="shared" si="51"/>
        <v>0.86399999999999999</v>
      </c>
    </row>
    <row r="55" spans="1:42" x14ac:dyDescent="0.3">
      <c r="A55">
        <v>8</v>
      </c>
      <c r="W55" t="str">
        <f ca="1">OFFSET($A371,1,0)</f>
        <v>GleyberG TorresTorres</v>
      </c>
      <c r="X55" s="1" t="str">
        <f ca="1">OFFSET($A371,2,0)</f>
        <v>2B</v>
      </c>
      <c r="Y55" t="str">
        <f>B371</f>
        <v>NYY</v>
      </c>
      <c r="Z55">
        <f t="shared" ref="Z55:AO55" si="52">C371</f>
        <v>50</v>
      </c>
      <c r="AA55">
        <f t="shared" si="52"/>
        <v>182</v>
      </c>
      <c r="AB55">
        <f t="shared" si="52"/>
        <v>32</v>
      </c>
      <c r="AC55">
        <f t="shared" si="52"/>
        <v>48</v>
      </c>
      <c r="AD55">
        <f t="shared" si="52"/>
        <v>8</v>
      </c>
      <c r="AE55">
        <f t="shared" si="52"/>
        <v>1</v>
      </c>
      <c r="AF55">
        <f t="shared" si="52"/>
        <v>9</v>
      </c>
      <c r="AG55">
        <f t="shared" si="52"/>
        <v>25</v>
      </c>
      <c r="AH55">
        <f t="shared" si="52"/>
        <v>25</v>
      </c>
      <c r="AI55">
        <f t="shared" si="52"/>
        <v>27</v>
      </c>
      <c r="AJ55">
        <f t="shared" si="52"/>
        <v>5</v>
      </c>
      <c r="AK55">
        <f t="shared" si="52"/>
        <v>4</v>
      </c>
      <c r="AL55" s="91">
        <f t="shared" si="52"/>
        <v>0.26400000000000001</v>
      </c>
      <c r="AM55">
        <f t="shared" si="52"/>
        <v>0.35099999999999998</v>
      </c>
      <c r="AN55">
        <f t="shared" si="52"/>
        <v>0.46700000000000003</v>
      </c>
      <c r="AO55">
        <f t="shared" si="52"/>
        <v>0.81799999999999995</v>
      </c>
    </row>
    <row r="56" spans="1:42" x14ac:dyDescent="0.3">
      <c r="A56" t="s">
        <v>1548</v>
      </c>
      <c r="W56" t="str">
        <f ca="1">OFFSET($A378,1,0)</f>
        <v>MikeM TroutTrout</v>
      </c>
      <c r="X56" s="1" t="str">
        <f ca="1">OFFSET($A378,2,0)</f>
        <v>CF</v>
      </c>
      <c r="Y56" t="str">
        <f>B378</f>
        <v>LAA</v>
      </c>
      <c r="Z56">
        <f t="shared" ref="Z56:AO56" si="53">C378</f>
        <v>47</v>
      </c>
      <c r="AA56">
        <f t="shared" si="53"/>
        <v>182</v>
      </c>
      <c r="AB56">
        <f t="shared" si="53"/>
        <v>33</v>
      </c>
      <c r="AC56">
        <f t="shared" si="53"/>
        <v>50</v>
      </c>
      <c r="AD56">
        <f t="shared" si="53"/>
        <v>10</v>
      </c>
      <c r="AE56">
        <f t="shared" si="53"/>
        <v>0</v>
      </c>
      <c r="AF56">
        <f t="shared" si="53"/>
        <v>12</v>
      </c>
      <c r="AG56">
        <f t="shared" si="53"/>
        <v>27</v>
      </c>
      <c r="AH56">
        <f t="shared" si="53"/>
        <v>21</v>
      </c>
      <c r="AI56">
        <f t="shared" si="53"/>
        <v>58</v>
      </c>
      <c r="AJ56">
        <f t="shared" si="53"/>
        <v>0</v>
      </c>
      <c r="AK56">
        <f t="shared" si="53"/>
        <v>0</v>
      </c>
      <c r="AL56" s="91">
        <f t="shared" si="53"/>
        <v>0.27500000000000002</v>
      </c>
      <c r="AM56">
        <f t="shared" si="53"/>
        <v>0.36399999999999999</v>
      </c>
      <c r="AN56">
        <f t="shared" si="53"/>
        <v>0.52700000000000002</v>
      </c>
      <c r="AO56">
        <f t="shared" si="53"/>
        <v>0.89100000000000001</v>
      </c>
    </row>
    <row r="57" spans="1:42" x14ac:dyDescent="0.3">
      <c r="A57" t="s">
        <v>1548</v>
      </c>
      <c r="W57" t="str">
        <f ca="1">OFFSET($A385,1,0)</f>
        <v>WillyW AdamesAdames</v>
      </c>
      <c r="X57" s="1" t="str">
        <f ca="1">OFFSET($A385,2,0)</f>
        <v>SS</v>
      </c>
      <c r="Y57" t="str">
        <f>B385</f>
        <v>MIL</v>
      </c>
      <c r="Z57">
        <f t="shared" ref="Z57:AO57" si="54">C385</f>
        <v>49</v>
      </c>
      <c r="AA57">
        <f t="shared" si="54"/>
        <v>181</v>
      </c>
      <c r="AB57">
        <f t="shared" si="54"/>
        <v>23</v>
      </c>
      <c r="AC57">
        <f t="shared" si="54"/>
        <v>37</v>
      </c>
      <c r="AD57">
        <f t="shared" si="54"/>
        <v>5</v>
      </c>
      <c r="AE57">
        <f t="shared" si="54"/>
        <v>0</v>
      </c>
      <c r="AF57">
        <f t="shared" si="54"/>
        <v>9</v>
      </c>
      <c r="AG57">
        <f t="shared" si="54"/>
        <v>27</v>
      </c>
      <c r="AH57">
        <f t="shared" si="54"/>
        <v>22</v>
      </c>
      <c r="AI57">
        <f t="shared" si="54"/>
        <v>54</v>
      </c>
      <c r="AJ57">
        <f t="shared" si="54"/>
        <v>4</v>
      </c>
      <c r="AK57">
        <f t="shared" si="54"/>
        <v>1</v>
      </c>
      <c r="AL57" s="91">
        <f t="shared" si="54"/>
        <v>0.20399999999999999</v>
      </c>
      <c r="AM57">
        <f t="shared" si="54"/>
        <v>0.28999999999999998</v>
      </c>
      <c r="AN57">
        <f t="shared" si="54"/>
        <v>0.38100000000000001</v>
      </c>
      <c r="AO57">
        <f t="shared" si="54"/>
        <v>0.67100000000000004</v>
      </c>
    </row>
    <row r="58" spans="1:42" x14ac:dyDescent="0.3">
      <c r="A58" t="s">
        <v>1548</v>
      </c>
      <c r="W58" t="str">
        <f ca="1">OFFSET($A392,1,0)</f>
        <v>AdolisA GarcíaGarcia</v>
      </c>
      <c r="X58" s="1" t="str">
        <f ca="1">OFFSET($A392,2,0)</f>
        <v>RF</v>
      </c>
      <c r="Y58" t="str">
        <f>B392</f>
        <v>TEX</v>
      </c>
      <c r="Z58">
        <f t="shared" ref="Z58:AO58" si="55">C392</f>
        <v>48</v>
      </c>
      <c r="AA58">
        <f t="shared" si="55"/>
        <v>181</v>
      </c>
      <c r="AB58">
        <f t="shared" si="55"/>
        <v>41</v>
      </c>
      <c r="AC58">
        <f t="shared" si="55"/>
        <v>46</v>
      </c>
      <c r="AD58">
        <f t="shared" si="55"/>
        <v>8</v>
      </c>
      <c r="AE58">
        <f t="shared" si="55"/>
        <v>0</v>
      </c>
      <c r="AF58">
        <f t="shared" si="55"/>
        <v>14</v>
      </c>
      <c r="AG58">
        <f t="shared" si="55"/>
        <v>49</v>
      </c>
      <c r="AH58">
        <f t="shared" si="55"/>
        <v>18</v>
      </c>
      <c r="AI58">
        <f t="shared" si="55"/>
        <v>47</v>
      </c>
      <c r="AJ58">
        <f t="shared" si="55"/>
        <v>3</v>
      </c>
      <c r="AK58">
        <f t="shared" si="55"/>
        <v>0</v>
      </c>
      <c r="AL58" s="91">
        <f t="shared" si="55"/>
        <v>0.254</v>
      </c>
      <c r="AM58">
        <f t="shared" si="55"/>
        <v>0.32</v>
      </c>
      <c r="AN58">
        <f t="shared" si="55"/>
        <v>0.53</v>
      </c>
      <c r="AO58">
        <f t="shared" si="55"/>
        <v>0.85</v>
      </c>
    </row>
    <row r="59" spans="1:42" x14ac:dyDescent="0.3">
      <c r="A59">
        <v>9</v>
      </c>
      <c r="B59" t="s">
        <v>255</v>
      </c>
      <c r="C59">
        <v>49</v>
      </c>
      <c r="D59">
        <v>197</v>
      </c>
      <c r="E59">
        <v>26</v>
      </c>
      <c r="F59">
        <v>52</v>
      </c>
      <c r="G59">
        <v>5</v>
      </c>
      <c r="H59">
        <v>1</v>
      </c>
      <c r="I59">
        <v>9</v>
      </c>
      <c r="J59">
        <v>34</v>
      </c>
      <c r="K59">
        <v>14</v>
      </c>
      <c r="L59">
        <v>46</v>
      </c>
      <c r="M59">
        <v>2</v>
      </c>
      <c r="N59">
        <v>2</v>
      </c>
      <c r="O59">
        <v>0.26400000000000001</v>
      </c>
      <c r="P59">
        <v>0.31</v>
      </c>
      <c r="Q59">
        <v>0.437</v>
      </c>
      <c r="R59">
        <v>0.747</v>
      </c>
      <c r="S59">
        <v>0.34699999999999998</v>
      </c>
      <c r="T59">
        <v>0.48099999999999998</v>
      </c>
      <c r="U59">
        <v>0.82799999999999996</v>
      </c>
      <c r="W59" t="str">
        <f ca="1">OFFSET($A399,1,0)</f>
        <v>Ke'BryanK HayesHayes</v>
      </c>
      <c r="X59" s="1" t="str">
        <f ca="1">OFFSET($A399,2,0)</f>
        <v>3B</v>
      </c>
      <c r="Y59" t="str">
        <f>B399</f>
        <v>PIT</v>
      </c>
      <c r="Z59">
        <f t="shared" ref="Z59:AO59" si="56">C399</f>
        <v>48</v>
      </c>
      <c r="AA59">
        <f t="shared" si="56"/>
        <v>181</v>
      </c>
      <c r="AB59">
        <f t="shared" si="56"/>
        <v>25</v>
      </c>
      <c r="AC59">
        <f t="shared" si="56"/>
        <v>42</v>
      </c>
      <c r="AD59">
        <f t="shared" si="56"/>
        <v>12</v>
      </c>
      <c r="AE59">
        <f t="shared" si="56"/>
        <v>3</v>
      </c>
      <c r="AF59">
        <f t="shared" si="56"/>
        <v>1</v>
      </c>
      <c r="AG59">
        <f t="shared" si="56"/>
        <v>16</v>
      </c>
      <c r="AH59">
        <f t="shared" si="56"/>
        <v>15</v>
      </c>
      <c r="AI59">
        <f t="shared" si="56"/>
        <v>28</v>
      </c>
      <c r="AJ59">
        <f t="shared" si="56"/>
        <v>6</v>
      </c>
      <c r="AK59">
        <f t="shared" si="56"/>
        <v>5</v>
      </c>
      <c r="AL59" s="91">
        <f t="shared" si="56"/>
        <v>0.23200000000000001</v>
      </c>
      <c r="AM59">
        <f t="shared" si="56"/>
        <v>0.28899999999999998</v>
      </c>
      <c r="AN59">
        <f t="shared" si="56"/>
        <v>0.34799999999999998</v>
      </c>
      <c r="AO59">
        <f t="shared" si="56"/>
        <v>0.63700000000000001</v>
      </c>
    </row>
    <row r="60" spans="1:42" x14ac:dyDescent="0.3">
      <c r="A60" t="s">
        <v>3148</v>
      </c>
      <c r="W60" t="str">
        <f ca="1">OFFSET($A406,1,0)</f>
        <v>BryanB ReynoldsReynolds</v>
      </c>
      <c r="X60" s="1" t="str">
        <f ca="1">OFFSET($A406,2,0)</f>
        <v>LF</v>
      </c>
      <c r="Y60" t="str">
        <f>B406</f>
        <v>PIT</v>
      </c>
      <c r="Z60">
        <f t="shared" ref="Z60:AO60" si="57">C406</f>
        <v>47</v>
      </c>
      <c r="AA60">
        <f t="shared" si="57"/>
        <v>181</v>
      </c>
      <c r="AB60">
        <f t="shared" si="57"/>
        <v>27</v>
      </c>
      <c r="AC60">
        <f t="shared" si="57"/>
        <v>51</v>
      </c>
      <c r="AD60">
        <f t="shared" si="57"/>
        <v>16</v>
      </c>
      <c r="AE60">
        <f t="shared" si="57"/>
        <v>1</v>
      </c>
      <c r="AF60">
        <f t="shared" si="57"/>
        <v>6</v>
      </c>
      <c r="AG60">
        <f t="shared" si="57"/>
        <v>28</v>
      </c>
      <c r="AH60">
        <f t="shared" si="57"/>
        <v>14</v>
      </c>
      <c r="AI60">
        <f t="shared" si="57"/>
        <v>36</v>
      </c>
      <c r="AJ60">
        <f t="shared" si="57"/>
        <v>6</v>
      </c>
      <c r="AK60">
        <f t="shared" si="57"/>
        <v>0</v>
      </c>
      <c r="AL60" s="91">
        <f t="shared" si="57"/>
        <v>0.28199999999999997</v>
      </c>
      <c r="AM60">
        <f t="shared" si="57"/>
        <v>0.33200000000000002</v>
      </c>
      <c r="AN60">
        <f t="shared" si="57"/>
        <v>0.48099999999999998</v>
      </c>
      <c r="AO60">
        <f t="shared" si="57"/>
        <v>0.81299999999999994</v>
      </c>
    </row>
    <row r="61" spans="1:42" x14ac:dyDescent="0.3">
      <c r="A61" t="s">
        <v>80</v>
      </c>
      <c r="W61" t="str">
        <f ca="1">OFFSET($A413,1,0)</f>
        <v>RandyR ArozarenaArozarena</v>
      </c>
      <c r="X61" s="1" t="str">
        <f ca="1">OFFSET($A413,2,0)</f>
        <v>LF</v>
      </c>
      <c r="Y61" t="str">
        <f>B413</f>
        <v>TB</v>
      </c>
      <c r="Z61">
        <f t="shared" ref="Z61:AO61" si="58">C413</f>
        <v>50</v>
      </c>
      <c r="AA61">
        <f t="shared" si="58"/>
        <v>180</v>
      </c>
      <c r="AB61">
        <f t="shared" si="58"/>
        <v>34</v>
      </c>
      <c r="AC61">
        <f t="shared" si="58"/>
        <v>56</v>
      </c>
      <c r="AD61">
        <f t="shared" si="58"/>
        <v>7</v>
      </c>
      <c r="AE61">
        <f t="shared" si="58"/>
        <v>1</v>
      </c>
      <c r="AF61">
        <f t="shared" si="58"/>
        <v>11</v>
      </c>
      <c r="AG61">
        <f t="shared" si="58"/>
        <v>39</v>
      </c>
      <c r="AH61">
        <f t="shared" si="58"/>
        <v>27</v>
      </c>
      <c r="AI61">
        <f t="shared" si="58"/>
        <v>46</v>
      </c>
      <c r="AJ61">
        <f t="shared" si="58"/>
        <v>6</v>
      </c>
      <c r="AK61">
        <f t="shared" si="58"/>
        <v>4</v>
      </c>
      <c r="AL61" s="91">
        <f t="shared" si="58"/>
        <v>0.311</v>
      </c>
      <c r="AM61">
        <f t="shared" si="58"/>
        <v>0.41499999999999998</v>
      </c>
      <c r="AN61">
        <f t="shared" si="58"/>
        <v>0.54400000000000004</v>
      </c>
      <c r="AO61">
        <f t="shared" si="58"/>
        <v>0.95899999999999996</v>
      </c>
    </row>
    <row r="62" spans="1:42" x14ac:dyDescent="0.3">
      <c r="A62">
        <v>9</v>
      </c>
      <c r="W62" t="str">
        <f ca="1">OFFSET($A420,1,0)</f>
        <v>AndrewA BenintendiBenintendi</v>
      </c>
      <c r="X62" s="1" t="str">
        <f ca="1">OFFSET($A420,2,0)</f>
        <v>LF</v>
      </c>
      <c r="Y62" t="str">
        <f>B420</f>
        <v>CWS</v>
      </c>
      <c r="Z62">
        <f t="shared" ref="Z62:AO62" si="59">C420</f>
        <v>47</v>
      </c>
      <c r="AA62">
        <f t="shared" si="59"/>
        <v>180</v>
      </c>
      <c r="AB62">
        <f t="shared" si="59"/>
        <v>25</v>
      </c>
      <c r="AC62">
        <f t="shared" si="59"/>
        <v>49</v>
      </c>
      <c r="AD62">
        <f t="shared" si="59"/>
        <v>14</v>
      </c>
      <c r="AE62">
        <f t="shared" si="59"/>
        <v>0</v>
      </c>
      <c r="AF62">
        <f t="shared" si="59"/>
        <v>0</v>
      </c>
      <c r="AG62">
        <f t="shared" si="59"/>
        <v>12</v>
      </c>
      <c r="AH62">
        <f t="shared" si="59"/>
        <v>15</v>
      </c>
      <c r="AI62">
        <f t="shared" si="59"/>
        <v>30</v>
      </c>
      <c r="AJ62">
        <f t="shared" si="59"/>
        <v>5</v>
      </c>
      <c r="AK62">
        <f t="shared" si="59"/>
        <v>0</v>
      </c>
      <c r="AL62" s="91">
        <f t="shared" si="59"/>
        <v>0.27200000000000002</v>
      </c>
      <c r="AM62">
        <f t="shared" si="59"/>
        <v>0.33</v>
      </c>
      <c r="AN62">
        <f t="shared" si="59"/>
        <v>0.35</v>
      </c>
      <c r="AO62">
        <f t="shared" si="59"/>
        <v>0.68</v>
      </c>
    </row>
    <row r="63" spans="1:42" x14ac:dyDescent="0.3">
      <c r="A63" t="s">
        <v>1548</v>
      </c>
      <c r="W63" t="str">
        <f ca="1">OFFSET($A427,1,0)</f>
        <v>XanderX BogaertsBogaerts</v>
      </c>
      <c r="X63" s="1" t="str">
        <f ca="1">OFFSET($A427,2,0)</f>
        <v>SS</v>
      </c>
      <c r="Y63" t="str">
        <f>B427</f>
        <v>SD</v>
      </c>
      <c r="Z63">
        <f t="shared" ref="Z63:AO63" si="60">C427</f>
        <v>48</v>
      </c>
      <c r="AA63">
        <f t="shared" si="60"/>
        <v>180</v>
      </c>
      <c r="AB63">
        <f t="shared" si="60"/>
        <v>28</v>
      </c>
      <c r="AC63">
        <f t="shared" si="60"/>
        <v>46</v>
      </c>
      <c r="AD63">
        <f t="shared" si="60"/>
        <v>7</v>
      </c>
      <c r="AE63">
        <f t="shared" si="60"/>
        <v>0</v>
      </c>
      <c r="AF63">
        <f t="shared" si="60"/>
        <v>7</v>
      </c>
      <c r="AG63">
        <f t="shared" si="60"/>
        <v>18</v>
      </c>
      <c r="AH63">
        <f t="shared" si="60"/>
        <v>24</v>
      </c>
      <c r="AI63">
        <f t="shared" si="60"/>
        <v>38</v>
      </c>
      <c r="AJ63">
        <f t="shared" si="60"/>
        <v>4</v>
      </c>
      <c r="AK63">
        <f t="shared" si="60"/>
        <v>0</v>
      </c>
      <c r="AL63" s="91">
        <f t="shared" si="60"/>
        <v>0.25600000000000001</v>
      </c>
      <c r="AM63">
        <f t="shared" si="60"/>
        <v>0.35099999999999998</v>
      </c>
      <c r="AN63">
        <f t="shared" si="60"/>
        <v>0.41099999999999998</v>
      </c>
      <c r="AO63">
        <f t="shared" si="60"/>
        <v>0.76200000000000001</v>
      </c>
    </row>
    <row r="64" spans="1:42" x14ac:dyDescent="0.3">
      <c r="A64" t="s">
        <v>1548</v>
      </c>
      <c r="W64" t="str">
        <f ca="1">OFFSET($A434,1,0)</f>
        <v>WillsonW ContrerasContreras</v>
      </c>
      <c r="X64" s="1" t="str">
        <f ca="1">OFFSET($A434,2,0)</f>
        <v>C</v>
      </c>
      <c r="Y64" t="str">
        <f>B434</f>
        <v>STL</v>
      </c>
      <c r="Z64">
        <f t="shared" ref="Z64:AO64" si="61">C434</f>
        <v>49</v>
      </c>
      <c r="AA64">
        <f t="shared" si="61"/>
        <v>180</v>
      </c>
      <c r="AB64">
        <f t="shared" si="61"/>
        <v>21</v>
      </c>
      <c r="AC64">
        <f t="shared" si="61"/>
        <v>41</v>
      </c>
      <c r="AD64">
        <f t="shared" si="61"/>
        <v>12</v>
      </c>
      <c r="AE64">
        <f t="shared" si="61"/>
        <v>0</v>
      </c>
      <c r="AF64">
        <f t="shared" si="61"/>
        <v>5</v>
      </c>
      <c r="AG64">
        <f t="shared" si="61"/>
        <v>25</v>
      </c>
      <c r="AH64">
        <f t="shared" si="61"/>
        <v>21</v>
      </c>
      <c r="AI64">
        <f t="shared" si="61"/>
        <v>46</v>
      </c>
      <c r="AJ64">
        <f t="shared" si="61"/>
        <v>4</v>
      </c>
      <c r="AK64">
        <f t="shared" si="61"/>
        <v>1</v>
      </c>
      <c r="AL64" s="91">
        <f t="shared" si="61"/>
        <v>0.22800000000000001</v>
      </c>
      <c r="AM64">
        <f t="shared" si="61"/>
        <v>0.31</v>
      </c>
      <c r="AN64">
        <f t="shared" si="61"/>
        <v>0.378</v>
      </c>
      <c r="AO64">
        <f t="shared" si="61"/>
        <v>0.68799999999999994</v>
      </c>
    </row>
    <row r="65" spans="1:41" x14ac:dyDescent="0.3">
      <c r="A65" t="s">
        <v>1548</v>
      </c>
      <c r="W65" t="str">
        <f ca="1">OFFSET($A441,1,0)</f>
        <v>JorgeJ SolerSoler</v>
      </c>
      <c r="X65" s="1" t="str">
        <f ca="1">OFFSET($A441,2,0)</f>
        <v>DH</v>
      </c>
      <c r="Y65" t="str">
        <f>B441</f>
        <v>MIA</v>
      </c>
      <c r="Z65">
        <f t="shared" ref="Z65:AO65" si="62">C441</f>
        <v>49</v>
      </c>
      <c r="AA65">
        <f t="shared" si="62"/>
        <v>180</v>
      </c>
      <c r="AB65">
        <f t="shared" si="62"/>
        <v>27</v>
      </c>
      <c r="AC65">
        <f t="shared" si="62"/>
        <v>46</v>
      </c>
      <c r="AD65">
        <f t="shared" si="62"/>
        <v>10</v>
      </c>
      <c r="AE65">
        <f t="shared" si="62"/>
        <v>0</v>
      </c>
      <c r="AF65">
        <f t="shared" si="62"/>
        <v>14</v>
      </c>
      <c r="AG65">
        <f t="shared" si="62"/>
        <v>30</v>
      </c>
      <c r="AH65">
        <f t="shared" si="62"/>
        <v>18</v>
      </c>
      <c r="AI65">
        <f t="shared" si="62"/>
        <v>50</v>
      </c>
      <c r="AJ65">
        <f t="shared" si="62"/>
        <v>0</v>
      </c>
      <c r="AK65">
        <f t="shared" si="62"/>
        <v>0</v>
      </c>
      <c r="AL65" s="91">
        <f t="shared" si="62"/>
        <v>0.25600000000000001</v>
      </c>
      <c r="AM65">
        <f t="shared" si="62"/>
        <v>0.33300000000000002</v>
      </c>
      <c r="AN65">
        <f t="shared" si="62"/>
        <v>0.54400000000000004</v>
      </c>
      <c r="AO65">
        <f t="shared" si="62"/>
        <v>0.877</v>
      </c>
    </row>
    <row r="66" spans="1:41" x14ac:dyDescent="0.3">
      <c r="A66">
        <v>10</v>
      </c>
      <c r="B66" t="s">
        <v>311</v>
      </c>
      <c r="C66">
        <v>47</v>
      </c>
      <c r="D66">
        <v>196</v>
      </c>
      <c r="E66">
        <v>19</v>
      </c>
      <c r="F66">
        <v>57</v>
      </c>
      <c r="G66">
        <v>8</v>
      </c>
      <c r="H66">
        <v>0</v>
      </c>
      <c r="I66">
        <v>5</v>
      </c>
      <c r="J66">
        <v>19</v>
      </c>
      <c r="K66">
        <v>10</v>
      </c>
      <c r="L66">
        <v>34</v>
      </c>
      <c r="M66">
        <v>5</v>
      </c>
      <c r="N66">
        <v>1</v>
      </c>
      <c r="O66">
        <v>0.29099999999999998</v>
      </c>
      <c r="P66">
        <v>0.32500000000000001</v>
      </c>
      <c r="Q66">
        <v>0.40799999999999997</v>
      </c>
      <c r="R66">
        <v>0.73299999999999998</v>
      </c>
      <c r="S66">
        <v>0.28399999999999997</v>
      </c>
      <c r="T66">
        <v>0.36899999999999999</v>
      </c>
      <c r="U66">
        <v>0.65300000000000002</v>
      </c>
      <c r="W66" t="str">
        <f ca="1">OFFSET($A448,1,0)</f>
        <v>SpencerS SteerSteer</v>
      </c>
      <c r="X66" s="1" t="str">
        <f ca="1">OFFSET($A448,2,0)</f>
        <v>1B</v>
      </c>
      <c r="Y66" t="str">
        <f>B448</f>
        <v>CIN</v>
      </c>
      <c r="Z66">
        <f t="shared" ref="Z66:AO66" si="63">C448</f>
        <v>47</v>
      </c>
      <c r="AA66">
        <f t="shared" si="63"/>
        <v>180</v>
      </c>
      <c r="AB66">
        <f t="shared" si="63"/>
        <v>25</v>
      </c>
      <c r="AC66">
        <f t="shared" si="63"/>
        <v>50</v>
      </c>
      <c r="AD66">
        <f t="shared" si="63"/>
        <v>13</v>
      </c>
      <c r="AE66">
        <f t="shared" si="63"/>
        <v>1</v>
      </c>
      <c r="AF66">
        <f t="shared" si="63"/>
        <v>6</v>
      </c>
      <c r="AG66">
        <f t="shared" si="63"/>
        <v>22</v>
      </c>
      <c r="AH66">
        <f t="shared" si="63"/>
        <v>18</v>
      </c>
      <c r="AI66">
        <f t="shared" si="63"/>
        <v>43</v>
      </c>
      <c r="AJ66">
        <f t="shared" si="63"/>
        <v>1</v>
      </c>
      <c r="AK66">
        <f t="shared" si="63"/>
        <v>2</v>
      </c>
      <c r="AL66" s="91">
        <f t="shared" si="63"/>
        <v>0.27800000000000002</v>
      </c>
      <c r="AM66">
        <f t="shared" si="63"/>
        <v>0.34799999999999998</v>
      </c>
      <c r="AN66">
        <f t="shared" si="63"/>
        <v>0.46100000000000002</v>
      </c>
      <c r="AO66">
        <f t="shared" si="63"/>
        <v>0.80900000000000005</v>
      </c>
    </row>
    <row r="67" spans="1:41" x14ac:dyDescent="0.3">
      <c r="A67" t="s">
        <v>1563</v>
      </c>
      <c r="W67" t="str">
        <f ca="1">OFFSET($A455,1,0)</f>
        <v>JeffJ McNeilMcNeil</v>
      </c>
      <c r="X67" s="1" t="str">
        <f ca="1">OFFSET($A455,2,0)</f>
        <v>2B</v>
      </c>
      <c r="Y67" t="str">
        <f>B455</f>
        <v>NYM</v>
      </c>
      <c r="Z67">
        <f t="shared" ref="Z67:AO67" si="64">C455</f>
        <v>50</v>
      </c>
      <c r="AA67">
        <f t="shared" si="64"/>
        <v>178</v>
      </c>
      <c r="AB67">
        <f t="shared" si="64"/>
        <v>19</v>
      </c>
      <c r="AC67">
        <f t="shared" si="64"/>
        <v>50</v>
      </c>
      <c r="AD67">
        <f t="shared" si="64"/>
        <v>6</v>
      </c>
      <c r="AE67">
        <f t="shared" si="64"/>
        <v>1</v>
      </c>
      <c r="AF67">
        <f t="shared" si="64"/>
        <v>2</v>
      </c>
      <c r="AG67">
        <f t="shared" si="64"/>
        <v>16</v>
      </c>
      <c r="AH67">
        <f t="shared" si="64"/>
        <v>18</v>
      </c>
      <c r="AI67">
        <f t="shared" si="64"/>
        <v>20</v>
      </c>
      <c r="AJ67">
        <f t="shared" si="64"/>
        <v>2</v>
      </c>
      <c r="AK67">
        <f t="shared" si="64"/>
        <v>0</v>
      </c>
      <c r="AL67" s="91">
        <f t="shared" si="64"/>
        <v>0.28100000000000003</v>
      </c>
      <c r="AM67">
        <f t="shared" si="64"/>
        <v>0.36</v>
      </c>
      <c r="AN67">
        <f t="shared" si="64"/>
        <v>0.36</v>
      </c>
      <c r="AO67">
        <f t="shared" si="64"/>
        <v>0.72</v>
      </c>
    </row>
    <row r="68" spans="1:41" x14ac:dyDescent="0.3">
      <c r="A68" t="s">
        <v>79</v>
      </c>
      <c r="W68" t="str">
        <f ca="1">OFFSET($A462,1,0)</f>
        <v>AdleyA RutschmanRutschman</v>
      </c>
      <c r="X68" s="1" t="str">
        <f ca="1">OFFSET($A462,2,0)</f>
        <v>C</v>
      </c>
      <c r="Y68" t="str">
        <f>B462</f>
        <v>BAL</v>
      </c>
      <c r="Z68">
        <f t="shared" ref="Z68:AO68" si="65">C462</f>
        <v>49</v>
      </c>
      <c r="AA68">
        <f t="shared" si="65"/>
        <v>178</v>
      </c>
      <c r="AB68">
        <f t="shared" si="65"/>
        <v>24</v>
      </c>
      <c r="AC68">
        <f t="shared" si="65"/>
        <v>48</v>
      </c>
      <c r="AD68">
        <f t="shared" si="65"/>
        <v>7</v>
      </c>
      <c r="AE68">
        <f t="shared" si="65"/>
        <v>0</v>
      </c>
      <c r="AF68">
        <f t="shared" si="65"/>
        <v>7</v>
      </c>
      <c r="AG68">
        <f t="shared" si="65"/>
        <v>25</v>
      </c>
      <c r="AH68">
        <f t="shared" si="65"/>
        <v>40</v>
      </c>
      <c r="AI68">
        <f t="shared" si="65"/>
        <v>30</v>
      </c>
      <c r="AJ68">
        <f t="shared" si="65"/>
        <v>0</v>
      </c>
      <c r="AK68">
        <f t="shared" si="65"/>
        <v>1</v>
      </c>
      <c r="AL68" s="91">
        <f t="shared" si="65"/>
        <v>0.27</v>
      </c>
      <c r="AM68">
        <f t="shared" si="65"/>
        <v>0.4</v>
      </c>
      <c r="AN68">
        <f t="shared" si="65"/>
        <v>0.42699999999999999</v>
      </c>
      <c r="AO68">
        <f t="shared" si="65"/>
        <v>0.82699999999999996</v>
      </c>
    </row>
    <row r="69" spans="1:41" x14ac:dyDescent="0.3">
      <c r="A69">
        <v>10</v>
      </c>
      <c r="W69" t="str">
        <f ca="1">OFFSET($A469,1,0)</f>
        <v>AmedA RosarioRosario</v>
      </c>
      <c r="X69" s="1" t="str">
        <f ca="1">OFFSET($A469,2,0)</f>
        <v>SS</v>
      </c>
      <c r="Y69" t="str">
        <f>B469</f>
        <v>CLE</v>
      </c>
      <c r="Z69">
        <f t="shared" ref="Z69:AO69" si="66">C469</f>
        <v>43</v>
      </c>
      <c r="AA69">
        <f t="shared" si="66"/>
        <v>177</v>
      </c>
      <c r="AB69">
        <f t="shared" si="66"/>
        <v>22</v>
      </c>
      <c r="AC69">
        <f t="shared" si="66"/>
        <v>42</v>
      </c>
      <c r="AD69">
        <f t="shared" si="66"/>
        <v>5</v>
      </c>
      <c r="AE69">
        <f t="shared" si="66"/>
        <v>4</v>
      </c>
      <c r="AF69">
        <f t="shared" si="66"/>
        <v>1</v>
      </c>
      <c r="AG69">
        <f t="shared" si="66"/>
        <v>10</v>
      </c>
      <c r="AH69">
        <f t="shared" si="66"/>
        <v>9</v>
      </c>
      <c r="AI69">
        <f t="shared" si="66"/>
        <v>48</v>
      </c>
      <c r="AJ69">
        <f t="shared" si="66"/>
        <v>8</v>
      </c>
      <c r="AK69">
        <f t="shared" si="66"/>
        <v>0</v>
      </c>
      <c r="AL69" s="91">
        <f t="shared" si="66"/>
        <v>0.23699999999999999</v>
      </c>
      <c r="AM69">
        <f t="shared" si="66"/>
        <v>0.27500000000000002</v>
      </c>
      <c r="AN69">
        <f t="shared" si="66"/>
        <v>0.32800000000000001</v>
      </c>
      <c r="AO69">
        <f t="shared" si="66"/>
        <v>0.60299999999999998</v>
      </c>
    </row>
    <row r="70" spans="1:41" x14ac:dyDescent="0.3">
      <c r="A70" t="s">
        <v>1548</v>
      </c>
      <c r="W70" t="str">
        <f ca="1">OFFSET($A476,1,0)</f>
        <v>AnthonyA VolpeVolpe</v>
      </c>
      <c r="X70" s="1" t="str">
        <f ca="1">OFFSET($A476,2,0)</f>
        <v>SS</v>
      </c>
      <c r="Y70" t="str">
        <f>B476</f>
        <v>NYY</v>
      </c>
      <c r="Z70">
        <f t="shared" ref="Z70:AO70" si="67">C476</f>
        <v>51</v>
      </c>
      <c r="AA70">
        <f t="shared" si="67"/>
        <v>177</v>
      </c>
      <c r="AB70">
        <f t="shared" si="67"/>
        <v>21</v>
      </c>
      <c r="AC70">
        <f t="shared" si="67"/>
        <v>36</v>
      </c>
      <c r="AD70">
        <f t="shared" si="67"/>
        <v>5</v>
      </c>
      <c r="AE70">
        <f t="shared" si="67"/>
        <v>2</v>
      </c>
      <c r="AF70">
        <f t="shared" si="67"/>
        <v>7</v>
      </c>
      <c r="AG70">
        <f t="shared" si="67"/>
        <v>20</v>
      </c>
      <c r="AH70">
        <f t="shared" si="67"/>
        <v>21</v>
      </c>
      <c r="AI70">
        <f t="shared" si="67"/>
        <v>61</v>
      </c>
      <c r="AJ70">
        <f t="shared" si="67"/>
        <v>13</v>
      </c>
      <c r="AK70">
        <f t="shared" si="67"/>
        <v>0</v>
      </c>
      <c r="AL70" s="91">
        <f t="shared" si="67"/>
        <v>0.20300000000000001</v>
      </c>
      <c r="AM70">
        <f t="shared" si="67"/>
        <v>0.28999999999999998</v>
      </c>
      <c r="AN70">
        <f t="shared" si="67"/>
        <v>0.373</v>
      </c>
      <c r="AO70">
        <f t="shared" si="67"/>
        <v>0.66300000000000003</v>
      </c>
    </row>
    <row r="71" spans="1:41" x14ac:dyDescent="0.3">
      <c r="A71" t="s">
        <v>1548</v>
      </c>
      <c r="W71" t="str">
        <f ca="1">OFFSET($A483,1,0)</f>
        <v>ChristianC WalkerWalker</v>
      </c>
      <c r="X71" s="1" t="str">
        <f ca="1">OFFSET($A483,2,0)</f>
        <v>1B</v>
      </c>
      <c r="Y71" t="str">
        <f>B483</f>
        <v>AZ</v>
      </c>
      <c r="Z71">
        <f t="shared" ref="Z71:AO71" si="68">C483</f>
        <v>47</v>
      </c>
      <c r="AA71">
        <f t="shared" si="68"/>
        <v>177</v>
      </c>
      <c r="AB71">
        <f t="shared" si="68"/>
        <v>28</v>
      </c>
      <c r="AC71">
        <f t="shared" si="68"/>
        <v>44</v>
      </c>
      <c r="AD71">
        <f t="shared" si="68"/>
        <v>10</v>
      </c>
      <c r="AE71">
        <f t="shared" si="68"/>
        <v>0</v>
      </c>
      <c r="AF71">
        <f t="shared" si="68"/>
        <v>11</v>
      </c>
      <c r="AG71">
        <f t="shared" si="68"/>
        <v>34</v>
      </c>
      <c r="AH71">
        <f t="shared" si="68"/>
        <v>17</v>
      </c>
      <c r="AI71">
        <f t="shared" si="68"/>
        <v>40</v>
      </c>
      <c r="AJ71">
        <f t="shared" si="68"/>
        <v>1</v>
      </c>
      <c r="AK71">
        <f t="shared" si="68"/>
        <v>0</v>
      </c>
      <c r="AL71" s="91">
        <f t="shared" si="68"/>
        <v>0.249</v>
      </c>
      <c r="AM71">
        <f t="shared" si="68"/>
        <v>0.313</v>
      </c>
      <c r="AN71">
        <f t="shared" si="68"/>
        <v>0.49199999999999999</v>
      </c>
      <c r="AO71">
        <f t="shared" si="68"/>
        <v>0.80500000000000005</v>
      </c>
    </row>
    <row r="72" spans="1:41" x14ac:dyDescent="0.3">
      <c r="A72" t="s">
        <v>1548</v>
      </c>
      <c r="W72" t="str">
        <f ca="1">OFFSET($A490,1,0)</f>
        <v>TaylorT WardWard</v>
      </c>
      <c r="X72" s="1" t="str">
        <f ca="1">OFFSET($A490,2,0)</f>
        <v>LF</v>
      </c>
      <c r="Y72" t="str">
        <f>B490</f>
        <v>LAA</v>
      </c>
      <c r="Z72">
        <f t="shared" ref="Z72:AO72" si="69">C490</f>
        <v>48</v>
      </c>
      <c r="AA72">
        <f t="shared" si="69"/>
        <v>177</v>
      </c>
      <c r="AB72">
        <f t="shared" si="69"/>
        <v>28</v>
      </c>
      <c r="AC72">
        <f t="shared" si="69"/>
        <v>40</v>
      </c>
      <c r="AD72">
        <f t="shared" si="69"/>
        <v>5</v>
      </c>
      <c r="AE72">
        <f t="shared" si="69"/>
        <v>0</v>
      </c>
      <c r="AF72">
        <f t="shared" si="69"/>
        <v>4</v>
      </c>
      <c r="AG72">
        <f t="shared" si="69"/>
        <v>17</v>
      </c>
      <c r="AH72">
        <f t="shared" si="69"/>
        <v>17</v>
      </c>
      <c r="AI72">
        <f t="shared" si="69"/>
        <v>42</v>
      </c>
      <c r="AJ72">
        <f t="shared" si="69"/>
        <v>1</v>
      </c>
      <c r="AK72">
        <f t="shared" si="69"/>
        <v>1</v>
      </c>
      <c r="AL72" s="91">
        <f t="shared" si="69"/>
        <v>0.22600000000000001</v>
      </c>
      <c r="AM72">
        <f t="shared" si="69"/>
        <v>0.3</v>
      </c>
      <c r="AN72">
        <f t="shared" si="69"/>
        <v>0.32200000000000001</v>
      </c>
      <c r="AO72">
        <f t="shared" si="69"/>
        <v>0.622</v>
      </c>
    </row>
    <row r="73" spans="1:41" x14ac:dyDescent="0.3">
      <c r="A73">
        <v>11</v>
      </c>
      <c r="B73" t="s">
        <v>339</v>
      </c>
      <c r="C73">
        <v>50</v>
      </c>
      <c r="D73">
        <v>194</v>
      </c>
      <c r="E73">
        <v>29</v>
      </c>
      <c r="F73">
        <v>44</v>
      </c>
      <c r="G73">
        <v>15</v>
      </c>
      <c r="H73">
        <v>0</v>
      </c>
      <c r="I73">
        <v>7</v>
      </c>
      <c r="J73">
        <v>33</v>
      </c>
      <c r="K73">
        <v>17</v>
      </c>
      <c r="L73">
        <v>50</v>
      </c>
      <c r="M73">
        <v>4</v>
      </c>
      <c r="N73">
        <v>1</v>
      </c>
      <c r="O73">
        <v>0.22700000000000001</v>
      </c>
      <c r="P73">
        <v>0.30399999999999999</v>
      </c>
      <c r="Q73">
        <v>0.41199999999999998</v>
      </c>
      <c r="R73">
        <v>0.71599999999999997</v>
      </c>
      <c r="S73">
        <v>0.35899999999999999</v>
      </c>
      <c r="T73">
        <v>0.45500000000000002</v>
      </c>
      <c r="U73">
        <v>0.81399999999999995</v>
      </c>
      <c r="W73" t="str">
        <f ca="1">OFFSET($A497,1,0)</f>
        <v>SalvadorS PerezPerez</v>
      </c>
      <c r="X73" s="1" t="str">
        <f ca="1">OFFSET($A497,2,0)</f>
        <v>C</v>
      </c>
      <c r="Y73" t="str">
        <f>B497</f>
        <v>KC</v>
      </c>
      <c r="Z73">
        <f t="shared" ref="Z73:AO73" si="70">C497</f>
        <v>45</v>
      </c>
      <c r="AA73">
        <f t="shared" si="70"/>
        <v>175</v>
      </c>
      <c r="AB73">
        <f t="shared" si="70"/>
        <v>24</v>
      </c>
      <c r="AC73">
        <f t="shared" si="70"/>
        <v>49</v>
      </c>
      <c r="AD73">
        <f t="shared" si="70"/>
        <v>11</v>
      </c>
      <c r="AE73">
        <f t="shared" si="70"/>
        <v>0</v>
      </c>
      <c r="AF73">
        <f t="shared" si="70"/>
        <v>11</v>
      </c>
      <c r="AG73">
        <f t="shared" si="70"/>
        <v>28</v>
      </c>
      <c r="AH73">
        <f t="shared" si="70"/>
        <v>8</v>
      </c>
      <c r="AI73">
        <f t="shared" si="70"/>
        <v>39</v>
      </c>
      <c r="AJ73">
        <f t="shared" si="70"/>
        <v>0</v>
      </c>
      <c r="AK73">
        <f t="shared" si="70"/>
        <v>0</v>
      </c>
      <c r="AL73" s="91">
        <f t="shared" si="70"/>
        <v>0.28000000000000003</v>
      </c>
      <c r="AM73">
        <f t="shared" si="70"/>
        <v>0.32100000000000001</v>
      </c>
      <c r="AN73">
        <f t="shared" si="70"/>
        <v>0.53100000000000003</v>
      </c>
      <c r="AO73">
        <f t="shared" si="70"/>
        <v>0.85199999999999998</v>
      </c>
    </row>
    <row r="74" spans="1:41" x14ac:dyDescent="0.3">
      <c r="A74" t="s">
        <v>3026</v>
      </c>
      <c r="W74" t="str">
        <f ca="1">OFFSET($A504,1,0)</f>
        <v>SpencerS TorkelsonTorkelson</v>
      </c>
      <c r="X74" s="1" t="str">
        <f ca="1">OFFSET($A504,2,0)</f>
        <v>1B</v>
      </c>
      <c r="Y74" t="str">
        <f>B504</f>
        <v>DET</v>
      </c>
      <c r="Z74">
        <f t="shared" ref="Z74:AO74" si="71">C504</f>
        <v>46</v>
      </c>
      <c r="AA74">
        <f t="shared" si="71"/>
        <v>175</v>
      </c>
      <c r="AB74">
        <f t="shared" si="71"/>
        <v>17</v>
      </c>
      <c r="AC74">
        <f t="shared" si="71"/>
        <v>41</v>
      </c>
      <c r="AD74">
        <f t="shared" si="71"/>
        <v>11</v>
      </c>
      <c r="AE74">
        <f t="shared" si="71"/>
        <v>0</v>
      </c>
      <c r="AF74">
        <f t="shared" si="71"/>
        <v>4</v>
      </c>
      <c r="AG74">
        <f t="shared" si="71"/>
        <v>21</v>
      </c>
      <c r="AH74">
        <f t="shared" si="71"/>
        <v>15</v>
      </c>
      <c r="AI74">
        <f t="shared" si="71"/>
        <v>40</v>
      </c>
      <c r="AJ74">
        <f t="shared" si="71"/>
        <v>1</v>
      </c>
      <c r="AK74">
        <f t="shared" si="71"/>
        <v>0</v>
      </c>
      <c r="AL74" s="91">
        <f t="shared" si="71"/>
        <v>0.23400000000000001</v>
      </c>
      <c r="AM74">
        <f t="shared" si="71"/>
        <v>0.29699999999999999</v>
      </c>
      <c r="AN74">
        <f t="shared" si="71"/>
        <v>0.36599999999999999</v>
      </c>
      <c r="AO74">
        <f t="shared" si="71"/>
        <v>0.66300000000000003</v>
      </c>
    </row>
    <row r="75" spans="1:41" x14ac:dyDescent="0.3">
      <c r="A75" t="s">
        <v>1529</v>
      </c>
      <c r="W75" t="str">
        <f ca="1">OFFSET($A511,1,0)</f>
        <v>JustinJ TurnerTurner</v>
      </c>
      <c r="X75" s="1" t="str">
        <f ca="1">OFFSET($A511,2,0)</f>
        <v>DH</v>
      </c>
      <c r="Y75" t="str">
        <f>B511</f>
        <v>BOS</v>
      </c>
      <c r="Z75">
        <f t="shared" ref="Z75:AO75" si="72">C511</f>
        <v>48</v>
      </c>
      <c r="AA75">
        <f t="shared" si="72"/>
        <v>175</v>
      </c>
      <c r="AB75">
        <f t="shared" si="72"/>
        <v>28</v>
      </c>
      <c r="AC75">
        <f t="shared" si="72"/>
        <v>46</v>
      </c>
      <c r="AD75">
        <f t="shared" si="72"/>
        <v>9</v>
      </c>
      <c r="AE75">
        <f t="shared" si="72"/>
        <v>0</v>
      </c>
      <c r="AF75">
        <f t="shared" si="72"/>
        <v>5</v>
      </c>
      <c r="AG75">
        <f t="shared" si="72"/>
        <v>18</v>
      </c>
      <c r="AH75">
        <f t="shared" si="72"/>
        <v>24</v>
      </c>
      <c r="AI75">
        <f t="shared" si="72"/>
        <v>31</v>
      </c>
      <c r="AJ75">
        <f t="shared" si="72"/>
        <v>2</v>
      </c>
      <c r="AK75">
        <f t="shared" si="72"/>
        <v>0</v>
      </c>
      <c r="AL75" s="91">
        <f t="shared" si="72"/>
        <v>0.26300000000000001</v>
      </c>
      <c r="AM75">
        <f t="shared" si="72"/>
        <v>0.36099999999999999</v>
      </c>
      <c r="AN75">
        <f t="shared" si="72"/>
        <v>0.4</v>
      </c>
      <c r="AO75">
        <f t="shared" si="72"/>
        <v>0.76100000000000001</v>
      </c>
    </row>
    <row r="76" spans="1:41" x14ac:dyDescent="0.3">
      <c r="A76">
        <v>11</v>
      </c>
      <c r="W76" t="str">
        <f ca="1">OFFSET($A518,1,0)</f>
        <v>KyleK TuckerTucker</v>
      </c>
      <c r="X76" s="1" t="str">
        <f ca="1">OFFSET($A518,2,0)</f>
        <v>RF</v>
      </c>
      <c r="Y76" t="str">
        <f>B518</f>
        <v>HOU</v>
      </c>
      <c r="Z76">
        <f t="shared" ref="Z76:AO76" si="73">C518</f>
        <v>49</v>
      </c>
      <c r="AA76">
        <f t="shared" si="73"/>
        <v>174</v>
      </c>
      <c r="AB76">
        <f t="shared" si="73"/>
        <v>18</v>
      </c>
      <c r="AC76">
        <f t="shared" si="73"/>
        <v>48</v>
      </c>
      <c r="AD76">
        <f t="shared" si="73"/>
        <v>9</v>
      </c>
      <c r="AE76">
        <f t="shared" si="73"/>
        <v>0</v>
      </c>
      <c r="AF76">
        <f t="shared" si="73"/>
        <v>7</v>
      </c>
      <c r="AG76">
        <f t="shared" si="73"/>
        <v>33</v>
      </c>
      <c r="AH76">
        <f t="shared" si="73"/>
        <v>24</v>
      </c>
      <c r="AI76">
        <f t="shared" si="73"/>
        <v>31</v>
      </c>
      <c r="AJ76">
        <f t="shared" si="73"/>
        <v>7</v>
      </c>
      <c r="AK76">
        <f t="shared" si="73"/>
        <v>1</v>
      </c>
      <c r="AL76" s="91">
        <f t="shared" si="73"/>
        <v>0.27600000000000002</v>
      </c>
      <c r="AM76">
        <f t="shared" si="73"/>
        <v>0.35599999999999998</v>
      </c>
      <c r="AN76">
        <f t="shared" si="73"/>
        <v>0.44800000000000001</v>
      </c>
      <c r="AO76">
        <f t="shared" si="73"/>
        <v>0.80400000000000005</v>
      </c>
    </row>
    <row r="77" spans="1:41" x14ac:dyDescent="0.3">
      <c r="A77" t="s">
        <v>1548</v>
      </c>
      <c r="W77" t="str">
        <f ca="1">OFFSET($A525,1,0)</f>
        <v>ChristianC YelichYelich</v>
      </c>
      <c r="X77" s="1" t="str">
        <f ca="1">OFFSET($A525,2,0)</f>
        <v>LF</v>
      </c>
      <c r="Y77" t="str">
        <f>B525</f>
        <v>MIL</v>
      </c>
      <c r="Z77">
        <f t="shared" ref="Z77:AO77" si="74">C525</f>
        <v>46</v>
      </c>
      <c r="AA77">
        <f t="shared" si="74"/>
        <v>174</v>
      </c>
      <c r="AB77">
        <f t="shared" si="74"/>
        <v>34</v>
      </c>
      <c r="AC77">
        <f t="shared" si="74"/>
        <v>45</v>
      </c>
      <c r="AD77">
        <f t="shared" si="74"/>
        <v>6</v>
      </c>
      <c r="AE77">
        <f t="shared" si="74"/>
        <v>0</v>
      </c>
      <c r="AF77">
        <f t="shared" si="74"/>
        <v>7</v>
      </c>
      <c r="AG77">
        <f t="shared" si="74"/>
        <v>24</v>
      </c>
      <c r="AH77">
        <f t="shared" si="74"/>
        <v>18</v>
      </c>
      <c r="AI77">
        <f t="shared" si="74"/>
        <v>43</v>
      </c>
      <c r="AJ77">
        <f t="shared" si="74"/>
        <v>10</v>
      </c>
      <c r="AK77">
        <f t="shared" si="74"/>
        <v>0</v>
      </c>
      <c r="AL77" s="91">
        <f t="shared" si="74"/>
        <v>0.25900000000000001</v>
      </c>
      <c r="AM77">
        <f t="shared" si="74"/>
        <v>0.33800000000000002</v>
      </c>
      <c r="AN77">
        <f t="shared" si="74"/>
        <v>0.41399999999999998</v>
      </c>
      <c r="AO77">
        <f t="shared" si="74"/>
        <v>0.752</v>
      </c>
    </row>
    <row r="78" spans="1:41" x14ac:dyDescent="0.3">
      <c r="A78" t="s">
        <v>1548</v>
      </c>
      <c r="W78" t="str">
        <f ca="1">OFFSET($A374,1,0)</f>
        <v>‌</v>
      </c>
      <c r="X78" t="str">
        <f ca="1">OFFSET($A374,1,0)</f>
        <v>‌</v>
      </c>
    </row>
    <row r="79" spans="1:41" x14ac:dyDescent="0.3">
      <c r="A79" t="s">
        <v>1548</v>
      </c>
      <c r="W79" t="str">
        <f ca="1">OFFSET($A369,1,0)</f>
        <v>‌</v>
      </c>
      <c r="X79" t="str">
        <f ca="1">OFFSET($A369,1,0)</f>
        <v>‌</v>
      </c>
    </row>
    <row r="80" spans="1:41" x14ac:dyDescent="0.3">
      <c r="A80">
        <v>11</v>
      </c>
      <c r="B80" t="s">
        <v>244</v>
      </c>
      <c r="C80">
        <v>47</v>
      </c>
      <c r="D80">
        <v>194</v>
      </c>
      <c r="E80">
        <v>32</v>
      </c>
      <c r="F80">
        <v>43</v>
      </c>
      <c r="G80">
        <v>10</v>
      </c>
      <c r="H80">
        <v>1</v>
      </c>
      <c r="I80">
        <v>7</v>
      </c>
      <c r="J80">
        <v>23</v>
      </c>
      <c r="K80">
        <v>17</v>
      </c>
      <c r="L80">
        <v>60</v>
      </c>
      <c r="M80">
        <v>8</v>
      </c>
      <c r="N80">
        <v>4</v>
      </c>
      <c r="O80">
        <v>0.222</v>
      </c>
      <c r="P80">
        <v>0.29399999999999998</v>
      </c>
      <c r="Q80">
        <v>0.39200000000000002</v>
      </c>
      <c r="R80">
        <v>0.68600000000000005</v>
      </c>
      <c r="S80">
        <v>0.32500000000000001</v>
      </c>
      <c r="T80">
        <v>0.53800000000000003</v>
      </c>
      <c r="U80">
        <v>0.86299999999999999</v>
      </c>
      <c r="W80" t="str">
        <f ca="1">OFFSET($A376,1,0)</f>
        <v>‌</v>
      </c>
      <c r="X80" t="str">
        <f ca="1">OFFSET($A376,1,0)</f>
        <v>‌</v>
      </c>
    </row>
    <row r="81" spans="1:24" x14ac:dyDescent="0.3">
      <c r="A81" t="s">
        <v>3245</v>
      </c>
      <c r="X81" s="1">
        <f ca="1">OFFSET($A251,2,0)</f>
        <v>31</v>
      </c>
    </row>
    <row r="82" spans="1:24" x14ac:dyDescent="0.3">
      <c r="A82" t="s">
        <v>1530</v>
      </c>
      <c r="X82" s="1">
        <f ca="1">OFFSET($A258,2,0)</f>
        <v>37</v>
      </c>
    </row>
    <row r="83" spans="1:24" x14ac:dyDescent="0.3">
      <c r="A83">
        <v>11</v>
      </c>
      <c r="W83">
        <f ca="1">OFFSET($A373,1,0)</f>
        <v>49</v>
      </c>
      <c r="X83" s="1">
        <f ca="1">OFFSET($A265,2,0)</f>
        <v>37</v>
      </c>
    </row>
    <row r="84" spans="1:24" x14ac:dyDescent="0.3">
      <c r="A84" t="s">
        <v>1548</v>
      </c>
      <c r="W84">
        <f ca="1">OFFSET($A380,1,0)</f>
        <v>49</v>
      </c>
      <c r="X84" s="1">
        <f ca="1">OFFSET($A272,2,0)</f>
        <v>39</v>
      </c>
    </row>
    <row r="85" spans="1:24" x14ac:dyDescent="0.3">
      <c r="A85" t="s">
        <v>1548</v>
      </c>
      <c r="W85" t="str">
        <f ca="1">OFFSET($A375,1,0)</f>
        <v>‌</v>
      </c>
      <c r="X85" s="1">
        <f ca="1">OFFSET($A279,2,0)</f>
        <v>39</v>
      </c>
    </row>
    <row r="86" spans="1:24" x14ac:dyDescent="0.3">
      <c r="A86" t="s">
        <v>1548</v>
      </c>
      <c r="W86" t="str">
        <f ca="1">OFFSET($A382,1,0)</f>
        <v>‌</v>
      </c>
      <c r="X86" s="1">
        <f ca="1">OFFSET($A286,2,0)</f>
        <v>41</v>
      </c>
    </row>
    <row r="87" spans="1:24" x14ac:dyDescent="0.3">
      <c r="A87">
        <v>13</v>
      </c>
      <c r="B87" t="s">
        <v>221</v>
      </c>
      <c r="C87">
        <v>49</v>
      </c>
      <c r="D87">
        <v>193</v>
      </c>
      <c r="E87">
        <v>27</v>
      </c>
      <c r="F87">
        <v>48</v>
      </c>
      <c r="G87">
        <v>12</v>
      </c>
      <c r="H87">
        <v>0</v>
      </c>
      <c r="I87">
        <v>13</v>
      </c>
      <c r="J87">
        <v>44</v>
      </c>
      <c r="K87">
        <v>10</v>
      </c>
      <c r="L87">
        <v>43</v>
      </c>
      <c r="M87">
        <v>0</v>
      </c>
      <c r="N87">
        <v>1</v>
      </c>
      <c r="O87">
        <v>0.249</v>
      </c>
      <c r="P87">
        <v>0.28999999999999998</v>
      </c>
      <c r="Q87">
        <v>0.51300000000000001</v>
      </c>
      <c r="R87">
        <v>0.80300000000000005</v>
      </c>
      <c r="S87">
        <v>0.31900000000000001</v>
      </c>
      <c r="T87">
        <v>0.39800000000000002</v>
      </c>
      <c r="U87">
        <v>0.71699999999999997</v>
      </c>
      <c r="W87">
        <f ca="1">OFFSET($A377,1,0)</f>
        <v>49</v>
      </c>
      <c r="X87" s="1">
        <f ca="1">OFFSET($A293,2,0)</f>
        <v>41</v>
      </c>
    </row>
    <row r="88" spans="1:24" x14ac:dyDescent="0.3">
      <c r="A88" t="s">
        <v>1569</v>
      </c>
      <c r="W88">
        <f ca="1">OFFSET($A384,1,0)</f>
        <v>55</v>
      </c>
      <c r="X88" s="1">
        <f ca="1">OFFSET($A300,2,0)</f>
        <v>41</v>
      </c>
    </row>
    <row r="89" spans="1:24" x14ac:dyDescent="0.3">
      <c r="A89" t="s">
        <v>80</v>
      </c>
      <c r="W89" t="str">
        <f ca="1">OFFSET($A379,1,0)</f>
        <v>CF</v>
      </c>
      <c r="X89" s="1">
        <f ca="1">OFFSET($A307,2,0)</f>
        <v>41</v>
      </c>
    </row>
    <row r="90" spans="1:24" x14ac:dyDescent="0.3">
      <c r="A90">
        <v>13</v>
      </c>
      <c r="W90" t="str">
        <f ca="1">OFFSET($A386,1,0)</f>
        <v>SS</v>
      </c>
      <c r="X90" s="1">
        <f ca="1">OFFSET($A314,2,0)</f>
        <v>45</v>
      </c>
    </row>
    <row r="91" spans="1:24" x14ac:dyDescent="0.3">
      <c r="A91" t="s">
        <v>1548</v>
      </c>
      <c r="W91" t="str">
        <f ca="1">OFFSET($A381,1,0)</f>
        <v>‌</v>
      </c>
      <c r="X91" s="1">
        <f ca="1">OFFSET($A321,2,0)</f>
        <v>45</v>
      </c>
    </row>
    <row r="92" spans="1:24" x14ac:dyDescent="0.3">
      <c r="A92" t="s">
        <v>1548</v>
      </c>
      <c r="W92" t="str">
        <f ca="1">OFFSET($A388,1,0)</f>
        <v>‌</v>
      </c>
      <c r="X92" s="1">
        <f ca="1">OFFSET($A328,2,0)</f>
        <v>45</v>
      </c>
    </row>
    <row r="93" spans="1:24" x14ac:dyDescent="0.3">
      <c r="A93" t="s">
        <v>1548</v>
      </c>
      <c r="W93" t="str">
        <f ca="1">OFFSET($A383,1,0)</f>
        <v>‌</v>
      </c>
      <c r="X93" s="1">
        <f ca="1">OFFSET($A335,2,0)</f>
        <v>45</v>
      </c>
    </row>
    <row r="94" spans="1:24" x14ac:dyDescent="0.3">
      <c r="A94">
        <v>13</v>
      </c>
      <c r="B94" t="s">
        <v>264</v>
      </c>
      <c r="C94">
        <v>49</v>
      </c>
      <c r="D94">
        <v>193</v>
      </c>
      <c r="E94">
        <v>37</v>
      </c>
      <c r="F94">
        <v>56</v>
      </c>
      <c r="G94">
        <v>16</v>
      </c>
      <c r="H94">
        <v>1</v>
      </c>
      <c r="I94">
        <v>5</v>
      </c>
      <c r="J94">
        <v>29</v>
      </c>
      <c r="K94">
        <v>24</v>
      </c>
      <c r="L94">
        <v>44</v>
      </c>
      <c r="M94">
        <v>0</v>
      </c>
      <c r="N94">
        <v>0</v>
      </c>
      <c r="O94">
        <v>0.28999999999999998</v>
      </c>
      <c r="P94">
        <v>0.37</v>
      </c>
      <c r="Q94">
        <v>0.46100000000000002</v>
      </c>
      <c r="R94">
        <v>0.83099999999999996</v>
      </c>
      <c r="S94">
        <v>0.28000000000000003</v>
      </c>
      <c r="T94">
        <v>0.25900000000000001</v>
      </c>
      <c r="U94">
        <v>0.53900000000000003</v>
      </c>
      <c r="W94" t="str">
        <f ca="1">OFFSET($A390,1,0)</f>
        <v>‌</v>
      </c>
      <c r="X94" s="1">
        <f ca="1">OFFSET($A342,2,0)</f>
        <v>49</v>
      </c>
    </row>
    <row r="95" spans="1:24" x14ac:dyDescent="0.3">
      <c r="A95" t="s">
        <v>1551</v>
      </c>
      <c r="X95" s="1">
        <f ca="1">OFFSET($A349,2,0)</f>
        <v>49</v>
      </c>
    </row>
    <row r="96" spans="1:24" x14ac:dyDescent="0.3">
      <c r="A96" t="s">
        <v>1527</v>
      </c>
      <c r="X96" s="1" t="str">
        <f ca="1">OFFSET($A356,2,0)</f>
        <v>RileyR GreeneGreene</v>
      </c>
    </row>
    <row r="97" spans="1:24" x14ac:dyDescent="0.3">
      <c r="A97">
        <v>13</v>
      </c>
      <c r="W97">
        <f ca="1">OFFSET($A387,1,0)</f>
        <v>55</v>
      </c>
      <c r="X97" s="1" t="str">
        <f ca="1">OFFSET($A363,2,0)</f>
        <v>CedricC MullinsMullins</v>
      </c>
    </row>
    <row r="98" spans="1:24" x14ac:dyDescent="0.3">
      <c r="A98" t="s">
        <v>1548</v>
      </c>
      <c r="W98">
        <f ca="1">OFFSET($A394,1,0)</f>
        <v>55</v>
      </c>
      <c r="X98" s="1" t="str">
        <f ca="1">OFFSET($A370,2,0)</f>
        <v>GleyberG TorresTorres</v>
      </c>
    </row>
    <row r="99" spans="1:24" x14ac:dyDescent="0.3">
      <c r="A99" t="s">
        <v>1548</v>
      </c>
      <c r="W99" t="str">
        <f ca="1">OFFSET($A389,1,0)</f>
        <v>‌</v>
      </c>
      <c r="X99" s="1" t="str">
        <f ca="1">OFFSET($A377,2,0)</f>
        <v>MikeM TroutTrout</v>
      </c>
    </row>
    <row r="100" spans="1:24" x14ac:dyDescent="0.3">
      <c r="A100" t="s">
        <v>1548</v>
      </c>
      <c r="W100" t="str">
        <f ca="1">OFFSET($A396,1,0)</f>
        <v>‌</v>
      </c>
      <c r="X100" s="1" t="str">
        <f ca="1">OFFSET($A384,2,0)</f>
        <v>WillyW AdamesAdames</v>
      </c>
    </row>
    <row r="101" spans="1:24" x14ac:dyDescent="0.3">
      <c r="A101">
        <v>13</v>
      </c>
      <c r="B101" t="s">
        <v>1524</v>
      </c>
      <c r="C101">
        <v>46</v>
      </c>
      <c r="D101">
        <v>193</v>
      </c>
      <c r="E101">
        <v>17</v>
      </c>
      <c r="F101">
        <v>57</v>
      </c>
      <c r="G101">
        <v>12</v>
      </c>
      <c r="H101">
        <v>0</v>
      </c>
      <c r="I101">
        <v>2</v>
      </c>
      <c r="J101">
        <v>24</v>
      </c>
      <c r="K101">
        <v>9</v>
      </c>
      <c r="L101">
        <v>42</v>
      </c>
      <c r="M101">
        <v>0</v>
      </c>
      <c r="N101">
        <v>0</v>
      </c>
      <c r="O101">
        <v>0.29499999999999998</v>
      </c>
      <c r="P101">
        <v>0.32700000000000001</v>
      </c>
      <c r="Q101">
        <v>0.38900000000000001</v>
      </c>
      <c r="R101">
        <v>0.71599999999999997</v>
      </c>
      <c r="S101">
        <v>0.36699999999999999</v>
      </c>
      <c r="T101">
        <v>0.40500000000000003</v>
      </c>
      <c r="U101">
        <v>0.77200000000000002</v>
      </c>
      <c r="W101">
        <f ca="1">OFFSET($A391,1,0)</f>
        <v>55</v>
      </c>
      <c r="X101" s="1" t="str">
        <f ca="1">OFFSET($A391,2,0)</f>
        <v>AdolisA GarcíaGarcia</v>
      </c>
    </row>
    <row r="102" spans="1:24" x14ac:dyDescent="0.3">
      <c r="A102" t="s">
        <v>1555</v>
      </c>
      <c r="W102">
        <f ca="1">OFFSET($A398,1,0)</f>
        <v>55</v>
      </c>
      <c r="X102" s="1" t="str">
        <f ca="1">OFFSET($A398,2,0)</f>
        <v>Ke'BryanK HayesHayes</v>
      </c>
    </row>
    <row r="103" spans="1:24" x14ac:dyDescent="0.3">
      <c r="A103" t="s">
        <v>1526</v>
      </c>
      <c r="W103" t="str">
        <f ca="1">OFFSET($A393,1,0)</f>
        <v>RF</v>
      </c>
    </row>
    <row r="104" spans="1:24" x14ac:dyDescent="0.3">
      <c r="A104">
        <v>13</v>
      </c>
      <c r="W104" t="str">
        <f ca="1">OFFSET($A400,1,0)</f>
        <v>3B</v>
      </c>
    </row>
    <row r="105" spans="1:24" x14ac:dyDescent="0.3">
      <c r="A105" t="s">
        <v>1548</v>
      </c>
      <c r="W105" t="str">
        <f ca="1">OFFSET($A395,1,0)</f>
        <v>‌</v>
      </c>
    </row>
    <row r="106" spans="1:24" x14ac:dyDescent="0.3">
      <c r="A106" t="s">
        <v>1548</v>
      </c>
      <c r="W106" t="str">
        <f ca="1">OFFSET($A402,1,0)</f>
        <v>‌</v>
      </c>
    </row>
    <row r="107" spans="1:24" x14ac:dyDescent="0.3">
      <c r="A107" t="s">
        <v>1548</v>
      </c>
      <c r="W107" t="str">
        <f ca="1">OFFSET($A397,1,0)</f>
        <v>‌</v>
      </c>
    </row>
    <row r="108" spans="1:24" x14ac:dyDescent="0.3">
      <c r="A108">
        <v>16</v>
      </c>
      <c r="B108" t="s">
        <v>255</v>
      </c>
      <c r="C108">
        <v>50</v>
      </c>
      <c r="D108">
        <v>192</v>
      </c>
      <c r="E108">
        <v>36</v>
      </c>
      <c r="F108">
        <v>56</v>
      </c>
      <c r="G108">
        <v>16</v>
      </c>
      <c r="H108">
        <v>0</v>
      </c>
      <c r="I108">
        <v>9</v>
      </c>
      <c r="J108">
        <v>25</v>
      </c>
      <c r="K108">
        <v>33</v>
      </c>
      <c r="L108">
        <v>46</v>
      </c>
      <c r="M108">
        <v>7</v>
      </c>
      <c r="N108">
        <v>0</v>
      </c>
      <c r="O108">
        <v>0.29199999999999998</v>
      </c>
      <c r="P108">
        <v>0.40100000000000002</v>
      </c>
      <c r="Q108">
        <v>0.51600000000000001</v>
      </c>
      <c r="R108">
        <v>0.91700000000000004</v>
      </c>
      <c r="S108">
        <v>0.36399999999999999</v>
      </c>
      <c r="T108">
        <v>0.52200000000000002</v>
      </c>
      <c r="U108">
        <v>0.88600000000000001</v>
      </c>
      <c r="W108" t="str">
        <f ca="1">OFFSET($A404,1,0)</f>
        <v>‌</v>
      </c>
    </row>
    <row r="109" spans="1:24" x14ac:dyDescent="0.3">
      <c r="A109" t="s">
        <v>3120</v>
      </c>
    </row>
    <row r="110" spans="1:24" x14ac:dyDescent="0.3">
      <c r="A110" t="s">
        <v>1527</v>
      </c>
    </row>
    <row r="111" spans="1:24" x14ac:dyDescent="0.3">
      <c r="A111">
        <v>16</v>
      </c>
      <c r="W111">
        <f ca="1">OFFSET($A401,1,0)</f>
        <v>55</v>
      </c>
    </row>
    <row r="112" spans="1:24" x14ac:dyDescent="0.3">
      <c r="A112" t="s">
        <v>1548</v>
      </c>
      <c r="W112">
        <f ca="1">OFFSET($A408,1,0)</f>
        <v>55</v>
      </c>
    </row>
    <row r="113" spans="1:23" x14ac:dyDescent="0.3">
      <c r="A113" t="s">
        <v>1548</v>
      </c>
      <c r="W113" t="str">
        <f ca="1">OFFSET($A403,1,0)</f>
        <v>‌</v>
      </c>
    </row>
    <row r="114" spans="1:23" x14ac:dyDescent="0.3">
      <c r="A114" t="s">
        <v>1548</v>
      </c>
      <c r="W114" t="str">
        <f ca="1">OFFSET($A410,1,0)</f>
        <v>‌</v>
      </c>
    </row>
    <row r="115" spans="1:23" x14ac:dyDescent="0.3">
      <c r="A115">
        <v>16</v>
      </c>
      <c r="B115" t="s">
        <v>234</v>
      </c>
      <c r="C115">
        <v>49</v>
      </c>
      <c r="D115">
        <v>192</v>
      </c>
      <c r="E115">
        <v>27</v>
      </c>
      <c r="F115">
        <v>48</v>
      </c>
      <c r="G115">
        <v>2</v>
      </c>
      <c r="H115">
        <v>1</v>
      </c>
      <c r="I115">
        <v>7</v>
      </c>
      <c r="J115">
        <v>22</v>
      </c>
      <c r="K115">
        <v>19</v>
      </c>
      <c r="L115">
        <v>32</v>
      </c>
      <c r="M115">
        <v>8</v>
      </c>
      <c r="N115">
        <v>1</v>
      </c>
      <c r="O115">
        <v>0.25</v>
      </c>
      <c r="P115">
        <v>0.32100000000000001</v>
      </c>
      <c r="Q115">
        <v>0.38</v>
      </c>
      <c r="R115">
        <v>0.70099999999999996</v>
      </c>
      <c r="S115">
        <v>0.34100000000000003</v>
      </c>
      <c r="T115">
        <v>0.38</v>
      </c>
      <c r="U115">
        <v>0.72099999999999997</v>
      </c>
      <c r="W115">
        <f ca="1">OFFSET($A405,1,0)</f>
        <v>55</v>
      </c>
    </row>
    <row r="116" spans="1:23" x14ac:dyDescent="0.3">
      <c r="A116" t="s">
        <v>3246</v>
      </c>
      <c r="W116">
        <f ca="1">OFFSET($A412,1,0)</f>
        <v>59</v>
      </c>
    </row>
    <row r="117" spans="1:23" x14ac:dyDescent="0.3">
      <c r="A117" t="s">
        <v>1528</v>
      </c>
      <c r="W117" t="str">
        <f ca="1">OFFSET($A407,1,0)</f>
        <v>LF</v>
      </c>
    </row>
    <row r="118" spans="1:23" x14ac:dyDescent="0.3">
      <c r="A118">
        <v>16</v>
      </c>
      <c r="W118" t="str">
        <f ca="1">OFFSET($A414,1,0)</f>
        <v>LF</v>
      </c>
    </row>
    <row r="119" spans="1:23" x14ac:dyDescent="0.3">
      <c r="A119" t="s">
        <v>1548</v>
      </c>
      <c r="W119" t="str">
        <f ca="1">OFFSET($A409,1,0)</f>
        <v>‌</v>
      </c>
    </row>
    <row r="120" spans="1:23" x14ac:dyDescent="0.3">
      <c r="A120" t="s">
        <v>1548</v>
      </c>
      <c r="W120" t="str">
        <f ca="1">OFFSET($A416,1,0)</f>
        <v>‌</v>
      </c>
    </row>
    <row r="121" spans="1:23" x14ac:dyDescent="0.3">
      <c r="A121" t="s">
        <v>1548</v>
      </c>
      <c r="W121" t="str">
        <f ca="1">OFFSET($A411,1,0)</f>
        <v>‌</v>
      </c>
    </row>
    <row r="122" spans="1:23" x14ac:dyDescent="0.3">
      <c r="A122">
        <v>18</v>
      </c>
      <c r="B122" t="s">
        <v>250</v>
      </c>
      <c r="C122">
        <v>49</v>
      </c>
      <c r="D122">
        <v>191</v>
      </c>
      <c r="E122">
        <v>46</v>
      </c>
      <c r="F122">
        <v>63</v>
      </c>
      <c r="G122">
        <v>14</v>
      </c>
      <c r="H122">
        <v>0</v>
      </c>
      <c r="I122">
        <v>11</v>
      </c>
      <c r="J122">
        <v>27</v>
      </c>
      <c r="K122">
        <v>28</v>
      </c>
      <c r="L122">
        <v>32</v>
      </c>
      <c r="M122">
        <v>20</v>
      </c>
      <c r="N122">
        <v>2</v>
      </c>
      <c r="O122">
        <v>0.33</v>
      </c>
      <c r="P122">
        <v>0.41899999999999998</v>
      </c>
      <c r="Q122">
        <v>0.57599999999999996</v>
      </c>
      <c r="R122">
        <v>0.995</v>
      </c>
      <c r="S122">
        <v>0.36199999999999999</v>
      </c>
      <c r="T122">
        <v>0.52700000000000002</v>
      </c>
      <c r="U122">
        <v>0.88900000000000001</v>
      </c>
      <c r="W122" t="str">
        <f ca="1">OFFSET($A418,1,0)</f>
        <v>‌</v>
      </c>
    </row>
    <row r="123" spans="1:23" x14ac:dyDescent="0.3">
      <c r="A123" t="s">
        <v>1566</v>
      </c>
    </row>
    <row r="124" spans="1:23" x14ac:dyDescent="0.3">
      <c r="A124" t="s">
        <v>1528</v>
      </c>
    </row>
    <row r="125" spans="1:23" x14ac:dyDescent="0.3">
      <c r="A125">
        <v>18</v>
      </c>
      <c r="W125">
        <f ca="1">OFFSET($A415,1,0)</f>
        <v>59</v>
      </c>
    </row>
    <row r="126" spans="1:23" x14ac:dyDescent="0.3">
      <c r="A126" t="s">
        <v>1548</v>
      </c>
      <c r="W126">
        <f ca="1">OFFSET($A422,1,0)</f>
        <v>59</v>
      </c>
    </row>
    <row r="127" spans="1:23" x14ac:dyDescent="0.3">
      <c r="A127" t="s">
        <v>1548</v>
      </c>
      <c r="W127" t="str">
        <f ca="1">OFFSET($A417,1,0)</f>
        <v>‌</v>
      </c>
    </row>
    <row r="128" spans="1:23" x14ac:dyDescent="0.3">
      <c r="A128" t="s">
        <v>1548</v>
      </c>
      <c r="W128" t="str">
        <f ca="1">OFFSET($A424,1,0)</f>
        <v>‌</v>
      </c>
    </row>
    <row r="129" spans="1:23" x14ac:dyDescent="0.3">
      <c r="A129">
        <v>18</v>
      </c>
      <c r="B129" t="s">
        <v>244</v>
      </c>
      <c r="C129">
        <v>49</v>
      </c>
      <c r="D129">
        <v>191</v>
      </c>
      <c r="E129">
        <v>21</v>
      </c>
      <c r="F129">
        <v>45</v>
      </c>
      <c r="G129">
        <v>5</v>
      </c>
      <c r="H129">
        <v>1</v>
      </c>
      <c r="I129">
        <v>9</v>
      </c>
      <c r="J129">
        <v>25</v>
      </c>
      <c r="K129">
        <v>7</v>
      </c>
      <c r="L129">
        <v>71</v>
      </c>
      <c r="M129">
        <v>2</v>
      </c>
      <c r="N129">
        <v>1</v>
      </c>
      <c r="O129">
        <v>0.23599999999999999</v>
      </c>
      <c r="P129">
        <v>0.27500000000000002</v>
      </c>
      <c r="Q129">
        <v>0.41399999999999998</v>
      </c>
      <c r="R129">
        <v>0.68899999999999995</v>
      </c>
      <c r="S129">
        <v>0.34499999999999997</v>
      </c>
      <c r="T129">
        <v>0.46200000000000002</v>
      </c>
      <c r="U129">
        <v>0.80700000000000005</v>
      </c>
      <c r="W129">
        <f ca="1">OFFSET($A419,1,0)</f>
        <v>59</v>
      </c>
    </row>
    <row r="130" spans="1:23" x14ac:dyDescent="0.3">
      <c r="A130" t="s">
        <v>3037</v>
      </c>
      <c r="W130">
        <f ca="1">OFFSET($A426,1,0)</f>
        <v>59</v>
      </c>
    </row>
    <row r="131" spans="1:23" x14ac:dyDescent="0.3">
      <c r="A131" t="s">
        <v>1528</v>
      </c>
      <c r="W131" t="str">
        <f ca="1">OFFSET($A421,1,0)</f>
        <v>LF</v>
      </c>
    </row>
    <row r="132" spans="1:23" x14ac:dyDescent="0.3">
      <c r="A132">
        <v>18</v>
      </c>
      <c r="W132" t="str">
        <f ca="1">OFFSET($A428,1,0)</f>
        <v>SS</v>
      </c>
    </row>
    <row r="133" spans="1:23" x14ac:dyDescent="0.3">
      <c r="A133" t="s">
        <v>1548</v>
      </c>
      <c r="W133" t="str">
        <f ca="1">OFFSET($A423,1,0)</f>
        <v>‌</v>
      </c>
    </row>
    <row r="134" spans="1:23" x14ac:dyDescent="0.3">
      <c r="A134" t="s">
        <v>1548</v>
      </c>
      <c r="W134" t="str">
        <f ca="1">OFFSET($A430,1,0)</f>
        <v>‌</v>
      </c>
    </row>
    <row r="135" spans="1:23" x14ac:dyDescent="0.3">
      <c r="A135" t="s">
        <v>1548</v>
      </c>
      <c r="W135" t="str">
        <f ca="1">OFFSET($A425,1,0)</f>
        <v>‌</v>
      </c>
    </row>
    <row r="136" spans="1:23" x14ac:dyDescent="0.3">
      <c r="A136">
        <v>18</v>
      </c>
      <c r="B136" t="s">
        <v>235</v>
      </c>
      <c r="C136">
        <v>49</v>
      </c>
      <c r="D136">
        <v>191</v>
      </c>
      <c r="E136">
        <v>30</v>
      </c>
      <c r="F136">
        <v>49</v>
      </c>
      <c r="G136">
        <v>10</v>
      </c>
      <c r="H136">
        <v>0</v>
      </c>
      <c r="I136">
        <v>10</v>
      </c>
      <c r="J136">
        <v>29</v>
      </c>
      <c r="K136">
        <v>16</v>
      </c>
      <c r="L136">
        <v>44</v>
      </c>
      <c r="M136">
        <v>0</v>
      </c>
      <c r="N136">
        <v>0</v>
      </c>
      <c r="O136">
        <v>0.25700000000000001</v>
      </c>
      <c r="P136">
        <v>0.311</v>
      </c>
      <c r="Q136">
        <v>0.46600000000000003</v>
      </c>
      <c r="R136">
        <v>0.77700000000000002</v>
      </c>
      <c r="S136">
        <v>0.32</v>
      </c>
      <c r="T136">
        <v>0.497</v>
      </c>
      <c r="U136">
        <v>0.81699999999999995</v>
      </c>
      <c r="W136" t="str">
        <f ca="1">OFFSET($A432,1,0)</f>
        <v>‌</v>
      </c>
    </row>
    <row r="137" spans="1:23" x14ac:dyDescent="0.3">
      <c r="A137" t="s">
        <v>3028</v>
      </c>
    </row>
    <row r="138" spans="1:23" x14ac:dyDescent="0.3">
      <c r="A138" t="s">
        <v>1528</v>
      </c>
    </row>
    <row r="139" spans="1:23" x14ac:dyDescent="0.3">
      <c r="A139">
        <v>18</v>
      </c>
      <c r="W139">
        <f ca="1">OFFSET($A429,1,0)</f>
        <v>59</v>
      </c>
    </row>
    <row r="140" spans="1:23" x14ac:dyDescent="0.3">
      <c r="A140" t="s">
        <v>1548</v>
      </c>
      <c r="W140">
        <f ca="1">OFFSET($A436,1,0)</f>
        <v>59</v>
      </c>
    </row>
    <row r="141" spans="1:23" x14ac:dyDescent="0.3">
      <c r="A141" t="s">
        <v>1548</v>
      </c>
      <c r="W141" t="str">
        <f ca="1">OFFSET($A431,1,0)</f>
        <v>‌</v>
      </c>
    </row>
    <row r="142" spans="1:23" x14ac:dyDescent="0.3">
      <c r="A142" t="s">
        <v>1548</v>
      </c>
      <c r="W142" t="str">
        <f ca="1">OFFSET($A438,1,0)</f>
        <v>‌</v>
      </c>
    </row>
    <row r="143" spans="1:23" x14ac:dyDescent="0.3">
      <c r="A143">
        <v>21</v>
      </c>
      <c r="B143" t="s">
        <v>311</v>
      </c>
      <c r="C143">
        <v>49</v>
      </c>
      <c r="D143">
        <v>190</v>
      </c>
      <c r="E143">
        <v>33</v>
      </c>
      <c r="F143">
        <v>55</v>
      </c>
      <c r="G143">
        <v>16</v>
      </c>
      <c r="H143">
        <v>0</v>
      </c>
      <c r="I143">
        <v>5</v>
      </c>
      <c r="J143">
        <v>26</v>
      </c>
      <c r="K143">
        <v>15</v>
      </c>
      <c r="L143">
        <v>54</v>
      </c>
      <c r="M143">
        <v>2</v>
      </c>
      <c r="N143">
        <v>2</v>
      </c>
      <c r="O143">
        <v>0.28899999999999998</v>
      </c>
      <c r="P143">
        <v>0.34</v>
      </c>
      <c r="Q143">
        <v>0.45300000000000001</v>
      </c>
      <c r="R143">
        <v>0.79300000000000004</v>
      </c>
      <c r="S143">
        <v>0.34100000000000003</v>
      </c>
      <c r="T143">
        <v>0.46400000000000002</v>
      </c>
      <c r="U143">
        <v>0.80500000000000005</v>
      </c>
      <c r="W143">
        <f ca="1">OFFSET($A433,1,0)</f>
        <v>59</v>
      </c>
    </row>
    <row r="144" spans="1:23" x14ac:dyDescent="0.3">
      <c r="A144" t="s">
        <v>3147</v>
      </c>
      <c r="W144">
        <f ca="1">OFFSET($A440,1,0)</f>
        <v>59</v>
      </c>
    </row>
    <row r="145" spans="1:23" x14ac:dyDescent="0.3">
      <c r="A145" t="s">
        <v>1528</v>
      </c>
      <c r="W145" t="str">
        <f ca="1">OFFSET($A435,1,0)</f>
        <v>C</v>
      </c>
    </row>
    <row r="146" spans="1:23" x14ac:dyDescent="0.3">
      <c r="A146">
        <v>21</v>
      </c>
      <c r="W146" t="str">
        <f ca="1">OFFSET($A442,1,0)</f>
        <v>DH</v>
      </c>
    </row>
    <row r="147" spans="1:23" x14ac:dyDescent="0.3">
      <c r="A147" t="s">
        <v>1548</v>
      </c>
      <c r="W147" t="str">
        <f ca="1">OFFSET($A437,1,0)</f>
        <v>‌</v>
      </c>
    </row>
    <row r="148" spans="1:23" x14ac:dyDescent="0.3">
      <c r="A148" t="s">
        <v>1548</v>
      </c>
      <c r="W148" t="str">
        <f ca="1">OFFSET($A444,1,0)</f>
        <v>‌</v>
      </c>
    </row>
    <row r="149" spans="1:23" x14ac:dyDescent="0.3">
      <c r="A149" t="s">
        <v>1548</v>
      </c>
      <c r="W149" t="str">
        <f ca="1">OFFSET($A439,1,0)</f>
        <v>‌</v>
      </c>
    </row>
    <row r="150" spans="1:23" x14ac:dyDescent="0.3">
      <c r="A150">
        <v>21</v>
      </c>
      <c r="B150" t="s">
        <v>234</v>
      </c>
      <c r="C150">
        <v>50</v>
      </c>
      <c r="D150">
        <v>190</v>
      </c>
      <c r="E150">
        <v>26</v>
      </c>
      <c r="F150">
        <v>56</v>
      </c>
      <c r="G150">
        <v>19</v>
      </c>
      <c r="H150">
        <v>0</v>
      </c>
      <c r="I150">
        <v>7</v>
      </c>
      <c r="J150">
        <v>27</v>
      </c>
      <c r="K150">
        <v>22</v>
      </c>
      <c r="L150">
        <v>55</v>
      </c>
      <c r="M150">
        <v>2</v>
      </c>
      <c r="N150">
        <v>2</v>
      </c>
      <c r="O150">
        <v>0.29499999999999998</v>
      </c>
      <c r="P150">
        <v>0.372</v>
      </c>
      <c r="Q150">
        <v>0.505</v>
      </c>
      <c r="R150">
        <v>0.877</v>
      </c>
      <c r="S150">
        <v>0.32800000000000001</v>
      </c>
      <c r="T150">
        <v>0.55700000000000005</v>
      </c>
      <c r="U150">
        <v>0.88500000000000001</v>
      </c>
      <c r="W150" t="str">
        <f ca="1">OFFSET($A446,1,0)</f>
        <v>‌</v>
      </c>
    </row>
    <row r="151" spans="1:23" x14ac:dyDescent="0.3">
      <c r="A151" t="s">
        <v>1568</v>
      </c>
    </row>
    <row r="152" spans="1:23" x14ac:dyDescent="0.3">
      <c r="A152" t="s">
        <v>80</v>
      </c>
    </row>
    <row r="153" spans="1:23" x14ac:dyDescent="0.3">
      <c r="A153">
        <v>21</v>
      </c>
      <c r="W153">
        <f ca="1">OFFSET($A443,1,0)</f>
        <v>59</v>
      </c>
    </row>
    <row r="154" spans="1:23" x14ac:dyDescent="0.3">
      <c r="A154" t="s">
        <v>1548</v>
      </c>
      <c r="W154">
        <f ca="1">OFFSET($A450,1,0)</f>
        <v>59</v>
      </c>
    </row>
    <row r="155" spans="1:23" x14ac:dyDescent="0.3">
      <c r="A155" t="s">
        <v>1548</v>
      </c>
      <c r="W155" t="str">
        <f ca="1">OFFSET($A445,1,0)</f>
        <v>‌</v>
      </c>
    </row>
    <row r="156" spans="1:23" x14ac:dyDescent="0.3">
      <c r="A156" t="s">
        <v>1548</v>
      </c>
      <c r="W156" t="str">
        <f ca="1">OFFSET($A452,1,0)</f>
        <v>‌</v>
      </c>
    </row>
    <row r="157" spans="1:23" x14ac:dyDescent="0.3">
      <c r="A157">
        <v>21</v>
      </c>
      <c r="B157" t="s">
        <v>339</v>
      </c>
      <c r="C157">
        <v>49</v>
      </c>
      <c r="D157">
        <v>190</v>
      </c>
      <c r="E157">
        <v>27</v>
      </c>
      <c r="F157">
        <v>56</v>
      </c>
      <c r="G157">
        <v>10</v>
      </c>
      <c r="H157">
        <v>1</v>
      </c>
      <c r="I157">
        <v>4</v>
      </c>
      <c r="J157">
        <v>19</v>
      </c>
      <c r="K157">
        <v>22</v>
      </c>
      <c r="L157">
        <v>42</v>
      </c>
      <c r="M157">
        <v>3</v>
      </c>
      <c r="N157">
        <v>1</v>
      </c>
      <c r="O157">
        <v>0.29499999999999998</v>
      </c>
      <c r="P157">
        <v>0.374</v>
      </c>
      <c r="Q157">
        <v>0.42099999999999999</v>
      </c>
      <c r="R157">
        <v>0.79500000000000004</v>
      </c>
      <c r="S157">
        <v>0.32700000000000001</v>
      </c>
      <c r="T157">
        <v>0.33300000000000002</v>
      </c>
      <c r="U157">
        <v>0.66</v>
      </c>
      <c r="W157">
        <f ca="1">OFFSET($A447,1,0)</f>
        <v>59</v>
      </c>
    </row>
    <row r="158" spans="1:23" x14ac:dyDescent="0.3">
      <c r="A158" t="s">
        <v>3076</v>
      </c>
      <c r="W158">
        <f ca="1">OFFSET($A454,1,0)</f>
        <v>65</v>
      </c>
    </row>
    <row r="159" spans="1:23" x14ac:dyDescent="0.3">
      <c r="A159" t="s">
        <v>1530</v>
      </c>
      <c r="W159" t="str">
        <f ca="1">OFFSET($A449,1,0)</f>
        <v>1B</v>
      </c>
    </row>
    <row r="160" spans="1:23" x14ac:dyDescent="0.3">
      <c r="A160">
        <v>21</v>
      </c>
      <c r="W160" t="str">
        <f ca="1">OFFSET($A456,1,0)</f>
        <v>2B</v>
      </c>
    </row>
    <row r="161" spans="1:23" x14ac:dyDescent="0.3">
      <c r="A161" t="s">
        <v>1548</v>
      </c>
      <c r="W161" t="str">
        <f ca="1">OFFSET($A451,1,0)</f>
        <v>‌</v>
      </c>
    </row>
    <row r="162" spans="1:23" x14ac:dyDescent="0.3">
      <c r="A162" t="s">
        <v>1548</v>
      </c>
      <c r="W162" t="str">
        <f ca="1">OFFSET($A458,1,0)</f>
        <v>‌</v>
      </c>
    </row>
    <row r="163" spans="1:23" x14ac:dyDescent="0.3">
      <c r="A163" t="s">
        <v>1548</v>
      </c>
      <c r="W163" t="str">
        <f ca="1">OFFSET($A453,1,0)</f>
        <v>‌</v>
      </c>
    </row>
    <row r="164" spans="1:23" x14ac:dyDescent="0.3">
      <c r="A164">
        <v>21</v>
      </c>
      <c r="B164" t="s">
        <v>224</v>
      </c>
      <c r="C164">
        <v>49</v>
      </c>
      <c r="D164">
        <v>190</v>
      </c>
      <c r="E164">
        <v>25</v>
      </c>
      <c r="F164">
        <v>46</v>
      </c>
      <c r="G164">
        <v>11</v>
      </c>
      <c r="H164">
        <v>1</v>
      </c>
      <c r="I164">
        <v>6</v>
      </c>
      <c r="J164">
        <v>22</v>
      </c>
      <c r="K164">
        <v>7</v>
      </c>
      <c r="L164">
        <v>48</v>
      </c>
      <c r="M164">
        <v>6</v>
      </c>
      <c r="N164">
        <v>5</v>
      </c>
      <c r="O164">
        <v>0.24199999999999999</v>
      </c>
      <c r="P164">
        <v>0.28599999999999998</v>
      </c>
      <c r="Q164">
        <v>0.40500000000000003</v>
      </c>
      <c r="R164">
        <v>0.69099999999999995</v>
      </c>
      <c r="S164">
        <v>0.32</v>
      </c>
      <c r="T164">
        <v>0.39</v>
      </c>
      <c r="U164">
        <v>0.71</v>
      </c>
      <c r="W164" t="str">
        <f ca="1">OFFSET($A460,1,0)</f>
        <v>‌</v>
      </c>
    </row>
    <row r="165" spans="1:23" x14ac:dyDescent="0.3">
      <c r="A165" t="s">
        <v>1565</v>
      </c>
    </row>
    <row r="166" spans="1:23" x14ac:dyDescent="0.3">
      <c r="A166" t="s">
        <v>1529</v>
      </c>
    </row>
    <row r="167" spans="1:23" x14ac:dyDescent="0.3">
      <c r="A167">
        <v>21</v>
      </c>
      <c r="W167">
        <f ca="1">OFFSET($A457,1,0)</f>
        <v>65</v>
      </c>
    </row>
    <row r="168" spans="1:23" x14ac:dyDescent="0.3">
      <c r="A168" t="s">
        <v>1548</v>
      </c>
      <c r="W168">
        <f ca="1">OFFSET($A464,1,0)</f>
        <v>65</v>
      </c>
    </row>
    <row r="169" spans="1:23" x14ac:dyDescent="0.3">
      <c r="A169" t="s">
        <v>1548</v>
      </c>
      <c r="W169" t="str">
        <f ca="1">OFFSET($A459,1,0)</f>
        <v>‌</v>
      </c>
    </row>
    <row r="170" spans="1:23" x14ac:dyDescent="0.3">
      <c r="A170" t="s">
        <v>1548</v>
      </c>
      <c r="W170" t="str">
        <f ca="1">OFFSET($A466,1,0)</f>
        <v>‌</v>
      </c>
    </row>
    <row r="171" spans="1:23" x14ac:dyDescent="0.3">
      <c r="A171">
        <v>25</v>
      </c>
      <c r="B171" t="s">
        <v>250</v>
      </c>
      <c r="C171">
        <v>49</v>
      </c>
      <c r="D171">
        <v>189</v>
      </c>
      <c r="E171">
        <v>21</v>
      </c>
      <c r="F171">
        <v>48</v>
      </c>
      <c r="G171">
        <v>10</v>
      </c>
      <c r="H171">
        <v>1</v>
      </c>
      <c r="I171">
        <v>10</v>
      </c>
      <c r="J171">
        <v>32</v>
      </c>
      <c r="K171">
        <v>10</v>
      </c>
      <c r="L171">
        <v>33</v>
      </c>
      <c r="M171">
        <v>1</v>
      </c>
      <c r="N171">
        <v>0</v>
      </c>
      <c r="O171">
        <v>0.254</v>
      </c>
      <c r="P171">
        <v>0.29899999999999999</v>
      </c>
      <c r="Q171">
        <v>0.47599999999999998</v>
      </c>
      <c r="R171">
        <v>0.77500000000000002</v>
      </c>
      <c r="S171">
        <v>0.315</v>
      </c>
      <c r="T171">
        <v>0.44</v>
      </c>
      <c r="U171">
        <v>0.755</v>
      </c>
      <c r="W171">
        <f ca="1">OFFSET($A461,1,0)</f>
        <v>65</v>
      </c>
    </row>
    <row r="172" spans="1:23" x14ac:dyDescent="0.3">
      <c r="A172" t="s">
        <v>3244</v>
      </c>
      <c r="W172">
        <f ca="1">OFFSET($A468,1,0)</f>
        <v>67</v>
      </c>
    </row>
    <row r="173" spans="1:23" x14ac:dyDescent="0.3">
      <c r="A173" t="s">
        <v>79</v>
      </c>
      <c r="W173" t="str">
        <f ca="1">OFFSET($A463,1,0)</f>
        <v>C</v>
      </c>
    </row>
    <row r="174" spans="1:23" x14ac:dyDescent="0.3">
      <c r="A174">
        <v>25</v>
      </c>
      <c r="W174" t="str">
        <f ca="1">OFFSET($A470,1,0)</f>
        <v>SS</v>
      </c>
    </row>
    <row r="175" spans="1:23" x14ac:dyDescent="0.3">
      <c r="A175" t="s">
        <v>1548</v>
      </c>
      <c r="W175" t="str">
        <f ca="1">OFFSET($A465,1,0)</f>
        <v>‌</v>
      </c>
    </row>
    <row r="176" spans="1:23" x14ac:dyDescent="0.3">
      <c r="A176" t="s">
        <v>1548</v>
      </c>
      <c r="W176" t="str">
        <f ca="1">OFFSET($A472,1,0)</f>
        <v>‌</v>
      </c>
    </row>
    <row r="177" spans="1:23" x14ac:dyDescent="0.3">
      <c r="A177" t="s">
        <v>1548</v>
      </c>
      <c r="W177" t="str">
        <f ca="1">OFFSET($A467,1,0)</f>
        <v>‌</v>
      </c>
    </row>
    <row r="178" spans="1:23" x14ac:dyDescent="0.3">
      <c r="A178" t="s">
        <v>1545</v>
      </c>
      <c r="B178" t="s">
        <v>981</v>
      </c>
      <c r="C178" t="s">
        <v>1546</v>
      </c>
      <c r="D178" t="s">
        <v>76</v>
      </c>
      <c r="E178" t="s">
        <v>77</v>
      </c>
      <c r="F178" t="s">
        <v>78</v>
      </c>
      <c r="G178" t="s">
        <v>79</v>
      </c>
      <c r="H178" t="s">
        <v>80</v>
      </c>
      <c r="I178" t="s">
        <v>81</v>
      </c>
      <c r="J178" t="s">
        <v>82</v>
      </c>
      <c r="K178" t="s">
        <v>83</v>
      </c>
      <c r="L178" t="s">
        <v>84</v>
      </c>
      <c r="M178" t="s">
        <v>85</v>
      </c>
      <c r="N178" t="s">
        <v>86</v>
      </c>
      <c r="O178" t="s">
        <v>87</v>
      </c>
      <c r="P178" t="s">
        <v>88</v>
      </c>
      <c r="Q178" t="s">
        <v>89</v>
      </c>
      <c r="R178" t="s">
        <v>90</v>
      </c>
      <c r="W178" t="str">
        <f ca="1">OFFSET($A474,1,0)</f>
        <v>‌</v>
      </c>
    </row>
    <row r="179" spans="1:23" x14ac:dyDescent="0.3">
      <c r="A179" t="s">
        <v>1545</v>
      </c>
      <c r="B179" t="s">
        <v>981</v>
      </c>
      <c r="C179" t="s">
        <v>1546</v>
      </c>
      <c r="D179" t="s">
        <v>76</v>
      </c>
      <c r="E179" t="s">
        <v>77</v>
      </c>
      <c r="F179" t="s">
        <v>78</v>
      </c>
      <c r="G179" t="s">
        <v>79</v>
      </c>
      <c r="H179" t="s">
        <v>80</v>
      </c>
      <c r="I179" t="s">
        <v>81</v>
      </c>
      <c r="J179" t="s">
        <v>82</v>
      </c>
      <c r="K179" t="s">
        <v>83</v>
      </c>
      <c r="L179" t="s">
        <v>84</v>
      </c>
      <c r="M179" t="s">
        <v>85</v>
      </c>
      <c r="N179" t="s">
        <v>86</v>
      </c>
      <c r="O179" t="s">
        <v>87</v>
      </c>
      <c r="P179" t="s">
        <v>88</v>
      </c>
      <c r="Q179" t="s">
        <v>89</v>
      </c>
      <c r="R179" t="s">
        <v>90</v>
      </c>
    </row>
    <row r="180" spans="1:23" x14ac:dyDescent="0.3">
      <c r="A180">
        <v>25</v>
      </c>
      <c r="B180" t="s">
        <v>251</v>
      </c>
      <c r="C180">
        <v>49</v>
      </c>
      <c r="D180">
        <v>189</v>
      </c>
      <c r="E180">
        <v>26</v>
      </c>
      <c r="F180">
        <v>48</v>
      </c>
      <c r="G180">
        <v>11</v>
      </c>
      <c r="H180">
        <v>1</v>
      </c>
      <c r="I180">
        <v>1</v>
      </c>
      <c r="J180">
        <v>14</v>
      </c>
      <c r="K180">
        <v>27</v>
      </c>
      <c r="L180">
        <v>23</v>
      </c>
      <c r="M180">
        <v>9</v>
      </c>
      <c r="N180">
        <v>1</v>
      </c>
      <c r="O180">
        <v>0.254</v>
      </c>
      <c r="P180">
        <v>0.34200000000000003</v>
      </c>
      <c r="Q180">
        <v>0.33900000000000002</v>
      </c>
      <c r="R180">
        <v>0.68100000000000005</v>
      </c>
    </row>
    <row r="181" spans="1:23" x14ac:dyDescent="0.3">
      <c r="A181" t="s">
        <v>3079</v>
      </c>
      <c r="W181">
        <f ca="1">OFFSET($A471,1,0)</f>
        <v>67</v>
      </c>
    </row>
    <row r="182" spans="1:23" x14ac:dyDescent="0.3">
      <c r="A182" t="s">
        <v>1525</v>
      </c>
      <c r="W182">
        <f ca="1">OFFSET($A478,1,0)</f>
        <v>67</v>
      </c>
    </row>
    <row r="183" spans="1:23" x14ac:dyDescent="0.3">
      <c r="A183">
        <v>25</v>
      </c>
      <c r="W183" t="str">
        <f ca="1">OFFSET($A473,1,0)</f>
        <v>‌</v>
      </c>
    </row>
    <row r="184" spans="1:23" x14ac:dyDescent="0.3">
      <c r="A184" t="s">
        <v>1548</v>
      </c>
      <c r="W184" t="str">
        <f ca="1">OFFSET($A480,1,0)</f>
        <v>‌</v>
      </c>
    </row>
    <row r="185" spans="1:23" x14ac:dyDescent="0.3">
      <c r="A185" t="s">
        <v>1548</v>
      </c>
      <c r="W185">
        <f ca="1">OFFSET($A475,1,0)</f>
        <v>67</v>
      </c>
    </row>
    <row r="186" spans="1:23" x14ac:dyDescent="0.3">
      <c r="A186" t="s">
        <v>1548</v>
      </c>
      <c r="W186">
        <f ca="1">OFFSET($A482,1,0)</f>
        <v>67</v>
      </c>
    </row>
    <row r="187" spans="1:23" x14ac:dyDescent="0.3">
      <c r="A187">
        <v>25</v>
      </c>
      <c r="B187" t="s">
        <v>235</v>
      </c>
      <c r="C187">
        <v>49</v>
      </c>
      <c r="D187">
        <v>189</v>
      </c>
      <c r="E187">
        <v>28</v>
      </c>
      <c r="F187">
        <v>53</v>
      </c>
      <c r="G187">
        <v>8</v>
      </c>
      <c r="H187">
        <v>2</v>
      </c>
      <c r="I187">
        <v>12</v>
      </c>
      <c r="J187">
        <v>33</v>
      </c>
      <c r="K187">
        <v>22</v>
      </c>
      <c r="L187">
        <v>46</v>
      </c>
      <c r="M187">
        <v>6</v>
      </c>
      <c r="N187">
        <v>3</v>
      </c>
      <c r="O187">
        <v>0.28000000000000003</v>
      </c>
      <c r="P187">
        <v>0.35399999999999998</v>
      </c>
      <c r="Q187">
        <v>0.53400000000000003</v>
      </c>
      <c r="R187">
        <v>0.88800000000000001</v>
      </c>
      <c r="W187" t="str">
        <f ca="1">OFFSET($A477,1,0)</f>
        <v>SS</v>
      </c>
    </row>
    <row r="188" spans="1:23" x14ac:dyDescent="0.3">
      <c r="A188" t="s">
        <v>3122</v>
      </c>
      <c r="W188" t="str">
        <f ca="1">OFFSET($A484,1,0)</f>
        <v>1B</v>
      </c>
    </row>
    <row r="189" spans="1:23" x14ac:dyDescent="0.3">
      <c r="A189" t="s">
        <v>1526</v>
      </c>
      <c r="W189" t="str">
        <f ca="1">OFFSET($A479,1,0)</f>
        <v>‌</v>
      </c>
    </row>
    <row r="190" spans="1:23" x14ac:dyDescent="0.3">
      <c r="A190">
        <v>25</v>
      </c>
      <c r="W190" t="str">
        <f ca="1">OFFSET($A486,1,0)</f>
        <v>‌</v>
      </c>
    </row>
    <row r="191" spans="1:23" x14ac:dyDescent="0.3">
      <c r="A191" t="s">
        <v>1548</v>
      </c>
      <c r="W191" t="str">
        <f ca="1">OFFSET($A481,1,0)</f>
        <v>‌</v>
      </c>
    </row>
    <row r="192" spans="1:23" x14ac:dyDescent="0.3">
      <c r="A192" t="s">
        <v>1548</v>
      </c>
      <c r="W192" t="str">
        <f ca="1">OFFSET($A488,1,0)</f>
        <v>‌</v>
      </c>
    </row>
    <row r="193" spans="1:23" x14ac:dyDescent="0.3">
      <c r="A193" t="s">
        <v>1548</v>
      </c>
    </row>
    <row r="194" spans="1:23" x14ac:dyDescent="0.3">
      <c r="A194">
        <v>25</v>
      </c>
      <c r="B194" t="s">
        <v>222</v>
      </c>
      <c r="C194">
        <v>49</v>
      </c>
      <c r="D194">
        <v>189</v>
      </c>
      <c r="E194">
        <v>30</v>
      </c>
      <c r="F194">
        <v>58</v>
      </c>
      <c r="G194">
        <v>8</v>
      </c>
      <c r="H194">
        <v>0</v>
      </c>
      <c r="I194">
        <v>11</v>
      </c>
      <c r="J194">
        <v>30</v>
      </c>
      <c r="K194">
        <v>18</v>
      </c>
      <c r="L194">
        <v>50</v>
      </c>
      <c r="M194">
        <v>0</v>
      </c>
      <c r="N194">
        <v>2</v>
      </c>
      <c r="O194">
        <v>0.307</v>
      </c>
      <c r="P194">
        <v>0.38300000000000001</v>
      </c>
      <c r="Q194">
        <v>0.52400000000000002</v>
      </c>
      <c r="R194">
        <v>0.90700000000000003</v>
      </c>
    </row>
    <row r="195" spans="1:23" x14ac:dyDescent="0.3">
      <c r="A195" t="s">
        <v>3561</v>
      </c>
      <c r="W195">
        <f ca="1">OFFSET($A485,1,0)</f>
        <v>67</v>
      </c>
    </row>
    <row r="196" spans="1:23" x14ac:dyDescent="0.3">
      <c r="A196" t="s">
        <v>1527</v>
      </c>
      <c r="W196">
        <f ca="1">OFFSET($A492,1,0)</f>
        <v>67</v>
      </c>
    </row>
    <row r="197" spans="1:23" x14ac:dyDescent="0.3">
      <c r="A197">
        <v>25</v>
      </c>
      <c r="W197" t="str">
        <f ca="1">OFFSET($A487,1,0)</f>
        <v>‌</v>
      </c>
    </row>
    <row r="198" spans="1:23" x14ac:dyDescent="0.3">
      <c r="A198" t="s">
        <v>1548</v>
      </c>
      <c r="W198" t="str">
        <f ca="1">OFFSET($A494,1,0)</f>
        <v>‌</v>
      </c>
    </row>
    <row r="199" spans="1:23" x14ac:dyDescent="0.3">
      <c r="A199" t="s">
        <v>1548</v>
      </c>
      <c r="W199">
        <f ca="1">OFFSET($A489,1,0)</f>
        <v>67</v>
      </c>
    </row>
    <row r="200" spans="1:23" x14ac:dyDescent="0.3">
      <c r="A200" t="s">
        <v>1548</v>
      </c>
      <c r="W200">
        <f ca="1">OFFSET($A496,1,0)</f>
        <v>71</v>
      </c>
    </row>
    <row r="201" spans="1:23" x14ac:dyDescent="0.3">
      <c r="A201">
        <v>29</v>
      </c>
      <c r="B201" t="s">
        <v>1521</v>
      </c>
      <c r="C201">
        <v>46</v>
      </c>
      <c r="D201">
        <v>188</v>
      </c>
      <c r="E201">
        <v>30</v>
      </c>
      <c r="F201">
        <v>58</v>
      </c>
      <c r="G201">
        <v>12</v>
      </c>
      <c r="H201">
        <v>1</v>
      </c>
      <c r="I201">
        <v>6</v>
      </c>
      <c r="J201">
        <v>17</v>
      </c>
      <c r="K201">
        <v>9</v>
      </c>
      <c r="L201">
        <v>45</v>
      </c>
      <c r="M201">
        <v>12</v>
      </c>
      <c r="N201">
        <v>3</v>
      </c>
      <c r="O201">
        <v>0.309</v>
      </c>
      <c r="P201">
        <v>0.35299999999999998</v>
      </c>
      <c r="Q201">
        <v>0.47899999999999998</v>
      </c>
      <c r="R201">
        <v>0.83199999999999996</v>
      </c>
      <c r="W201" t="str">
        <f ca="1">OFFSET($A491,1,0)</f>
        <v>LF</v>
      </c>
    </row>
    <row r="202" spans="1:23" x14ac:dyDescent="0.3">
      <c r="A202" t="s">
        <v>3075</v>
      </c>
      <c r="W202" t="str">
        <f ca="1">OFFSET($A498,1,0)</f>
        <v>C</v>
      </c>
    </row>
    <row r="203" spans="1:23" x14ac:dyDescent="0.3">
      <c r="A203" t="s">
        <v>79</v>
      </c>
      <c r="W203" t="str">
        <f ca="1">OFFSET($A493,1,0)</f>
        <v>‌</v>
      </c>
    </row>
    <row r="204" spans="1:23" x14ac:dyDescent="0.3">
      <c r="A204">
        <v>29</v>
      </c>
      <c r="W204" t="str">
        <f ca="1">OFFSET($A500,1,0)</f>
        <v>‌</v>
      </c>
    </row>
    <row r="205" spans="1:23" x14ac:dyDescent="0.3">
      <c r="A205" t="s">
        <v>1548</v>
      </c>
      <c r="W205" t="str">
        <f ca="1">OFFSET($A495,1,0)</f>
        <v>‌</v>
      </c>
    </row>
    <row r="206" spans="1:23" x14ac:dyDescent="0.3">
      <c r="A206" t="s">
        <v>1548</v>
      </c>
      <c r="W206" t="str">
        <f ca="1">OFFSET($A502,1,0)</f>
        <v>‌</v>
      </c>
    </row>
    <row r="207" spans="1:23" x14ac:dyDescent="0.3">
      <c r="A207" t="s">
        <v>1548</v>
      </c>
    </row>
    <row r="208" spans="1:23" x14ac:dyDescent="0.3">
      <c r="A208">
        <v>29</v>
      </c>
      <c r="B208" t="s">
        <v>250</v>
      </c>
      <c r="C208">
        <v>49</v>
      </c>
      <c r="D208">
        <v>188</v>
      </c>
      <c r="E208">
        <v>28</v>
      </c>
      <c r="F208">
        <v>49</v>
      </c>
      <c r="G208">
        <v>10</v>
      </c>
      <c r="H208">
        <v>0</v>
      </c>
      <c r="I208">
        <v>7</v>
      </c>
      <c r="J208">
        <v>23</v>
      </c>
      <c r="K208">
        <v>22</v>
      </c>
      <c r="L208">
        <v>56</v>
      </c>
      <c r="M208">
        <v>0</v>
      </c>
      <c r="N208">
        <v>0</v>
      </c>
      <c r="O208">
        <v>0.26100000000000001</v>
      </c>
      <c r="P208">
        <v>0.33600000000000002</v>
      </c>
      <c r="Q208">
        <v>0.42599999999999999</v>
      </c>
      <c r="R208">
        <v>0.76200000000000001</v>
      </c>
    </row>
    <row r="209" spans="1:23" x14ac:dyDescent="0.3">
      <c r="A209" t="s">
        <v>1562</v>
      </c>
      <c r="W209">
        <f ca="1">OFFSET($A499,1,0)</f>
        <v>71</v>
      </c>
    </row>
    <row r="210" spans="1:23" x14ac:dyDescent="0.3">
      <c r="A210" t="s">
        <v>80</v>
      </c>
      <c r="W210">
        <f ca="1">OFFSET($A506,1,0)</f>
        <v>71</v>
      </c>
    </row>
    <row r="211" spans="1:23" x14ac:dyDescent="0.3">
      <c r="A211">
        <v>29</v>
      </c>
      <c r="W211" t="str">
        <f ca="1">OFFSET($A501,1,0)</f>
        <v>‌</v>
      </c>
    </row>
    <row r="212" spans="1:23" x14ac:dyDescent="0.3">
      <c r="A212" t="s">
        <v>1548</v>
      </c>
      <c r="W212" t="str">
        <f ca="1">OFFSET($A508,1,0)</f>
        <v>‌</v>
      </c>
    </row>
    <row r="213" spans="1:23" x14ac:dyDescent="0.3">
      <c r="A213" t="s">
        <v>1548</v>
      </c>
      <c r="W213">
        <f ca="1">OFFSET($A503,1,0)</f>
        <v>71</v>
      </c>
    </row>
    <row r="214" spans="1:23" x14ac:dyDescent="0.3">
      <c r="A214" t="s">
        <v>1548</v>
      </c>
      <c r="W214">
        <f ca="1">OFFSET($A510,1,0)</f>
        <v>71</v>
      </c>
    </row>
    <row r="215" spans="1:23" x14ac:dyDescent="0.3">
      <c r="A215">
        <v>31</v>
      </c>
      <c r="B215" t="s">
        <v>224</v>
      </c>
      <c r="C215">
        <v>49</v>
      </c>
      <c r="D215">
        <v>187</v>
      </c>
      <c r="E215">
        <v>29</v>
      </c>
      <c r="F215">
        <v>41</v>
      </c>
      <c r="G215">
        <v>6</v>
      </c>
      <c r="H215">
        <v>1</v>
      </c>
      <c r="I215">
        <v>6</v>
      </c>
      <c r="J215">
        <v>23</v>
      </c>
      <c r="K215">
        <v>28</v>
      </c>
      <c r="L215">
        <v>22</v>
      </c>
      <c r="M215">
        <v>1</v>
      </c>
      <c r="N215">
        <v>0</v>
      </c>
      <c r="O215">
        <v>0.219</v>
      </c>
      <c r="P215">
        <v>0.32600000000000001</v>
      </c>
      <c r="Q215">
        <v>0.35799999999999998</v>
      </c>
      <c r="R215">
        <v>0.68400000000000005</v>
      </c>
      <c r="W215" t="str">
        <f ca="1">OFFSET($A505,1,0)</f>
        <v>1B</v>
      </c>
    </row>
    <row r="216" spans="1:23" x14ac:dyDescent="0.3">
      <c r="A216" t="s">
        <v>3024</v>
      </c>
      <c r="W216" t="str">
        <f ca="1">OFFSET($A512,1,0)</f>
        <v>DH</v>
      </c>
    </row>
    <row r="217" spans="1:23" x14ac:dyDescent="0.3">
      <c r="A217" t="s">
        <v>80</v>
      </c>
      <c r="W217" t="str">
        <f ca="1">OFFSET($A507,1,0)</f>
        <v>‌</v>
      </c>
    </row>
    <row r="218" spans="1:23" x14ac:dyDescent="0.3">
      <c r="A218">
        <v>31</v>
      </c>
      <c r="W218" t="str">
        <f ca="1">OFFSET($A514,1,0)</f>
        <v>‌</v>
      </c>
    </row>
    <row r="219" spans="1:23" x14ac:dyDescent="0.3">
      <c r="A219" t="s">
        <v>1548</v>
      </c>
      <c r="W219" t="str">
        <f ca="1">OFFSET($A509,1,0)</f>
        <v>‌</v>
      </c>
    </row>
    <row r="220" spans="1:23" x14ac:dyDescent="0.3">
      <c r="A220" t="s">
        <v>1548</v>
      </c>
      <c r="W220" t="str">
        <f ca="1">OFFSET($A516,1,0)</f>
        <v>‌</v>
      </c>
    </row>
    <row r="221" spans="1:23" x14ac:dyDescent="0.3">
      <c r="A221" t="s">
        <v>1548</v>
      </c>
    </row>
    <row r="222" spans="1:23" x14ac:dyDescent="0.3">
      <c r="A222">
        <v>31</v>
      </c>
      <c r="B222" t="s">
        <v>234</v>
      </c>
      <c r="C222">
        <v>48</v>
      </c>
      <c r="D222">
        <v>187</v>
      </c>
      <c r="E222">
        <v>26</v>
      </c>
      <c r="F222">
        <v>56</v>
      </c>
      <c r="G222">
        <v>12</v>
      </c>
      <c r="H222">
        <v>0</v>
      </c>
      <c r="I222">
        <v>8</v>
      </c>
      <c r="J222">
        <v>34</v>
      </c>
      <c r="K222">
        <v>18</v>
      </c>
      <c r="L222">
        <v>34</v>
      </c>
      <c r="M222">
        <v>2</v>
      </c>
      <c r="N222">
        <v>0</v>
      </c>
      <c r="O222">
        <v>0.29899999999999999</v>
      </c>
      <c r="P222">
        <v>0.36799999999999999</v>
      </c>
      <c r="Q222">
        <v>0.49199999999999999</v>
      </c>
      <c r="R222">
        <v>0.86</v>
      </c>
    </row>
    <row r="223" spans="1:23" x14ac:dyDescent="0.3">
      <c r="A223" t="s">
        <v>3025</v>
      </c>
      <c r="W223">
        <f ca="1">OFFSET($A513,1,0)</f>
        <v>71</v>
      </c>
    </row>
    <row r="224" spans="1:23" x14ac:dyDescent="0.3">
      <c r="A224" t="s">
        <v>1527</v>
      </c>
      <c r="W224">
        <f ca="1">OFFSET($A520,1,0)</f>
        <v>74</v>
      </c>
    </row>
    <row r="225" spans="1:23" x14ac:dyDescent="0.3">
      <c r="A225">
        <v>31</v>
      </c>
      <c r="W225" t="str">
        <f ca="1">OFFSET($A515,1,0)</f>
        <v>‌</v>
      </c>
    </row>
    <row r="226" spans="1:23" x14ac:dyDescent="0.3">
      <c r="A226" t="s">
        <v>1548</v>
      </c>
      <c r="W226" t="str">
        <f ca="1">OFFSET($A522,1,0)</f>
        <v>‌</v>
      </c>
    </row>
    <row r="227" spans="1:23" x14ac:dyDescent="0.3">
      <c r="A227" t="s">
        <v>1548</v>
      </c>
      <c r="W227">
        <f ca="1">OFFSET($A517,1,0)</f>
        <v>74</v>
      </c>
    </row>
    <row r="228" spans="1:23" x14ac:dyDescent="0.3">
      <c r="A228" t="s">
        <v>1548</v>
      </c>
      <c r="W228">
        <f ca="1">OFFSET($A524,1,0)</f>
        <v>74</v>
      </c>
    </row>
    <row r="229" spans="1:23" x14ac:dyDescent="0.3">
      <c r="A229">
        <v>31</v>
      </c>
      <c r="B229" t="s">
        <v>270</v>
      </c>
      <c r="C229">
        <v>50</v>
      </c>
      <c r="D229">
        <v>187</v>
      </c>
      <c r="E229">
        <v>40</v>
      </c>
      <c r="F229">
        <v>54</v>
      </c>
      <c r="G229">
        <v>14</v>
      </c>
      <c r="H229">
        <v>0</v>
      </c>
      <c r="I229">
        <v>3</v>
      </c>
      <c r="J229">
        <v>18</v>
      </c>
      <c r="K229">
        <v>24</v>
      </c>
      <c r="L229">
        <v>40</v>
      </c>
      <c r="M229">
        <v>8</v>
      </c>
      <c r="N229">
        <v>2</v>
      </c>
      <c r="O229">
        <v>0.28899999999999998</v>
      </c>
      <c r="P229">
        <v>0.379</v>
      </c>
      <c r="Q229">
        <v>0.41199999999999998</v>
      </c>
      <c r="R229">
        <v>0.79100000000000004</v>
      </c>
      <c r="W229" t="str">
        <f ca="1">OFFSET($A519,1,0)</f>
        <v>RF</v>
      </c>
    </row>
    <row r="230" spans="1:23" x14ac:dyDescent="0.3">
      <c r="A230" t="s">
        <v>3121</v>
      </c>
      <c r="W230" t="str">
        <f ca="1">OFFSET($A526,1,0)</f>
        <v>LF</v>
      </c>
    </row>
    <row r="231" spans="1:23" x14ac:dyDescent="0.3">
      <c r="A231" t="s">
        <v>79</v>
      </c>
      <c r="W231" t="str">
        <f ca="1">OFFSET($A521,1,0)</f>
        <v>‌</v>
      </c>
    </row>
    <row r="232" spans="1:23" x14ac:dyDescent="0.3">
      <c r="A232">
        <v>31</v>
      </c>
      <c r="W232" t="str">
        <f ca="1">OFFSET($A528,1,0)</f>
        <v>‌</v>
      </c>
    </row>
    <row r="233" spans="1:23" x14ac:dyDescent="0.3">
      <c r="A233" t="s">
        <v>1548</v>
      </c>
      <c r="W233" t="str">
        <f ca="1">OFFSET($A523,1,0)</f>
        <v>‌</v>
      </c>
    </row>
    <row r="234" spans="1:23" x14ac:dyDescent="0.3">
      <c r="A234" t="s">
        <v>1548</v>
      </c>
      <c r="W234" t="str">
        <f ca="1">OFFSET($A530,1,0)</f>
        <v>‌</v>
      </c>
    </row>
    <row r="235" spans="1:23" x14ac:dyDescent="0.3">
      <c r="A235" t="s">
        <v>1548</v>
      </c>
    </row>
    <row r="236" spans="1:23" x14ac:dyDescent="0.3">
      <c r="A236">
        <v>31</v>
      </c>
      <c r="B236" t="s">
        <v>1520</v>
      </c>
      <c r="C236">
        <v>50</v>
      </c>
      <c r="D236">
        <v>187</v>
      </c>
      <c r="E236">
        <v>22</v>
      </c>
      <c r="F236">
        <v>49</v>
      </c>
      <c r="G236">
        <v>14</v>
      </c>
      <c r="H236">
        <v>0</v>
      </c>
      <c r="I236">
        <v>9</v>
      </c>
      <c r="J236">
        <v>24</v>
      </c>
      <c r="K236">
        <v>23</v>
      </c>
      <c r="L236">
        <v>27</v>
      </c>
      <c r="M236">
        <v>0</v>
      </c>
      <c r="N236">
        <v>0</v>
      </c>
      <c r="O236">
        <v>0.26200000000000001</v>
      </c>
      <c r="P236">
        <v>0.34699999999999998</v>
      </c>
      <c r="Q236">
        <v>0.48099999999999998</v>
      </c>
      <c r="R236">
        <v>0.82799999999999996</v>
      </c>
      <c r="W236">
        <f ca="1">OFFSET($A532,1,0)</f>
        <v>0</v>
      </c>
    </row>
    <row r="237" spans="1:23" x14ac:dyDescent="0.3">
      <c r="A237" t="s">
        <v>3562</v>
      </c>
      <c r="W237">
        <f ca="1">OFFSET($A527,1,0)</f>
        <v>74</v>
      </c>
    </row>
    <row r="238" spans="1:23" x14ac:dyDescent="0.3">
      <c r="A238" t="s">
        <v>1527</v>
      </c>
      <c r="W238">
        <f ca="1">OFFSET($A534,1,0)</f>
        <v>0</v>
      </c>
    </row>
    <row r="239" spans="1:23" x14ac:dyDescent="0.3">
      <c r="A239">
        <v>31</v>
      </c>
      <c r="W239" t="str">
        <f ca="1">OFFSET($A529,1,0)</f>
        <v>‌</v>
      </c>
    </row>
    <row r="240" spans="1:23" x14ac:dyDescent="0.3">
      <c r="A240" t="s">
        <v>1548</v>
      </c>
      <c r="W240">
        <f ca="1">OFFSET($A536,1,0)</f>
        <v>0</v>
      </c>
    </row>
    <row r="241" spans="1:23" x14ac:dyDescent="0.3">
      <c r="A241" t="s">
        <v>1548</v>
      </c>
      <c r="W241">
        <f ca="1">OFFSET($A531,1,0)</f>
        <v>0</v>
      </c>
    </row>
    <row r="242" spans="1:23" x14ac:dyDescent="0.3">
      <c r="A242" t="s">
        <v>1548</v>
      </c>
      <c r="W242">
        <f ca="1">OFFSET($A538,1,0)</f>
        <v>0</v>
      </c>
    </row>
    <row r="243" spans="1:23" x14ac:dyDescent="0.3">
      <c r="A243">
        <v>31</v>
      </c>
      <c r="B243" t="s">
        <v>234</v>
      </c>
      <c r="C243">
        <v>50</v>
      </c>
      <c r="D243">
        <v>187</v>
      </c>
      <c r="E243">
        <v>23</v>
      </c>
      <c r="F243">
        <v>40</v>
      </c>
      <c r="G243">
        <v>8</v>
      </c>
      <c r="H243">
        <v>0</v>
      </c>
      <c r="I243">
        <v>7</v>
      </c>
      <c r="J243">
        <v>20</v>
      </c>
      <c r="K243">
        <v>17</v>
      </c>
      <c r="L243">
        <v>46</v>
      </c>
      <c r="M243">
        <v>6</v>
      </c>
      <c r="N243">
        <v>1</v>
      </c>
      <c r="O243">
        <v>0.214</v>
      </c>
      <c r="P243">
        <v>0.28399999999999997</v>
      </c>
      <c r="Q243">
        <v>0.36899999999999999</v>
      </c>
      <c r="R243">
        <v>0.65300000000000002</v>
      </c>
      <c r="W243">
        <f ca="1">OFFSET($A533,1,0)</f>
        <v>0</v>
      </c>
    </row>
    <row r="244" spans="1:23" x14ac:dyDescent="0.3">
      <c r="A244" t="s">
        <v>3563</v>
      </c>
      <c r="W244">
        <f ca="1">OFFSET($A540,1,0)</f>
        <v>0</v>
      </c>
    </row>
    <row r="245" spans="1:23" x14ac:dyDescent="0.3">
      <c r="A245" t="s">
        <v>1525</v>
      </c>
      <c r="W245">
        <f ca="1">OFFSET($A535,1,0)</f>
        <v>0</v>
      </c>
    </row>
    <row r="246" spans="1:23" x14ac:dyDescent="0.3">
      <c r="A246">
        <v>31</v>
      </c>
      <c r="W246">
        <f ca="1">OFFSET($A542,1,0)</f>
        <v>0</v>
      </c>
    </row>
    <row r="247" spans="1:23" x14ac:dyDescent="0.3">
      <c r="A247" t="s">
        <v>1548</v>
      </c>
      <c r="W247">
        <f ca="1">OFFSET($A537,1,0)</f>
        <v>0</v>
      </c>
    </row>
    <row r="248" spans="1:23" x14ac:dyDescent="0.3">
      <c r="A248" t="s">
        <v>1548</v>
      </c>
      <c r="W248">
        <f ca="1">OFFSET($A544,1,0)</f>
        <v>0</v>
      </c>
    </row>
    <row r="249" spans="1:23" x14ac:dyDescent="0.3">
      <c r="A249" t="s">
        <v>1548</v>
      </c>
      <c r="W249">
        <f ca="1">OFFSET($A539,1,0)</f>
        <v>0</v>
      </c>
    </row>
    <row r="250" spans="1:23" x14ac:dyDescent="0.3">
      <c r="A250">
        <v>31</v>
      </c>
      <c r="B250" t="s">
        <v>221</v>
      </c>
      <c r="C250">
        <v>48</v>
      </c>
      <c r="D250">
        <v>187</v>
      </c>
      <c r="E250">
        <v>37</v>
      </c>
      <c r="F250">
        <v>53</v>
      </c>
      <c r="G250">
        <v>15</v>
      </c>
      <c r="H250">
        <v>1</v>
      </c>
      <c r="I250">
        <v>5</v>
      </c>
      <c r="J250">
        <v>19</v>
      </c>
      <c r="K250">
        <v>18</v>
      </c>
      <c r="L250">
        <v>28</v>
      </c>
      <c r="M250">
        <v>3</v>
      </c>
      <c r="N250">
        <v>0</v>
      </c>
      <c r="O250">
        <v>0.28299999999999997</v>
      </c>
      <c r="P250">
        <v>0.35899999999999999</v>
      </c>
      <c r="Q250">
        <v>0.45500000000000002</v>
      </c>
      <c r="R250">
        <v>0.81399999999999995</v>
      </c>
      <c r="W250">
        <f ca="1">OFFSET($A546,1,0)</f>
        <v>0</v>
      </c>
    </row>
    <row r="251" spans="1:23" x14ac:dyDescent="0.3">
      <c r="A251" t="s">
        <v>1552</v>
      </c>
      <c r="W251">
        <f ca="1">OFFSET($A541,1,0)</f>
        <v>0</v>
      </c>
    </row>
    <row r="252" spans="1:23" x14ac:dyDescent="0.3">
      <c r="A252" t="s">
        <v>1528</v>
      </c>
      <c r="W252">
        <f ca="1">OFFSET($A548,1,0)</f>
        <v>0</v>
      </c>
    </row>
    <row r="253" spans="1:23" x14ac:dyDescent="0.3">
      <c r="A253">
        <v>31</v>
      </c>
      <c r="W253">
        <f ca="1">OFFSET($A543,1,0)</f>
        <v>0</v>
      </c>
    </row>
    <row r="254" spans="1:23" x14ac:dyDescent="0.3">
      <c r="A254" t="s">
        <v>1548</v>
      </c>
      <c r="W254">
        <f ca="1">OFFSET($A550,1,0)</f>
        <v>0</v>
      </c>
    </row>
    <row r="255" spans="1:23" x14ac:dyDescent="0.3">
      <c r="A255" t="s">
        <v>1548</v>
      </c>
      <c r="W255">
        <f ca="1">OFFSET($A545,1,0)</f>
        <v>0</v>
      </c>
    </row>
    <row r="256" spans="1:23" x14ac:dyDescent="0.3">
      <c r="A256" t="s">
        <v>1548</v>
      </c>
      <c r="W256">
        <f ca="1">OFFSET($A552,1,0)</f>
        <v>0</v>
      </c>
    </row>
    <row r="257" spans="1:23" x14ac:dyDescent="0.3">
      <c r="A257">
        <v>37</v>
      </c>
      <c r="B257" t="s">
        <v>339</v>
      </c>
      <c r="C257">
        <v>50</v>
      </c>
      <c r="D257">
        <v>186</v>
      </c>
      <c r="E257">
        <v>33</v>
      </c>
      <c r="F257">
        <v>43</v>
      </c>
      <c r="G257">
        <v>3</v>
      </c>
      <c r="H257">
        <v>0</v>
      </c>
      <c r="I257">
        <v>18</v>
      </c>
      <c r="J257">
        <v>43</v>
      </c>
      <c r="K257">
        <v>24</v>
      </c>
      <c r="L257">
        <v>45</v>
      </c>
      <c r="M257">
        <v>0</v>
      </c>
      <c r="N257">
        <v>0</v>
      </c>
      <c r="O257">
        <v>0.23100000000000001</v>
      </c>
      <c r="P257">
        <v>0.32500000000000001</v>
      </c>
      <c r="Q257">
        <v>0.53800000000000003</v>
      </c>
      <c r="R257">
        <v>0.86299999999999999</v>
      </c>
      <c r="W257">
        <f ca="1">OFFSET($A547,1,0)</f>
        <v>0</v>
      </c>
    </row>
    <row r="258" spans="1:23" x14ac:dyDescent="0.3">
      <c r="A258" t="s">
        <v>3564</v>
      </c>
      <c r="W258">
        <f ca="1">OFFSET($A554,1,0)</f>
        <v>0</v>
      </c>
    </row>
    <row r="259" spans="1:23" x14ac:dyDescent="0.3">
      <c r="A259" t="s">
        <v>1527</v>
      </c>
      <c r="W259">
        <f ca="1">OFFSET($A549,1,0)</f>
        <v>0</v>
      </c>
    </row>
    <row r="260" spans="1:23" x14ac:dyDescent="0.3">
      <c r="A260">
        <v>37</v>
      </c>
      <c r="W260">
        <f ca="1">OFFSET($A556,1,0)</f>
        <v>0</v>
      </c>
    </row>
    <row r="261" spans="1:23" x14ac:dyDescent="0.3">
      <c r="A261" t="s">
        <v>1548</v>
      </c>
      <c r="W261">
        <f ca="1">OFFSET($A551,1,0)</f>
        <v>0</v>
      </c>
    </row>
    <row r="262" spans="1:23" x14ac:dyDescent="0.3">
      <c r="A262" t="s">
        <v>1548</v>
      </c>
      <c r="W262">
        <f ca="1">OFFSET($A558,1,0)</f>
        <v>0</v>
      </c>
    </row>
    <row r="263" spans="1:23" x14ac:dyDescent="0.3">
      <c r="A263" t="s">
        <v>1548</v>
      </c>
      <c r="W263">
        <f ca="1">OFFSET($A553,1,0)</f>
        <v>0</v>
      </c>
    </row>
    <row r="264" spans="1:23" x14ac:dyDescent="0.3">
      <c r="A264">
        <v>37</v>
      </c>
      <c r="B264" t="s">
        <v>1550</v>
      </c>
      <c r="C264">
        <v>49</v>
      </c>
      <c r="D264">
        <v>186</v>
      </c>
      <c r="E264">
        <v>22</v>
      </c>
      <c r="F264">
        <v>44</v>
      </c>
      <c r="G264">
        <v>13</v>
      </c>
      <c r="H264">
        <v>1</v>
      </c>
      <c r="I264">
        <v>5</v>
      </c>
      <c r="J264">
        <v>31</v>
      </c>
      <c r="K264">
        <v>18</v>
      </c>
      <c r="L264">
        <v>42</v>
      </c>
      <c r="M264">
        <v>0</v>
      </c>
      <c r="N264">
        <v>0</v>
      </c>
      <c r="O264">
        <v>0.23699999999999999</v>
      </c>
      <c r="P264">
        <v>0.31900000000000001</v>
      </c>
      <c r="Q264">
        <v>0.39800000000000002</v>
      </c>
      <c r="R264">
        <v>0.71699999999999997</v>
      </c>
      <c r="W264">
        <f ca="1">OFFSET($A560,1,0)</f>
        <v>0</v>
      </c>
    </row>
    <row r="265" spans="1:23" x14ac:dyDescent="0.3">
      <c r="A265" t="s">
        <v>3565</v>
      </c>
      <c r="W265">
        <f ca="1">OFFSET($A555,1,0)</f>
        <v>0</v>
      </c>
    </row>
    <row r="266" spans="1:23" x14ac:dyDescent="0.3">
      <c r="A266" t="s">
        <v>1527</v>
      </c>
      <c r="W266">
        <f ca="1">OFFSET($A562,1,0)</f>
        <v>0</v>
      </c>
    </row>
    <row r="267" spans="1:23" x14ac:dyDescent="0.3">
      <c r="A267">
        <v>37</v>
      </c>
      <c r="W267">
        <f ca="1">OFFSET($A557,1,0)</f>
        <v>0</v>
      </c>
    </row>
    <row r="268" spans="1:23" x14ac:dyDescent="0.3">
      <c r="A268" t="s">
        <v>1548</v>
      </c>
      <c r="W268">
        <f ca="1">OFFSET($A564,1,0)</f>
        <v>0</v>
      </c>
    </row>
    <row r="269" spans="1:23" x14ac:dyDescent="0.3">
      <c r="A269" t="s">
        <v>1548</v>
      </c>
      <c r="W269">
        <f ca="1">OFFSET($A559,1,0)</f>
        <v>0</v>
      </c>
    </row>
    <row r="270" spans="1:23" x14ac:dyDescent="0.3">
      <c r="A270" t="s">
        <v>1548</v>
      </c>
      <c r="W270">
        <f ca="1">OFFSET($A566,1,0)</f>
        <v>0</v>
      </c>
    </row>
    <row r="271" spans="1:23" x14ac:dyDescent="0.3">
      <c r="A271">
        <v>39</v>
      </c>
      <c r="B271" t="s">
        <v>224</v>
      </c>
      <c r="C271">
        <v>48</v>
      </c>
      <c r="D271">
        <v>185</v>
      </c>
      <c r="E271">
        <v>13</v>
      </c>
      <c r="F271">
        <v>41</v>
      </c>
      <c r="G271">
        <v>7</v>
      </c>
      <c r="H271">
        <v>0</v>
      </c>
      <c r="I271">
        <v>0</v>
      </c>
      <c r="J271">
        <v>17</v>
      </c>
      <c r="K271">
        <v>14</v>
      </c>
      <c r="L271">
        <v>47</v>
      </c>
      <c r="M271">
        <v>0</v>
      </c>
      <c r="N271">
        <v>0</v>
      </c>
      <c r="O271">
        <v>0.222</v>
      </c>
      <c r="P271">
        <v>0.28000000000000003</v>
      </c>
      <c r="Q271">
        <v>0.25900000000000001</v>
      </c>
      <c r="R271">
        <v>0.53900000000000003</v>
      </c>
      <c r="W271">
        <f ca="1">OFFSET($A561,1,0)</f>
        <v>0</v>
      </c>
    </row>
    <row r="272" spans="1:23" x14ac:dyDescent="0.3">
      <c r="A272" t="s">
        <v>1567</v>
      </c>
      <c r="W272">
        <f ca="1">OFFSET($A568,1,0)</f>
        <v>0</v>
      </c>
    </row>
    <row r="273" spans="1:23" x14ac:dyDescent="0.3">
      <c r="A273" t="s">
        <v>1527</v>
      </c>
      <c r="W273">
        <f ca="1">OFFSET($A563,1,0)</f>
        <v>0</v>
      </c>
    </row>
    <row r="274" spans="1:23" x14ac:dyDescent="0.3">
      <c r="A274">
        <v>39</v>
      </c>
      <c r="W274">
        <f ca="1">OFFSET($A570,1,0)</f>
        <v>0</v>
      </c>
    </row>
    <row r="275" spans="1:23" x14ac:dyDescent="0.3">
      <c r="A275" t="s">
        <v>1548</v>
      </c>
      <c r="W275">
        <f ca="1">OFFSET($A565,1,0)</f>
        <v>0</v>
      </c>
    </row>
    <row r="276" spans="1:23" x14ac:dyDescent="0.3">
      <c r="A276" t="s">
        <v>1548</v>
      </c>
      <c r="W276">
        <f ca="1">OFFSET($A572,1,0)</f>
        <v>0</v>
      </c>
    </row>
    <row r="277" spans="1:23" x14ac:dyDescent="0.3">
      <c r="A277" t="s">
        <v>1548</v>
      </c>
      <c r="W277">
        <f ca="1">OFFSET($A567,1,0)</f>
        <v>0</v>
      </c>
    </row>
    <row r="278" spans="1:23" x14ac:dyDescent="0.3">
      <c r="A278">
        <v>39</v>
      </c>
      <c r="B278" t="s">
        <v>248</v>
      </c>
      <c r="C278">
        <v>47</v>
      </c>
      <c r="D278">
        <v>185</v>
      </c>
      <c r="E278">
        <v>26</v>
      </c>
      <c r="F278">
        <v>49</v>
      </c>
      <c r="G278">
        <v>12</v>
      </c>
      <c r="H278">
        <v>1</v>
      </c>
      <c r="I278">
        <v>4</v>
      </c>
      <c r="J278">
        <v>20</v>
      </c>
      <c r="K278">
        <v>29</v>
      </c>
      <c r="L278">
        <v>47</v>
      </c>
      <c r="M278">
        <v>4</v>
      </c>
      <c r="N278">
        <v>1</v>
      </c>
      <c r="O278">
        <v>0.26500000000000001</v>
      </c>
      <c r="P278">
        <v>0.36699999999999999</v>
      </c>
      <c r="Q278">
        <v>0.40500000000000003</v>
      </c>
      <c r="R278">
        <v>0.77200000000000002</v>
      </c>
      <c r="W278">
        <f ca="1">OFFSET($A574,1,0)</f>
        <v>0</v>
      </c>
    </row>
    <row r="279" spans="1:23" x14ac:dyDescent="0.3">
      <c r="A279" t="s">
        <v>3566</v>
      </c>
      <c r="W279">
        <f ca="1">OFFSET($A569,1,0)</f>
        <v>0</v>
      </c>
    </row>
    <row r="280" spans="1:23" x14ac:dyDescent="0.3">
      <c r="A280" t="s">
        <v>1529</v>
      </c>
      <c r="W280">
        <f ca="1">OFFSET($A576,1,0)</f>
        <v>0</v>
      </c>
    </row>
    <row r="281" spans="1:23" x14ac:dyDescent="0.3">
      <c r="A281">
        <v>39</v>
      </c>
      <c r="W281">
        <f ca="1">OFFSET($A571,1,0)</f>
        <v>0</v>
      </c>
    </row>
    <row r="282" spans="1:23" x14ac:dyDescent="0.3">
      <c r="A282" t="s">
        <v>1548</v>
      </c>
      <c r="W282">
        <f ca="1">OFFSET($A578,1,0)</f>
        <v>0</v>
      </c>
    </row>
    <row r="283" spans="1:23" x14ac:dyDescent="0.3">
      <c r="A283" t="s">
        <v>1548</v>
      </c>
      <c r="W283">
        <f ca="1">OFFSET($A573,1,0)</f>
        <v>0</v>
      </c>
    </row>
    <row r="284" spans="1:23" x14ac:dyDescent="0.3">
      <c r="A284" t="s">
        <v>1548</v>
      </c>
      <c r="W284">
        <f ca="1">OFFSET($A580,1,0)</f>
        <v>0</v>
      </c>
    </row>
    <row r="285" spans="1:23" x14ac:dyDescent="0.3">
      <c r="A285">
        <v>41</v>
      </c>
      <c r="B285" t="s">
        <v>226</v>
      </c>
      <c r="C285">
        <v>48</v>
      </c>
      <c r="D285">
        <v>184</v>
      </c>
      <c r="E285">
        <v>37</v>
      </c>
      <c r="F285">
        <v>47</v>
      </c>
      <c r="G285">
        <v>14</v>
      </c>
      <c r="H285">
        <v>1</v>
      </c>
      <c r="I285">
        <v>11</v>
      </c>
      <c r="J285">
        <v>30</v>
      </c>
      <c r="K285">
        <v>31</v>
      </c>
      <c r="L285">
        <v>40</v>
      </c>
      <c r="M285">
        <v>1</v>
      </c>
      <c r="N285">
        <v>1</v>
      </c>
      <c r="O285">
        <v>0.255</v>
      </c>
      <c r="P285">
        <v>0.36399999999999999</v>
      </c>
      <c r="Q285">
        <v>0.52200000000000002</v>
      </c>
      <c r="R285">
        <v>0.88600000000000001</v>
      </c>
      <c r="W285">
        <f ca="1">OFFSET($A575,1,0)</f>
        <v>0</v>
      </c>
    </row>
    <row r="286" spans="1:23" x14ac:dyDescent="0.3">
      <c r="A286" t="s">
        <v>3567</v>
      </c>
      <c r="W286">
        <f ca="1">OFFSET($A582,1,0)</f>
        <v>0</v>
      </c>
    </row>
    <row r="287" spans="1:23" x14ac:dyDescent="0.3">
      <c r="A287" t="s">
        <v>1528</v>
      </c>
      <c r="W287">
        <f ca="1">OFFSET($A577,1,0)</f>
        <v>0</v>
      </c>
    </row>
    <row r="288" spans="1:23" x14ac:dyDescent="0.3">
      <c r="A288">
        <v>41</v>
      </c>
      <c r="W288">
        <f ca="1">OFFSET($A584,1,0)</f>
        <v>0</v>
      </c>
    </row>
    <row r="289" spans="1:23" x14ac:dyDescent="0.3">
      <c r="A289" t="s">
        <v>1548</v>
      </c>
      <c r="W289">
        <f ca="1">OFFSET($A579,1,0)</f>
        <v>0</v>
      </c>
    </row>
    <row r="290" spans="1:23" x14ac:dyDescent="0.3">
      <c r="A290" t="s">
        <v>1548</v>
      </c>
      <c r="W290">
        <f ca="1">OFFSET($A586,1,0)</f>
        <v>0</v>
      </c>
    </row>
    <row r="291" spans="1:23" x14ac:dyDescent="0.3">
      <c r="A291" t="s">
        <v>1548</v>
      </c>
      <c r="W291">
        <f ca="1">OFFSET($A581,1,0)</f>
        <v>0</v>
      </c>
    </row>
    <row r="292" spans="1:23" x14ac:dyDescent="0.3">
      <c r="A292">
        <v>41</v>
      </c>
      <c r="B292" t="s">
        <v>244</v>
      </c>
      <c r="C292">
        <v>48</v>
      </c>
      <c r="D292">
        <v>184</v>
      </c>
      <c r="E292">
        <v>27</v>
      </c>
      <c r="F292">
        <v>48</v>
      </c>
      <c r="G292">
        <v>13</v>
      </c>
      <c r="H292">
        <v>0</v>
      </c>
      <c r="I292">
        <v>3</v>
      </c>
      <c r="J292">
        <v>21</v>
      </c>
      <c r="K292">
        <v>15</v>
      </c>
      <c r="L292">
        <v>28</v>
      </c>
      <c r="M292">
        <v>1</v>
      </c>
      <c r="N292">
        <v>0</v>
      </c>
      <c r="O292">
        <v>0.26100000000000001</v>
      </c>
      <c r="P292">
        <v>0.34100000000000003</v>
      </c>
      <c r="Q292">
        <v>0.38</v>
      </c>
      <c r="R292">
        <v>0.72099999999999997</v>
      </c>
      <c r="W292">
        <f ca="1">OFFSET($A588,1,0)</f>
        <v>0</v>
      </c>
    </row>
    <row r="293" spans="1:23" x14ac:dyDescent="0.3">
      <c r="A293" t="s">
        <v>3568</v>
      </c>
      <c r="W293">
        <f ca="1">OFFSET($A583,1,0)</f>
        <v>0</v>
      </c>
    </row>
    <row r="294" spans="1:23" x14ac:dyDescent="0.3">
      <c r="A294" t="s">
        <v>1527</v>
      </c>
      <c r="W294">
        <f ca="1">OFFSET($A590,1,0)</f>
        <v>0</v>
      </c>
    </row>
    <row r="295" spans="1:23" x14ac:dyDescent="0.3">
      <c r="A295">
        <v>41</v>
      </c>
      <c r="W295">
        <f ca="1">OFFSET($A585,1,0)</f>
        <v>0</v>
      </c>
    </row>
    <row r="296" spans="1:23" x14ac:dyDescent="0.3">
      <c r="A296" t="s">
        <v>1548</v>
      </c>
      <c r="W296">
        <f ca="1">OFFSET($A592,1,0)</f>
        <v>0</v>
      </c>
    </row>
    <row r="297" spans="1:23" x14ac:dyDescent="0.3">
      <c r="A297" t="s">
        <v>1548</v>
      </c>
      <c r="W297">
        <f ca="1">OFFSET($A587,1,0)</f>
        <v>0</v>
      </c>
    </row>
    <row r="298" spans="1:23" x14ac:dyDescent="0.3">
      <c r="A298" t="s">
        <v>1548</v>
      </c>
      <c r="W298">
        <f ca="1">OFFSET($A594,1,0)</f>
        <v>0</v>
      </c>
    </row>
    <row r="299" spans="1:23" x14ac:dyDescent="0.3">
      <c r="A299">
        <v>41</v>
      </c>
      <c r="B299" t="s">
        <v>250</v>
      </c>
      <c r="C299">
        <v>49</v>
      </c>
      <c r="D299">
        <v>184</v>
      </c>
      <c r="E299">
        <v>39</v>
      </c>
      <c r="F299">
        <v>43</v>
      </c>
      <c r="G299">
        <v>10</v>
      </c>
      <c r="H299">
        <v>1</v>
      </c>
      <c r="I299">
        <v>14</v>
      </c>
      <c r="J299">
        <v>36</v>
      </c>
      <c r="K299">
        <v>35</v>
      </c>
      <c r="L299">
        <v>70</v>
      </c>
      <c r="M299">
        <v>0</v>
      </c>
      <c r="N299">
        <v>0</v>
      </c>
      <c r="O299">
        <v>0.23400000000000001</v>
      </c>
      <c r="P299">
        <v>0.36199999999999999</v>
      </c>
      <c r="Q299">
        <v>0.52700000000000002</v>
      </c>
      <c r="R299">
        <v>0.88900000000000001</v>
      </c>
      <c r="W299">
        <f ca="1">OFFSET($A589,1,0)</f>
        <v>0</v>
      </c>
    </row>
    <row r="300" spans="1:23" x14ac:dyDescent="0.3">
      <c r="A300" t="s">
        <v>3038</v>
      </c>
      <c r="W300">
        <f ca="1">OFFSET($A596,1,0)</f>
        <v>0</v>
      </c>
    </row>
    <row r="301" spans="1:23" x14ac:dyDescent="0.3">
      <c r="A301" t="s">
        <v>1527</v>
      </c>
      <c r="W301">
        <f ca="1">OFFSET($A591,1,0)</f>
        <v>0</v>
      </c>
    </row>
    <row r="302" spans="1:23" x14ac:dyDescent="0.3">
      <c r="A302">
        <v>41</v>
      </c>
      <c r="W302">
        <f ca="1">OFFSET($A598,1,0)</f>
        <v>0</v>
      </c>
    </row>
    <row r="303" spans="1:23" x14ac:dyDescent="0.3">
      <c r="A303" t="s">
        <v>1548</v>
      </c>
      <c r="W303">
        <f ca="1">OFFSET($A593,1,0)</f>
        <v>0</v>
      </c>
    </row>
    <row r="304" spans="1:23" x14ac:dyDescent="0.3">
      <c r="A304" t="s">
        <v>1548</v>
      </c>
      <c r="W304">
        <f ca="1">OFFSET($A600,1,0)</f>
        <v>0</v>
      </c>
    </row>
    <row r="305" spans="1:23" x14ac:dyDescent="0.3">
      <c r="A305" t="s">
        <v>1548</v>
      </c>
      <c r="W305">
        <f ca="1">OFFSET($A595,1,0)</f>
        <v>0</v>
      </c>
    </row>
    <row r="306" spans="1:23" x14ac:dyDescent="0.3">
      <c r="A306">
        <v>41</v>
      </c>
      <c r="B306" t="s">
        <v>1524</v>
      </c>
      <c r="C306">
        <v>48</v>
      </c>
      <c r="D306">
        <v>184</v>
      </c>
      <c r="E306">
        <v>31</v>
      </c>
      <c r="F306">
        <v>54</v>
      </c>
      <c r="G306">
        <v>8</v>
      </c>
      <c r="H306">
        <v>1</v>
      </c>
      <c r="I306">
        <v>7</v>
      </c>
      <c r="J306">
        <v>25</v>
      </c>
      <c r="K306">
        <v>12</v>
      </c>
      <c r="L306">
        <v>51</v>
      </c>
      <c r="M306">
        <v>4</v>
      </c>
      <c r="N306">
        <v>1</v>
      </c>
      <c r="O306">
        <v>0.29299999999999998</v>
      </c>
      <c r="P306">
        <v>0.34499999999999997</v>
      </c>
      <c r="Q306">
        <v>0.46200000000000002</v>
      </c>
      <c r="R306">
        <v>0.80700000000000005</v>
      </c>
      <c r="W306">
        <f ca="1">OFFSET($A602,1,0)</f>
        <v>0</v>
      </c>
    </row>
    <row r="307" spans="1:23" x14ac:dyDescent="0.3">
      <c r="A307" t="s">
        <v>1750</v>
      </c>
      <c r="W307">
        <f ca="1">OFFSET($A597,1,0)</f>
        <v>0</v>
      </c>
    </row>
    <row r="308" spans="1:23" x14ac:dyDescent="0.3">
      <c r="A308" t="s">
        <v>1528</v>
      </c>
    </row>
    <row r="309" spans="1:23" x14ac:dyDescent="0.3">
      <c r="A309">
        <v>41</v>
      </c>
    </row>
    <row r="310" spans="1:23" x14ac:dyDescent="0.3">
      <c r="A310" t="s">
        <v>1548</v>
      </c>
    </row>
    <row r="311" spans="1:23" x14ac:dyDescent="0.3">
      <c r="A311" t="s">
        <v>1548</v>
      </c>
    </row>
    <row r="312" spans="1:23" x14ac:dyDescent="0.3">
      <c r="A312" t="s">
        <v>1548</v>
      </c>
    </row>
    <row r="313" spans="1:23" x14ac:dyDescent="0.3">
      <c r="A313">
        <v>45</v>
      </c>
      <c r="B313" t="s">
        <v>264</v>
      </c>
      <c r="C313">
        <v>46</v>
      </c>
      <c r="D313">
        <v>183</v>
      </c>
      <c r="E313">
        <v>33</v>
      </c>
      <c r="F313">
        <v>50</v>
      </c>
      <c r="G313">
        <v>8</v>
      </c>
      <c r="H313">
        <v>0</v>
      </c>
      <c r="I313">
        <v>11</v>
      </c>
      <c r="J313">
        <v>34</v>
      </c>
      <c r="K313">
        <v>12</v>
      </c>
      <c r="L313">
        <v>59</v>
      </c>
      <c r="M313">
        <v>1</v>
      </c>
      <c r="N313">
        <v>1</v>
      </c>
      <c r="O313">
        <v>0.27300000000000002</v>
      </c>
      <c r="P313">
        <v>0.32</v>
      </c>
      <c r="Q313">
        <v>0.497</v>
      </c>
      <c r="R313">
        <v>0.81699999999999995</v>
      </c>
    </row>
    <row r="314" spans="1:23" x14ac:dyDescent="0.3">
      <c r="A314" t="s">
        <v>3119</v>
      </c>
    </row>
    <row r="315" spans="1:23" x14ac:dyDescent="0.3">
      <c r="A315" t="s">
        <v>80</v>
      </c>
    </row>
    <row r="316" spans="1:23" x14ac:dyDescent="0.3">
      <c r="A316">
        <v>45</v>
      </c>
    </row>
    <row r="317" spans="1:23" x14ac:dyDescent="0.3">
      <c r="A317" t="s">
        <v>1548</v>
      </c>
    </row>
    <row r="318" spans="1:23" x14ac:dyDescent="0.3">
      <c r="A318" t="s">
        <v>1548</v>
      </c>
    </row>
    <row r="319" spans="1:23" x14ac:dyDescent="0.3">
      <c r="A319" t="s">
        <v>1548</v>
      </c>
    </row>
    <row r="320" spans="1:23" x14ac:dyDescent="0.3">
      <c r="A320">
        <v>45</v>
      </c>
      <c r="B320" t="s">
        <v>1554</v>
      </c>
      <c r="C320">
        <v>47</v>
      </c>
      <c r="D320">
        <v>183</v>
      </c>
      <c r="E320">
        <v>27</v>
      </c>
      <c r="F320">
        <v>51</v>
      </c>
      <c r="G320">
        <v>8</v>
      </c>
      <c r="H320">
        <v>4</v>
      </c>
      <c r="I320">
        <v>6</v>
      </c>
      <c r="J320">
        <v>20</v>
      </c>
      <c r="K320">
        <v>15</v>
      </c>
      <c r="L320">
        <v>33</v>
      </c>
      <c r="M320">
        <v>4</v>
      </c>
      <c r="N320">
        <v>0</v>
      </c>
      <c r="O320">
        <v>0.27900000000000003</v>
      </c>
      <c r="P320">
        <v>0.34100000000000003</v>
      </c>
      <c r="Q320">
        <v>0.46400000000000002</v>
      </c>
      <c r="R320">
        <v>0.80500000000000005</v>
      </c>
    </row>
    <row r="321" spans="1:18" x14ac:dyDescent="0.3">
      <c r="A321" t="s">
        <v>1553</v>
      </c>
    </row>
    <row r="322" spans="1:18" x14ac:dyDescent="0.3">
      <c r="A322" t="s">
        <v>79</v>
      </c>
    </row>
    <row r="323" spans="1:18" x14ac:dyDescent="0.3">
      <c r="A323">
        <v>45</v>
      </c>
    </row>
    <row r="324" spans="1:18" x14ac:dyDescent="0.3">
      <c r="A324" t="s">
        <v>1548</v>
      </c>
    </row>
    <row r="325" spans="1:18" x14ac:dyDescent="0.3">
      <c r="A325" t="s">
        <v>1548</v>
      </c>
    </row>
    <row r="326" spans="1:18" x14ac:dyDescent="0.3">
      <c r="A326" t="s">
        <v>1548</v>
      </c>
    </row>
    <row r="327" spans="1:18" x14ac:dyDescent="0.3">
      <c r="A327">
        <v>45</v>
      </c>
      <c r="B327" t="s">
        <v>1550</v>
      </c>
      <c r="C327">
        <v>49</v>
      </c>
      <c r="D327">
        <v>183</v>
      </c>
      <c r="E327">
        <v>34</v>
      </c>
      <c r="F327">
        <v>50</v>
      </c>
      <c r="G327">
        <v>13</v>
      </c>
      <c r="H327">
        <v>0</v>
      </c>
      <c r="I327">
        <v>13</v>
      </c>
      <c r="J327">
        <v>29</v>
      </c>
      <c r="K327">
        <v>10</v>
      </c>
      <c r="L327">
        <v>54</v>
      </c>
      <c r="M327">
        <v>2</v>
      </c>
      <c r="N327">
        <v>1</v>
      </c>
      <c r="O327">
        <v>0.27300000000000002</v>
      </c>
      <c r="P327">
        <v>0.32800000000000001</v>
      </c>
      <c r="Q327">
        <v>0.55700000000000005</v>
      </c>
      <c r="R327">
        <v>0.88500000000000001</v>
      </c>
    </row>
    <row r="328" spans="1:18" x14ac:dyDescent="0.3">
      <c r="A328" t="s">
        <v>3569</v>
      </c>
    </row>
    <row r="329" spans="1:18" x14ac:dyDescent="0.3">
      <c r="A329" t="s">
        <v>1530</v>
      </c>
    </row>
    <row r="330" spans="1:18" x14ac:dyDescent="0.3">
      <c r="A330">
        <v>45</v>
      </c>
    </row>
    <row r="331" spans="1:18" x14ac:dyDescent="0.3">
      <c r="A331" t="s">
        <v>1548</v>
      </c>
    </row>
    <row r="332" spans="1:18" x14ac:dyDescent="0.3">
      <c r="A332" t="s">
        <v>1548</v>
      </c>
    </row>
    <row r="333" spans="1:18" x14ac:dyDescent="0.3">
      <c r="A333" t="s">
        <v>1548</v>
      </c>
    </row>
    <row r="334" spans="1:18" x14ac:dyDescent="0.3">
      <c r="A334">
        <v>45</v>
      </c>
      <c r="B334" t="s">
        <v>244</v>
      </c>
      <c r="C334">
        <v>49</v>
      </c>
      <c r="D334">
        <v>183</v>
      </c>
      <c r="E334">
        <v>19</v>
      </c>
      <c r="F334">
        <v>41</v>
      </c>
      <c r="G334">
        <v>5</v>
      </c>
      <c r="H334">
        <v>0</v>
      </c>
      <c r="I334">
        <v>5</v>
      </c>
      <c r="J334">
        <v>28</v>
      </c>
      <c r="K334">
        <v>25</v>
      </c>
      <c r="L334">
        <v>61</v>
      </c>
      <c r="M334">
        <v>1</v>
      </c>
      <c r="N334">
        <v>1</v>
      </c>
      <c r="O334">
        <v>0.224</v>
      </c>
      <c r="P334">
        <v>0.32700000000000001</v>
      </c>
      <c r="Q334">
        <v>0.33300000000000002</v>
      </c>
      <c r="R334">
        <v>0.66</v>
      </c>
    </row>
    <row r="335" spans="1:18" x14ac:dyDescent="0.3">
      <c r="A335" t="s">
        <v>2059</v>
      </c>
    </row>
    <row r="336" spans="1:18" x14ac:dyDescent="0.3">
      <c r="A336" t="s">
        <v>80</v>
      </c>
    </row>
    <row r="337" spans="1:18" x14ac:dyDescent="0.3">
      <c r="A337">
        <v>45</v>
      </c>
    </row>
    <row r="338" spans="1:18" x14ac:dyDescent="0.3">
      <c r="A338" t="s">
        <v>1548</v>
      </c>
    </row>
    <row r="339" spans="1:18" x14ac:dyDescent="0.3">
      <c r="A339" t="s">
        <v>1548</v>
      </c>
    </row>
    <row r="340" spans="1:18" x14ac:dyDescent="0.3">
      <c r="A340" t="s">
        <v>1548</v>
      </c>
    </row>
    <row r="341" spans="1:18" x14ac:dyDescent="0.3">
      <c r="A341">
        <v>49</v>
      </c>
      <c r="B341" t="s">
        <v>311</v>
      </c>
      <c r="C341">
        <v>49</v>
      </c>
      <c r="D341">
        <v>182</v>
      </c>
      <c r="E341">
        <v>22</v>
      </c>
      <c r="F341">
        <v>48</v>
      </c>
      <c r="G341">
        <v>8</v>
      </c>
      <c r="H341">
        <v>0</v>
      </c>
      <c r="I341">
        <v>5</v>
      </c>
      <c r="J341">
        <v>35</v>
      </c>
      <c r="K341">
        <v>14</v>
      </c>
      <c r="L341">
        <v>32</v>
      </c>
      <c r="M341">
        <v>2</v>
      </c>
      <c r="N341">
        <v>1</v>
      </c>
      <c r="O341">
        <v>0.26400000000000001</v>
      </c>
      <c r="P341">
        <v>0.32</v>
      </c>
      <c r="Q341">
        <v>0.39</v>
      </c>
      <c r="R341">
        <v>0.71</v>
      </c>
    </row>
    <row r="342" spans="1:18" x14ac:dyDescent="0.3">
      <c r="A342" t="s">
        <v>3570</v>
      </c>
    </row>
    <row r="343" spans="1:18" x14ac:dyDescent="0.3">
      <c r="A343" t="s">
        <v>1527</v>
      </c>
    </row>
    <row r="344" spans="1:18" x14ac:dyDescent="0.3">
      <c r="A344">
        <v>49</v>
      </c>
    </row>
    <row r="345" spans="1:18" x14ac:dyDescent="0.3">
      <c r="A345" t="s">
        <v>1548</v>
      </c>
    </row>
    <row r="346" spans="1:18" x14ac:dyDescent="0.3">
      <c r="A346" t="s">
        <v>1548</v>
      </c>
    </row>
    <row r="347" spans="1:18" x14ac:dyDescent="0.3">
      <c r="A347" t="s">
        <v>1548</v>
      </c>
    </row>
    <row r="348" spans="1:18" x14ac:dyDescent="0.3">
      <c r="A348">
        <v>49</v>
      </c>
      <c r="B348" t="s">
        <v>1524</v>
      </c>
      <c r="C348">
        <v>47</v>
      </c>
      <c r="D348">
        <v>182</v>
      </c>
      <c r="E348">
        <v>20</v>
      </c>
      <c r="F348">
        <v>47</v>
      </c>
      <c r="G348">
        <v>13</v>
      </c>
      <c r="H348">
        <v>1</v>
      </c>
      <c r="I348">
        <v>6</v>
      </c>
      <c r="J348">
        <v>19</v>
      </c>
      <c r="K348">
        <v>13</v>
      </c>
      <c r="L348">
        <v>38</v>
      </c>
      <c r="M348">
        <v>0</v>
      </c>
      <c r="N348">
        <v>0</v>
      </c>
      <c r="O348">
        <v>0.25800000000000001</v>
      </c>
      <c r="P348">
        <v>0.315</v>
      </c>
      <c r="Q348">
        <v>0.44</v>
      </c>
      <c r="R348">
        <v>0.755</v>
      </c>
    </row>
    <row r="349" spans="1:18" x14ac:dyDescent="0.3">
      <c r="A349" t="s">
        <v>3077</v>
      </c>
    </row>
    <row r="350" spans="1:18" x14ac:dyDescent="0.3">
      <c r="A350" t="s">
        <v>80</v>
      </c>
    </row>
    <row r="351" spans="1:18" x14ac:dyDescent="0.3">
      <c r="A351">
        <v>49</v>
      </c>
    </row>
    <row r="352" spans="1:18" x14ac:dyDescent="0.3">
      <c r="A352" t="s">
        <v>1548</v>
      </c>
    </row>
    <row r="353" spans="1:18" x14ac:dyDescent="0.3">
      <c r="A353" t="s">
        <v>1548</v>
      </c>
    </row>
    <row r="354" spans="1:18" x14ac:dyDescent="0.3">
      <c r="A354" t="s">
        <v>1548</v>
      </c>
    </row>
    <row r="355" spans="1:18" x14ac:dyDescent="0.3">
      <c r="A355" t="s">
        <v>1545</v>
      </c>
      <c r="B355" t="s">
        <v>981</v>
      </c>
      <c r="C355" t="s">
        <v>1546</v>
      </c>
      <c r="D355" t="s">
        <v>76</v>
      </c>
      <c r="E355" t="s">
        <v>77</v>
      </c>
      <c r="F355" t="s">
        <v>78</v>
      </c>
      <c r="G355" t="s">
        <v>79</v>
      </c>
      <c r="H355" t="s">
        <v>80</v>
      </c>
      <c r="I355" t="s">
        <v>81</v>
      </c>
      <c r="J355" t="s">
        <v>82</v>
      </c>
      <c r="K355" t="s">
        <v>83</v>
      </c>
      <c r="L355" t="s">
        <v>84</v>
      </c>
      <c r="M355" t="s">
        <v>85</v>
      </c>
      <c r="N355" t="s">
        <v>86</v>
      </c>
      <c r="O355" t="s">
        <v>87</v>
      </c>
      <c r="P355" t="s">
        <v>88</v>
      </c>
      <c r="Q355" t="s">
        <v>89</v>
      </c>
      <c r="R355" t="s">
        <v>90</v>
      </c>
    </row>
    <row r="356" spans="1:18" x14ac:dyDescent="0.3">
      <c r="A356" t="s">
        <v>1545</v>
      </c>
      <c r="B356" t="s">
        <v>981</v>
      </c>
      <c r="C356" t="s">
        <v>1546</v>
      </c>
      <c r="D356" t="s">
        <v>76</v>
      </c>
      <c r="E356" t="s">
        <v>77</v>
      </c>
      <c r="F356" t="s">
        <v>78</v>
      </c>
      <c r="G356" t="s">
        <v>79</v>
      </c>
      <c r="H356" t="s">
        <v>80</v>
      </c>
      <c r="I356" t="s">
        <v>81</v>
      </c>
      <c r="J356" t="s">
        <v>82</v>
      </c>
      <c r="K356" t="s">
        <v>83</v>
      </c>
      <c r="L356" t="s">
        <v>84</v>
      </c>
      <c r="M356" t="s">
        <v>85</v>
      </c>
      <c r="N356" t="s">
        <v>86</v>
      </c>
      <c r="O356" t="s">
        <v>87</v>
      </c>
      <c r="P356" t="s">
        <v>88</v>
      </c>
      <c r="Q356" t="s">
        <v>89</v>
      </c>
      <c r="R356" t="s">
        <v>90</v>
      </c>
    </row>
    <row r="357" spans="1:18" x14ac:dyDescent="0.3">
      <c r="A357">
        <v>49</v>
      </c>
      <c r="B357" t="s">
        <v>346</v>
      </c>
      <c r="C357">
        <v>46</v>
      </c>
      <c r="D357">
        <v>182</v>
      </c>
      <c r="E357">
        <v>25</v>
      </c>
      <c r="F357">
        <v>53</v>
      </c>
      <c r="G357">
        <v>7</v>
      </c>
      <c r="H357">
        <v>2</v>
      </c>
      <c r="I357">
        <v>5</v>
      </c>
      <c r="J357">
        <v>17</v>
      </c>
      <c r="K357">
        <v>17</v>
      </c>
      <c r="L357">
        <v>57</v>
      </c>
      <c r="M357">
        <v>5</v>
      </c>
      <c r="N357">
        <v>0</v>
      </c>
      <c r="O357">
        <v>0.29099999999999998</v>
      </c>
      <c r="P357">
        <v>0.35199999999999998</v>
      </c>
      <c r="Q357">
        <v>0.434</v>
      </c>
      <c r="R357">
        <v>0.78600000000000003</v>
      </c>
    </row>
    <row r="358" spans="1:18" x14ac:dyDescent="0.3">
      <c r="A358" t="s">
        <v>1836</v>
      </c>
    </row>
    <row r="359" spans="1:18" x14ac:dyDescent="0.3">
      <c r="A359" t="s">
        <v>1530</v>
      </c>
    </row>
    <row r="360" spans="1:18" x14ac:dyDescent="0.3">
      <c r="A360">
        <v>49</v>
      </c>
    </row>
    <row r="361" spans="1:18" x14ac:dyDescent="0.3">
      <c r="A361" t="s">
        <v>1548</v>
      </c>
    </row>
    <row r="362" spans="1:18" x14ac:dyDescent="0.3">
      <c r="A362" t="s">
        <v>1548</v>
      </c>
    </row>
    <row r="363" spans="1:18" x14ac:dyDescent="0.3">
      <c r="A363" t="s">
        <v>1548</v>
      </c>
    </row>
    <row r="364" spans="1:18" x14ac:dyDescent="0.3">
      <c r="A364">
        <v>49</v>
      </c>
      <c r="B364" t="s">
        <v>278</v>
      </c>
      <c r="C364">
        <v>49</v>
      </c>
      <c r="D364">
        <v>182</v>
      </c>
      <c r="E364">
        <v>24</v>
      </c>
      <c r="F364">
        <v>50</v>
      </c>
      <c r="G364">
        <v>12</v>
      </c>
      <c r="H364">
        <v>3</v>
      </c>
      <c r="I364">
        <v>8</v>
      </c>
      <c r="J364">
        <v>39</v>
      </c>
      <c r="K364">
        <v>24</v>
      </c>
      <c r="L364">
        <v>36</v>
      </c>
      <c r="M364">
        <v>13</v>
      </c>
      <c r="N364">
        <v>1</v>
      </c>
      <c r="O364">
        <v>0.27500000000000002</v>
      </c>
      <c r="P364">
        <v>0.35899999999999999</v>
      </c>
      <c r="Q364">
        <v>0.505</v>
      </c>
      <c r="R364">
        <v>0.86399999999999999</v>
      </c>
    </row>
    <row r="365" spans="1:18" x14ac:dyDescent="0.3">
      <c r="A365" t="s">
        <v>3571</v>
      </c>
    </row>
    <row r="366" spans="1:18" x14ac:dyDescent="0.3">
      <c r="A366" t="s">
        <v>1530</v>
      </c>
    </row>
    <row r="367" spans="1:18" x14ac:dyDescent="0.3">
      <c r="A367">
        <v>49</v>
      </c>
    </row>
    <row r="368" spans="1:18" x14ac:dyDescent="0.3">
      <c r="A368" t="s">
        <v>1548</v>
      </c>
    </row>
    <row r="369" spans="1:18" x14ac:dyDescent="0.3">
      <c r="A369" t="s">
        <v>1548</v>
      </c>
    </row>
    <row r="370" spans="1:18" x14ac:dyDescent="0.3">
      <c r="A370" t="s">
        <v>1548</v>
      </c>
    </row>
    <row r="371" spans="1:18" x14ac:dyDescent="0.3">
      <c r="A371">
        <v>49</v>
      </c>
      <c r="B371" t="s">
        <v>222</v>
      </c>
      <c r="C371">
        <v>50</v>
      </c>
      <c r="D371">
        <v>182</v>
      </c>
      <c r="E371">
        <v>32</v>
      </c>
      <c r="F371">
        <v>48</v>
      </c>
      <c r="G371">
        <v>8</v>
      </c>
      <c r="H371">
        <v>1</v>
      </c>
      <c r="I371">
        <v>9</v>
      </c>
      <c r="J371">
        <v>25</v>
      </c>
      <c r="K371">
        <v>25</v>
      </c>
      <c r="L371">
        <v>27</v>
      </c>
      <c r="M371">
        <v>5</v>
      </c>
      <c r="N371">
        <v>4</v>
      </c>
      <c r="O371">
        <v>0.26400000000000001</v>
      </c>
      <c r="P371">
        <v>0.35099999999999998</v>
      </c>
      <c r="Q371">
        <v>0.46700000000000003</v>
      </c>
      <c r="R371">
        <v>0.81799999999999995</v>
      </c>
    </row>
    <row r="372" spans="1:18" x14ac:dyDescent="0.3">
      <c r="A372" t="s">
        <v>3572</v>
      </c>
    </row>
    <row r="373" spans="1:18" x14ac:dyDescent="0.3">
      <c r="A373" t="s">
        <v>79</v>
      </c>
    </row>
    <row r="374" spans="1:18" x14ac:dyDescent="0.3">
      <c r="A374">
        <v>49</v>
      </c>
    </row>
    <row r="375" spans="1:18" x14ac:dyDescent="0.3">
      <c r="A375" t="s">
        <v>1548</v>
      </c>
    </row>
    <row r="376" spans="1:18" x14ac:dyDescent="0.3">
      <c r="A376" t="s">
        <v>1548</v>
      </c>
    </row>
    <row r="377" spans="1:18" x14ac:dyDescent="0.3">
      <c r="A377" t="s">
        <v>1548</v>
      </c>
    </row>
    <row r="378" spans="1:18" x14ac:dyDescent="0.3">
      <c r="A378">
        <v>49</v>
      </c>
      <c r="B378" t="s">
        <v>235</v>
      </c>
      <c r="C378">
        <v>47</v>
      </c>
      <c r="D378">
        <v>182</v>
      </c>
      <c r="E378">
        <v>33</v>
      </c>
      <c r="F378">
        <v>50</v>
      </c>
      <c r="G378">
        <v>10</v>
      </c>
      <c r="H378">
        <v>0</v>
      </c>
      <c r="I378">
        <v>12</v>
      </c>
      <c r="J378">
        <v>27</v>
      </c>
      <c r="K378">
        <v>21</v>
      </c>
      <c r="L378">
        <v>58</v>
      </c>
      <c r="M378">
        <v>0</v>
      </c>
      <c r="N378">
        <v>0</v>
      </c>
      <c r="O378">
        <v>0.27500000000000002</v>
      </c>
      <c r="P378">
        <v>0.36399999999999999</v>
      </c>
      <c r="Q378">
        <v>0.52700000000000002</v>
      </c>
      <c r="R378">
        <v>0.89100000000000001</v>
      </c>
    </row>
    <row r="379" spans="1:18" x14ac:dyDescent="0.3">
      <c r="A379" t="s">
        <v>3573</v>
      </c>
    </row>
    <row r="380" spans="1:18" x14ac:dyDescent="0.3">
      <c r="A380" t="s">
        <v>1530</v>
      </c>
    </row>
    <row r="381" spans="1:18" x14ac:dyDescent="0.3">
      <c r="A381">
        <v>49</v>
      </c>
    </row>
    <row r="382" spans="1:18" x14ac:dyDescent="0.3">
      <c r="A382" t="s">
        <v>1548</v>
      </c>
    </row>
    <row r="383" spans="1:18" x14ac:dyDescent="0.3">
      <c r="A383" t="s">
        <v>1548</v>
      </c>
    </row>
    <row r="384" spans="1:18" x14ac:dyDescent="0.3">
      <c r="A384" t="s">
        <v>1548</v>
      </c>
    </row>
    <row r="385" spans="1:18" x14ac:dyDescent="0.3">
      <c r="A385">
        <v>55</v>
      </c>
      <c r="B385" t="s">
        <v>239</v>
      </c>
      <c r="C385">
        <v>49</v>
      </c>
      <c r="D385">
        <v>181</v>
      </c>
      <c r="E385">
        <v>23</v>
      </c>
      <c r="F385">
        <v>37</v>
      </c>
      <c r="G385">
        <v>5</v>
      </c>
      <c r="H385">
        <v>0</v>
      </c>
      <c r="I385">
        <v>9</v>
      </c>
      <c r="J385">
        <v>27</v>
      </c>
      <c r="K385">
        <v>22</v>
      </c>
      <c r="L385">
        <v>54</v>
      </c>
      <c r="M385">
        <v>4</v>
      </c>
      <c r="N385">
        <v>1</v>
      </c>
      <c r="O385">
        <v>0.20399999999999999</v>
      </c>
      <c r="P385">
        <v>0.28999999999999998</v>
      </c>
      <c r="Q385">
        <v>0.38100000000000001</v>
      </c>
      <c r="R385">
        <v>0.67100000000000004</v>
      </c>
    </row>
    <row r="386" spans="1:18" x14ac:dyDescent="0.3">
      <c r="A386" t="s">
        <v>1838</v>
      </c>
    </row>
    <row r="387" spans="1:18" x14ac:dyDescent="0.3">
      <c r="A387" t="s">
        <v>1529</v>
      </c>
    </row>
    <row r="388" spans="1:18" x14ac:dyDescent="0.3">
      <c r="A388">
        <v>55</v>
      </c>
    </row>
    <row r="389" spans="1:18" x14ac:dyDescent="0.3">
      <c r="A389" t="s">
        <v>1548</v>
      </c>
    </row>
    <row r="390" spans="1:18" x14ac:dyDescent="0.3">
      <c r="A390" t="s">
        <v>1548</v>
      </c>
    </row>
    <row r="391" spans="1:18" x14ac:dyDescent="0.3">
      <c r="A391" t="s">
        <v>1548</v>
      </c>
    </row>
    <row r="392" spans="1:18" x14ac:dyDescent="0.3">
      <c r="A392">
        <v>55</v>
      </c>
      <c r="B392" t="s">
        <v>264</v>
      </c>
      <c r="C392">
        <v>48</v>
      </c>
      <c r="D392">
        <v>181</v>
      </c>
      <c r="E392">
        <v>41</v>
      </c>
      <c r="F392">
        <v>46</v>
      </c>
      <c r="G392">
        <v>8</v>
      </c>
      <c r="H392">
        <v>0</v>
      </c>
      <c r="I392">
        <v>14</v>
      </c>
      <c r="J392">
        <v>49</v>
      </c>
      <c r="K392">
        <v>18</v>
      </c>
      <c r="L392">
        <v>47</v>
      </c>
      <c r="M392">
        <v>3</v>
      </c>
      <c r="N392">
        <v>0</v>
      </c>
      <c r="O392">
        <v>0.254</v>
      </c>
      <c r="P392">
        <v>0.32</v>
      </c>
      <c r="Q392">
        <v>0.53</v>
      </c>
      <c r="R392">
        <v>0.85</v>
      </c>
    </row>
    <row r="393" spans="1:18" x14ac:dyDescent="0.3">
      <c r="A393" t="s">
        <v>1561</v>
      </c>
    </row>
    <row r="394" spans="1:18" x14ac:dyDescent="0.3">
      <c r="A394" t="s">
        <v>1528</v>
      </c>
    </row>
    <row r="395" spans="1:18" x14ac:dyDescent="0.3">
      <c r="A395">
        <v>55</v>
      </c>
    </row>
    <row r="396" spans="1:18" x14ac:dyDescent="0.3">
      <c r="A396" t="s">
        <v>1548</v>
      </c>
    </row>
    <row r="397" spans="1:18" x14ac:dyDescent="0.3">
      <c r="A397" t="s">
        <v>1548</v>
      </c>
    </row>
    <row r="398" spans="1:18" x14ac:dyDescent="0.3">
      <c r="A398" t="s">
        <v>1548</v>
      </c>
    </row>
    <row r="399" spans="1:18" x14ac:dyDescent="0.3">
      <c r="A399">
        <v>55</v>
      </c>
      <c r="B399" t="s">
        <v>231</v>
      </c>
      <c r="C399">
        <v>48</v>
      </c>
      <c r="D399">
        <v>181</v>
      </c>
      <c r="E399">
        <v>25</v>
      </c>
      <c r="F399">
        <v>42</v>
      </c>
      <c r="G399">
        <v>12</v>
      </c>
      <c r="H399">
        <v>3</v>
      </c>
      <c r="I399">
        <v>1</v>
      </c>
      <c r="J399">
        <v>16</v>
      </c>
      <c r="K399">
        <v>15</v>
      </c>
      <c r="L399">
        <v>28</v>
      </c>
      <c r="M399">
        <v>6</v>
      </c>
      <c r="N399">
        <v>5</v>
      </c>
      <c r="O399">
        <v>0.23200000000000001</v>
      </c>
      <c r="P399">
        <v>0.28899999999999998</v>
      </c>
      <c r="Q399">
        <v>0.34799999999999998</v>
      </c>
      <c r="R399">
        <v>0.63700000000000001</v>
      </c>
    </row>
    <row r="400" spans="1:18" x14ac:dyDescent="0.3">
      <c r="A400" t="s">
        <v>3574</v>
      </c>
    </row>
    <row r="401" spans="1:18" x14ac:dyDescent="0.3">
      <c r="A401" t="s">
        <v>80</v>
      </c>
    </row>
    <row r="402" spans="1:18" x14ac:dyDescent="0.3">
      <c r="A402">
        <v>55</v>
      </c>
    </row>
    <row r="403" spans="1:18" x14ac:dyDescent="0.3">
      <c r="A403" t="s">
        <v>1548</v>
      </c>
    </row>
    <row r="404" spans="1:18" x14ac:dyDescent="0.3">
      <c r="A404" t="s">
        <v>1548</v>
      </c>
    </row>
    <row r="405" spans="1:18" x14ac:dyDescent="0.3">
      <c r="A405" t="s">
        <v>1548</v>
      </c>
    </row>
    <row r="406" spans="1:18" x14ac:dyDescent="0.3">
      <c r="A406">
        <v>55</v>
      </c>
      <c r="B406" t="s">
        <v>231</v>
      </c>
      <c r="C406">
        <v>47</v>
      </c>
      <c r="D406">
        <v>181</v>
      </c>
      <c r="E406">
        <v>27</v>
      </c>
      <c r="F406">
        <v>51</v>
      </c>
      <c r="G406">
        <v>16</v>
      </c>
      <c r="H406">
        <v>1</v>
      </c>
      <c r="I406">
        <v>6</v>
      </c>
      <c r="J406">
        <v>28</v>
      </c>
      <c r="K406">
        <v>14</v>
      </c>
      <c r="L406">
        <v>36</v>
      </c>
      <c r="M406">
        <v>6</v>
      </c>
      <c r="N406">
        <v>0</v>
      </c>
      <c r="O406">
        <v>0.28199999999999997</v>
      </c>
      <c r="P406">
        <v>0.33200000000000002</v>
      </c>
      <c r="Q406">
        <v>0.48099999999999998</v>
      </c>
      <c r="R406">
        <v>0.81299999999999994</v>
      </c>
    </row>
    <row r="407" spans="1:18" x14ac:dyDescent="0.3">
      <c r="A407" t="s">
        <v>1557</v>
      </c>
    </row>
    <row r="408" spans="1:18" x14ac:dyDescent="0.3">
      <c r="A408" t="s">
        <v>1525</v>
      </c>
    </row>
    <row r="409" spans="1:18" x14ac:dyDescent="0.3">
      <c r="A409">
        <v>55</v>
      </c>
    </row>
    <row r="410" spans="1:18" x14ac:dyDescent="0.3">
      <c r="A410" t="s">
        <v>1548</v>
      </c>
    </row>
    <row r="411" spans="1:18" x14ac:dyDescent="0.3">
      <c r="A411" t="s">
        <v>1548</v>
      </c>
    </row>
    <row r="412" spans="1:18" x14ac:dyDescent="0.3">
      <c r="A412" t="s">
        <v>1548</v>
      </c>
    </row>
    <row r="413" spans="1:18" x14ac:dyDescent="0.3">
      <c r="A413">
        <v>59</v>
      </c>
      <c r="B413" t="s">
        <v>1522</v>
      </c>
      <c r="C413">
        <v>50</v>
      </c>
      <c r="D413">
        <v>180</v>
      </c>
      <c r="E413">
        <v>34</v>
      </c>
      <c r="F413">
        <v>56</v>
      </c>
      <c r="G413">
        <v>7</v>
      </c>
      <c r="H413">
        <v>1</v>
      </c>
      <c r="I413">
        <v>11</v>
      </c>
      <c r="J413">
        <v>39</v>
      </c>
      <c r="K413">
        <v>27</v>
      </c>
      <c r="L413">
        <v>46</v>
      </c>
      <c r="M413">
        <v>6</v>
      </c>
      <c r="N413">
        <v>4</v>
      </c>
      <c r="O413">
        <v>0.311</v>
      </c>
      <c r="P413">
        <v>0.41499999999999998</v>
      </c>
      <c r="Q413">
        <v>0.54400000000000004</v>
      </c>
      <c r="R413">
        <v>0.95899999999999996</v>
      </c>
    </row>
    <row r="414" spans="1:18" x14ac:dyDescent="0.3">
      <c r="A414" t="s">
        <v>1560</v>
      </c>
    </row>
    <row r="415" spans="1:18" x14ac:dyDescent="0.3">
      <c r="A415" t="s">
        <v>1525</v>
      </c>
    </row>
    <row r="416" spans="1:18" x14ac:dyDescent="0.3">
      <c r="A416">
        <v>59</v>
      </c>
    </row>
    <row r="417" spans="1:18" x14ac:dyDescent="0.3">
      <c r="A417" t="s">
        <v>1548</v>
      </c>
    </row>
    <row r="418" spans="1:18" x14ac:dyDescent="0.3">
      <c r="A418" t="s">
        <v>1548</v>
      </c>
    </row>
    <row r="419" spans="1:18" x14ac:dyDescent="0.3">
      <c r="A419" t="s">
        <v>1548</v>
      </c>
    </row>
    <row r="420" spans="1:18" x14ac:dyDescent="0.3">
      <c r="A420">
        <v>59</v>
      </c>
      <c r="B420" t="s">
        <v>1550</v>
      </c>
      <c r="C420">
        <v>47</v>
      </c>
      <c r="D420">
        <v>180</v>
      </c>
      <c r="E420">
        <v>25</v>
      </c>
      <c r="F420">
        <v>49</v>
      </c>
      <c r="G420">
        <v>14</v>
      </c>
      <c r="H420">
        <v>0</v>
      </c>
      <c r="I420">
        <v>0</v>
      </c>
      <c r="J420">
        <v>12</v>
      </c>
      <c r="K420">
        <v>15</v>
      </c>
      <c r="L420">
        <v>30</v>
      </c>
      <c r="M420">
        <v>5</v>
      </c>
      <c r="N420">
        <v>0</v>
      </c>
      <c r="O420">
        <v>0.27200000000000002</v>
      </c>
      <c r="P420">
        <v>0.33</v>
      </c>
      <c r="Q420">
        <v>0.35</v>
      </c>
      <c r="R420">
        <v>0.68</v>
      </c>
    </row>
    <row r="421" spans="1:18" x14ac:dyDescent="0.3">
      <c r="A421" t="s">
        <v>3123</v>
      </c>
    </row>
    <row r="422" spans="1:18" x14ac:dyDescent="0.3">
      <c r="A422" t="s">
        <v>1525</v>
      </c>
    </row>
    <row r="423" spans="1:18" x14ac:dyDescent="0.3">
      <c r="A423">
        <v>59</v>
      </c>
    </row>
    <row r="424" spans="1:18" x14ac:dyDescent="0.3">
      <c r="A424" t="s">
        <v>1548</v>
      </c>
    </row>
    <row r="425" spans="1:18" x14ac:dyDescent="0.3">
      <c r="A425" t="s">
        <v>1548</v>
      </c>
    </row>
    <row r="426" spans="1:18" x14ac:dyDescent="0.3">
      <c r="A426" t="s">
        <v>1548</v>
      </c>
    </row>
    <row r="427" spans="1:18" x14ac:dyDescent="0.3">
      <c r="A427">
        <v>59</v>
      </c>
      <c r="B427" t="s">
        <v>1523</v>
      </c>
      <c r="C427">
        <v>48</v>
      </c>
      <c r="D427">
        <v>180</v>
      </c>
      <c r="E427">
        <v>28</v>
      </c>
      <c r="F427">
        <v>46</v>
      </c>
      <c r="G427">
        <v>7</v>
      </c>
      <c r="H427">
        <v>0</v>
      </c>
      <c r="I427">
        <v>7</v>
      </c>
      <c r="J427">
        <v>18</v>
      </c>
      <c r="K427">
        <v>24</v>
      </c>
      <c r="L427">
        <v>38</v>
      </c>
      <c r="M427">
        <v>4</v>
      </c>
      <c r="N427">
        <v>0</v>
      </c>
      <c r="O427">
        <v>0.25600000000000001</v>
      </c>
      <c r="P427">
        <v>0.35099999999999998</v>
      </c>
      <c r="Q427">
        <v>0.41099999999999998</v>
      </c>
      <c r="R427">
        <v>0.76200000000000001</v>
      </c>
    </row>
    <row r="428" spans="1:18" x14ac:dyDescent="0.3">
      <c r="A428" t="s">
        <v>3575</v>
      </c>
    </row>
    <row r="429" spans="1:18" x14ac:dyDescent="0.3">
      <c r="A429" t="s">
        <v>1529</v>
      </c>
    </row>
    <row r="430" spans="1:18" x14ac:dyDescent="0.3">
      <c r="A430">
        <v>59</v>
      </c>
    </row>
    <row r="431" spans="1:18" x14ac:dyDescent="0.3">
      <c r="A431" t="s">
        <v>1548</v>
      </c>
    </row>
    <row r="432" spans="1:18" x14ac:dyDescent="0.3">
      <c r="A432" t="s">
        <v>1548</v>
      </c>
    </row>
    <row r="433" spans="1:18" x14ac:dyDescent="0.3">
      <c r="A433" t="s">
        <v>1548</v>
      </c>
    </row>
    <row r="434" spans="1:18" x14ac:dyDescent="0.3">
      <c r="A434">
        <v>59</v>
      </c>
      <c r="B434" t="s">
        <v>255</v>
      </c>
      <c r="C434">
        <v>49</v>
      </c>
      <c r="D434">
        <v>180</v>
      </c>
      <c r="E434">
        <v>21</v>
      </c>
      <c r="F434">
        <v>41</v>
      </c>
      <c r="G434">
        <v>12</v>
      </c>
      <c r="H434">
        <v>0</v>
      </c>
      <c r="I434">
        <v>5</v>
      </c>
      <c r="J434">
        <v>25</v>
      </c>
      <c r="K434">
        <v>21</v>
      </c>
      <c r="L434">
        <v>46</v>
      </c>
      <c r="M434">
        <v>4</v>
      </c>
      <c r="N434">
        <v>1</v>
      </c>
      <c r="O434">
        <v>0.22800000000000001</v>
      </c>
      <c r="P434">
        <v>0.31</v>
      </c>
      <c r="Q434">
        <v>0.378</v>
      </c>
      <c r="R434">
        <v>0.68799999999999994</v>
      </c>
    </row>
    <row r="435" spans="1:18" x14ac:dyDescent="0.3">
      <c r="A435" t="s">
        <v>3576</v>
      </c>
    </row>
    <row r="436" spans="1:18" x14ac:dyDescent="0.3">
      <c r="A436" t="s">
        <v>1531</v>
      </c>
    </row>
    <row r="437" spans="1:18" x14ac:dyDescent="0.3">
      <c r="A437">
        <v>59</v>
      </c>
    </row>
    <row r="438" spans="1:18" x14ac:dyDescent="0.3">
      <c r="A438" t="s">
        <v>1548</v>
      </c>
    </row>
    <row r="439" spans="1:18" x14ac:dyDescent="0.3">
      <c r="A439" t="s">
        <v>1548</v>
      </c>
    </row>
    <row r="440" spans="1:18" x14ac:dyDescent="0.3">
      <c r="A440" t="s">
        <v>1548</v>
      </c>
    </row>
    <row r="441" spans="1:18" x14ac:dyDescent="0.3">
      <c r="A441">
        <v>59</v>
      </c>
      <c r="B441" t="s">
        <v>246</v>
      </c>
      <c r="C441">
        <v>49</v>
      </c>
      <c r="D441">
        <v>180</v>
      </c>
      <c r="E441">
        <v>27</v>
      </c>
      <c r="F441">
        <v>46</v>
      </c>
      <c r="G441">
        <v>10</v>
      </c>
      <c r="H441">
        <v>0</v>
      </c>
      <c r="I441">
        <v>14</v>
      </c>
      <c r="J441">
        <v>30</v>
      </c>
      <c r="K441">
        <v>18</v>
      </c>
      <c r="L441">
        <v>50</v>
      </c>
      <c r="M441">
        <v>0</v>
      </c>
      <c r="N441">
        <v>0</v>
      </c>
      <c r="O441">
        <v>0.25600000000000001</v>
      </c>
      <c r="P441">
        <v>0.33300000000000002</v>
      </c>
      <c r="Q441">
        <v>0.54400000000000004</v>
      </c>
      <c r="R441">
        <v>0.877</v>
      </c>
    </row>
    <row r="442" spans="1:18" x14ac:dyDescent="0.3">
      <c r="A442" t="s">
        <v>3577</v>
      </c>
    </row>
    <row r="443" spans="1:18" x14ac:dyDescent="0.3">
      <c r="A443" t="s">
        <v>1526</v>
      </c>
    </row>
    <row r="444" spans="1:18" x14ac:dyDescent="0.3">
      <c r="A444">
        <v>59</v>
      </c>
    </row>
    <row r="445" spans="1:18" x14ac:dyDescent="0.3">
      <c r="A445" t="s">
        <v>1548</v>
      </c>
    </row>
    <row r="446" spans="1:18" x14ac:dyDescent="0.3">
      <c r="A446" t="s">
        <v>1548</v>
      </c>
    </row>
    <row r="447" spans="1:18" x14ac:dyDescent="0.3">
      <c r="A447" t="s">
        <v>1548</v>
      </c>
    </row>
    <row r="448" spans="1:18" x14ac:dyDescent="0.3">
      <c r="A448">
        <v>59</v>
      </c>
      <c r="B448" t="s">
        <v>270</v>
      </c>
      <c r="C448">
        <v>47</v>
      </c>
      <c r="D448">
        <v>180</v>
      </c>
      <c r="E448">
        <v>25</v>
      </c>
      <c r="F448">
        <v>50</v>
      </c>
      <c r="G448">
        <v>13</v>
      </c>
      <c r="H448">
        <v>1</v>
      </c>
      <c r="I448">
        <v>6</v>
      </c>
      <c r="J448">
        <v>22</v>
      </c>
      <c r="K448">
        <v>18</v>
      </c>
      <c r="L448">
        <v>43</v>
      </c>
      <c r="M448">
        <v>1</v>
      </c>
      <c r="N448">
        <v>2</v>
      </c>
      <c r="O448">
        <v>0.27800000000000002</v>
      </c>
      <c r="P448">
        <v>0.34799999999999998</v>
      </c>
      <c r="Q448">
        <v>0.46100000000000002</v>
      </c>
      <c r="R448">
        <v>0.80900000000000005</v>
      </c>
    </row>
    <row r="449" spans="1:18" x14ac:dyDescent="0.3">
      <c r="A449" t="s">
        <v>3578</v>
      </c>
    </row>
    <row r="450" spans="1:18" x14ac:dyDescent="0.3">
      <c r="A450" t="s">
        <v>1527</v>
      </c>
    </row>
    <row r="451" spans="1:18" x14ac:dyDescent="0.3">
      <c r="A451">
        <v>59</v>
      </c>
    </row>
    <row r="452" spans="1:18" x14ac:dyDescent="0.3">
      <c r="A452" t="s">
        <v>1548</v>
      </c>
    </row>
    <row r="453" spans="1:18" x14ac:dyDescent="0.3">
      <c r="A453" t="s">
        <v>1548</v>
      </c>
    </row>
    <row r="454" spans="1:18" x14ac:dyDescent="0.3">
      <c r="A454" t="s">
        <v>1548</v>
      </c>
    </row>
    <row r="455" spans="1:18" x14ac:dyDescent="0.3">
      <c r="A455">
        <v>65</v>
      </c>
      <c r="B455" t="s">
        <v>339</v>
      </c>
      <c r="C455">
        <v>50</v>
      </c>
      <c r="D455">
        <v>178</v>
      </c>
      <c r="E455">
        <v>19</v>
      </c>
      <c r="F455">
        <v>50</v>
      </c>
      <c r="G455">
        <v>6</v>
      </c>
      <c r="H455">
        <v>1</v>
      </c>
      <c r="I455">
        <v>2</v>
      </c>
      <c r="J455">
        <v>16</v>
      </c>
      <c r="K455">
        <v>18</v>
      </c>
      <c r="L455">
        <v>20</v>
      </c>
      <c r="M455">
        <v>2</v>
      </c>
      <c r="N455">
        <v>0</v>
      </c>
      <c r="O455">
        <v>0.28100000000000003</v>
      </c>
      <c r="P455">
        <v>0.36</v>
      </c>
      <c r="Q455">
        <v>0.36</v>
      </c>
      <c r="R455">
        <v>0.72</v>
      </c>
    </row>
    <row r="456" spans="1:18" x14ac:dyDescent="0.3">
      <c r="A456" t="s">
        <v>3027</v>
      </c>
    </row>
    <row r="457" spans="1:18" x14ac:dyDescent="0.3">
      <c r="A457" t="s">
        <v>79</v>
      </c>
    </row>
    <row r="458" spans="1:18" x14ac:dyDescent="0.3">
      <c r="A458">
        <v>65</v>
      </c>
    </row>
    <row r="459" spans="1:18" x14ac:dyDescent="0.3">
      <c r="A459" t="s">
        <v>1548</v>
      </c>
    </row>
    <row r="460" spans="1:18" x14ac:dyDescent="0.3">
      <c r="A460" t="s">
        <v>1548</v>
      </c>
    </row>
    <row r="461" spans="1:18" x14ac:dyDescent="0.3">
      <c r="A461" t="s">
        <v>1548</v>
      </c>
    </row>
    <row r="462" spans="1:18" x14ac:dyDescent="0.3">
      <c r="A462">
        <v>65</v>
      </c>
      <c r="B462" t="s">
        <v>278</v>
      </c>
      <c r="C462">
        <v>49</v>
      </c>
      <c r="D462">
        <v>178</v>
      </c>
      <c r="E462">
        <v>24</v>
      </c>
      <c r="F462">
        <v>48</v>
      </c>
      <c r="G462">
        <v>7</v>
      </c>
      <c r="H462">
        <v>0</v>
      </c>
      <c r="I462">
        <v>7</v>
      </c>
      <c r="J462">
        <v>25</v>
      </c>
      <c r="K462">
        <v>40</v>
      </c>
      <c r="L462">
        <v>30</v>
      </c>
      <c r="M462">
        <v>0</v>
      </c>
      <c r="N462">
        <v>1</v>
      </c>
      <c r="O462">
        <v>0.27</v>
      </c>
      <c r="P462">
        <v>0.4</v>
      </c>
      <c r="Q462">
        <v>0.42699999999999999</v>
      </c>
      <c r="R462">
        <v>0.82699999999999996</v>
      </c>
    </row>
    <row r="463" spans="1:18" x14ac:dyDescent="0.3">
      <c r="A463" t="s">
        <v>1559</v>
      </c>
    </row>
    <row r="464" spans="1:18" x14ac:dyDescent="0.3">
      <c r="A464" t="s">
        <v>1531</v>
      </c>
    </row>
    <row r="465" spans="1:18" x14ac:dyDescent="0.3">
      <c r="A465">
        <v>65</v>
      </c>
    </row>
    <row r="466" spans="1:18" x14ac:dyDescent="0.3">
      <c r="A466" t="s">
        <v>1548</v>
      </c>
    </row>
    <row r="467" spans="1:18" x14ac:dyDescent="0.3">
      <c r="A467" t="s">
        <v>1548</v>
      </c>
    </row>
    <row r="468" spans="1:18" x14ac:dyDescent="0.3">
      <c r="A468" t="s">
        <v>1548</v>
      </c>
    </row>
    <row r="469" spans="1:18" x14ac:dyDescent="0.3">
      <c r="A469">
        <v>67</v>
      </c>
      <c r="B469" t="s">
        <v>251</v>
      </c>
      <c r="C469">
        <v>43</v>
      </c>
      <c r="D469">
        <v>177</v>
      </c>
      <c r="E469">
        <v>22</v>
      </c>
      <c r="F469">
        <v>42</v>
      </c>
      <c r="G469">
        <v>5</v>
      </c>
      <c r="H469">
        <v>4</v>
      </c>
      <c r="I469">
        <v>1</v>
      </c>
      <c r="J469">
        <v>10</v>
      </c>
      <c r="K469">
        <v>9</v>
      </c>
      <c r="L469">
        <v>48</v>
      </c>
      <c r="M469">
        <v>8</v>
      </c>
      <c r="N469">
        <v>0</v>
      </c>
      <c r="O469">
        <v>0.23699999999999999</v>
      </c>
      <c r="P469">
        <v>0.27500000000000002</v>
      </c>
      <c r="Q469">
        <v>0.32800000000000001</v>
      </c>
      <c r="R469">
        <v>0.60299999999999998</v>
      </c>
    </row>
    <row r="470" spans="1:18" x14ac:dyDescent="0.3">
      <c r="A470" t="s">
        <v>3579</v>
      </c>
    </row>
    <row r="471" spans="1:18" x14ac:dyDescent="0.3">
      <c r="A471" t="s">
        <v>1529</v>
      </c>
    </row>
    <row r="472" spans="1:18" x14ac:dyDescent="0.3">
      <c r="A472">
        <v>67</v>
      </c>
    </row>
    <row r="473" spans="1:18" x14ac:dyDescent="0.3">
      <c r="A473" t="s">
        <v>1548</v>
      </c>
    </row>
    <row r="474" spans="1:18" x14ac:dyDescent="0.3">
      <c r="A474" t="s">
        <v>1548</v>
      </c>
    </row>
    <row r="475" spans="1:18" x14ac:dyDescent="0.3">
      <c r="A475" t="s">
        <v>1548</v>
      </c>
    </row>
    <row r="476" spans="1:18" x14ac:dyDescent="0.3">
      <c r="A476">
        <v>67</v>
      </c>
      <c r="B476" t="s">
        <v>222</v>
      </c>
      <c r="C476">
        <v>51</v>
      </c>
      <c r="D476">
        <v>177</v>
      </c>
      <c r="E476">
        <v>21</v>
      </c>
      <c r="F476">
        <v>36</v>
      </c>
      <c r="G476">
        <v>5</v>
      </c>
      <c r="H476">
        <v>2</v>
      </c>
      <c r="I476">
        <v>7</v>
      </c>
      <c r="J476">
        <v>20</v>
      </c>
      <c r="K476">
        <v>21</v>
      </c>
      <c r="L476">
        <v>61</v>
      </c>
      <c r="M476">
        <v>13</v>
      </c>
      <c r="N476">
        <v>0</v>
      </c>
      <c r="O476">
        <v>0.20300000000000001</v>
      </c>
      <c r="P476">
        <v>0.28999999999999998</v>
      </c>
      <c r="Q476">
        <v>0.373</v>
      </c>
      <c r="R476">
        <v>0.66300000000000003</v>
      </c>
    </row>
    <row r="477" spans="1:18" x14ac:dyDescent="0.3">
      <c r="A477" t="s">
        <v>3580</v>
      </c>
    </row>
    <row r="478" spans="1:18" x14ac:dyDescent="0.3">
      <c r="A478" t="s">
        <v>1529</v>
      </c>
    </row>
    <row r="479" spans="1:18" x14ac:dyDescent="0.3">
      <c r="A479">
        <v>67</v>
      </c>
    </row>
    <row r="480" spans="1:18" x14ac:dyDescent="0.3">
      <c r="A480" t="s">
        <v>1548</v>
      </c>
    </row>
    <row r="481" spans="1:18" x14ac:dyDescent="0.3">
      <c r="A481" t="s">
        <v>1548</v>
      </c>
    </row>
    <row r="482" spans="1:18" x14ac:dyDescent="0.3">
      <c r="A482" t="s">
        <v>1548</v>
      </c>
    </row>
    <row r="483" spans="1:18" x14ac:dyDescent="0.3">
      <c r="A483">
        <v>67</v>
      </c>
      <c r="B483" t="s">
        <v>1554</v>
      </c>
      <c r="C483">
        <v>47</v>
      </c>
      <c r="D483">
        <v>177</v>
      </c>
      <c r="E483">
        <v>28</v>
      </c>
      <c r="F483">
        <v>44</v>
      </c>
      <c r="G483">
        <v>10</v>
      </c>
      <c r="H483">
        <v>0</v>
      </c>
      <c r="I483">
        <v>11</v>
      </c>
      <c r="J483">
        <v>34</v>
      </c>
      <c r="K483">
        <v>17</v>
      </c>
      <c r="L483">
        <v>40</v>
      </c>
      <c r="M483">
        <v>1</v>
      </c>
      <c r="N483">
        <v>0</v>
      </c>
      <c r="O483">
        <v>0.249</v>
      </c>
      <c r="P483">
        <v>0.313</v>
      </c>
      <c r="Q483">
        <v>0.49199999999999999</v>
      </c>
      <c r="R483">
        <v>0.80500000000000005</v>
      </c>
    </row>
    <row r="484" spans="1:18" x14ac:dyDescent="0.3">
      <c r="A484" t="s">
        <v>3080</v>
      </c>
    </row>
    <row r="485" spans="1:18" x14ac:dyDescent="0.3">
      <c r="A485" t="s">
        <v>1527</v>
      </c>
    </row>
    <row r="486" spans="1:18" x14ac:dyDescent="0.3">
      <c r="A486">
        <v>67</v>
      </c>
    </row>
    <row r="487" spans="1:18" x14ac:dyDescent="0.3">
      <c r="A487" t="s">
        <v>1548</v>
      </c>
    </row>
    <row r="488" spans="1:18" x14ac:dyDescent="0.3">
      <c r="A488" t="s">
        <v>1548</v>
      </c>
    </row>
    <row r="489" spans="1:18" x14ac:dyDescent="0.3">
      <c r="A489" t="s">
        <v>1548</v>
      </c>
    </row>
    <row r="490" spans="1:18" x14ac:dyDescent="0.3">
      <c r="A490">
        <v>67</v>
      </c>
      <c r="B490" t="s">
        <v>235</v>
      </c>
      <c r="C490">
        <v>48</v>
      </c>
      <c r="D490">
        <v>177</v>
      </c>
      <c r="E490">
        <v>28</v>
      </c>
      <c r="F490">
        <v>40</v>
      </c>
      <c r="G490">
        <v>5</v>
      </c>
      <c r="H490">
        <v>0</v>
      </c>
      <c r="I490">
        <v>4</v>
      </c>
      <c r="J490">
        <v>17</v>
      </c>
      <c r="K490">
        <v>17</v>
      </c>
      <c r="L490">
        <v>42</v>
      </c>
      <c r="M490">
        <v>1</v>
      </c>
      <c r="N490">
        <v>1</v>
      </c>
      <c r="O490">
        <v>0.22600000000000001</v>
      </c>
      <c r="P490">
        <v>0.3</v>
      </c>
      <c r="Q490">
        <v>0.32200000000000001</v>
      </c>
      <c r="R490">
        <v>0.622</v>
      </c>
    </row>
    <row r="491" spans="1:18" x14ac:dyDescent="0.3">
      <c r="A491" t="s">
        <v>3118</v>
      </c>
    </row>
    <row r="492" spans="1:18" x14ac:dyDescent="0.3">
      <c r="A492" t="s">
        <v>1525</v>
      </c>
    </row>
    <row r="493" spans="1:18" x14ac:dyDescent="0.3">
      <c r="A493">
        <v>67</v>
      </c>
    </row>
    <row r="494" spans="1:18" x14ac:dyDescent="0.3">
      <c r="A494" t="s">
        <v>1548</v>
      </c>
    </row>
    <row r="495" spans="1:18" x14ac:dyDescent="0.3">
      <c r="A495" t="s">
        <v>1548</v>
      </c>
    </row>
    <row r="496" spans="1:18" x14ac:dyDescent="0.3">
      <c r="A496" t="s">
        <v>1548</v>
      </c>
    </row>
    <row r="497" spans="1:18" x14ac:dyDescent="0.3">
      <c r="A497">
        <v>71</v>
      </c>
      <c r="B497" t="s">
        <v>1520</v>
      </c>
      <c r="C497">
        <v>45</v>
      </c>
      <c r="D497">
        <v>175</v>
      </c>
      <c r="E497">
        <v>24</v>
      </c>
      <c r="F497">
        <v>49</v>
      </c>
      <c r="G497">
        <v>11</v>
      </c>
      <c r="H497">
        <v>0</v>
      </c>
      <c r="I497">
        <v>11</v>
      </c>
      <c r="J497">
        <v>28</v>
      </c>
      <c r="K497">
        <v>8</v>
      </c>
      <c r="L497">
        <v>39</v>
      </c>
      <c r="M497">
        <v>0</v>
      </c>
      <c r="N497">
        <v>0</v>
      </c>
      <c r="O497">
        <v>0.28000000000000003</v>
      </c>
      <c r="P497">
        <v>0.32100000000000001</v>
      </c>
      <c r="Q497">
        <v>0.53100000000000003</v>
      </c>
      <c r="R497">
        <v>0.85199999999999998</v>
      </c>
    </row>
    <row r="498" spans="1:18" x14ac:dyDescent="0.3">
      <c r="A498" t="s">
        <v>1570</v>
      </c>
    </row>
    <row r="499" spans="1:18" x14ac:dyDescent="0.3">
      <c r="A499" t="s">
        <v>1531</v>
      </c>
    </row>
    <row r="500" spans="1:18" x14ac:dyDescent="0.3">
      <c r="A500">
        <v>71</v>
      </c>
    </row>
    <row r="501" spans="1:18" x14ac:dyDescent="0.3">
      <c r="A501" t="s">
        <v>1548</v>
      </c>
    </row>
    <row r="502" spans="1:18" x14ac:dyDescent="0.3">
      <c r="A502" t="s">
        <v>1548</v>
      </c>
    </row>
    <row r="503" spans="1:18" x14ac:dyDescent="0.3">
      <c r="A503" t="s">
        <v>1548</v>
      </c>
    </row>
    <row r="504" spans="1:18" x14ac:dyDescent="0.3">
      <c r="A504">
        <v>71</v>
      </c>
      <c r="B504" t="s">
        <v>346</v>
      </c>
      <c r="C504">
        <v>46</v>
      </c>
      <c r="D504">
        <v>175</v>
      </c>
      <c r="E504">
        <v>17</v>
      </c>
      <c r="F504">
        <v>41</v>
      </c>
      <c r="G504">
        <v>11</v>
      </c>
      <c r="H504">
        <v>0</v>
      </c>
      <c r="I504">
        <v>4</v>
      </c>
      <c r="J504">
        <v>21</v>
      </c>
      <c r="K504">
        <v>15</v>
      </c>
      <c r="L504">
        <v>40</v>
      </c>
      <c r="M504">
        <v>1</v>
      </c>
      <c r="N504">
        <v>0</v>
      </c>
      <c r="O504">
        <v>0.23400000000000001</v>
      </c>
      <c r="P504">
        <v>0.29699999999999999</v>
      </c>
      <c r="Q504">
        <v>0.36599999999999999</v>
      </c>
      <c r="R504">
        <v>0.66300000000000003</v>
      </c>
    </row>
    <row r="505" spans="1:18" x14ac:dyDescent="0.3">
      <c r="A505" t="s">
        <v>3581</v>
      </c>
    </row>
    <row r="506" spans="1:18" x14ac:dyDescent="0.3">
      <c r="A506" t="s">
        <v>1527</v>
      </c>
    </row>
    <row r="507" spans="1:18" x14ac:dyDescent="0.3">
      <c r="A507">
        <v>71</v>
      </c>
    </row>
    <row r="508" spans="1:18" x14ac:dyDescent="0.3">
      <c r="A508" t="s">
        <v>1548</v>
      </c>
    </row>
    <row r="509" spans="1:18" x14ac:dyDescent="0.3">
      <c r="A509" t="s">
        <v>1548</v>
      </c>
    </row>
    <row r="510" spans="1:18" x14ac:dyDescent="0.3">
      <c r="A510" t="s">
        <v>1548</v>
      </c>
    </row>
    <row r="511" spans="1:18" x14ac:dyDescent="0.3">
      <c r="A511">
        <v>71</v>
      </c>
      <c r="B511" t="s">
        <v>221</v>
      </c>
      <c r="C511">
        <v>48</v>
      </c>
      <c r="D511">
        <v>175</v>
      </c>
      <c r="E511">
        <v>28</v>
      </c>
      <c r="F511">
        <v>46</v>
      </c>
      <c r="G511">
        <v>9</v>
      </c>
      <c r="H511">
        <v>0</v>
      </c>
      <c r="I511">
        <v>5</v>
      </c>
      <c r="J511">
        <v>18</v>
      </c>
      <c r="K511">
        <v>24</v>
      </c>
      <c r="L511">
        <v>31</v>
      </c>
      <c r="M511">
        <v>2</v>
      </c>
      <c r="N511">
        <v>0</v>
      </c>
      <c r="O511">
        <v>0.26300000000000001</v>
      </c>
      <c r="P511">
        <v>0.36099999999999999</v>
      </c>
      <c r="Q511">
        <v>0.4</v>
      </c>
      <c r="R511">
        <v>0.76100000000000001</v>
      </c>
    </row>
    <row r="512" spans="1:18" x14ac:dyDescent="0.3">
      <c r="A512" t="s">
        <v>1839</v>
      </c>
    </row>
    <row r="513" spans="1:18" x14ac:dyDescent="0.3">
      <c r="A513" t="s">
        <v>1526</v>
      </c>
    </row>
    <row r="514" spans="1:18" x14ac:dyDescent="0.3">
      <c r="A514">
        <v>71</v>
      </c>
    </row>
    <row r="515" spans="1:18" x14ac:dyDescent="0.3">
      <c r="A515" t="s">
        <v>1548</v>
      </c>
    </row>
    <row r="516" spans="1:18" x14ac:dyDescent="0.3">
      <c r="A516" t="s">
        <v>1548</v>
      </c>
    </row>
    <row r="517" spans="1:18" x14ac:dyDescent="0.3">
      <c r="A517" t="s">
        <v>1548</v>
      </c>
    </row>
    <row r="518" spans="1:18" x14ac:dyDescent="0.3">
      <c r="A518">
        <v>74</v>
      </c>
      <c r="B518" t="s">
        <v>224</v>
      </c>
      <c r="C518">
        <v>49</v>
      </c>
      <c r="D518">
        <v>174</v>
      </c>
      <c r="E518">
        <v>18</v>
      </c>
      <c r="F518">
        <v>48</v>
      </c>
      <c r="G518">
        <v>9</v>
      </c>
      <c r="H518">
        <v>0</v>
      </c>
      <c r="I518">
        <v>7</v>
      </c>
      <c r="J518">
        <v>33</v>
      </c>
      <c r="K518">
        <v>24</v>
      </c>
      <c r="L518">
        <v>31</v>
      </c>
      <c r="M518">
        <v>7</v>
      </c>
      <c r="N518">
        <v>1</v>
      </c>
      <c r="O518">
        <v>0.27600000000000002</v>
      </c>
      <c r="P518">
        <v>0.35599999999999998</v>
      </c>
      <c r="Q518">
        <v>0.44800000000000001</v>
      </c>
      <c r="R518">
        <v>0.80400000000000005</v>
      </c>
    </row>
    <row r="519" spans="1:18" x14ac:dyDescent="0.3">
      <c r="A519" t="s">
        <v>3582</v>
      </c>
    </row>
    <row r="520" spans="1:18" x14ac:dyDescent="0.3">
      <c r="A520" t="s">
        <v>1528</v>
      </c>
    </row>
    <row r="521" spans="1:18" x14ac:dyDescent="0.3">
      <c r="A521">
        <v>74</v>
      </c>
    </row>
    <row r="522" spans="1:18" x14ac:dyDescent="0.3">
      <c r="A522" t="s">
        <v>1548</v>
      </c>
    </row>
    <row r="523" spans="1:18" x14ac:dyDescent="0.3">
      <c r="A523" t="s">
        <v>1548</v>
      </c>
    </row>
    <row r="524" spans="1:18" x14ac:dyDescent="0.3">
      <c r="A524" t="s">
        <v>1548</v>
      </c>
    </row>
    <row r="525" spans="1:18" x14ac:dyDescent="0.3">
      <c r="A525">
        <v>74</v>
      </c>
      <c r="B525" t="s">
        <v>239</v>
      </c>
      <c r="C525">
        <v>46</v>
      </c>
      <c r="D525">
        <v>174</v>
      </c>
      <c r="E525">
        <v>34</v>
      </c>
      <c r="F525">
        <v>45</v>
      </c>
      <c r="G525">
        <v>6</v>
      </c>
      <c r="H525">
        <v>0</v>
      </c>
      <c r="I525">
        <v>7</v>
      </c>
      <c r="J525">
        <v>24</v>
      </c>
      <c r="K525">
        <v>18</v>
      </c>
      <c r="L525">
        <v>43</v>
      </c>
      <c r="M525">
        <v>10</v>
      </c>
      <c r="N525">
        <v>0</v>
      </c>
      <c r="O525">
        <v>0.25900000000000001</v>
      </c>
      <c r="P525">
        <v>0.33800000000000002</v>
      </c>
      <c r="Q525">
        <v>0.41399999999999998</v>
      </c>
      <c r="R525">
        <v>0.752</v>
      </c>
    </row>
    <row r="526" spans="1:18" x14ac:dyDescent="0.3">
      <c r="A526" t="s">
        <v>3583</v>
      </c>
    </row>
    <row r="527" spans="1:18" x14ac:dyDescent="0.3">
      <c r="A527" t="s">
        <v>1525</v>
      </c>
    </row>
    <row r="528" spans="1:18" x14ac:dyDescent="0.3">
      <c r="A528">
        <v>74</v>
      </c>
    </row>
    <row r="529" spans="1:1" x14ac:dyDescent="0.3">
      <c r="A529" t="s">
        <v>1548</v>
      </c>
    </row>
    <row r="530" spans="1:1" x14ac:dyDescent="0.3">
      <c r="A530" t="s">
        <v>1548</v>
      </c>
    </row>
    <row r="531" spans="1:1" x14ac:dyDescent="0.3">
      <c r="A531" t="s">
        <v>1548</v>
      </c>
    </row>
  </sheetData>
  <mergeCells count="1">
    <mergeCell ref="W1:AO1"/>
  </mergeCells>
  <conditionalFormatting sqref="AL3:AL77">
    <cfRule type="colorScale" priority="1">
      <colorScale>
        <cfvo type="num" val="0"/>
        <cfvo type="num" val="0.25"/>
        <cfvo type="num" val="0.5"/>
        <color rgb="FFF8696B"/>
        <color rgb="FFFFEB84"/>
        <color rgb="FF63BE7B"/>
      </colorScale>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01520-DE44-49AC-8B2E-7B405E0FD715}">
  <sheetPr codeName="Sheet5">
    <tabColor rgb="FFFF0000"/>
  </sheetPr>
  <dimension ref="A1:AL100"/>
  <sheetViews>
    <sheetView zoomScale="90" zoomScaleNormal="90" workbookViewId="0">
      <selection activeCell="B12" sqref="B12:R12"/>
    </sheetView>
  </sheetViews>
  <sheetFormatPr defaultRowHeight="14.4" x14ac:dyDescent="0.3"/>
  <cols>
    <col min="1" max="1" width="29.6640625" bestFit="1" customWidth="1"/>
    <col min="2" max="2" width="7.88671875" bestFit="1" customWidth="1"/>
    <col min="3" max="3" width="4" bestFit="1" customWidth="1"/>
    <col min="4" max="4" width="5.44140625" bestFit="1" customWidth="1"/>
    <col min="5" max="6" width="4.33203125" bestFit="1" customWidth="1"/>
    <col min="7" max="8" width="3.88671875" bestFit="1" customWidth="1"/>
    <col min="9" max="9" width="4" bestFit="1" customWidth="1"/>
    <col min="10" max="10" width="4.44140625" bestFit="1" customWidth="1"/>
    <col min="11" max="12" width="4.33203125" bestFit="1" customWidth="1"/>
    <col min="13" max="14" width="3.77734375" bestFit="1" customWidth="1"/>
    <col min="15" max="18" width="6.5546875" bestFit="1" customWidth="1"/>
    <col min="19" max="19" width="4.33203125" customWidth="1"/>
    <col min="20" max="20" width="21" bestFit="1" customWidth="1"/>
    <col min="21" max="21" width="7.88671875" bestFit="1" customWidth="1"/>
    <col min="22" max="22" width="4" bestFit="1" customWidth="1"/>
    <col min="23" max="23" width="8.5546875" bestFit="1" customWidth="1"/>
    <col min="24" max="24" width="5.21875" bestFit="1" customWidth="1"/>
    <col min="25" max="25" width="5.77734375" bestFit="1" customWidth="1"/>
    <col min="26" max="26" width="8" bestFit="1" customWidth="1"/>
    <col min="27" max="27" width="6.88671875" bestFit="1" customWidth="1"/>
    <col min="28" max="28" width="10" bestFit="1" customWidth="1"/>
    <col min="29" max="29" width="4.6640625" bestFit="1" customWidth="1"/>
    <col min="30" max="30" width="6.5546875" bestFit="1" customWidth="1"/>
    <col min="31" max="31" width="9.5546875" bestFit="1" customWidth="1"/>
    <col min="32" max="32" width="6.21875" bestFit="1" customWidth="1"/>
    <col min="33" max="33" width="6.88671875" bestFit="1" customWidth="1"/>
    <col min="34" max="34" width="9" bestFit="1" customWidth="1"/>
    <col min="35" max="37" width="6.5546875" bestFit="1" customWidth="1"/>
    <col min="38" max="38" width="4.33203125" customWidth="1"/>
  </cols>
  <sheetData>
    <row r="1" spans="1:38" ht="15" thickBot="1" x14ac:dyDescent="0.35">
      <c r="A1" s="87" t="s">
        <v>3116</v>
      </c>
      <c r="S1" s="5"/>
      <c r="T1" s="71" t="s">
        <v>135</v>
      </c>
      <c r="U1" s="72">
        <v>2</v>
      </c>
      <c r="V1" s="73">
        <v>3</v>
      </c>
      <c r="W1" s="74">
        <v>4</v>
      </c>
      <c r="X1" s="75">
        <v>5</v>
      </c>
      <c r="Y1" s="76">
        <v>6</v>
      </c>
      <c r="Z1" s="77">
        <v>7</v>
      </c>
      <c r="AA1" s="78">
        <v>8</v>
      </c>
      <c r="AB1" s="79">
        <v>9</v>
      </c>
      <c r="AC1" s="80">
        <v>10</v>
      </c>
      <c r="AD1" s="81">
        <v>11</v>
      </c>
      <c r="AE1" s="82">
        <v>12</v>
      </c>
      <c r="AF1" s="83">
        <v>13</v>
      </c>
      <c r="AG1" s="84">
        <v>14</v>
      </c>
      <c r="AH1" s="85">
        <v>15</v>
      </c>
      <c r="AI1" s="43">
        <v>16</v>
      </c>
      <c r="AJ1" s="72">
        <v>17</v>
      </c>
      <c r="AK1" s="86">
        <v>18</v>
      </c>
      <c r="AL1" s="5"/>
    </row>
    <row r="2" spans="1:38" s="1" customFormat="1" x14ac:dyDescent="0.3">
      <c r="A2" s="94"/>
      <c r="B2" s="94"/>
      <c r="C2" s="94"/>
      <c r="D2" s="94"/>
      <c r="E2" s="94"/>
      <c r="F2" s="94"/>
      <c r="G2" s="94"/>
      <c r="H2" s="94"/>
      <c r="I2" s="94"/>
      <c r="J2" s="94"/>
      <c r="K2" s="94"/>
      <c r="L2" s="94"/>
      <c r="M2" s="94"/>
      <c r="N2" s="94"/>
      <c r="O2" s="94"/>
      <c r="P2" s="94"/>
      <c r="Q2" s="94"/>
      <c r="R2" s="94"/>
      <c r="S2" s="47"/>
      <c r="T2" s="94" t="s">
        <v>32</v>
      </c>
      <c r="U2" s="23" t="s">
        <v>74</v>
      </c>
      <c r="V2" s="23" t="s">
        <v>75</v>
      </c>
      <c r="W2" s="23" t="s">
        <v>76</v>
      </c>
      <c r="X2" s="23" t="s">
        <v>77</v>
      </c>
      <c r="Y2" s="23" t="s">
        <v>78</v>
      </c>
      <c r="Z2" s="23" t="s">
        <v>79</v>
      </c>
      <c r="AA2" s="23" t="s">
        <v>80</v>
      </c>
      <c r="AB2" s="23" t="s">
        <v>81</v>
      </c>
      <c r="AC2" s="23" t="s">
        <v>82</v>
      </c>
      <c r="AD2" s="23" t="s">
        <v>83</v>
      </c>
      <c r="AE2" s="23" t="s">
        <v>84</v>
      </c>
      <c r="AF2" s="23" t="s">
        <v>85</v>
      </c>
      <c r="AG2" s="23" t="s">
        <v>86</v>
      </c>
      <c r="AH2" s="23" t="s">
        <v>87</v>
      </c>
      <c r="AI2" s="23" t="s">
        <v>88</v>
      </c>
      <c r="AJ2" s="23" t="s">
        <v>89</v>
      </c>
      <c r="AK2" s="24" t="s">
        <v>90</v>
      </c>
      <c r="AL2" s="47"/>
    </row>
    <row r="3" spans="1:38" x14ac:dyDescent="0.3">
      <c r="A3">
        <v>1</v>
      </c>
      <c r="B3" t="s">
        <v>1</v>
      </c>
      <c r="C3">
        <v>52</v>
      </c>
      <c r="D3">
        <v>1757</v>
      </c>
      <c r="E3">
        <v>310</v>
      </c>
      <c r="F3">
        <v>473</v>
      </c>
      <c r="G3">
        <v>94</v>
      </c>
      <c r="H3">
        <v>8</v>
      </c>
      <c r="I3">
        <v>97</v>
      </c>
      <c r="J3">
        <v>297</v>
      </c>
      <c r="K3">
        <v>179</v>
      </c>
      <c r="L3">
        <v>436</v>
      </c>
      <c r="M3">
        <v>62</v>
      </c>
      <c r="N3">
        <v>16</v>
      </c>
      <c r="O3">
        <v>0.26900000000000002</v>
      </c>
      <c r="P3">
        <v>0.34499999999999997</v>
      </c>
      <c r="Q3">
        <v>0.497</v>
      </c>
      <c r="R3">
        <v>0.84199999999999997</v>
      </c>
      <c r="S3" s="5"/>
      <c r="T3" s="17" t="str">
        <f>A4</f>
        <v>Tampa Bay Rays</v>
      </c>
      <c r="U3" s="2" t="str">
        <f t="shared" ref="U3:AK3" si="0">B4</f>
        <v>AL</v>
      </c>
      <c r="V3" s="2">
        <f t="shared" si="0"/>
        <v>52</v>
      </c>
      <c r="W3" s="2">
        <f t="shared" si="0"/>
        <v>1757</v>
      </c>
      <c r="X3" s="2">
        <f t="shared" si="0"/>
        <v>310</v>
      </c>
      <c r="Y3" s="2">
        <f t="shared" si="0"/>
        <v>473</v>
      </c>
      <c r="Z3" s="2">
        <f t="shared" si="0"/>
        <v>94</v>
      </c>
      <c r="AA3" s="2">
        <f t="shared" si="0"/>
        <v>8</v>
      </c>
      <c r="AB3" s="2">
        <f t="shared" si="0"/>
        <v>97</v>
      </c>
      <c r="AC3" s="2">
        <f t="shared" si="0"/>
        <v>297</v>
      </c>
      <c r="AD3" s="2">
        <f t="shared" si="0"/>
        <v>179</v>
      </c>
      <c r="AE3" s="2">
        <f t="shared" si="0"/>
        <v>436</v>
      </c>
      <c r="AF3" s="2">
        <f t="shared" si="0"/>
        <v>62</v>
      </c>
      <c r="AG3" s="2">
        <f t="shared" si="0"/>
        <v>16</v>
      </c>
      <c r="AH3" s="2">
        <f t="shared" si="0"/>
        <v>0.26900000000000002</v>
      </c>
      <c r="AI3" s="2">
        <f t="shared" si="0"/>
        <v>0.34499999999999997</v>
      </c>
      <c r="AJ3" s="2">
        <f t="shared" si="0"/>
        <v>0.497</v>
      </c>
      <c r="AK3" s="19">
        <f t="shared" si="0"/>
        <v>0.84199999999999997</v>
      </c>
      <c r="AL3" s="5"/>
    </row>
    <row r="4" spans="1:38" x14ac:dyDescent="0.3">
      <c r="A4" t="s">
        <v>0</v>
      </c>
      <c r="B4" t="str">
        <f>B3</f>
        <v>AL</v>
      </c>
      <c r="C4">
        <f t="shared" ref="C4:R4" si="1">C3</f>
        <v>52</v>
      </c>
      <c r="D4">
        <f t="shared" si="1"/>
        <v>1757</v>
      </c>
      <c r="E4">
        <f t="shared" si="1"/>
        <v>310</v>
      </c>
      <c r="F4">
        <f t="shared" si="1"/>
        <v>473</v>
      </c>
      <c r="G4">
        <f t="shared" si="1"/>
        <v>94</v>
      </c>
      <c r="H4">
        <f t="shared" si="1"/>
        <v>8</v>
      </c>
      <c r="I4">
        <f t="shared" si="1"/>
        <v>97</v>
      </c>
      <c r="J4">
        <f t="shared" si="1"/>
        <v>297</v>
      </c>
      <c r="K4">
        <f t="shared" si="1"/>
        <v>179</v>
      </c>
      <c r="L4">
        <f t="shared" si="1"/>
        <v>436</v>
      </c>
      <c r="M4">
        <f t="shared" si="1"/>
        <v>62</v>
      </c>
      <c r="N4">
        <f t="shared" si="1"/>
        <v>16</v>
      </c>
      <c r="O4">
        <f t="shared" si="1"/>
        <v>0.26900000000000002</v>
      </c>
      <c r="P4">
        <f t="shared" si="1"/>
        <v>0.34499999999999997</v>
      </c>
      <c r="Q4">
        <f t="shared" si="1"/>
        <v>0.497</v>
      </c>
      <c r="R4">
        <f t="shared" si="1"/>
        <v>0.84199999999999997</v>
      </c>
      <c r="S4" s="5"/>
      <c r="T4" s="17" t="str">
        <f>A6</f>
        <v>Texas Rangers</v>
      </c>
      <c r="U4" s="2" t="str">
        <f t="shared" ref="U4:AK4" si="2">B6</f>
        <v>AL</v>
      </c>
      <c r="V4" s="2">
        <f t="shared" si="2"/>
        <v>49</v>
      </c>
      <c r="W4" s="2">
        <f t="shared" si="2"/>
        <v>1697</v>
      </c>
      <c r="X4" s="2">
        <f t="shared" si="2"/>
        <v>310</v>
      </c>
      <c r="Y4" s="2">
        <f t="shared" si="2"/>
        <v>458</v>
      </c>
      <c r="Z4" s="2">
        <f t="shared" si="2"/>
        <v>98</v>
      </c>
      <c r="AA4" s="2">
        <f t="shared" si="2"/>
        <v>6</v>
      </c>
      <c r="AB4" s="2">
        <f t="shared" si="2"/>
        <v>66</v>
      </c>
      <c r="AC4" s="2">
        <f t="shared" si="2"/>
        <v>298</v>
      </c>
      <c r="AD4" s="2">
        <f t="shared" si="2"/>
        <v>164</v>
      </c>
      <c r="AE4" s="2">
        <f t="shared" si="2"/>
        <v>442</v>
      </c>
      <c r="AF4" s="2">
        <f t="shared" si="2"/>
        <v>31</v>
      </c>
      <c r="AG4" s="2">
        <f t="shared" si="2"/>
        <v>9</v>
      </c>
      <c r="AH4" s="2">
        <f t="shared" si="2"/>
        <v>0.27</v>
      </c>
      <c r="AI4" s="2">
        <f t="shared" si="2"/>
        <v>0.33900000000000002</v>
      </c>
      <c r="AJ4" s="2">
        <f t="shared" si="2"/>
        <v>0.45100000000000001</v>
      </c>
      <c r="AK4" s="19">
        <f t="shared" si="2"/>
        <v>0.79</v>
      </c>
      <c r="AL4" s="5"/>
    </row>
    <row r="5" spans="1:38" x14ac:dyDescent="0.3">
      <c r="A5">
        <v>2</v>
      </c>
      <c r="B5" t="s">
        <v>1</v>
      </c>
      <c r="C5">
        <v>49</v>
      </c>
      <c r="D5">
        <v>1697</v>
      </c>
      <c r="E5">
        <v>310</v>
      </c>
      <c r="F5">
        <v>458</v>
      </c>
      <c r="G5">
        <v>98</v>
      </c>
      <c r="H5">
        <v>6</v>
      </c>
      <c r="I5">
        <v>66</v>
      </c>
      <c r="J5">
        <v>298</v>
      </c>
      <c r="K5">
        <v>164</v>
      </c>
      <c r="L5">
        <v>442</v>
      </c>
      <c r="M5">
        <v>31</v>
      </c>
      <c r="N5">
        <v>9</v>
      </c>
      <c r="O5">
        <v>0.27</v>
      </c>
      <c r="P5">
        <v>0.33900000000000002</v>
      </c>
      <c r="Q5">
        <v>0.45100000000000001</v>
      </c>
      <c r="R5">
        <v>0.79</v>
      </c>
      <c r="S5" s="5"/>
      <c r="T5" s="17" t="str">
        <f>A8</f>
        <v>Atlanta Braves</v>
      </c>
      <c r="U5" s="2" t="str">
        <f t="shared" ref="U5:AK5" si="3">B8</f>
        <v>NL</v>
      </c>
      <c r="V5" s="2">
        <f t="shared" si="3"/>
        <v>49</v>
      </c>
      <c r="W5" s="2">
        <f t="shared" si="3"/>
        <v>1656</v>
      </c>
      <c r="X5" s="2">
        <f t="shared" si="3"/>
        <v>251</v>
      </c>
      <c r="Y5" s="2">
        <f t="shared" si="3"/>
        <v>421</v>
      </c>
      <c r="Z5" s="2">
        <f t="shared" si="3"/>
        <v>88</v>
      </c>
      <c r="AA5" s="2">
        <f t="shared" si="3"/>
        <v>3</v>
      </c>
      <c r="AB5" s="2">
        <f t="shared" si="3"/>
        <v>80</v>
      </c>
      <c r="AC5" s="2">
        <f t="shared" si="3"/>
        <v>242</v>
      </c>
      <c r="AD5" s="2">
        <f t="shared" si="3"/>
        <v>172</v>
      </c>
      <c r="AE5" s="2">
        <f t="shared" si="3"/>
        <v>432</v>
      </c>
      <c r="AF5" s="2">
        <f t="shared" si="3"/>
        <v>32</v>
      </c>
      <c r="AG5" s="2">
        <f t="shared" si="3"/>
        <v>5</v>
      </c>
      <c r="AH5" s="2">
        <f t="shared" si="3"/>
        <v>0.254</v>
      </c>
      <c r="AI5" s="2">
        <f t="shared" si="3"/>
        <v>0.33100000000000002</v>
      </c>
      <c r="AJ5" s="2">
        <f t="shared" si="3"/>
        <v>0.45600000000000002</v>
      </c>
      <c r="AK5" s="19">
        <f t="shared" si="3"/>
        <v>0.78700000000000003</v>
      </c>
      <c r="AL5" s="5"/>
    </row>
    <row r="6" spans="1:38" x14ac:dyDescent="0.3">
      <c r="A6" t="s">
        <v>18</v>
      </c>
      <c r="B6" t="str">
        <f>B5</f>
        <v>AL</v>
      </c>
      <c r="C6">
        <f t="shared" ref="C6:R6" si="4">C5</f>
        <v>49</v>
      </c>
      <c r="D6">
        <f t="shared" si="4"/>
        <v>1697</v>
      </c>
      <c r="E6">
        <f t="shared" si="4"/>
        <v>310</v>
      </c>
      <c r="F6">
        <f t="shared" si="4"/>
        <v>458</v>
      </c>
      <c r="G6">
        <f t="shared" si="4"/>
        <v>98</v>
      </c>
      <c r="H6">
        <f t="shared" si="4"/>
        <v>6</v>
      </c>
      <c r="I6">
        <f t="shared" si="4"/>
        <v>66</v>
      </c>
      <c r="J6">
        <f t="shared" si="4"/>
        <v>298</v>
      </c>
      <c r="K6">
        <f t="shared" si="4"/>
        <v>164</v>
      </c>
      <c r="L6">
        <f t="shared" si="4"/>
        <v>442</v>
      </c>
      <c r="M6">
        <f t="shared" si="4"/>
        <v>31</v>
      </c>
      <c r="N6">
        <f t="shared" si="4"/>
        <v>9</v>
      </c>
      <c r="O6">
        <f t="shared" si="4"/>
        <v>0.27</v>
      </c>
      <c r="P6">
        <f t="shared" si="4"/>
        <v>0.33900000000000002</v>
      </c>
      <c r="Q6">
        <f t="shared" si="4"/>
        <v>0.45100000000000001</v>
      </c>
      <c r="R6">
        <f t="shared" si="4"/>
        <v>0.79</v>
      </c>
      <c r="S6" s="5"/>
      <c r="T6" s="17" t="str">
        <f>A10</f>
        <v>Los Angeles Dodgers</v>
      </c>
      <c r="U6" s="2" t="str">
        <f t="shared" ref="U6:AK6" si="5">B10</f>
        <v>NL</v>
      </c>
      <c r="V6" s="2">
        <f t="shared" si="5"/>
        <v>51</v>
      </c>
      <c r="W6" s="2">
        <f t="shared" si="5"/>
        <v>1706</v>
      </c>
      <c r="X6" s="2">
        <f t="shared" si="5"/>
        <v>279</v>
      </c>
      <c r="Y6" s="2">
        <f t="shared" si="5"/>
        <v>403</v>
      </c>
      <c r="Z6" s="2">
        <f t="shared" si="5"/>
        <v>97</v>
      </c>
      <c r="AA6" s="2">
        <f t="shared" si="5"/>
        <v>11</v>
      </c>
      <c r="AB6" s="2">
        <f t="shared" si="5"/>
        <v>82</v>
      </c>
      <c r="AC6" s="2">
        <f t="shared" si="5"/>
        <v>272</v>
      </c>
      <c r="AD6" s="2">
        <f t="shared" si="5"/>
        <v>220</v>
      </c>
      <c r="AE6" s="2">
        <f t="shared" si="5"/>
        <v>457</v>
      </c>
      <c r="AF6" s="2">
        <f t="shared" si="5"/>
        <v>27</v>
      </c>
      <c r="AG6" s="2">
        <f t="shared" si="5"/>
        <v>8</v>
      </c>
      <c r="AH6" s="2">
        <f t="shared" si="5"/>
        <v>0.23599999999999999</v>
      </c>
      <c r="AI6" s="2">
        <f t="shared" si="5"/>
        <v>0.32600000000000001</v>
      </c>
      <c r="AJ6" s="2">
        <f t="shared" si="5"/>
        <v>0.45</v>
      </c>
      <c r="AK6" s="19">
        <f t="shared" si="5"/>
        <v>0.77600000000000002</v>
      </c>
      <c r="AL6" s="5"/>
    </row>
    <row r="7" spans="1:38" x14ac:dyDescent="0.3">
      <c r="A7">
        <v>3</v>
      </c>
      <c r="B7" t="s">
        <v>3</v>
      </c>
      <c r="C7">
        <v>49</v>
      </c>
      <c r="D7">
        <v>1656</v>
      </c>
      <c r="E7">
        <v>251</v>
      </c>
      <c r="F7">
        <v>421</v>
      </c>
      <c r="G7">
        <v>88</v>
      </c>
      <c r="H7">
        <v>3</v>
      </c>
      <c r="I7">
        <v>80</v>
      </c>
      <c r="J7">
        <v>242</v>
      </c>
      <c r="K7">
        <v>172</v>
      </c>
      <c r="L7">
        <v>432</v>
      </c>
      <c r="M7">
        <v>32</v>
      </c>
      <c r="N7">
        <v>5</v>
      </c>
      <c r="O7">
        <v>0.254</v>
      </c>
      <c r="P7">
        <v>0.33100000000000002</v>
      </c>
      <c r="Q7">
        <v>0.45600000000000002</v>
      </c>
      <c r="R7">
        <v>0.78700000000000003</v>
      </c>
      <c r="S7" s="5"/>
      <c r="T7" s="17" t="str">
        <f>A12</f>
        <v>St. Louis Cardinals</v>
      </c>
      <c r="U7" s="2" t="str">
        <f t="shared" ref="U7:AK7" si="6">B12</f>
        <v>NL</v>
      </c>
      <c r="V7" s="2">
        <f t="shared" si="6"/>
        <v>52</v>
      </c>
      <c r="W7" s="2">
        <f t="shared" si="6"/>
        <v>1795</v>
      </c>
      <c r="X7" s="2">
        <f t="shared" si="6"/>
        <v>263</v>
      </c>
      <c r="Y7" s="2">
        <f t="shared" si="6"/>
        <v>468</v>
      </c>
      <c r="Z7" s="2">
        <f t="shared" si="6"/>
        <v>94</v>
      </c>
      <c r="AA7" s="2">
        <f t="shared" si="6"/>
        <v>5</v>
      </c>
      <c r="AB7" s="2">
        <f t="shared" si="6"/>
        <v>72</v>
      </c>
      <c r="AC7" s="2">
        <f t="shared" si="6"/>
        <v>254</v>
      </c>
      <c r="AD7" s="2">
        <f t="shared" si="6"/>
        <v>188</v>
      </c>
      <c r="AE7" s="2">
        <f t="shared" si="6"/>
        <v>431</v>
      </c>
      <c r="AF7" s="2">
        <f t="shared" si="6"/>
        <v>42</v>
      </c>
      <c r="AG7" s="2">
        <f t="shared" si="6"/>
        <v>9</v>
      </c>
      <c r="AH7" s="2">
        <f t="shared" si="6"/>
        <v>0.26100000000000001</v>
      </c>
      <c r="AI7" s="2">
        <f t="shared" si="6"/>
        <v>0.33400000000000002</v>
      </c>
      <c r="AJ7" s="2">
        <f t="shared" si="6"/>
        <v>0.439</v>
      </c>
      <c r="AK7" s="19">
        <f t="shared" si="6"/>
        <v>0.77300000000000002</v>
      </c>
      <c r="AL7" s="5"/>
    </row>
    <row r="8" spans="1:38" x14ac:dyDescent="0.3">
      <c r="A8" t="s">
        <v>7</v>
      </c>
      <c r="B8" t="str">
        <f>B7</f>
        <v>NL</v>
      </c>
      <c r="C8">
        <f t="shared" ref="C8:R8" si="7">C7</f>
        <v>49</v>
      </c>
      <c r="D8">
        <f t="shared" si="7"/>
        <v>1656</v>
      </c>
      <c r="E8">
        <f t="shared" si="7"/>
        <v>251</v>
      </c>
      <c r="F8">
        <f t="shared" si="7"/>
        <v>421</v>
      </c>
      <c r="G8">
        <f t="shared" si="7"/>
        <v>88</v>
      </c>
      <c r="H8">
        <f t="shared" si="7"/>
        <v>3</v>
      </c>
      <c r="I8">
        <f t="shared" si="7"/>
        <v>80</v>
      </c>
      <c r="J8">
        <f t="shared" si="7"/>
        <v>242</v>
      </c>
      <c r="K8">
        <f t="shared" si="7"/>
        <v>172</v>
      </c>
      <c r="L8">
        <f t="shared" si="7"/>
        <v>432</v>
      </c>
      <c r="M8">
        <f t="shared" si="7"/>
        <v>32</v>
      </c>
      <c r="N8">
        <f t="shared" si="7"/>
        <v>5</v>
      </c>
      <c r="O8">
        <f t="shared" si="7"/>
        <v>0.254</v>
      </c>
      <c r="P8">
        <f t="shared" si="7"/>
        <v>0.33100000000000002</v>
      </c>
      <c r="Q8">
        <f t="shared" si="7"/>
        <v>0.45600000000000002</v>
      </c>
      <c r="R8">
        <f t="shared" si="7"/>
        <v>0.78700000000000003</v>
      </c>
      <c r="S8" s="5"/>
      <c r="T8" s="17" t="str">
        <f>A14</f>
        <v>Chicago Cubs</v>
      </c>
      <c r="U8" s="2" t="str">
        <f t="shared" ref="U8:AK8" si="8">B14</f>
        <v>NL</v>
      </c>
      <c r="V8" s="2">
        <f t="shared" si="8"/>
        <v>48</v>
      </c>
      <c r="W8" s="2">
        <f t="shared" si="8"/>
        <v>1652</v>
      </c>
      <c r="X8" s="2">
        <f t="shared" si="8"/>
        <v>231</v>
      </c>
      <c r="Y8" s="2">
        <f t="shared" si="8"/>
        <v>432</v>
      </c>
      <c r="Z8" s="2">
        <f t="shared" si="8"/>
        <v>79</v>
      </c>
      <c r="AA8" s="2">
        <f t="shared" si="8"/>
        <v>6</v>
      </c>
      <c r="AB8" s="2">
        <f t="shared" si="8"/>
        <v>62</v>
      </c>
      <c r="AC8" s="2">
        <f t="shared" si="8"/>
        <v>223</v>
      </c>
      <c r="AD8" s="2">
        <f t="shared" si="8"/>
        <v>185</v>
      </c>
      <c r="AE8" s="2">
        <f t="shared" si="8"/>
        <v>442</v>
      </c>
      <c r="AF8" s="2">
        <f t="shared" si="8"/>
        <v>40</v>
      </c>
      <c r="AG8" s="2">
        <f t="shared" si="8"/>
        <v>12</v>
      </c>
      <c r="AH8" s="2">
        <f t="shared" si="8"/>
        <v>0.26200000000000001</v>
      </c>
      <c r="AI8" s="2">
        <f t="shared" si="8"/>
        <v>0.33900000000000002</v>
      </c>
      <c r="AJ8" s="2">
        <f t="shared" si="8"/>
        <v>0.42899999999999999</v>
      </c>
      <c r="AK8" s="19">
        <f t="shared" si="8"/>
        <v>0.76800000000000002</v>
      </c>
      <c r="AL8" s="5"/>
    </row>
    <row r="9" spans="1:38" x14ac:dyDescent="0.3">
      <c r="A9">
        <v>4</v>
      </c>
      <c r="B9" t="s">
        <v>3</v>
      </c>
      <c r="C9">
        <v>51</v>
      </c>
      <c r="D9">
        <v>1706</v>
      </c>
      <c r="E9">
        <v>279</v>
      </c>
      <c r="F9">
        <v>403</v>
      </c>
      <c r="G9">
        <v>97</v>
      </c>
      <c r="H9">
        <v>11</v>
      </c>
      <c r="I9">
        <v>82</v>
      </c>
      <c r="J9">
        <v>272</v>
      </c>
      <c r="K9">
        <v>220</v>
      </c>
      <c r="L9">
        <v>457</v>
      </c>
      <c r="M9">
        <v>27</v>
      </c>
      <c r="N9">
        <v>8</v>
      </c>
      <c r="O9">
        <v>0.23599999999999999</v>
      </c>
      <c r="P9">
        <v>0.32600000000000001</v>
      </c>
      <c r="Q9">
        <v>0.45</v>
      </c>
      <c r="R9">
        <v>0.77600000000000002</v>
      </c>
      <c r="S9" s="5"/>
      <c r="T9" s="17" t="str">
        <f>A16</f>
        <v>Arizona Diamondbacks</v>
      </c>
      <c r="U9" s="2" t="str">
        <f t="shared" ref="U9:AK9" si="9">B16</f>
        <v>NL</v>
      </c>
      <c r="V9" s="2">
        <f t="shared" si="9"/>
        <v>50</v>
      </c>
      <c r="W9" s="2">
        <f t="shared" si="9"/>
        <v>1707</v>
      </c>
      <c r="X9" s="2">
        <f t="shared" si="9"/>
        <v>257</v>
      </c>
      <c r="Y9" s="2">
        <f t="shared" si="9"/>
        <v>451</v>
      </c>
      <c r="Z9" s="2">
        <f t="shared" si="9"/>
        <v>104</v>
      </c>
      <c r="AA9" s="2">
        <f t="shared" si="9"/>
        <v>11</v>
      </c>
      <c r="AB9" s="2">
        <f t="shared" si="9"/>
        <v>56</v>
      </c>
      <c r="AC9" s="2">
        <f t="shared" si="9"/>
        <v>243</v>
      </c>
      <c r="AD9" s="2">
        <f t="shared" si="9"/>
        <v>158</v>
      </c>
      <c r="AE9" s="2">
        <f t="shared" si="9"/>
        <v>389</v>
      </c>
      <c r="AF9" s="2">
        <f t="shared" si="9"/>
        <v>41</v>
      </c>
      <c r="AG9" s="2">
        <f t="shared" si="9"/>
        <v>8</v>
      </c>
      <c r="AH9" s="2">
        <f t="shared" si="9"/>
        <v>0.26400000000000001</v>
      </c>
      <c r="AI9" s="2">
        <f t="shared" si="9"/>
        <v>0.32900000000000001</v>
      </c>
      <c r="AJ9" s="2">
        <f t="shared" si="9"/>
        <v>0.436</v>
      </c>
      <c r="AK9" s="19">
        <f t="shared" si="9"/>
        <v>0.76500000000000001</v>
      </c>
      <c r="AL9" s="5"/>
    </row>
    <row r="10" spans="1:38" x14ac:dyDescent="0.3">
      <c r="A10" t="s">
        <v>2</v>
      </c>
      <c r="B10" t="str">
        <f>B9</f>
        <v>NL</v>
      </c>
      <c r="C10">
        <f t="shared" ref="C10:R10" si="10">C9</f>
        <v>51</v>
      </c>
      <c r="D10">
        <f t="shared" si="10"/>
        <v>1706</v>
      </c>
      <c r="E10">
        <f t="shared" si="10"/>
        <v>279</v>
      </c>
      <c r="F10">
        <f t="shared" si="10"/>
        <v>403</v>
      </c>
      <c r="G10">
        <f t="shared" si="10"/>
        <v>97</v>
      </c>
      <c r="H10">
        <f t="shared" si="10"/>
        <v>11</v>
      </c>
      <c r="I10">
        <f t="shared" si="10"/>
        <v>82</v>
      </c>
      <c r="J10">
        <f t="shared" si="10"/>
        <v>272</v>
      </c>
      <c r="K10">
        <f t="shared" si="10"/>
        <v>220</v>
      </c>
      <c r="L10">
        <f t="shared" si="10"/>
        <v>457</v>
      </c>
      <c r="M10">
        <f t="shared" si="10"/>
        <v>27</v>
      </c>
      <c r="N10">
        <f t="shared" si="10"/>
        <v>8</v>
      </c>
      <c r="O10">
        <f t="shared" si="10"/>
        <v>0.23599999999999999</v>
      </c>
      <c r="P10">
        <f t="shared" si="10"/>
        <v>0.32600000000000001</v>
      </c>
      <c r="Q10">
        <f t="shared" si="10"/>
        <v>0.45</v>
      </c>
      <c r="R10">
        <f t="shared" si="10"/>
        <v>0.77600000000000002</v>
      </c>
      <c r="S10" s="5"/>
      <c r="T10" s="17" t="str">
        <f>A18</f>
        <v>Boston Red Sox</v>
      </c>
      <c r="U10" s="2" t="str">
        <f t="shared" ref="U10:AK10" si="11">B18</f>
        <v>AL</v>
      </c>
      <c r="V10" s="2">
        <f t="shared" si="11"/>
        <v>50</v>
      </c>
      <c r="W10" s="2">
        <f t="shared" si="11"/>
        <v>1705</v>
      </c>
      <c r="X10" s="2">
        <f t="shared" si="11"/>
        <v>262</v>
      </c>
      <c r="Y10" s="2">
        <f t="shared" si="11"/>
        <v>447</v>
      </c>
      <c r="Z10" s="2">
        <f t="shared" si="11"/>
        <v>108</v>
      </c>
      <c r="AA10" s="2">
        <f t="shared" si="11"/>
        <v>3</v>
      </c>
      <c r="AB10" s="2">
        <f t="shared" si="11"/>
        <v>59</v>
      </c>
      <c r="AC10" s="2">
        <f t="shared" si="11"/>
        <v>252</v>
      </c>
      <c r="AD10" s="2">
        <f t="shared" si="11"/>
        <v>161</v>
      </c>
      <c r="AE10" s="2">
        <f t="shared" si="11"/>
        <v>387</v>
      </c>
      <c r="AF10" s="2">
        <f t="shared" si="11"/>
        <v>30</v>
      </c>
      <c r="AG10" s="2">
        <f t="shared" si="11"/>
        <v>5</v>
      </c>
      <c r="AH10" s="2">
        <f t="shared" si="11"/>
        <v>0.26200000000000001</v>
      </c>
      <c r="AI10" s="2">
        <f t="shared" si="11"/>
        <v>0.33200000000000002</v>
      </c>
      <c r="AJ10" s="2">
        <f t="shared" si="11"/>
        <v>0.433</v>
      </c>
      <c r="AK10" s="19">
        <f t="shared" si="11"/>
        <v>0.76500000000000001</v>
      </c>
      <c r="AL10" s="5"/>
    </row>
    <row r="11" spans="1:38" x14ac:dyDescent="0.3">
      <c r="A11">
        <v>5</v>
      </c>
      <c r="B11" t="s">
        <v>3</v>
      </c>
      <c r="C11">
        <v>52</v>
      </c>
      <c r="D11">
        <v>1795</v>
      </c>
      <c r="E11">
        <v>263</v>
      </c>
      <c r="F11">
        <v>468</v>
      </c>
      <c r="G11">
        <v>94</v>
      </c>
      <c r="H11">
        <v>5</v>
      </c>
      <c r="I11">
        <v>72</v>
      </c>
      <c r="J11">
        <v>254</v>
      </c>
      <c r="K11">
        <v>188</v>
      </c>
      <c r="L11">
        <v>431</v>
      </c>
      <c r="M11">
        <v>42</v>
      </c>
      <c r="N11">
        <v>9</v>
      </c>
      <c r="O11">
        <v>0.26100000000000001</v>
      </c>
      <c r="P11">
        <v>0.33400000000000002</v>
      </c>
      <c r="Q11">
        <v>0.439</v>
      </c>
      <c r="R11">
        <v>0.77300000000000002</v>
      </c>
      <c r="S11" s="5"/>
      <c r="T11" s="17" t="str">
        <f>A20</f>
        <v>Baltimore Orioles</v>
      </c>
      <c r="U11" s="2" t="str">
        <f t="shared" ref="U11:AK11" si="12">B20</f>
        <v>AL</v>
      </c>
      <c r="V11" s="2">
        <f t="shared" si="12"/>
        <v>49</v>
      </c>
      <c r="W11" s="2">
        <f t="shared" si="12"/>
        <v>1659</v>
      </c>
      <c r="X11" s="2">
        <f t="shared" si="12"/>
        <v>254</v>
      </c>
      <c r="Y11" s="2">
        <f t="shared" si="12"/>
        <v>420</v>
      </c>
      <c r="Z11" s="2">
        <f t="shared" si="12"/>
        <v>87</v>
      </c>
      <c r="AA11" s="2">
        <f t="shared" si="12"/>
        <v>8</v>
      </c>
      <c r="AB11" s="2">
        <f t="shared" si="12"/>
        <v>62</v>
      </c>
      <c r="AC11" s="2">
        <f t="shared" si="12"/>
        <v>246</v>
      </c>
      <c r="AD11" s="2">
        <f t="shared" si="12"/>
        <v>184</v>
      </c>
      <c r="AE11" s="2">
        <f t="shared" si="12"/>
        <v>399</v>
      </c>
      <c r="AF11" s="2">
        <f t="shared" si="12"/>
        <v>43</v>
      </c>
      <c r="AG11" s="2">
        <f t="shared" si="12"/>
        <v>9</v>
      </c>
      <c r="AH11" s="2">
        <f t="shared" si="12"/>
        <v>0.253</v>
      </c>
      <c r="AI11" s="2">
        <f t="shared" si="12"/>
        <v>0.33</v>
      </c>
      <c r="AJ11" s="2">
        <f t="shared" si="12"/>
        <v>0.42699999999999999</v>
      </c>
      <c r="AK11" s="19">
        <f t="shared" si="12"/>
        <v>0.75700000000000001</v>
      </c>
      <c r="AL11" s="5"/>
    </row>
    <row r="12" spans="1:38" x14ac:dyDescent="0.3">
      <c r="A12" t="s">
        <v>8</v>
      </c>
      <c r="B12" t="str">
        <f>B11</f>
        <v>NL</v>
      </c>
      <c r="C12">
        <f t="shared" ref="C12:R12" si="13">C11</f>
        <v>52</v>
      </c>
      <c r="D12">
        <f t="shared" si="13"/>
        <v>1795</v>
      </c>
      <c r="E12">
        <f t="shared" si="13"/>
        <v>263</v>
      </c>
      <c r="F12">
        <f t="shared" si="13"/>
        <v>468</v>
      </c>
      <c r="G12">
        <f t="shared" si="13"/>
        <v>94</v>
      </c>
      <c r="H12">
        <f t="shared" si="13"/>
        <v>5</v>
      </c>
      <c r="I12">
        <f t="shared" si="13"/>
        <v>72</v>
      </c>
      <c r="J12">
        <f t="shared" si="13"/>
        <v>254</v>
      </c>
      <c r="K12">
        <f t="shared" si="13"/>
        <v>188</v>
      </c>
      <c r="L12">
        <f t="shared" si="13"/>
        <v>431</v>
      </c>
      <c r="M12">
        <f t="shared" si="13"/>
        <v>42</v>
      </c>
      <c r="N12">
        <f t="shared" si="13"/>
        <v>9</v>
      </c>
      <c r="O12">
        <f t="shared" si="13"/>
        <v>0.26100000000000001</v>
      </c>
      <c r="P12">
        <f t="shared" si="13"/>
        <v>0.33400000000000002</v>
      </c>
      <c r="Q12">
        <f t="shared" si="13"/>
        <v>0.439</v>
      </c>
      <c r="R12">
        <f t="shared" si="13"/>
        <v>0.77300000000000002</v>
      </c>
      <c r="S12" s="5"/>
      <c r="T12" s="17" t="str">
        <f>A22</f>
        <v>Los Angeles Angels</v>
      </c>
      <c r="U12" s="2" t="str">
        <f t="shared" ref="U12:AK12" si="14">B22</f>
        <v>AL</v>
      </c>
      <c r="V12" s="2">
        <f t="shared" si="14"/>
        <v>51</v>
      </c>
      <c r="W12" s="2">
        <f t="shared" si="14"/>
        <v>1731</v>
      </c>
      <c r="X12" s="2">
        <f t="shared" si="14"/>
        <v>252</v>
      </c>
      <c r="Y12" s="2">
        <f t="shared" si="14"/>
        <v>450</v>
      </c>
      <c r="Z12" s="2">
        <f t="shared" si="14"/>
        <v>75</v>
      </c>
      <c r="AA12" s="2">
        <f t="shared" si="14"/>
        <v>5</v>
      </c>
      <c r="AB12" s="2">
        <f t="shared" si="14"/>
        <v>67</v>
      </c>
      <c r="AC12" s="2">
        <f t="shared" si="14"/>
        <v>248</v>
      </c>
      <c r="AD12" s="2">
        <f t="shared" si="14"/>
        <v>154</v>
      </c>
      <c r="AE12" s="2">
        <f t="shared" si="14"/>
        <v>437</v>
      </c>
      <c r="AF12" s="2">
        <f t="shared" si="14"/>
        <v>22</v>
      </c>
      <c r="AG12" s="2">
        <f t="shared" si="14"/>
        <v>8</v>
      </c>
      <c r="AH12" s="2">
        <f t="shared" si="14"/>
        <v>0.26</v>
      </c>
      <c r="AI12" s="2">
        <f t="shared" si="14"/>
        <v>0.32700000000000001</v>
      </c>
      <c r="AJ12" s="2">
        <f t="shared" si="14"/>
        <v>0.42499999999999999</v>
      </c>
      <c r="AK12" s="19">
        <f t="shared" si="14"/>
        <v>0.752</v>
      </c>
      <c r="AL12" s="5"/>
    </row>
    <row r="13" spans="1:38" x14ac:dyDescent="0.3">
      <c r="A13">
        <v>6</v>
      </c>
      <c r="B13" t="s">
        <v>3</v>
      </c>
      <c r="C13">
        <v>48</v>
      </c>
      <c r="D13">
        <v>1652</v>
      </c>
      <c r="E13">
        <v>231</v>
      </c>
      <c r="F13">
        <v>432</v>
      </c>
      <c r="G13">
        <v>79</v>
      </c>
      <c r="H13">
        <v>6</v>
      </c>
      <c r="I13">
        <v>62</v>
      </c>
      <c r="J13">
        <v>223</v>
      </c>
      <c r="K13">
        <v>185</v>
      </c>
      <c r="L13">
        <v>442</v>
      </c>
      <c r="M13">
        <v>40</v>
      </c>
      <c r="N13">
        <v>12</v>
      </c>
      <c r="O13">
        <v>0.26200000000000001</v>
      </c>
      <c r="P13">
        <v>0.33900000000000002</v>
      </c>
      <c r="Q13">
        <v>0.42899999999999999</v>
      </c>
      <c r="R13">
        <v>0.76800000000000002</v>
      </c>
      <c r="S13" s="5"/>
      <c r="T13" s="17" t="str">
        <f>A24</f>
        <v>Toronto Blue Jays</v>
      </c>
      <c r="U13" s="2" t="str">
        <f t="shared" ref="U13:AK13" si="15">B24</f>
        <v>AL</v>
      </c>
      <c r="V13" s="2">
        <f t="shared" si="15"/>
        <v>51</v>
      </c>
      <c r="W13" s="2">
        <f t="shared" si="15"/>
        <v>1784</v>
      </c>
      <c r="X13" s="2">
        <f t="shared" si="15"/>
        <v>242</v>
      </c>
      <c r="Y13" s="2">
        <f t="shared" si="15"/>
        <v>472</v>
      </c>
      <c r="Z13" s="2">
        <f t="shared" si="15"/>
        <v>95</v>
      </c>
      <c r="AA13" s="2">
        <f t="shared" si="15"/>
        <v>4</v>
      </c>
      <c r="AB13" s="2">
        <f t="shared" si="15"/>
        <v>57</v>
      </c>
      <c r="AC13" s="2">
        <f t="shared" si="15"/>
        <v>227</v>
      </c>
      <c r="AD13" s="2">
        <f t="shared" si="15"/>
        <v>169</v>
      </c>
      <c r="AE13" s="2">
        <f t="shared" si="15"/>
        <v>405</v>
      </c>
      <c r="AF13" s="2">
        <f t="shared" si="15"/>
        <v>42</v>
      </c>
      <c r="AG13" s="2">
        <f t="shared" si="15"/>
        <v>10</v>
      </c>
      <c r="AH13" s="2">
        <f t="shared" si="15"/>
        <v>0.26500000000000001</v>
      </c>
      <c r="AI13" s="2">
        <f t="shared" si="15"/>
        <v>0.33200000000000002</v>
      </c>
      <c r="AJ13" s="2">
        <f t="shared" si="15"/>
        <v>0.41799999999999998</v>
      </c>
      <c r="AK13" s="19">
        <f t="shared" si="15"/>
        <v>0.75</v>
      </c>
      <c r="AL13" s="5"/>
    </row>
    <row r="14" spans="1:38" x14ac:dyDescent="0.3">
      <c r="A14" t="s">
        <v>17</v>
      </c>
      <c r="B14" t="str">
        <f>B13</f>
        <v>NL</v>
      </c>
      <c r="C14">
        <f t="shared" ref="C14:R14" si="16">C13</f>
        <v>48</v>
      </c>
      <c r="D14">
        <f t="shared" si="16"/>
        <v>1652</v>
      </c>
      <c r="E14">
        <f t="shared" si="16"/>
        <v>231</v>
      </c>
      <c r="F14">
        <f t="shared" si="16"/>
        <v>432</v>
      </c>
      <c r="G14">
        <f t="shared" si="16"/>
        <v>79</v>
      </c>
      <c r="H14">
        <f t="shared" si="16"/>
        <v>6</v>
      </c>
      <c r="I14">
        <f t="shared" si="16"/>
        <v>62</v>
      </c>
      <c r="J14">
        <f t="shared" si="16"/>
        <v>223</v>
      </c>
      <c r="K14">
        <f t="shared" si="16"/>
        <v>185</v>
      </c>
      <c r="L14">
        <f t="shared" si="16"/>
        <v>442</v>
      </c>
      <c r="M14">
        <f t="shared" si="16"/>
        <v>40</v>
      </c>
      <c r="N14">
        <f t="shared" si="16"/>
        <v>12</v>
      </c>
      <c r="O14">
        <f t="shared" si="16"/>
        <v>0.26200000000000001</v>
      </c>
      <c r="P14">
        <f t="shared" si="16"/>
        <v>0.33900000000000002</v>
      </c>
      <c r="Q14">
        <f t="shared" si="16"/>
        <v>0.42899999999999999</v>
      </c>
      <c r="R14">
        <f t="shared" si="16"/>
        <v>0.76800000000000002</v>
      </c>
      <c r="S14" s="5"/>
      <c r="T14" s="17" t="str">
        <f>A26</f>
        <v>Philadelphia Phillies</v>
      </c>
      <c r="U14" s="2" t="str">
        <f t="shared" ref="U14:AK14" si="17">B26</f>
        <v>NL</v>
      </c>
      <c r="V14" s="2">
        <f t="shared" si="17"/>
        <v>49</v>
      </c>
      <c r="W14" s="2">
        <f t="shared" si="17"/>
        <v>1676</v>
      </c>
      <c r="X14" s="2">
        <f t="shared" si="17"/>
        <v>210</v>
      </c>
      <c r="Y14" s="2">
        <f t="shared" si="17"/>
        <v>432</v>
      </c>
      <c r="Z14" s="2">
        <f t="shared" si="17"/>
        <v>93</v>
      </c>
      <c r="AA14" s="2">
        <f t="shared" si="17"/>
        <v>10</v>
      </c>
      <c r="AB14" s="2">
        <f t="shared" si="17"/>
        <v>51</v>
      </c>
      <c r="AC14" s="2">
        <f t="shared" si="17"/>
        <v>201</v>
      </c>
      <c r="AD14" s="2">
        <f t="shared" si="17"/>
        <v>148</v>
      </c>
      <c r="AE14" s="2">
        <f t="shared" si="17"/>
        <v>440</v>
      </c>
      <c r="AF14" s="2">
        <f t="shared" si="17"/>
        <v>31</v>
      </c>
      <c r="AG14" s="2">
        <f t="shared" si="17"/>
        <v>9</v>
      </c>
      <c r="AH14" s="2">
        <f t="shared" si="17"/>
        <v>0.25800000000000001</v>
      </c>
      <c r="AI14" s="2">
        <f t="shared" si="17"/>
        <v>0.32200000000000001</v>
      </c>
      <c r="AJ14" s="2">
        <f t="shared" si="17"/>
        <v>0.41599999999999998</v>
      </c>
      <c r="AK14" s="19">
        <f t="shared" si="17"/>
        <v>0.73799999999999999</v>
      </c>
      <c r="AL14" s="5"/>
    </row>
    <row r="15" spans="1:38" x14ac:dyDescent="0.3">
      <c r="A15">
        <v>7</v>
      </c>
      <c r="B15" t="s">
        <v>3</v>
      </c>
      <c r="C15">
        <v>50</v>
      </c>
      <c r="D15">
        <v>1707</v>
      </c>
      <c r="E15">
        <v>257</v>
      </c>
      <c r="F15">
        <v>451</v>
      </c>
      <c r="G15">
        <v>104</v>
      </c>
      <c r="H15">
        <v>11</v>
      </c>
      <c r="I15">
        <v>56</v>
      </c>
      <c r="J15">
        <v>243</v>
      </c>
      <c r="K15">
        <v>158</v>
      </c>
      <c r="L15">
        <v>389</v>
      </c>
      <c r="M15">
        <v>41</v>
      </c>
      <c r="N15">
        <v>8</v>
      </c>
      <c r="O15">
        <v>0.26400000000000001</v>
      </c>
      <c r="P15">
        <v>0.32900000000000001</v>
      </c>
      <c r="Q15">
        <v>0.436</v>
      </c>
      <c r="R15">
        <v>0.76500000000000001</v>
      </c>
      <c r="S15" s="5"/>
      <c r="T15" s="17" t="str">
        <f>A28</f>
        <v>New York Yankees</v>
      </c>
      <c r="U15" s="2" t="str">
        <f t="shared" ref="U15:AK15" si="18">B28</f>
        <v>AL</v>
      </c>
      <c r="V15" s="2">
        <f t="shared" si="18"/>
        <v>51</v>
      </c>
      <c r="W15" s="2">
        <f t="shared" si="18"/>
        <v>1681</v>
      </c>
      <c r="X15" s="2">
        <f t="shared" si="18"/>
        <v>238</v>
      </c>
      <c r="Y15" s="2">
        <f t="shared" si="18"/>
        <v>398</v>
      </c>
      <c r="Z15" s="2">
        <f t="shared" si="18"/>
        <v>62</v>
      </c>
      <c r="AA15" s="2">
        <f t="shared" si="18"/>
        <v>8</v>
      </c>
      <c r="AB15" s="2">
        <f t="shared" si="18"/>
        <v>78</v>
      </c>
      <c r="AC15" s="2">
        <f t="shared" si="18"/>
        <v>230</v>
      </c>
      <c r="AD15" s="2">
        <f t="shared" si="18"/>
        <v>170</v>
      </c>
      <c r="AE15" s="2">
        <f t="shared" si="18"/>
        <v>427</v>
      </c>
      <c r="AF15" s="2">
        <f t="shared" si="18"/>
        <v>37</v>
      </c>
      <c r="AG15" s="2">
        <f t="shared" si="18"/>
        <v>13</v>
      </c>
      <c r="AH15" s="2">
        <f t="shared" si="18"/>
        <v>0.23699999999999999</v>
      </c>
      <c r="AI15" s="2">
        <f t="shared" si="18"/>
        <v>0.31</v>
      </c>
      <c r="AJ15" s="2">
        <f t="shared" si="18"/>
        <v>0.42199999999999999</v>
      </c>
      <c r="AK15" s="19">
        <f t="shared" si="18"/>
        <v>0.73199999999999998</v>
      </c>
      <c r="AL15" s="5"/>
    </row>
    <row r="16" spans="1:38" x14ac:dyDescent="0.3">
      <c r="A16" t="s">
        <v>29</v>
      </c>
      <c r="B16" t="str">
        <f>B15</f>
        <v>NL</v>
      </c>
      <c r="C16">
        <f t="shared" ref="C16:R16" si="19">C15</f>
        <v>50</v>
      </c>
      <c r="D16">
        <f t="shared" si="19"/>
        <v>1707</v>
      </c>
      <c r="E16">
        <f t="shared" si="19"/>
        <v>257</v>
      </c>
      <c r="F16">
        <f t="shared" si="19"/>
        <v>451</v>
      </c>
      <c r="G16">
        <f t="shared" si="19"/>
        <v>104</v>
      </c>
      <c r="H16">
        <f t="shared" si="19"/>
        <v>11</v>
      </c>
      <c r="I16">
        <f t="shared" si="19"/>
        <v>56</v>
      </c>
      <c r="J16">
        <f t="shared" si="19"/>
        <v>243</v>
      </c>
      <c r="K16">
        <f t="shared" si="19"/>
        <v>158</v>
      </c>
      <c r="L16">
        <f t="shared" si="19"/>
        <v>389</v>
      </c>
      <c r="M16">
        <f t="shared" si="19"/>
        <v>41</v>
      </c>
      <c r="N16">
        <f t="shared" si="19"/>
        <v>8</v>
      </c>
      <c r="O16">
        <f t="shared" si="19"/>
        <v>0.26400000000000001</v>
      </c>
      <c r="P16">
        <f t="shared" si="19"/>
        <v>0.32900000000000001</v>
      </c>
      <c r="Q16">
        <f t="shared" si="19"/>
        <v>0.436</v>
      </c>
      <c r="R16">
        <f t="shared" si="19"/>
        <v>0.76500000000000001</v>
      </c>
      <c r="S16" s="5"/>
      <c r="T16" s="17" t="str">
        <f>A30</f>
        <v>San Francisco Giants</v>
      </c>
      <c r="U16" s="2" t="str">
        <f t="shared" ref="U16:AK16" si="20">B30</f>
        <v>NL</v>
      </c>
      <c r="V16" s="2">
        <f t="shared" si="20"/>
        <v>49</v>
      </c>
      <c r="W16" s="2">
        <f t="shared" si="20"/>
        <v>1655</v>
      </c>
      <c r="X16" s="2">
        <f t="shared" si="20"/>
        <v>210</v>
      </c>
      <c r="Y16" s="2">
        <f t="shared" si="20"/>
        <v>398</v>
      </c>
      <c r="Z16" s="2">
        <f t="shared" si="20"/>
        <v>73</v>
      </c>
      <c r="AA16" s="2">
        <f t="shared" si="20"/>
        <v>3</v>
      </c>
      <c r="AB16" s="2">
        <f t="shared" si="20"/>
        <v>67</v>
      </c>
      <c r="AC16" s="2">
        <f t="shared" si="20"/>
        <v>207</v>
      </c>
      <c r="AD16" s="2">
        <f t="shared" si="20"/>
        <v>162</v>
      </c>
      <c r="AE16" s="2">
        <f t="shared" si="20"/>
        <v>479</v>
      </c>
      <c r="AF16" s="2">
        <f t="shared" si="20"/>
        <v>26</v>
      </c>
      <c r="AG16" s="2">
        <f t="shared" si="20"/>
        <v>8</v>
      </c>
      <c r="AH16" s="2">
        <f t="shared" si="20"/>
        <v>0.24</v>
      </c>
      <c r="AI16" s="2">
        <f t="shared" si="20"/>
        <v>0.316</v>
      </c>
      <c r="AJ16" s="2">
        <f t="shared" si="20"/>
        <v>0.41</v>
      </c>
      <c r="AK16" s="19">
        <f t="shared" si="20"/>
        <v>0.72599999999999998</v>
      </c>
      <c r="AL16" s="5"/>
    </row>
    <row r="17" spans="1:38" x14ac:dyDescent="0.3">
      <c r="A17">
        <v>7</v>
      </c>
      <c r="B17" t="s">
        <v>1</v>
      </c>
      <c r="C17">
        <v>50</v>
      </c>
      <c r="D17">
        <v>1705</v>
      </c>
      <c r="E17">
        <v>262</v>
      </c>
      <c r="F17">
        <v>447</v>
      </c>
      <c r="G17">
        <v>108</v>
      </c>
      <c r="H17">
        <v>3</v>
      </c>
      <c r="I17">
        <v>59</v>
      </c>
      <c r="J17">
        <v>252</v>
      </c>
      <c r="K17">
        <v>161</v>
      </c>
      <c r="L17">
        <v>387</v>
      </c>
      <c r="M17">
        <v>30</v>
      </c>
      <c r="N17">
        <v>5</v>
      </c>
      <c r="O17">
        <v>0.26200000000000001</v>
      </c>
      <c r="P17">
        <v>0.33200000000000002</v>
      </c>
      <c r="Q17">
        <v>0.433</v>
      </c>
      <c r="R17">
        <v>0.76500000000000001</v>
      </c>
      <c r="S17" s="5"/>
      <c r="T17" s="17" t="str">
        <f>A32</f>
        <v>Minnesota Twins</v>
      </c>
      <c r="U17" s="2" t="str">
        <f t="shared" ref="U17:AK17" si="21">B32</f>
        <v>AL</v>
      </c>
      <c r="V17" s="2">
        <f t="shared" si="21"/>
        <v>50</v>
      </c>
      <c r="W17" s="2">
        <f t="shared" si="21"/>
        <v>1685</v>
      </c>
      <c r="X17" s="2">
        <f t="shared" si="21"/>
        <v>230</v>
      </c>
      <c r="Y17" s="2">
        <f t="shared" si="21"/>
        <v>387</v>
      </c>
      <c r="Z17" s="2">
        <f t="shared" si="21"/>
        <v>80</v>
      </c>
      <c r="AA17" s="2">
        <f t="shared" si="21"/>
        <v>7</v>
      </c>
      <c r="AB17" s="2">
        <f t="shared" si="21"/>
        <v>68</v>
      </c>
      <c r="AC17" s="2">
        <f t="shared" si="21"/>
        <v>217</v>
      </c>
      <c r="AD17" s="2">
        <f t="shared" si="21"/>
        <v>172</v>
      </c>
      <c r="AE17" s="2">
        <f t="shared" si="21"/>
        <v>496</v>
      </c>
      <c r="AF17" s="2">
        <f t="shared" si="21"/>
        <v>21</v>
      </c>
      <c r="AG17" s="2">
        <f t="shared" si="21"/>
        <v>6</v>
      </c>
      <c r="AH17" s="2">
        <f t="shared" si="21"/>
        <v>0.23</v>
      </c>
      <c r="AI17" s="2">
        <f t="shared" si="21"/>
        <v>0.31</v>
      </c>
      <c r="AJ17" s="2">
        <f t="shared" si="21"/>
        <v>0.40699999999999997</v>
      </c>
      <c r="AK17" s="19">
        <f t="shared" si="21"/>
        <v>0.71699999999999997</v>
      </c>
      <c r="AL17" s="5"/>
    </row>
    <row r="18" spans="1:38" x14ac:dyDescent="0.3">
      <c r="A18" t="s">
        <v>12</v>
      </c>
      <c r="B18" t="str">
        <f>B17</f>
        <v>AL</v>
      </c>
      <c r="C18">
        <f t="shared" ref="C18:R18" si="22">C17</f>
        <v>50</v>
      </c>
      <c r="D18">
        <f t="shared" si="22"/>
        <v>1705</v>
      </c>
      <c r="E18">
        <f t="shared" si="22"/>
        <v>262</v>
      </c>
      <c r="F18">
        <f t="shared" si="22"/>
        <v>447</v>
      </c>
      <c r="G18">
        <f t="shared" si="22"/>
        <v>108</v>
      </c>
      <c r="H18">
        <f t="shared" si="22"/>
        <v>3</v>
      </c>
      <c r="I18">
        <f t="shared" si="22"/>
        <v>59</v>
      </c>
      <c r="J18">
        <f t="shared" si="22"/>
        <v>252</v>
      </c>
      <c r="K18">
        <f t="shared" si="22"/>
        <v>161</v>
      </c>
      <c r="L18">
        <f t="shared" si="22"/>
        <v>387</v>
      </c>
      <c r="M18">
        <f t="shared" si="22"/>
        <v>30</v>
      </c>
      <c r="N18">
        <f t="shared" si="22"/>
        <v>5</v>
      </c>
      <c r="O18">
        <f t="shared" si="22"/>
        <v>0.26200000000000001</v>
      </c>
      <c r="P18">
        <f t="shared" si="22"/>
        <v>0.33200000000000002</v>
      </c>
      <c r="Q18">
        <f t="shared" si="22"/>
        <v>0.433</v>
      </c>
      <c r="R18">
        <f t="shared" si="22"/>
        <v>0.76500000000000001</v>
      </c>
      <c r="S18" s="5"/>
      <c r="T18" s="17" t="str">
        <f>A34</f>
        <v>Pittsburgh Pirates</v>
      </c>
      <c r="U18" s="2" t="str">
        <f t="shared" ref="U18:AK18" si="23">B34</f>
        <v>NL</v>
      </c>
      <c r="V18" s="2">
        <f t="shared" si="23"/>
        <v>49</v>
      </c>
      <c r="W18" s="2">
        <f t="shared" si="23"/>
        <v>1616</v>
      </c>
      <c r="X18" s="2">
        <f t="shared" si="23"/>
        <v>212</v>
      </c>
      <c r="Y18" s="2">
        <f t="shared" si="23"/>
        <v>394</v>
      </c>
      <c r="Z18" s="2">
        <f t="shared" si="23"/>
        <v>93</v>
      </c>
      <c r="AA18" s="2">
        <f t="shared" si="23"/>
        <v>10</v>
      </c>
      <c r="AB18" s="2">
        <f t="shared" si="23"/>
        <v>43</v>
      </c>
      <c r="AC18" s="2">
        <f t="shared" si="23"/>
        <v>202</v>
      </c>
      <c r="AD18" s="2">
        <f t="shared" si="23"/>
        <v>181</v>
      </c>
      <c r="AE18" s="2">
        <f t="shared" si="23"/>
        <v>406</v>
      </c>
      <c r="AF18" s="2">
        <f t="shared" si="23"/>
        <v>53</v>
      </c>
      <c r="AG18" s="2">
        <f t="shared" si="23"/>
        <v>19</v>
      </c>
      <c r="AH18" s="2">
        <f t="shared" si="23"/>
        <v>0.24399999999999999</v>
      </c>
      <c r="AI18" s="2">
        <f t="shared" si="23"/>
        <v>0.32300000000000001</v>
      </c>
      <c r="AJ18" s="2">
        <f t="shared" si="23"/>
        <v>0.39400000000000002</v>
      </c>
      <c r="AK18" s="19">
        <f t="shared" si="23"/>
        <v>0.71699999999999997</v>
      </c>
      <c r="AL18" s="5"/>
    </row>
    <row r="19" spans="1:38" x14ac:dyDescent="0.3">
      <c r="A19">
        <v>9</v>
      </c>
      <c r="B19" t="s">
        <v>1</v>
      </c>
      <c r="C19">
        <v>49</v>
      </c>
      <c r="D19">
        <v>1659</v>
      </c>
      <c r="E19">
        <v>254</v>
      </c>
      <c r="F19">
        <v>420</v>
      </c>
      <c r="G19">
        <v>87</v>
      </c>
      <c r="H19">
        <v>8</v>
      </c>
      <c r="I19">
        <v>62</v>
      </c>
      <c r="J19">
        <v>246</v>
      </c>
      <c r="K19">
        <v>184</v>
      </c>
      <c r="L19">
        <v>399</v>
      </c>
      <c r="M19">
        <v>43</v>
      </c>
      <c r="N19">
        <v>9</v>
      </c>
      <c r="O19">
        <v>0.253</v>
      </c>
      <c r="P19">
        <v>0.33</v>
      </c>
      <c r="Q19">
        <v>0.42699999999999999</v>
      </c>
      <c r="R19">
        <v>0.75700000000000001</v>
      </c>
      <c r="S19" s="5"/>
      <c r="T19" s="17" t="str">
        <f>A36</f>
        <v>New York Mets</v>
      </c>
      <c r="U19" s="2" t="str">
        <f t="shared" ref="U19:AK19" si="24">B36</f>
        <v>NL</v>
      </c>
      <c r="V19" s="2">
        <f t="shared" si="24"/>
        <v>50</v>
      </c>
      <c r="W19" s="2">
        <f t="shared" si="24"/>
        <v>1650</v>
      </c>
      <c r="X19" s="2">
        <f t="shared" si="24"/>
        <v>211</v>
      </c>
      <c r="Y19" s="2">
        <f t="shared" si="24"/>
        <v>397</v>
      </c>
      <c r="Z19" s="2">
        <f t="shared" si="24"/>
        <v>68</v>
      </c>
      <c r="AA19" s="2">
        <f t="shared" si="24"/>
        <v>3</v>
      </c>
      <c r="AB19" s="2">
        <f t="shared" si="24"/>
        <v>56</v>
      </c>
      <c r="AC19" s="2">
        <f t="shared" si="24"/>
        <v>203</v>
      </c>
      <c r="AD19" s="2">
        <f t="shared" si="24"/>
        <v>174</v>
      </c>
      <c r="AE19" s="2">
        <f t="shared" si="24"/>
        <v>372</v>
      </c>
      <c r="AF19" s="2">
        <f t="shared" si="24"/>
        <v>32</v>
      </c>
      <c r="AG19" s="2">
        <f t="shared" si="24"/>
        <v>6</v>
      </c>
      <c r="AH19" s="2">
        <f t="shared" si="24"/>
        <v>0.24099999999999999</v>
      </c>
      <c r="AI19" s="2">
        <f t="shared" si="24"/>
        <v>0.32100000000000001</v>
      </c>
      <c r="AJ19" s="2">
        <f t="shared" si="24"/>
        <v>0.38700000000000001</v>
      </c>
      <c r="AK19" s="19">
        <f t="shared" si="24"/>
        <v>0.70799999999999996</v>
      </c>
      <c r="AL19" s="5"/>
    </row>
    <row r="20" spans="1:38" x14ac:dyDescent="0.3">
      <c r="A20" t="s">
        <v>6</v>
      </c>
      <c r="B20" t="str">
        <f>B19</f>
        <v>AL</v>
      </c>
      <c r="C20">
        <f t="shared" ref="C20:R20" si="25">C19</f>
        <v>49</v>
      </c>
      <c r="D20">
        <f t="shared" si="25"/>
        <v>1659</v>
      </c>
      <c r="E20">
        <f t="shared" si="25"/>
        <v>254</v>
      </c>
      <c r="F20">
        <f t="shared" si="25"/>
        <v>420</v>
      </c>
      <c r="G20">
        <f t="shared" si="25"/>
        <v>87</v>
      </c>
      <c r="H20">
        <f t="shared" si="25"/>
        <v>8</v>
      </c>
      <c r="I20">
        <f t="shared" si="25"/>
        <v>62</v>
      </c>
      <c r="J20">
        <f t="shared" si="25"/>
        <v>246</v>
      </c>
      <c r="K20">
        <f t="shared" si="25"/>
        <v>184</v>
      </c>
      <c r="L20">
        <f t="shared" si="25"/>
        <v>399</v>
      </c>
      <c r="M20">
        <f t="shared" si="25"/>
        <v>43</v>
      </c>
      <c r="N20">
        <f t="shared" si="25"/>
        <v>9</v>
      </c>
      <c r="O20">
        <f t="shared" si="25"/>
        <v>0.253</v>
      </c>
      <c r="P20">
        <f t="shared" si="25"/>
        <v>0.33</v>
      </c>
      <c r="Q20">
        <f t="shared" si="25"/>
        <v>0.42699999999999999</v>
      </c>
      <c r="R20">
        <f t="shared" si="25"/>
        <v>0.75700000000000001</v>
      </c>
      <c r="S20" s="5"/>
      <c r="T20" s="17" t="str">
        <f>A38</f>
        <v>Colorado Rockies</v>
      </c>
      <c r="U20" s="2" t="str">
        <f t="shared" ref="U20:AK20" si="26">B38</f>
        <v>NL</v>
      </c>
      <c r="V20" s="2">
        <f t="shared" si="26"/>
        <v>51</v>
      </c>
      <c r="W20" s="2">
        <f t="shared" si="26"/>
        <v>1683</v>
      </c>
      <c r="X20" s="2">
        <f t="shared" si="26"/>
        <v>220</v>
      </c>
      <c r="Y20" s="2">
        <f t="shared" si="26"/>
        <v>427</v>
      </c>
      <c r="Z20" s="2">
        <f t="shared" si="26"/>
        <v>108</v>
      </c>
      <c r="AA20" s="2">
        <f t="shared" si="26"/>
        <v>5</v>
      </c>
      <c r="AB20" s="2">
        <f t="shared" si="26"/>
        <v>39</v>
      </c>
      <c r="AC20" s="2">
        <f t="shared" si="26"/>
        <v>210</v>
      </c>
      <c r="AD20" s="2">
        <f t="shared" si="26"/>
        <v>142</v>
      </c>
      <c r="AE20" s="2">
        <f t="shared" si="26"/>
        <v>427</v>
      </c>
      <c r="AF20" s="2">
        <f t="shared" si="26"/>
        <v>16</v>
      </c>
      <c r="AG20" s="2">
        <f t="shared" si="26"/>
        <v>5</v>
      </c>
      <c r="AH20" s="2">
        <f t="shared" si="26"/>
        <v>0.254</v>
      </c>
      <c r="AI20" s="2">
        <f t="shared" si="26"/>
        <v>0.314</v>
      </c>
      <c r="AJ20" s="2">
        <f t="shared" si="26"/>
        <v>0.39300000000000002</v>
      </c>
      <c r="AK20" s="19">
        <f t="shared" si="26"/>
        <v>0.70699999999999996</v>
      </c>
      <c r="AL20" s="5"/>
    </row>
    <row r="21" spans="1:38" x14ac:dyDescent="0.3">
      <c r="A21">
        <v>10</v>
      </c>
      <c r="B21" t="s">
        <v>1</v>
      </c>
      <c r="C21">
        <v>51</v>
      </c>
      <c r="D21">
        <v>1731</v>
      </c>
      <c r="E21">
        <v>252</v>
      </c>
      <c r="F21">
        <v>450</v>
      </c>
      <c r="G21">
        <v>75</v>
      </c>
      <c r="H21">
        <v>5</v>
      </c>
      <c r="I21">
        <v>67</v>
      </c>
      <c r="J21">
        <v>248</v>
      </c>
      <c r="K21">
        <v>154</v>
      </c>
      <c r="L21">
        <v>437</v>
      </c>
      <c r="M21">
        <v>22</v>
      </c>
      <c r="N21">
        <v>8</v>
      </c>
      <c r="O21">
        <v>0.26</v>
      </c>
      <c r="P21">
        <v>0.32700000000000001</v>
      </c>
      <c r="Q21">
        <v>0.42499999999999999</v>
      </c>
      <c r="R21">
        <v>0.752</v>
      </c>
      <c r="S21" s="5"/>
      <c r="T21" s="17" t="str">
        <f>A40</f>
        <v>Washington Nationals</v>
      </c>
      <c r="U21" s="2" t="str">
        <f t="shared" ref="U21:AK21" si="27">B40</f>
        <v>NL</v>
      </c>
      <c r="V21" s="2">
        <f t="shared" si="27"/>
        <v>49</v>
      </c>
      <c r="W21" s="2">
        <f t="shared" si="27"/>
        <v>1664</v>
      </c>
      <c r="X21" s="2">
        <f t="shared" si="27"/>
        <v>202</v>
      </c>
      <c r="Y21" s="2">
        <f t="shared" si="27"/>
        <v>439</v>
      </c>
      <c r="Z21" s="2">
        <f t="shared" si="27"/>
        <v>76</v>
      </c>
      <c r="AA21" s="2">
        <f t="shared" si="27"/>
        <v>7</v>
      </c>
      <c r="AB21" s="2">
        <f t="shared" si="27"/>
        <v>36</v>
      </c>
      <c r="AC21" s="2">
        <f t="shared" si="27"/>
        <v>193</v>
      </c>
      <c r="AD21" s="2">
        <f t="shared" si="27"/>
        <v>129</v>
      </c>
      <c r="AE21" s="2">
        <f t="shared" si="27"/>
        <v>348</v>
      </c>
      <c r="AF21" s="2">
        <f t="shared" si="27"/>
        <v>26</v>
      </c>
      <c r="AG21" s="2">
        <f t="shared" si="27"/>
        <v>8</v>
      </c>
      <c r="AH21" s="2">
        <f t="shared" si="27"/>
        <v>0.26400000000000001</v>
      </c>
      <c r="AI21" s="2">
        <f t="shared" si="27"/>
        <v>0.32400000000000001</v>
      </c>
      <c r="AJ21" s="2">
        <f t="shared" si="27"/>
        <v>0.38300000000000001</v>
      </c>
      <c r="AK21" s="19">
        <f t="shared" si="27"/>
        <v>0.70699999999999996</v>
      </c>
      <c r="AL21" s="5"/>
    </row>
    <row r="22" spans="1:38" x14ac:dyDescent="0.3">
      <c r="A22" t="s">
        <v>22</v>
      </c>
      <c r="B22" t="str">
        <f>B21</f>
        <v>AL</v>
      </c>
      <c r="C22">
        <f t="shared" ref="C22:R22" si="28">C21</f>
        <v>51</v>
      </c>
      <c r="D22">
        <f t="shared" si="28"/>
        <v>1731</v>
      </c>
      <c r="E22">
        <f t="shared" si="28"/>
        <v>252</v>
      </c>
      <c r="F22">
        <f t="shared" si="28"/>
        <v>450</v>
      </c>
      <c r="G22">
        <f t="shared" si="28"/>
        <v>75</v>
      </c>
      <c r="H22">
        <f t="shared" si="28"/>
        <v>5</v>
      </c>
      <c r="I22">
        <f t="shared" si="28"/>
        <v>67</v>
      </c>
      <c r="J22">
        <f t="shared" si="28"/>
        <v>248</v>
      </c>
      <c r="K22">
        <f t="shared" si="28"/>
        <v>154</v>
      </c>
      <c r="L22">
        <f t="shared" si="28"/>
        <v>437</v>
      </c>
      <c r="M22">
        <f t="shared" si="28"/>
        <v>22</v>
      </c>
      <c r="N22">
        <f t="shared" si="28"/>
        <v>8</v>
      </c>
      <c r="O22">
        <f t="shared" si="28"/>
        <v>0.26</v>
      </c>
      <c r="P22">
        <f t="shared" si="28"/>
        <v>0.32700000000000001</v>
      </c>
      <c r="Q22">
        <f t="shared" si="28"/>
        <v>0.42499999999999999</v>
      </c>
      <c r="R22">
        <f t="shared" si="28"/>
        <v>0.752</v>
      </c>
      <c r="S22" s="5"/>
      <c r="T22" s="17" t="str">
        <f>A42</f>
        <v>Milwaukee Brewers</v>
      </c>
      <c r="U22" s="2" t="str">
        <f t="shared" ref="U22:AK22" si="29">B42</f>
        <v>NL</v>
      </c>
      <c r="V22" s="2">
        <f t="shared" si="29"/>
        <v>49</v>
      </c>
      <c r="W22" s="2">
        <f t="shared" si="29"/>
        <v>1604</v>
      </c>
      <c r="X22" s="2">
        <f t="shared" si="29"/>
        <v>205</v>
      </c>
      <c r="Y22" s="2">
        <f t="shared" si="29"/>
        <v>381</v>
      </c>
      <c r="Z22" s="2">
        <f t="shared" si="29"/>
        <v>61</v>
      </c>
      <c r="AA22" s="2">
        <f t="shared" si="29"/>
        <v>2</v>
      </c>
      <c r="AB22" s="2">
        <f t="shared" si="29"/>
        <v>62</v>
      </c>
      <c r="AC22" s="2">
        <f t="shared" si="29"/>
        <v>196</v>
      </c>
      <c r="AD22" s="2">
        <f t="shared" si="29"/>
        <v>163</v>
      </c>
      <c r="AE22" s="2">
        <f t="shared" si="29"/>
        <v>449</v>
      </c>
      <c r="AF22" s="2">
        <f t="shared" si="29"/>
        <v>38</v>
      </c>
      <c r="AG22" s="2">
        <f t="shared" si="29"/>
        <v>9</v>
      </c>
      <c r="AH22" s="2">
        <f t="shared" si="29"/>
        <v>0.23799999999999999</v>
      </c>
      <c r="AI22" s="2">
        <f t="shared" si="29"/>
        <v>0.311</v>
      </c>
      <c r="AJ22" s="2">
        <f t="shared" si="29"/>
        <v>0.39400000000000002</v>
      </c>
      <c r="AK22" s="19">
        <f t="shared" si="29"/>
        <v>0.70499999999999996</v>
      </c>
      <c r="AL22" s="5"/>
    </row>
    <row r="23" spans="1:38" x14ac:dyDescent="0.3">
      <c r="A23">
        <v>11</v>
      </c>
      <c r="B23" t="s">
        <v>1</v>
      </c>
      <c r="C23">
        <v>51</v>
      </c>
      <c r="D23">
        <v>1784</v>
      </c>
      <c r="E23">
        <v>242</v>
      </c>
      <c r="F23">
        <v>472</v>
      </c>
      <c r="G23">
        <v>95</v>
      </c>
      <c r="H23">
        <v>4</v>
      </c>
      <c r="I23">
        <v>57</v>
      </c>
      <c r="J23">
        <v>227</v>
      </c>
      <c r="K23">
        <v>169</v>
      </c>
      <c r="L23">
        <v>405</v>
      </c>
      <c r="M23">
        <v>42</v>
      </c>
      <c r="N23">
        <v>10</v>
      </c>
      <c r="O23">
        <v>0.26500000000000001</v>
      </c>
      <c r="P23">
        <v>0.33200000000000002</v>
      </c>
      <c r="Q23">
        <v>0.41799999999999998</v>
      </c>
      <c r="R23">
        <v>0.75</v>
      </c>
      <c r="S23" s="5"/>
      <c r="T23" s="17" t="str">
        <f>A44</f>
        <v>Miami Marlins</v>
      </c>
      <c r="U23" s="2" t="str">
        <f t="shared" ref="U23:AK23" si="30">B44</f>
        <v>NL</v>
      </c>
      <c r="V23" s="2">
        <f t="shared" si="30"/>
        <v>51</v>
      </c>
      <c r="W23" s="2">
        <f t="shared" si="30"/>
        <v>1691</v>
      </c>
      <c r="X23" s="2">
        <f t="shared" si="30"/>
        <v>181</v>
      </c>
      <c r="Y23" s="2">
        <f t="shared" si="30"/>
        <v>431</v>
      </c>
      <c r="Z23" s="2">
        <f t="shared" si="30"/>
        <v>78</v>
      </c>
      <c r="AA23" s="2">
        <f t="shared" si="30"/>
        <v>7</v>
      </c>
      <c r="AB23" s="2">
        <f t="shared" si="30"/>
        <v>47</v>
      </c>
      <c r="AC23" s="2">
        <f t="shared" si="30"/>
        <v>171</v>
      </c>
      <c r="AD23" s="2">
        <f t="shared" si="30"/>
        <v>124</v>
      </c>
      <c r="AE23" s="2">
        <f t="shared" si="30"/>
        <v>419</v>
      </c>
      <c r="AF23" s="2">
        <f t="shared" si="30"/>
        <v>42</v>
      </c>
      <c r="AG23" s="2">
        <f t="shared" si="30"/>
        <v>10</v>
      </c>
      <c r="AH23" s="2">
        <f t="shared" si="30"/>
        <v>0.255</v>
      </c>
      <c r="AI23" s="2">
        <f t="shared" si="30"/>
        <v>0.31</v>
      </c>
      <c r="AJ23" s="2">
        <f t="shared" si="30"/>
        <v>0.39300000000000002</v>
      </c>
      <c r="AK23" s="19">
        <f t="shared" si="30"/>
        <v>0.70299999999999996</v>
      </c>
      <c r="AL23" s="5"/>
    </row>
    <row r="24" spans="1:38" x14ac:dyDescent="0.3">
      <c r="A24" t="s">
        <v>15</v>
      </c>
      <c r="B24" t="str">
        <f>B23</f>
        <v>AL</v>
      </c>
      <c r="C24">
        <f t="shared" ref="C24:R24" si="31">C23</f>
        <v>51</v>
      </c>
      <c r="D24">
        <f t="shared" si="31"/>
        <v>1784</v>
      </c>
      <c r="E24">
        <f t="shared" si="31"/>
        <v>242</v>
      </c>
      <c r="F24">
        <f t="shared" si="31"/>
        <v>472</v>
      </c>
      <c r="G24">
        <f t="shared" si="31"/>
        <v>95</v>
      </c>
      <c r="H24">
        <f t="shared" si="31"/>
        <v>4</v>
      </c>
      <c r="I24">
        <f t="shared" si="31"/>
        <v>57</v>
      </c>
      <c r="J24">
        <f t="shared" si="31"/>
        <v>227</v>
      </c>
      <c r="K24">
        <f t="shared" si="31"/>
        <v>169</v>
      </c>
      <c r="L24">
        <f t="shared" si="31"/>
        <v>405</v>
      </c>
      <c r="M24">
        <f t="shared" si="31"/>
        <v>42</v>
      </c>
      <c r="N24">
        <f t="shared" si="31"/>
        <v>10</v>
      </c>
      <c r="O24">
        <f t="shared" si="31"/>
        <v>0.26500000000000001</v>
      </c>
      <c r="P24">
        <f t="shared" si="31"/>
        <v>0.33200000000000002</v>
      </c>
      <c r="Q24">
        <f t="shared" si="31"/>
        <v>0.41799999999999998</v>
      </c>
      <c r="R24">
        <f t="shared" si="31"/>
        <v>0.75</v>
      </c>
      <c r="S24" s="5"/>
      <c r="T24" s="17" t="str">
        <f>A46</f>
        <v>Cincinnati Reds</v>
      </c>
      <c r="U24" s="2" t="str">
        <f t="shared" ref="U24:AK24" si="32">B46</f>
        <v>NL</v>
      </c>
      <c r="V24" s="2">
        <f t="shared" si="32"/>
        <v>50</v>
      </c>
      <c r="W24" s="2">
        <f t="shared" si="32"/>
        <v>1664</v>
      </c>
      <c r="X24" s="2">
        <f t="shared" si="32"/>
        <v>217</v>
      </c>
      <c r="Y24" s="2">
        <f t="shared" si="32"/>
        <v>412</v>
      </c>
      <c r="Z24" s="2">
        <f t="shared" si="32"/>
        <v>86</v>
      </c>
      <c r="AA24" s="2">
        <f t="shared" si="32"/>
        <v>7</v>
      </c>
      <c r="AB24" s="2">
        <f t="shared" si="32"/>
        <v>38</v>
      </c>
      <c r="AC24" s="2">
        <f t="shared" si="32"/>
        <v>209</v>
      </c>
      <c r="AD24" s="2">
        <f t="shared" si="32"/>
        <v>173</v>
      </c>
      <c r="AE24" s="2">
        <f t="shared" si="32"/>
        <v>455</v>
      </c>
      <c r="AF24" s="2">
        <f t="shared" si="32"/>
        <v>38</v>
      </c>
      <c r="AG24" s="2">
        <f t="shared" si="32"/>
        <v>16</v>
      </c>
      <c r="AH24" s="2">
        <f t="shared" si="32"/>
        <v>0.248</v>
      </c>
      <c r="AI24" s="2">
        <f t="shared" si="32"/>
        <v>0.32500000000000001</v>
      </c>
      <c r="AJ24" s="2">
        <f t="shared" si="32"/>
        <v>0.376</v>
      </c>
      <c r="AK24" s="19">
        <f t="shared" si="32"/>
        <v>0.70099999999999996</v>
      </c>
      <c r="AL24" s="5"/>
    </row>
    <row r="25" spans="1:38" x14ac:dyDescent="0.3">
      <c r="A25">
        <v>12</v>
      </c>
      <c r="B25" t="s">
        <v>3</v>
      </c>
      <c r="C25">
        <v>49</v>
      </c>
      <c r="D25">
        <v>1676</v>
      </c>
      <c r="E25">
        <v>210</v>
      </c>
      <c r="F25">
        <v>432</v>
      </c>
      <c r="G25">
        <v>93</v>
      </c>
      <c r="H25">
        <v>10</v>
      </c>
      <c r="I25">
        <v>51</v>
      </c>
      <c r="J25">
        <v>201</v>
      </c>
      <c r="K25">
        <v>148</v>
      </c>
      <c r="L25">
        <v>440</v>
      </c>
      <c r="M25">
        <v>31</v>
      </c>
      <c r="N25">
        <v>9</v>
      </c>
      <c r="O25">
        <v>0.25800000000000001</v>
      </c>
      <c r="P25">
        <v>0.32200000000000001</v>
      </c>
      <c r="Q25">
        <v>0.41599999999999998</v>
      </c>
      <c r="R25">
        <v>0.73799999999999999</v>
      </c>
      <c r="S25" s="5"/>
      <c r="T25" s="17" t="str">
        <f>A48</f>
        <v>San Diego Padres</v>
      </c>
      <c r="U25" s="2" t="str">
        <f t="shared" ref="U25:AK25" si="33">B48</f>
        <v>NL</v>
      </c>
      <c r="V25" s="2">
        <f t="shared" si="33"/>
        <v>49</v>
      </c>
      <c r="W25" s="2">
        <f t="shared" si="33"/>
        <v>1593</v>
      </c>
      <c r="X25" s="2">
        <f t="shared" si="33"/>
        <v>192</v>
      </c>
      <c r="Y25" s="2">
        <f t="shared" si="33"/>
        <v>355</v>
      </c>
      <c r="Z25" s="2">
        <f t="shared" si="33"/>
        <v>82</v>
      </c>
      <c r="AA25" s="2">
        <f t="shared" si="33"/>
        <v>4</v>
      </c>
      <c r="AB25" s="2">
        <f t="shared" si="33"/>
        <v>56</v>
      </c>
      <c r="AC25" s="2">
        <f t="shared" si="33"/>
        <v>182</v>
      </c>
      <c r="AD25" s="2">
        <f t="shared" si="33"/>
        <v>203</v>
      </c>
      <c r="AE25" s="2">
        <f t="shared" si="33"/>
        <v>434</v>
      </c>
      <c r="AF25" s="2">
        <f t="shared" si="33"/>
        <v>29</v>
      </c>
      <c r="AG25" s="2">
        <f t="shared" si="33"/>
        <v>8</v>
      </c>
      <c r="AH25" s="2">
        <f t="shared" si="33"/>
        <v>0.223</v>
      </c>
      <c r="AI25" s="2">
        <f t="shared" si="33"/>
        <v>0.314</v>
      </c>
      <c r="AJ25" s="2">
        <f t="shared" si="33"/>
        <v>0.38500000000000001</v>
      </c>
      <c r="AK25" s="19">
        <f t="shared" si="33"/>
        <v>0.69899999999999995</v>
      </c>
      <c r="AL25" s="5"/>
    </row>
    <row r="26" spans="1:38" x14ac:dyDescent="0.3">
      <c r="A26" t="s">
        <v>14</v>
      </c>
      <c r="B26" t="str">
        <f>B25</f>
        <v>NL</v>
      </c>
      <c r="C26">
        <f t="shared" ref="C26:R26" si="34">C25</f>
        <v>49</v>
      </c>
      <c r="D26">
        <f t="shared" si="34"/>
        <v>1676</v>
      </c>
      <c r="E26">
        <f t="shared" si="34"/>
        <v>210</v>
      </c>
      <c r="F26">
        <f t="shared" si="34"/>
        <v>432</v>
      </c>
      <c r="G26">
        <f t="shared" si="34"/>
        <v>93</v>
      </c>
      <c r="H26">
        <f t="shared" si="34"/>
        <v>10</v>
      </c>
      <c r="I26">
        <f t="shared" si="34"/>
        <v>51</v>
      </c>
      <c r="J26">
        <f t="shared" si="34"/>
        <v>201</v>
      </c>
      <c r="K26">
        <f t="shared" si="34"/>
        <v>148</v>
      </c>
      <c r="L26">
        <f t="shared" si="34"/>
        <v>440</v>
      </c>
      <c r="M26">
        <f t="shared" si="34"/>
        <v>31</v>
      </c>
      <c r="N26">
        <f t="shared" si="34"/>
        <v>9</v>
      </c>
      <c r="O26">
        <f t="shared" si="34"/>
        <v>0.25800000000000001</v>
      </c>
      <c r="P26">
        <f t="shared" si="34"/>
        <v>0.32200000000000001</v>
      </c>
      <c r="Q26">
        <f t="shared" si="34"/>
        <v>0.41599999999999998</v>
      </c>
      <c r="R26">
        <f t="shared" si="34"/>
        <v>0.73799999999999999</v>
      </c>
      <c r="S26" s="5"/>
      <c r="T26" s="17" t="str">
        <f>A50</f>
        <v>Houston Astros</v>
      </c>
      <c r="U26" s="2" t="str">
        <f t="shared" ref="U26:AK26" si="35">B50</f>
        <v>AL</v>
      </c>
      <c r="V26" s="2">
        <f t="shared" si="35"/>
        <v>49</v>
      </c>
      <c r="W26" s="2">
        <f t="shared" si="35"/>
        <v>1637</v>
      </c>
      <c r="X26" s="2">
        <f t="shared" si="35"/>
        <v>213</v>
      </c>
      <c r="Y26" s="2">
        <f t="shared" si="35"/>
        <v>399</v>
      </c>
      <c r="Z26" s="2">
        <f t="shared" si="35"/>
        <v>82</v>
      </c>
      <c r="AA26" s="2">
        <f t="shared" si="35"/>
        <v>4</v>
      </c>
      <c r="AB26" s="2">
        <f t="shared" si="35"/>
        <v>45</v>
      </c>
      <c r="AC26" s="2">
        <f t="shared" si="35"/>
        <v>204</v>
      </c>
      <c r="AD26" s="2">
        <f t="shared" si="35"/>
        <v>153</v>
      </c>
      <c r="AE26" s="2">
        <f t="shared" si="35"/>
        <v>393</v>
      </c>
      <c r="AF26" s="2">
        <f t="shared" si="35"/>
        <v>28</v>
      </c>
      <c r="AG26" s="2">
        <f t="shared" si="35"/>
        <v>9</v>
      </c>
      <c r="AH26" s="2">
        <f t="shared" si="35"/>
        <v>0.24399999999999999</v>
      </c>
      <c r="AI26" s="2">
        <f t="shared" si="35"/>
        <v>0.315</v>
      </c>
      <c r="AJ26" s="2">
        <f t="shared" si="35"/>
        <v>0.38100000000000001</v>
      </c>
      <c r="AK26" s="19">
        <f t="shared" si="35"/>
        <v>0.69599999999999995</v>
      </c>
      <c r="AL26" s="5"/>
    </row>
    <row r="27" spans="1:38" x14ac:dyDescent="0.3">
      <c r="A27">
        <v>13</v>
      </c>
      <c r="B27" t="s">
        <v>1</v>
      </c>
      <c r="C27">
        <v>51</v>
      </c>
      <c r="D27">
        <v>1681</v>
      </c>
      <c r="E27">
        <v>238</v>
      </c>
      <c r="F27">
        <v>398</v>
      </c>
      <c r="G27">
        <v>62</v>
      </c>
      <c r="H27">
        <v>8</v>
      </c>
      <c r="I27">
        <v>78</v>
      </c>
      <c r="J27">
        <v>230</v>
      </c>
      <c r="K27">
        <v>170</v>
      </c>
      <c r="L27">
        <v>427</v>
      </c>
      <c r="M27">
        <v>37</v>
      </c>
      <c r="N27">
        <v>13</v>
      </c>
      <c r="O27">
        <v>0.23699999999999999</v>
      </c>
      <c r="P27">
        <v>0.31</v>
      </c>
      <c r="Q27">
        <v>0.42199999999999999</v>
      </c>
      <c r="R27">
        <v>0.73199999999999998</v>
      </c>
      <c r="S27" s="5"/>
      <c r="T27" s="17" t="str">
        <f>A52</f>
        <v>Seattle Mariners</v>
      </c>
      <c r="U27" s="2" t="str">
        <f t="shared" ref="U27:AK27" si="36">B52</f>
        <v>AL</v>
      </c>
      <c r="V27" s="2">
        <f t="shared" si="36"/>
        <v>49</v>
      </c>
      <c r="W27" s="2">
        <f t="shared" si="36"/>
        <v>1642</v>
      </c>
      <c r="X27" s="2">
        <f t="shared" si="36"/>
        <v>222</v>
      </c>
      <c r="Y27" s="2">
        <f t="shared" si="36"/>
        <v>378</v>
      </c>
      <c r="Z27" s="2">
        <f t="shared" si="36"/>
        <v>81</v>
      </c>
      <c r="AA27" s="2">
        <f t="shared" si="36"/>
        <v>4</v>
      </c>
      <c r="AB27" s="2">
        <f t="shared" si="36"/>
        <v>53</v>
      </c>
      <c r="AC27" s="2">
        <f t="shared" si="36"/>
        <v>213</v>
      </c>
      <c r="AD27" s="2">
        <f t="shared" si="36"/>
        <v>168</v>
      </c>
      <c r="AE27" s="2">
        <f t="shared" si="36"/>
        <v>474</v>
      </c>
      <c r="AF27" s="2">
        <f t="shared" si="36"/>
        <v>30</v>
      </c>
      <c r="AG27" s="2">
        <f t="shared" si="36"/>
        <v>12</v>
      </c>
      <c r="AH27" s="2">
        <f t="shared" si="36"/>
        <v>0.23</v>
      </c>
      <c r="AI27" s="2">
        <f t="shared" si="36"/>
        <v>0.31</v>
      </c>
      <c r="AJ27" s="2">
        <f t="shared" si="36"/>
        <v>0.38100000000000001</v>
      </c>
      <c r="AK27" s="19">
        <f t="shared" si="36"/>
        <v>0.69099999999999995</v>
      </c>
      <c r="AL27" s="5"/>
    </row>
    <row r="28" spans="1:38" x14ac:dyDescent="0.3">
      <c r="A28" t="s">
        <v>11</v>
      </c>
      <c r="B28" t="str">
        <f>B27</f>
        <v>AL</v>
      </c>
      <c r="C28">
        <f t="shared" ref="C28:R28" si="37">C27</f>
        <v>51</v>
      </c>
      <c r="D28">
        <f t="shared" si="37"/>
        <v>1681</v>
      </c>
      <c r="E28">
        <f t="shared" si="37"/>
        <v>238</v>
      </c>
      <c r="F28">
        <f t="shared" si="37"/>
        <v>398</v>
      </c>
      <c r="G28">
        <f t="shared" si="37"/>
        <v>62</v>
      </c>
      <c r="H28">
        <f t="shared" si="37"/>
        <v>8</v>
      </c>
      <c r="I28">
        <f t="shared" si="37"/>
        <v>78</v>
      </c>
      <c r="J28">
        <f t="shared" si="37"/>
        <v>230</v>
      </c>
      <c r="K28">
        <f t="shared" si="37"/>
        <v>170</v>
      </c>
      <c r="L28">
        <f t="shared" si="37"/>
        <v>427</v>
      </c>
      <c r="M28">
        <f t="shared" si="37"/>
        <v>37</v>
      </c>
      <c r="N28">
        <f t="shared" si="37"/>
        <v>13</v>
      </c>
      <c r="O28">
        <f t="shared" si="37"/>
        <v>0.23699999999999999</v>
      </c>
      <c r="P28">
        <f t="shared" si="37"/>
        <v>0.31</v>
      </c>
      <c r="Q28">
        <f t="shared" si="37"/>
        <v>0.42199999999999999</v>
      </c>
      <c r="R28">
        <f t="shared" si="37"/>
        <v>0.73199999999999998</v>
      </c>
      <c r="S28" s="5"/>
      <c r="T28" s="17" t="str">
        <f>A54</f>
        <v>Chicago White Sox</v>
      </c>
      <c r="U28" s="2" t="str">
        <f t="shared" ref="U28:AK28" si="38">B54</f>
        <v>AL</v>
      </c>
      <c r="V28" s="2">
        <f t="shared" si="38"/>
        <v>51</v>
      </c>
      <c r="W28" s="2">
        <f t="shared" si="38"/>
        <v>1734</v>
      </c>
      <c r="X28" s="2">
        <f t="shared" si="38"/>
        <v>213</v>
      </c>
      <c r="Y28" s="2">
        <f t="shared" si="38"/>
        <v>414</v>
      </c>
      <c r="Z28" s="2">
        <f t="shared" si="38"/>
        <v>90</v>
      </c>
      <c r="AA28" s="2">
        <f t="shared" si="38"/>
        <v>4</v>
      </c>
      <c r="AB28" s="2">
        <f t="shared" si="38"/>
        <v>52</v>
      </c>
      <c r="AC28" s="2">
        <f t="shared" si="38"/>
        <v>209</v>
      </c>
      <c r="AD28" s="2">
        <f t="shared" si="38"/>
        <v>127</v>
      </c>
      <c r="AE28" s="2">
        <f t="shared" si="38"/>
        <v>424</v>
      </c>
      <c r="AF28" s="2">
        <f t="shared" si="38"/>
        <v>29</v>
      </c>
      <c r="AG28" s="2">
        <f t="shared" si="38"/>
        <v>5</v>
      </c>
      <c r="AH28" s="2">
        <f t="shared" si="38"/>
        <v>0.23899999999999999</v>
      </c>
      <c r="AI28" s="2">
        <f t="shared" si="38"/>
        <v>0.29699999999999999</v>
      </c>
      <c r="AJ28" s="2">
        <f t="shared" si="38"/>
        <v>0.38500000000000001</v>
      </c>
      <c r="AK28" s="19">
        <f t="shared" si="38"/>
        <v>0.68200000000000005</v>
      </c>
      <c r="AL28" s="5"/>
    </row>
    <row r="29" spans="1:38" x14ac:dyDescent="0.3">
      <c r="A29">
        <v>14</v>
      </c>
      <c r="B29" t="s">
        <v>3</v>
      </c>
      <c r="C29">
        <v>49</v>
      </c>
      <c r="D29">
        <v>1655</v>
      </c>
      <c r="E29">
        <v>210</v>
      </c>
      <c r="F29">
        <v>398</v>
      </c>
      <c r="G29">
        <v>73</v>
      </c>
      <c r="H29">
        <v>3</v>
      </c>
      <c r="I29">
        <v>67</v>
      </c>
      <c r="J29">
        <v>207</v>
      </c>
      <c r="K29">
        <v>162</v>
      </c>
      <c r="L29">
        <v>479</v>
      </c>
      <c r="M29">
        <v>26</v>
      </c>
      <c r="N29">
        <v>8</v>
      </c>
      <c r="O29">
        <v>0.24</v>
      </c>
      <c r="P29">
        <v>0.316</v>
      </c>
      <c r="Q29">
        <v>0.41</v>
      </c>
      <c r="R29">
        <v>0.72599999999999998</v>
      </c>
      <c r="S29" s="5"/>
      <c r="T29" s="17" t="str">
        <f>A56</f>
        <v>Kansas City Royals</v>
      </c>
      <c r="U29" s="2" t="str">
        <f t="shared" ref="U29:AK29" si="39">B56</f>
        <v>AL</v>
      </c>
      <c r="V29" s="2">
        <f t="shared" si="39"/>
        <v>51</v>
      </c>
      <c r="W29" s="2">
        <f t="shared" si="39"/>
        <v>1703</v>
      </c>
      <c r="X29" s="2">
        <f t="shared" si="39"/>
        <v>198</v>
      </c>
      <c r="Y29" s="2">
        <f t="shared" si="39"/>
        <v>390</v>
      </c>
      <c r="Z29" s="2">
        <f t="shared" si="39"/>
        <v>86</v>
      </c>
      <c r="AA29" s="2">
        <f t="shared" si="39"/>
        <v>12</v>
      </c>
      <c r="AB29" s="2">
        <f t="shared" si="39"/>
        <v>49</v>
      </c>
      <c r="AC29" s="2">
        <f t="shared" si="39"/>
        <v>190</v>
      </c>
      <c r="AD29" s="2">
        <f t="shared" si="39"/>
        <v>137</v>
      </c>
      <c r="AE29" s="2">
        <f t="shared" si="39"/>
        <v>456</v>
      </c>
      <c r="AF29" s="2">
        <f t="shared" si="39"/>
        <v>34</v>
      </c>
      <c r="AG29" s="2">
        <f t="shared" si="39"/>
        <v>7</v>
      </c>
      <c r="AH29" s="2">
        <f t="shared" si="39"/>
        <v>0.22900000000000001</v>
      </c>
      <c r="AI29" s="2">
        <f t="shared" si="39"/>
        <v>0.29199999999999998</v>
      </c>
      <c r="AJ29" s="2">
        <f t="shared" si="39"/>
        <v>0.38</v>
      </c>
      <c r="AK29" s="19">
        <f t="shared" si="39"/>
        <v>0.67200000000000004</v>
      </c>
      <c r="AL29" s="5"/>
    </row>
    <row r="30" spans="1:38" x14ac:dyDescent="0.3">
      <c r="A30" t="s">
        <v>5</v>
      </c>
      <c r="B30" t="str">
        <f>B29</f>
        <v>NL</v>
      </c>
      <c r="C30">
        <f t="shared" ref="C30:R30" si="40">C29</f>
        <v>49</v>
      </c>
      <c r="D30">
        <f t="shared" si="40"/>
        <v>1655</v>
      </c>
      <c r="E30">
        <f t="shared" si="40"/>
        <v>210</v>
      </c>
      <c r="F30">
        <f t="shared" si="40"/>
        <v>398</v>
      </c>
      <c r="G30">
        <f t="shared" si="40"/>
        <v>73</v>
      </c>
      <c r="H30">
        <f t="shared" si="40"/>
        <v>3</v>
      </c>
      <c r="I30">
        <f t="shared" si="40"/>
        <v>67</v>
      </c>
      <c r="J30">
        <f t="shared" si="40"/>
        <v>207</v>
      </c>
      <c r="K30">
        <f t="shared" si="40"/>
        <v>162</v>
      </c>
      <c r="L30">
        <f t="shared" si="40"/>
        <v>479</v>
      </c>
      <c r="M30">
        <f t="shared" si="40"/>
        <v>26</v>
      </c>
      <c r="N30">
        <f t="shared" si="40"/>
        <v>8</v>
      </c>
      <c r="O30">
        <f t="shared" si="40"/>
        <v>0.24</v>
      </c>
      <c r="P30">
        <f t="shared" si="40"/>
        <v>0.316</v>
      </c>
      <c r="Q30">
        <f t="shared" si="40"/>
        <v>0.41</v>
      </c>
      <c r="R30">
        <f t="shared" si="40"/>
        <v>0.72599999999999998</v>
      </c>
      <c r="S30" s="5"/>
      <c r="T30" s="17" t="str">
        <f>A58</f>
        <v>Oakland Athletics</v>
      </c>
      <c r="U30" s="2" t="str">
        <f t="shared" ref="U30:AK30" si="41">B58</f>
        <v>AL</v>
      </c>
      <c r="V30" s="2">
        <f t="shared" si="41"/>
        <v>51</v>
      </c>
      <c r="W30" s="2">
        <f t="shared" si="41"/>
        <v>1706</v>
      </c>
      <c r="X30" s="2">
        <f t="shared" si="41"/>
        <v>181</v>
      </c>
      <c r="Y30" s="2">
        <f t="shared" si="41"/>
        <v>383</v>
      </c>
      <c r="Z30" s="2">
        <f t="shared" si="41"/>
        <v>67</v>
      </c>
      <c r="AA30" s="2">
        <f t="shared" si="41"/>
        <v>6</v>
      </c>
      <c r="AB30" s="2">
        <f t="shared" si="41"/>
        <v>53</v>
      </c>
      <c r="AC30" s="2">
        <f t="shared" si="41"/>
        <v>175</v>
      </c>
      <c r="AD30" s="2">
        <f t="shared" si="41"/>
        <v>166</v>
      </c>
      <c r="AE30" s="2">
        <f t="shared" si="41"/>
        <v>481</v>
      </c>
      <c r="AF30" s="2">
        <f t="shared" si="41"/>
        <v>49</v>
      </c>
      <c r="AG30" s="2">
        <f t="shared" si="41"/>
        <v>11</v>
      </c>
      <c r="AH30" s="2">
        <f t="shared" si="41"/>
        <v>0.22500000000000001</v>
      </c>
      <c r="AI30" s="2">
        <f t="shared" si="41"/>
        <v>0.30199999999999999</v>
      </c>
      <c r="AJ30" s="2">
        <f t="shared" si="41"/>
        <v>0.36399999999999999</v>
      </c>
      <c r="AK30" s="19">
        <f t="shared" si="41"/>
        <v>0.66600000000000004</v>
      </c>
      <c r="AL30" s="5"/>
    </row>
    <row r="31" spans="1:38" x14ac:dyDescent="0.3">
      <c r="A31">
        <v>15</v>
      </c>
      <c r="B31" t="s">
        <v>1</v>
      </c>
      <c r="C31">
        <v>50</v>
      </c>
      <c r="D31">
        <v>1685</v>
      </c>
      <c r="E31">
        <v>230</v>
      </c>
      <c r="F31">
        <v>387</v>
      </c>
      <c r="G31">
        <v>80</v>
      </c>
      <c r="H31">
        <v>7</v>
      </c>
      <c r="I31">
        <v>68</v>
      </c>
      <c r="J31">
        <v>217</v>
      </c>
      <c r="K31">
        <v>172</v>
      </c>
      <c r="L31">
        <v>496</v>
      </c>
      <c r="M31">
        <v>21</v>
      </c>
      <c r="N31">
        <v>6</v>
      </c>
      <c r="O31">
        <v>0.23</v>
      </c>
      <c r="P31">
        <v>0.31</v>
      </c>
      <c r="Q31">
        <v>0.40699999999999997</v>
      </c>
      <c r="R31">
        <v>0.71699999999999997</v>
      </c>
      <c r="S31" s="5"/>
      <c r="T31" s="17" t="str">
        <f>A60</f>
        <v>Detroit Tigers</v>
      </c>
      <c r="U31" s="2" t="str">
        <f t="shared" ref="U31:AK31" si="42">B60</f>
        <v>AL</v>
      </c>
      <c r="V31" s="2">
        <f t="shared" si="42"/>
        <v>47</v>
      </c>
      <c r="W31" s="2">
        <f t="shared" si="42"/>
        <v>1607</v>
      </c>
      <c r="X31" s="2">
        <f t="shared" si="42"/>
        <v>172</v>
      </c>
      <c r="Y31" s="2">
        <f t="shared" si="42"/>
        <v>369</v>
      </c>
      <c r="Z31" s="2">
        <f t="shared" si="42"/>
        <v>75</v>
      </c>
      <c r="AA31" s="2">
        <f t="shared" si="42"/>
        <v>2</v>
      </c>
      <c r="AB31" s="2">
        <f t="shared" si="42"/>
        <v>40</v>
      </c>
      <c r="AC31" s="2">
        <f t="shared" si="42"/>
        <v>167</v>
      </c>
      <c r="AD31" s="2">
        <f t="shared" si="42"/>
        <v>151</v>
      </c>
      <c r="AE31" s="2">
        <f t="shared" si="42"/>
        <v>426</v>
      </c>
      <c r="AF31" s="2">
        <f t="shared" si="42"/>
        <v>25</v>
      </c>
      <c r="AG31" s="2">
        <f t="shared" si="42"/>
        <v>8</v>
      </c>
      <c r="AH31" s="2">
        <f t="shared" si="42"/>
        <v>0.23</v>
      </c>
      <c r="AI31" s="2">
        <f t="shared" si="42"/>
        <v>0.3</v>
      </c>
      <c r="AJ31" s="2">
        <f t="shared" si="42"/>
        <v>0.35299999999999998</v>
      </c>
      <c r="AK31" s="19">
        <f t="shared" si="42"/>
        <v>0.65300000000000002</v>
      </c>
      <c r="AL31" s="5"/>
    </row>
    <row r="32" spans="1:38" ht="15" thickBot="1" x14ac:dyDescent="0.35">
      <c r="A32" t="s">
        <v>27</v>
      </c>
      <c r="B32" t="str">
        <f>B31</f>
        <v>AL</v>
      </c>
      <c r="C32">
        <f t="shared" ref="C32:R32" si="43">C31</f>
        <v>50</v>
      </c>
      <c r="D32">
        <f t="shared" si="43"/>
        <v>1685</v>
      </c>
      <c r="E32">
        <f t="shared" si="43"/>
        <v>230</v>
      </c>
      <c r="F32">
        <f t="shared" si="43"/>
        <v>387</v>
      </c>
      <c r="G32">
        <f t="shared" si="43"/>
        <v>80</v>
      </c>
      <c r="H32">
        <f t="shared" si="43"/>
        <v>7</v>
      </c>
      <c r="I32">
        <f t="shared" si="43"/>
        <v>68</v>
      </c>
      <c r="J32">
        <f t="shared" si="43"/>
        <v>217</v>
      </c>
      <c r="K32">
        <f t="shared" si="43"/>
        <v>172</v>
      </c>
      <c r="L32">
        <f t="shared" si="43"/>
        <v>496</v>
      </c>
      <c r="M32">
        <f t="shared" si="43"/>
        <v>21</v>
      </c>
      <c r="N32">
        <f t="shared" si="43"/>
        <v>6</v>
      </c>
      <c r="O32">
        <f t="shared" si="43"/>
        <v>0.23</v>
      </c>
      <c r="P32">
        <f t="shared" si="43"/>
        <v>0.31</v>
      </c>
      <c r="Q32">
        <f t="shared" si="43"/>
        <v>0.40699999999999997</v>
      </c>
      <c r="R32">
        <f t="shared" si="43"/>
        <v>0.71699999999999997</v>
      </c>
      <c r="S32" s="5"/>
      <c r="T32" s="18" t="str">
        <f>A62</f>
        <v>Cleveland Guardians</v>
      </c>
      <c r="U32" s="20" t="str">
        <f t="shared" ref="U32:AK32" si="44">B62</f>
        <v>AL</v>
      </c>
      <c r="V32" s="20">
        <f t="shared" si="44"/>
        <v>49</v>
      </c>
      <c r="W32" s="20">
        <f t="shared" si="44"/>
        <v>1616</v>
      </c>
      <c r="X32" s="20">
        <f t="shared" si="44"/>
        <v>169</v>
      </c>
      <c r="Y32" s="20">
        <f t="shared" si="44"/>
        <v>363</v>
      </c>
      <c r="Z32" s="20">
        <f t="shared" si="44"/>
        <v>77</v>
      </c>
      <c r="AA32" s="20">
        <f t="shared" si="44"/>
        <v>10</v>
      </c>
      <c r="AB32" s="20">
        <f t="shared" si="44"/>
        <v>30</v>
      </c>
      <c r="AC32" s="20">
        <f t="shared" si="44"/>
        <v>155</v>
      </c>
      <c r="AD32" s="20">
        <f t="shared" si="44"/>
        <v>158</v>
      </c>
      <c r="AE32" s="20">
        <f t="shared" si="44"/>
        <v>351</v>
      </c>
      <c r="AF32" s="20">
        <f t="shared" si="44"/>
        <v>46</v>
      </c>
      <c r="AG32" s="20">
        <f t="shared" si="44"/>
        <v>8</v>
      </c>
      <c r="AH32" s="20">
        <f t="shared" si="44"/>
        <v>0.22500000000000001</v>
      </c>
      <c r="AI32" s="20">
        <f t="shared" si="44"/>
        <v>0.29699999999999999</v>
      </c>
      <c r="AJ32" s="20">
        <f t="shared" si="44"/>
        <v>0.34</v>
      </c>
      <c r="AK32" s="21">
        <f t="shared" si="44"/>
        <v>0.63700000000000001</v>
      </c>
      <c r="AL32" s="5"/>
    </row>
    <row r="33" spans="1:38" ht="16.2" thickBot="1" x14ac:dyDescent="0.35">
      <c r="A33">
        <v>15</v>
      </c>
      <c r="B33" t="s">
        <v>3</v>
      </c>
      <c r="C33">
        <v>49</v>
      </c>
      <c r="D33">
        <v>1616</v>
      </c>
      <c r="E33">
        <v>212</v>
      </c>
      <c r="F33">
        <v>394</v>
      </c>
      <c r="G33">
        <v>93</v>
      </c>
      <c r="H33">
        <v>10</v>
      </c>
      <c r="I33">
        <v>43</v>
      </c>
      <c r="J33">
        <v>202</v>
      </c>
      <c r="K33">
        <v>181</v>
      </c>
      <c r="L33">
        <v>406</v>
      </c>
      <c r="M33">
        <v>53</v>
      </c>
      <c r="N33">
        <v>19</v>
      </c>
      <c r="O33">
        <v>0.24399999999999999</v>
      </c>
      <c r="P33">
        <v>0.32300000000000001</v>
      </c>
      <c r="Q33">
        <v>0.39400000000000002</v>
      </c>
      <c r="R33">
        <v>0.71699999999999997</v>
      </c>
      <c r="S33" s="5"/>
      <c r="W33" s="151" t="s">
        <v>126</v>
      </c>
      <c r="X33" s="151" t="s">
        <v>124</v>
      </c>
      <c r="Y33" s="151" t="s">
        <v>125</v>
      </c>
      <c r="Z33" s="151" t="s">
        <v>127</v>
      </c>
      <c r="AA33" s="151" t="s">
        <v>128</v>
      </c>
      <c r="AB33" s="151" t="s">
        <v>129</v>
      </c>
      <c r="AC33" s="151"/>
      <c r="AD33" s="151" t="s">
        <v>130</v>
      </c>
      <c r="AE33" s="151" t="s">
        <v>131</v>
      </c>
      <c r="AF33" s="151" t="s">
        <v>132</v>
      </c>
      <c r="AG33" s="151" t="s">
        <v>133</v>
      </c>
      <c r="AH33" s="151" t="s">
        <v>134</v>
      </c>
      <c r="AL33" s="5"/>
    </row>
    <row r="34" spans="1:38" ht="15" thickBot="1" x14ac:dyDescent="0.35">
      <c r="A34" t="s">
        <v>13</v>
      </c>
      <c r="B34" t="str">
        <f>B33</f>
        <v>NL</v>
      </c>
      <c r="C34">
        <f t="shared" ref="C34:R34" si="45">C33</f>
        <v>49</v>
      </c>
      <c r="D34">
        <f t="shared" si="45"/>
        <v>1616</v>
      </c>
      <c r="E34">
        <f t="shared" si="45"/>
        <v>212</v>
      </c>
      <c r="F34">
        <f t="shared" si="45"/>
        <v>394</v>
      </c>
      <c r="G34">
        <f t="shared" si="45"/>
        <v>93</v>
      </c>
      <c r="H34">
        <f t="shared" si="45"/>
        <v>10</v>
      </c>
      <c r="I34">
        <f t="shared" si="45"/>
        <v>43</v>
      </c>
      <c r="J34">
        <f t="shared" si="45"/>
        <v>202</v>
      </c>
      <c r="K34">
        <f t="shared" si="45"/>
        <v>181</v>
      </c>
      <c r="L34">
        <f t="shared" si="45"/>
        <v>406</v>
      </c>
      <c r="M34">
        <f t="shared" si="45"/>
        <v>53</v>
      </c>
      <c r="N34">
        <f t="shared" si="45"/>
        <v>19</v>
      </c>
      <c r="O34">
        <f t="shared" si="45"/>
        <v>0.24399999999999999</v>
      </c>
      <c r="P34">
        <f t="shared" si="45"/>
        <v>0.32300000000000001</v>
      </c>
      <c r="Q34">
        <f t="shared" si="45"/>
        <v>0.39400000000000002</v>
      </c>
      <c r="R34">
        <f t="shared" si="45"/>
        <v>0.71699999999999997</v>
      </c>
      <c r="S34" s="5"/>
      <c r="T34" s="71" t="s">
        <v>135</v>
      </c>
      <c r="U34" s="72">
        <v>2</v>
      </c>
      <c r="V34" s="73">
        <v>3</v>
      </c>
      <c r="W34" s="74">
        <v>4</v>
      </c>
      <c r="X34" s="75">
        <v>5</v>
      </c>
      <c r="Y34" s="76">
        <v>6</v>
      </c>
      <c r="Z34" s="77">
        <v>7</v>
      </c>
      <c r="AA34" s="78">
        <v>8</v>
      </c>
      <c r="AB34" s="79">
        <v>9</v>
      </c>
      <c r="AC34" s="80">
        <v>10</v>
      </c>
      <c r="AD34" s="81">
        <v>11</v>
      </c>
      <c r="AE34" s="82">
        <v>12</v>
      </c>
      <c r="AF34" s="83">
        <v>13</v>
      </c>
      <c r="AG34" s="84">
        <v>14</v>
      </c>
      <c r="AH34" s="85">
        <v>15</v>
      </c>
      <c r="AI34" s="43">
        <v>16</v>
      </c>
      <c r="AJ34" s="72">
        <v>17</v>
      </c>
      <c r="AK34" s="86">
        <v>18</v>
      </c>
      <c r="AL34" s="5"/>
    </row>
    <row r="35" spans="1:38" x14ac:dyDescent="0.3">
      <c r="A35">
        <v>17</v>
      </c>
      <c r="B35" t="s">
        <v>3</v>
      </c>
      <c r="C35">
        <v>50</v>
      </c>
      <c r="D35">
        <v>1650</v>
      </c>
      <c r="E35">
        <v>211</v>
      </c>
      <c r="F35">
        <v>397</v>
      </c>
      <c r="G35">
        <v>68</v>
      </c>
      <c r="H35">
        <v>3</v>
      </c>
      <c r="I35">
        <v>56</v>
      </c>
      <c r="J35">
        <v>203</v>
      </c>
      <c r="K35">
        <v>174</v>
      </c>
      <c r="L35">
        <v>372</v>
      </c>
      <c r="M35">
        <v>32</v>
      </c>
      <c r="N35">
        <v>6</v>
      </c>
      <c r="O35">
        <v>0.24099999999999999</v>
      </c>
      <c r="P35">
        <v>0.32100000000000001</v>
      </c>
      <c r="Q35">
        <v>0.38700000000000001</v>
      </c>
      <c r="R35">
        <v>0.70799999999999996</v>
      </c>
      <c r="S35" s="5"/>
      <c r="T35" s="22" t="str">
        <f>T2</f>
        <v>Team</v>
      </c>
      <c r="U35" s="23" t="str">
        <f t="shared" ref="U35:AK35" si="46">U2</f>
        <v>League</v>
      </c>
      <c r="V35" s="23" t="str">
        <f t="shared" si="46"/>
        <v>GP</v>
      </c>
      <c r="W35" s="23" t="str">
        <f t="shared" si="46"/>
        <v>AB</v>
      </c>
      <c r="X35" s="23" t="str">
        <f t="shared" si="46"/>
        <v>R</v>
      </c>
      <c r="Y35" s="23" t="str">
        <f t="shared" si="46"/>
        <v>H</v>
      </c>
      <c r="Z35" s="23" t="str">
        <f t="shared" si="46"/>
        <v>2B</v>
      </c>
      <c r="AA35" s="23" t="str">
        <f t="shared" si="46"/>
        <v>3B</v>
      </c>
      <c r="AB35" s="23" t="str">
        <f t="shared" si="46"/>
        <v>HR</v>
      </c>
      <c r="AC35" s="23" t="str">
        <f t="shared" si="46"/>
        <v>RBI</v>
      </c>
      <c r="AD35" s="23" t="str">
        <f t="shared" si="46"/>
        <v>BB</v>
      </c>
      <c r="AE35" s="23" t="str">
        <f t="shared" si="46"/>
        <v>SO</v>
      </c>
      <c r="AF35" s="23" t="str">
        <f t="shared" si="46"/>
        <v>SB</v>
      </c>
      <c r="AG35" s="23" t="str">
        <f t="shared" si="46"/>
        <v>CS</v>
      </c>
      <c r="AH35" s="23" t="str">
        <f t="shared" si="46"/>
        <v>AVG</v>
      </c>
      <c r="AI35" s="23" t="str">
        <f t="shared" si="46"/>
        <v>OBP</v>
      </c>
      <c r="AJ35" s="23" t="str">
        <f t="shared" si="46"/>
        <v>SLG</v>
      </c>
      <c r="AK35" s="24" t="str">
        <f t="shared" si="46"/>
        <v>OPS</v>
      </c>
      <c r="AL35" s="5"/>
    </row>
    <row r="36" spans="1:38" x14ac:dyDescent="0.3">
      <c r="A36" t="s">
        <v>24</v>
      </c>
      <c r="B36" t="str">
        <f>B35</f>
        <v>NL</v>
      </c>
      <c r="C36">
        <f t="shared" ref="C36:R36" si="47">C35</f>
        <v>50</v>
      </c>
      <c r="D36">
        <f t="shared" si="47"/>
        <v>1650</v>
      </c>
      <c r="E36">
        <f t="shared" si="47"/>
        <v>211</v>
      </c>
      <c r="F36">
        <f t="shared" si="47"/>
        <v>397</v>
      </c>
      <c r="G36">
        <f t="shared" si="47"/>
        <v>68</v>
      </c>
      <c r="H36">
        <f t="shared" si="47"/>
        <v>3</v>
      </c>
      <c r="I36">
        <f t="shared" si="47"/>
        <v>56</v>
      </c>
      <c r="J36">
        <f t="shared" si="47"/>
        <v>203</v>
      </c>
      <c r="K36">
        <f t="shared" si="47"/>
        <v>174</v>
      </c>
      <c r="L36">
        <f t="shared" si="47"/>
        <v>372</v>
      </c>
      <c r="M36">
        <f t="shared" si="47"/>
        <v>32</v>
      </c>
      <c r="N36">
        <f t="shared" si="47"/>
        <v>6</v>
      </c>
      <c r="O36">
        <f t="shared" si="47"/>
        <v>0.24099999999999999</v>
      </c>
      <c r="P36">
        <f t="shared" si="47"/>
        <v>0.32100000000000001</v>
      </c>
      <c r="Q36">
        <f t="shared" si="47"/>
        <v>0.38700000000000001</v>
      </c>
      <c r="R36">
        <f t="shared" si="47"/>
        <v>0.70799999999999996</v>
      </c>
      <c r="S36" s="5"/>
      <c r="T36" s="17" t="str">
        <f t="shared" ref="T36:V64" si="48">T3</f>
        <v>Tampa Bay Rays</v>
      </c>
      <c r="U36" s="2" t="str">
        <f t="shared" si="48"/>
        <v>AL</v>
      </c>
      <c r="V36" s="2">
        <f t="shared" si="48"/>
        <v>52</v>
      </c>
      <c r="W36" s="177">
        <f>W3/$V3</f>
        <v>33.78846153846154</v>
      </c>
      <c r="X36" s="177">
        <f>X3/$V3</f>
        <v>5.9615384615384617</v>
      </c>
      <c r="Y36" s="177">
        <f t="shared" ref="Y36:AB36" si="49">Y3/$V3</f>
        <v>9.0961538461538467</v>
      </c>
      <c r="Z36" s="177">
        <f t="shared" si="49"/>
        <v>1.8076923076923077</v>
      </c>
      <c r="AA36" s="177">
        <f t="shared" si="49"/>
        <v>0.15384615384615385</v>
      </c>
      <c r="AB36" s="177">
        <f t="shared" si="49"/>
        <v>1.8653846153846154</v>
      </c>
      <c r="AC36" s="177">
        <f>AC3/$V3</f>
        <v>5.7115384615384617</v>
      </c>
      <c r="AD36" s="177">
        <f>AD3/$V3</f>
        <v>3.4423076923076925</v>
      </c>
      <c r="AE36" s="177">
        <f>AE3/$V3</f>
        <v>8.384615384615385</v>
      </c>
      <c r="AF36" s="30">
        <f>AF3/$V3</f>
        <v>1.1923076923076923</v>
      </c>
      <c r="AG36" s="30">
        <f>AG3/$V3</f>
        <v>0.30769230769230771</v>
      </c>
      <c r="AH36" s="26">
        <f>AH3</f>
        <v>0.26900000000000002</v>
      </c>
      <c r="AI36" s="26">
        <f>AI3</f>
        <v>0.34499999999999997</v>
      </c>
      <c r="AJ36" s="26">
        <f>AJ3</f>
        <v>0.497</v>
      </c>
      <c r="AK36" s="27">
        <f>AK3</f>
        <v>0.84199999999999997</v>
      </c>
      <c r="AL36" s="5"/>
    </row>
    <row r="37" spans="1:38" x14ac:dyDescent="0.3">
      <c r="A37">
        <v>18</v>
      </c>
      <c r="B37" t="s">
        <v>3</v>
      </c>
      <c r="C37">
        <v>51</v>
      </c>
      <c r="D37">
        <v>1683</v>
      </c>
      <c r="E37">
        <v>220</v>
      </c>
      <c r="F37">
        <v>427</v>
      </c>
      <c r="G37">
        <v>108</v>
      </c>
      <c r="H37">
        <v>5</v>
      </c>
      <c r="I37">
        <v>39</v>
      </c>
      <c r="J37">
        <v>210</v>
      </c>
      <c r="K37">
        <v>142</v>
      </c>
      <c r="L37">
        <v>427</v>
      </c>
      <c r="M37">
        <v>16</v>
      </c>
      <c r="N37">
        <v>5</v>
      </c>
      <c r="O37">
        <v>0.254</v>
      </c>
      <c r="P37">
        <v>0.314</v>
      </c>
      <c r="Q37">
        <v>0.39300000000000002</v>
      </c>
      <c r="R37">
        <v>0.70699999999999996</v>
      </c>
      <c r="S37" s="5"/>
      <c r="T37" s="17" t="str">
        <f t="shared" si="48"/>
        <v>Texas Rangers</v>
      </c>
      <c r="U37" s="2" t="str">
        <f t="shared" si="48"/>
        <v>AL</v>
      </c>
      <c r="V37" s="2">
        <f t="shared" si="48"/>
        <v>49</v>
      </c>
      <c r="W37" s="177">
        <f t="shared" ref="W37:AG37" si="50">W4/$V4</f>
        <v>34.632653061224488</v>
      </c>
      <c r="X37" s="177">
        <f t="shared" si="50"/>
        <v>6.3265306122448983</v>
      </c>
      <c r="Y37" s="177">
        <f t="shared" si="50"/>
        <v>9.3469387755102034</v>
      </c>
      <c r="Z37" s="177">
        <f t="shared" si="50"/>
        <v>2</v>
      </c>
      <c r="AA37" s="177">
        <f t="shared" si="50"/>
        <v>0.12244897959183673</v>
      </c>
      <c r="AB37" s="177">
        <f t="shared" si="50"/>
        <v>1.346938775510204</v>
      </c>
      <c r="AC37" s="177">
        <f t="shared" si="50"/>
        <v>6.0816326530612246</v>
      </c>
      <c r="AD37" s="177">
        <f t="shared" si="50"/>
        <v>3.3469387755102042</v>
      </c>
      <c r="AE37" s="177">
        <f t="shared" si="50"/>
        <v>9.0204081632653068</v>
      </c>
      <c r="AF37" s="30">
        <f t="shared" si="50"/>
        <v>0.63265306122448983</v>
      </c>
      <c r="AG37" s="30">
        <f t="shared" si="50"/>
        <v>0.18367346938775511</v>
      </c>
      <c r="AH37" s="26">
        <f t="shared" ref="AH37:AK37" si="51">AH4</f>
        <v>0.27</v>
      </c>
      <c r="AI37" s="26">
        <f t="shared" si="51"/>
        <v>0.33900000000000002</v>
      </c>
      <c r="AJ37" s="26">
        <f t="shared" si="51"/>
        <v>0.45100000000000001</v>
      </c>
      <c r="AK37" s="27">
        <f t="shared" si="51"/>
        <v>0.79</v>
      </c>
      <c r="AL37" s="5"/>
    </row>
    <row r="38" spans="1:38" x14ac:dyDescent="0.3">
      <c r="A38" t="s">
        <v>21</v>
      </c>
      <c r="B38" t="str">
        <f>B37</f>
        <v>NL</v>
      </c>
      <c r="C38">
        <f t="shared" ref="C38:R38" si="52">C37</f>
        <v>51</v>
      </c>
      <c r="D38">
        <f t="shared" si="52"/>
        <v>1683</v>
      </c>
      <c r="E38">
        <f t="shared" si="52"/>
        <v>220</v>
      </c>
      <c r="F38">
        <f t="shared" si="52"/>
        <v>427</v>
      </c>
      <c r="G38">
        <f t="shared" si="52"/>
        <v>108</v>
      </c>
      <c r="H38">
        <f t="shared" si="52"/>
        <v>5</v>
      </c>
      <c r="I38">
        <f t="shared" si="52"/>
        <v>39</v>
      </c>
      <c r="J38">
        <f t="shared" si="52"/>
        <v>210</v>
      </c>
      <c r="K38">
        <f t="shared" si="52"/>
        <v>142</v>
      </c>
      <c r="L38">
        <f t="shared" si="52"/>
        <v>427</v>
      </c>
      <c r="M38">
        <f t="shared" si="52"/>
        <v>16</v>
      </c>
      <c r="N38">
        <f t="shared" si="52"/>
        <v>5</v>
      </c>
      <c r="O38">
        <f t="shared" si="52"/>
        <v>0.254</v>
      </c>
      <c r="P38">
        <f t="shared" si="52"/>
        <v>0.314</v>
      </c>
      <c r="Q38">
        <f t="shared" si="52"/>
        <v>0.39300000000000002</v>
      </c>
      <c r="R38">
        <f t="shared" si="52"/>
        <v>0.70699999999999996</v>
      </c>
      <c r="S38" s="5"/>
      <c r="T38" s="17" t="str">
        <f t="shared" si="48"/>
        <v>Atlanta Braves</v>
      </c>
      <c r="U38" s="2" t="str">
        <f t="shared" si="48"/>
        <v>NL</v>
      </c>
      <c r="V38" s="2">
        <f t="shared" si="48"/>
        <v>49</v>
      </c>
      <c r="W38" s="177">
        <f t="shared" ref="W38:AG38" si="53">W5/$V5</f>
        <v>33.795918367346935</v>
      </c>
      <c r="X38" s="177">
        <f t="shared" si="53"/>
        <v>5.1224489795918364</v>
      </c>
      <c r="Y38" s="177">
        <f t="shared" si="53"/>
        <v>8.591836734693878</v>
      </c>
      <c r="Z38" s="177">
        <f t="shared" si="53"/>
        <v>1.7959183673469388</v>
      </c>
      <c r="AA38" s="177">
        <f t="shared" si="53"/>
        <v>6.1224489795918366E-2</v>
      </c>
      <c r="AB38" s="177">
        <f t="shared" si="53"/>
        <v>1.6326530612244898</v>
      </c>
      <c r="AC38" s="177">
        <f t="shared" si="53"/>
        <v>4.9387755102040813</v>
      </c>
      <c r="AD38" s="177">
        <f t="shared" si="53"/>
        <v>3.510204081632653</v>
      </c>
      <c r="AE38" s="177">
        <f t="shared" si="53"/>
        <v>8.816326530612244</v>
      </c>
      <c r="AF38" s="30">
        <f t="shared" si="53"/>
        <v>0.65306122448979587</v>
      </c>
      <c r="AG38" s="30">
        <f t="shared" si="53"/>
        <v>0.10204081632653061</v>
      </c>
      <c r="AH38" s="26">
        <f t="shared" ref="AH38:AK38" si="54">AH5</f>
        <v>0.254</v>
      </c>
      <c r="AI38" s="26">
        <f t="shared" si="54"/>
        <v>0.33100000000000002</v>
      </c>
      <c r="AJ38" s="26">
        <f t="shared" si="54"/>
        <v>0.45600000000000002</v>
      </c>
      <c r="AK38" s="27">
        <f t="shared" si="54"/>
        <v>0.78700000000000003</v>
      </c>
      <c r="AL38" s="5"/>
    </row>
    <row r="39" spans="1:38" x14ac:dyDescent="0.3">
      <c r="A39">
        <v>18</v>
      </c>
      <c r="B39" t="s">
        <v>3</v>
      </c>
      <c r="C39">
        <v>49</v>
      </c>
      <c r="D39">
        <v>1664</v>
      </c>
      <c r="E39">
        <v>202</v>
      </c>
      <c r="F39">
        <v>439</v>
      </c>
      <c r="G39">
        <v>76</v>
      </c>
      <c r="H39">
        <v>7</v>
      </c>
      <c r="I39">
        <v>36</v>
      </c>
      <c r="J39">
        <v>193</v>
      </c>
      <c r="K39">
        <v>129</v>
      </c>
      <c r="L39">
        <v>348</v>
      </c>
      <c r="M39">
        <v>26</v>
      </c>
      <c r="N39">
        <v>8</v>
      </c>
      <c r="O39">
        <v>0.26400000000000001</v>
      </c>
      <c r="P39">
        <v>0.32400000000000001</v>
      </c>
      <c r="Q39">
        <v>0.38300000000000001</v>
      </c>
      <c r="R39">
        <v>0.70699999999999996</v>
      </c>
      <c r="S39" s="5"/>
      <c r="T39" s="17" t="str">
        <f t="shared" si="48"/>
        <v>Los Angeles Dodgers</v>
      </c>
      <c r="U39" s="2" t="str">
        <f t="shared" si="48"/>
        <v>NL</v>
      </c>
      <c r="V39" s="2">
        <f t="shared" si="48"/>
        <v>51</v>
      </c>
      <c r="W39" s="177">
        <f t="shared" ref="W39:AG39" si="55">W6/$V6</f>
        <v>33.450980392156865</v>
      </c>
      <c r="X39" s="177">
        <f t="shared" si="55"/>
        <v>5.4705882352941178</v>
      </c>
      <c r="Y39" s="177">
        <f t="shared" si="55"/>
        <v>7.9019607843137258</v>
      </c>
      <c r="Z39" s="177">
        <f t="shared" si="55"/>
        <v>1.9019607843137254</v>
      </c>
      <c r="AA39" s="177">
        <f t="shared" si="55"/>
        <v>0.21568627450980393</v>
      </c>
      <c r="AB39" s="177">
        <f t="shared" si="55"/>
        <v>1.607843137254902</v>
      </c>
      <c r="AC39" s="177">
        <f t="shared" si="55"/>
        <v>5.333333333333333</v>
      </c>
      <c r="AD39" s="177">
        <f t="shared" si="55"/>
        <v>4.3137254901960782</v>
      </c>
      <c r="AE39" s="177">
        <f t="shared" si="55"/>
        <v>8.9607843137254903</v>
      </c>
      <c r="AF39" s="30">
        <f t="shared" si="55"/>
        <v>0.52941176470588236</v>
      </c>
      <c r="AG39" s="30">
        <f t="shared" si="55"/>
        <v>0.15686274509803921</v>
      </c>
      <c r="AH39" s="26">
        <f t="shared" ref="AH39:AK39" si="56">AH6</f>
        <v>0.23599999999999999</v>
      </c>
      <c r="AI39" s="26">
        <f t="shared" si="56"/>
        <v>0.32600000000000001</v>
      </c>
      <c r="AJ39" s="26">
        <f t="shared" si="56"/>
        <v>0.45</v>
      </c>
      <c r="AK39" s="27">
        <f t="shared" si="56"/>
        <v>0.77600000000000002</v>
      </c>
      <c r="AL39" s="5"/>
    </row>
    <row r="40" spans="1:38" x14ac:dyDescent="0.3">
      <c r="A40" t="s">
        <v>19</v>
      </c>
      <c r="B40" t="str">
        <f>B39</f>
        <v>NL</v>
      </c>
      <c r="C40">
        <f t="shared" ref="C40:R40" si="57">C39</f>
        <v>49</v>
      </c>
      <c r="D40">
        <f t="shared" si="57"/>
        <v>1664</v>
      </c>
      <c r="E40">
        <f t="shared" si="57"/>
        <v>202</v>
      </c>
      <c r="F40">
        <f t="shared" si="57"/>
        <v>439</v>
      </c>
      <c r="G40">
        <f t="shared" si="57"/>
        <v>76</v>
      </c>
      <c r="H40">
        <f t="shared" si="57"/>
        <v>7</v>
      </c>
      <c r="I40">
        <f t="shared" si="57"/>
        <v>36</v>
      </c>
      <c r="J40">
        <f t="shared" si="57"/>
        <v>193</v>
      </c>
      <c r="K40">
        <f t="shared" si="57"/>
        <v>129</v>
      </c>
      <c r="L40">
        <f t="shared" si="57"/>
        <v>348</v>
      </c>
      <c r="M40">
        <f t="shared" si="57"/>
        <v>26</v>
      </c>
      <c r="N40">
        <f t="shared" si="57"/>
        <v>8</v>
      </c>
      <c r="O40">
        <f t="shared" si="57"/>
        <v>0.26400000000000001</v>
      </c>
      <c r="P40">
        <f t="shared" si="57"/>
        <v>0.32400000000000001</v>
      </c>
      <c r="Q40">
        <f t="shared" si="57"/>
        <v>0.38300000000000001</v>
      </c>
      <c r="R40">
        <f t="shared" si="57"/>
        <v>0.70699999999999996</v>
      </c>
      <c r="S40" s="5"/>
      <c r="T40" s="17" t="str">
        <f t="shared" si="48"/>
        <v>St. Louis Cardinals</v>
      </c>
      <c r="U40" s="2" t="str">
        <f t="shared" si="48"/>
        <v>NL</v>
      </c>
      <c r="V40" s="2">
        <f t="shared" si="48"/>
        <v>52</v>
      </c>
      <c r="W40" s="177">
        <f t="shared" ref="W40:AG40" si="58">W7/$V7</f>
        <v>34.519230769230766</v>
      </c>
      <c r="X40" s="177">
        <f t="shared" si="58"/>
        <v>5.0576923076923075</v>
      </c>
      <c r="Y40" s="177">
        <f t="shared" si="58"/>
        <v>9</v>
      </c>
      <c r="Z40" s="177">
        <f t="shared" si="58"/>
        <v>1.8076923076923077</v>
      </c>
      <c r="AA40" s="177">
        <f t="shared" si="58"/>
        <v>9.6153846153846159E-2</v>
      </c>
      <c r="AB40" s="177">
        <f t="shared" si="58"/>
        <v>1.3846153846153846</v>
      </c>
      <c r="AC40" s="177">
        <f t="shared" si="58"/>
        <v>4.884615384615385</v>
      </c>
      <c r="AD40" s="177">
        <f t="shared" si="58"/>
        <v>3.6153846153846154</v>
      </c>
      <c r="AE40" s="177">
        <f t="shared" si="58"/>
        <v>8.2884615384615383</v>
      </c>
      <c r="AF40" s="30">
        <f t="shared" si="58"/>
        <v>0.80769230769230771</v>
      </c>
      <c r="AG40" s="30">
        <f t="shared" si="58"/>
        <v>0.17307692307692307</v>
      </c>
      <c r="AH40" s="26">
        <f t="shared" ref="AH40:AK40" si="59">AH7</f>
        <v>0.26100000000000001</v>
      </c>
      <c r="AI40" s="26">
        <f t="shared" si="59"/>
        <v>0.33400000000000002</v>
      </c>
      <c r="AJ40" s="26">
        <f t="shared" si="59"/>
        <v>0.439</v>
      </c>
      <c r="AK40" s="27">
        <f t="shared" si="59"/>
        <v>0.77300000000000002</v>
      </c>
      <c r="AL40" s="5"/>
    </row>
    <row r="41" spans="1:38" x14ac:dyDescent="0.3">
      <c r="A41">
        <v>20</v>
      </c>
      <c r="B41" t="s">
        <v>3</v>
      </c>
      <c r="C41">
        <v>49</v>
      </c>
      <c r="D41">
        <v>1604</v>
      </c>
      <c r="E41">
        <v>205</v>
      </c>
      <c r="F41">
        <v>381</v>
      </c>
      <c r="G41">
        <v>61</v>
      </c>
      <c r="H41">
        <v>2</v>
      </c>
      <c r="I41">
        <v>62</v>
      </c>
      <c r="J41">
        <v>196</v>
      </c>
      <c r="K41">
        <v>163</v>
      </c>
      <c r="L41">
        <v>449</v>
      </c>
      <c r="M41">
        <v>38</v>
      </c>
      <c r="N41">
        <v>9</v>
      </c>
      <c r="O41">
        <v>0.23799999999999999</v>
      </c>
      <c r="P41">
        <v>0.311</v>
      </c>
      <c r="Q41">
        <v>0.39400000000000002</v>
      </c>
      <c r="R41">
        <v>0.70499999999999996</v>
      </c>
      <c r="S41" s="5"/>
      <c r="T41" s="17" t="str">
        <f t="shared" si="48"/>
        <v>Chicago Cubs</v>
      </c>
      <c r="U41" s="2" t="str">
        <f t="shared" si="48"/>
        <v>NL</v>
      </c>
      <c r="V41" s="2">
        <f t="shared" si="48"/>
        <v>48</v>
      </c>
      <c r="W41" s="177">
        <f t="shared" ref="W41:AG41" si="60">W8/$V8</f>
        <v>34.416666666666664</v>
      </c>
      <c r="X41" s="177">
        <f t="shared" si="60"/>
        <v>4.8125</v>
      </c>
      <c r="Y41" s="177">
        <f t="shared" si="60"/>
        <v>9</v>
      </c>
      <c r="Z41" s="177">
        <f t="shared" si="60"/>
        <v>1.6458333333333333</v>
      </c>
      <c r="AA41" s="177">
        <f t="shared" si="60"/>
        <v>0.125</v>
      </c>
      <c r="AB41" s="177">
        <f t="shared" si="60"/>
        <v>1.2916666666666667</v>
      </c>
      <c r="AC41" s="177">
        <f t="shared" si="60"/>
        <v>4.645833333333333</v>
      </c>
      <c r="AD41" s="177">
        <f t="shared" si="60"/>
        <v>3.8541666666666665</v>
      </c>
      <c r="AE41" s="177">
        <f t="shared" si="60"/>
        <v>9.2083333333333339</v>
      </c>
      <c r="AF41" s="30">
        <f t="shared" si="60"/>
        <v>0.83333333333333337</v>
      </c>
      <c r="AG41" s="30">
        <f t="shared" si="60"/>
        <v>0.25</v>
      </c>
      <c r="AH41" s="26">
        <f t="shared" ref="AH41:AK41" si="61">AH8</f>
        <v>0.26200000000000001</v>
      </c>
      <c r="AI41" s="26">
        <f t="shared" si="61"/>
        <v>0.33900000000000002</v>
      </c>
      <c r="AJ41" s="26">
        <f t="shared" si="61"/>
        <v>0.42899999999999999</v>
      </c>
      <c r="AK41" s="27">
        <f t="shared" si="61"/>
        <v>0.76800000000000002</v>
      </c>
      <c r="AL41" s="5"/>
    </row>
    <row r="42" spans="1:38" x14ac:dyDescent="0.3">
      <c r="A42" t="s">
        <v>4</v>
      </c>
      <c r="B42" t="str">
        <f>B41</f>
        <v>NL</v>
      </c>
      <c r="C42">
        <f t="shared" ref="C42:R42" si="62">C41</f>
        <v>49</v>
      </c>
      <c r="D42">
        <f t="shared" si="62"/>
        <v>1604</v>
      </c>
      <c r="E42">
        <f t="shared" si="62"/>
        <v>205</v>
      </c>
      <c r="F42">
        <f t="shared" si="62"/>
        <v>381</v>
      </c>
      <c r="G42">
        <f t="shared" si="62"/>
        <v>61</v>
      </c>
      <c r="H42">
        <f t="shared" si="62"/>
        <v>2</v>
      </c>
      <c r="I42">
        <f t="shared" si="62"/>
        <v>62</v>
      </c>
      <c r="J42">
        <f t="shared" si="62"/>
        <v>196</v>
      </c>
      <c r="K42">
        <f t="shared" si="62"/>
        <v>163</v>
      </c>
      <c r="L42">
        <f t="shared" si="62"/>
        <v>449</v>
      </c>
      <c r="M42">
        <f t="shared" si="62"/>
        <v>38</v>
      </c>
      <c r="N42">
        <f t="shared" si="62"/>
        <v>9</v>
      </c>
      <c r="O42">
        <f t="shared" si="62"/>
        <v>0.23799999999999999</v>
      </c>
      <c r="P42">
        <f t="shared" si="62"/>
        <v>0.311</v>
      </c>
      <c r="Q42">
        <f t="shared" si="62"/>
        <v>0.39400000000000002</v>
      </c>
      <c r="R42">
        <f t="shared" si="62"/>
        <v>0.70499999999999996</v>
      </c>
      <c r="S42" s="5"/>
      <c r="T42" s="17" t="str">
        <f t="shared" si="48"/>
        <v>Arizona Diamondbacks</v>
      </c>
      <c r="U42" s="2" t="str">
        <f t="shared" si="48"/>
        <v>NL</v>
      </c>
      <c r="V42" s="2">
        <f t="shared" si="48"/>
        <v>50</v>
      </c>
      <c r="W42" s="177">
        <f t="shared" ref="W42:AG42" si="63">W9/$V9</f>
        <v>34.14</v>
      </c>
      <c r="X42" s="177">
        <f t="shared" si="63"/>
        <v>5.14</v>
      </c>
      <c r="Y42" s="177">
        <f t="shared" si="63"/>
        <v>9.02</v>
      </c>
      <c r="Z42" s="177">
        <f t="shared" si="63"/>
        <v>2.08</v>
      </c>
      <c r="AA42" s="177">
        <f t="shared" si="63"/>
        <v>0.22</v>
      </c>
      <c r="AB42" s="177">
        <f t="shared" si="63"/>
        <v>1.1200000000000001</v>
      </c>
      <c r="AC42" s="177">
        <f t="shared" si="63"/>
        <v>4.8600000000000003</v>
      </c>
      <c r="AD42" s="177">
        <f t="shared" si="63"/>
        <v>3.16</v>
      </c>
      <c r="AE42" s="177">
        <f t="shared" si="63"/>
        <v>7.78</v>
      </c>
      <c r="AF42" s="30">
        <f t="shared" si="63"/>
        <v>0.82</v>
      </c>
      <c r="AG42" s="30">
        <f t="shared" si="63"/>
        <v>0.16</v>
      </c>
      <c r="AH42" s="26">
        <f t="shared" ref="AH42:AK42" si="64">AH9</f>
        <v>0.26400000000000001</v>
      </c>
      <c r="AI42" s="26">
        <f t="shared" si="64"/>
        <v>0.32900000000000001</v>
      </c>
      <c r="AJ42" s="26">
        <f t="shared" si="64"/>
        <v>0.436</v>
      </c>
      <c r="AK42" s="27">
        <f t="shared" si="64"/>
        <v>0.76500000000000001</v>
      </c>
      <c r="AL42" s="5"/>
    </row>
    <row r="43" spans="1:38" x14ac:dyDescent="0.3">
      <c r="A43">
        <v>21</v>
      </c>
      <c r="B43" t="s">
        <v>3</v>
      </c>
      <c r="C43">
        <v>51</v>
      </c>
      <c r="D43">
        <v>1691</v>
      </c>
      <c r="E43">
        <v>181</v>
      </c>
      <c r="F43">
        <v>431</v>
      </c>
      <c r="G43">
        <v>78</v>
      </c>
      <c r="H43">
        <v>7</v>
      </c>
      <c r="I43">
        <v>47</v>
      </c>
      <c r="J43">
        <v>171</v>
      </c>
      <c r="K43">
        <v>124</v>
      </c>
      <c r="L43">
        <v>419</v>
      </c>
      <c r="M43">
        <v>42</v>
      </c>
      <c r="N43">
        <v>10</v>
      </c>
      <c r="O43">
        <v>0.255</v>
      </c>
      <c r="P43">
        <v>0.31</v>
      </c>
      <c r="Q43">
        <v>0.39300000000000002</v>
      </c>
      <c r="R43">
        <v>0.70299999999999996</v>
      </c>
      <c r="S43" s="5"/>
      <c r="T43" s="17" t="str">
        <f t="shared" si="48"/>
        <v>Boston Red Sox</v>
      </c>
      <c r="U43" s="2" t="str">
        <f t="shared" si="48"/>
        <v>AL</v>
      </c>
      <c r="V43" s="2">
        <f t="shared" si="48"/>
        <v>50</v>
      </c>
      <c r="W43" s="177">
        <f t="shared" ref="W43:AG43" si="65">W10/$V10</f>
        <v>34.1</v>
      </c>
      <c r="X43" s="177">
        <f t="shared" si="65"/>
        <v>5.24</v>
      </c>
      <c r="Y43" s="177">
        <f t="shared" si="65"/>
        <v>8.94</v>
      </c>
      <c r="Z43" s="177">
        <f t="shared" si="65"/>
        <v>2.16</v>
      </c>
      <c r="AA43" s="177">
        <f t="shared" si="65"/>
        <v>0.06</v>
      </c>
      <c r="AB43" s="177">
        <f t="shared" si="65"/>
        <v>1.18</v>
      </c>
      <c r="AC43" s="177">
        <f t="shared" si="65"/>
        <v>5.04</v>
      </c>
      <c r="AD43" s="177">
        <f t="shared" si="65"/>
        <v>3.22</v>
      </c>
      <c r="AE43" s="177">
        <f t="shared" si="65"/>
        <v>7.74</v>
      </c>
      <c r="AF43" s="30">
        <f t="shared" si="65"/>
        <v>0.6</v>
      </c>
      <c r="AG43" s="30">
        <f t="shared" si="65"/>
        <v>0.1</v>
      </c>
      <c r="AH43" s="26">
        <f t="shared" ref="AH43:AK43" si="66">AH10</f>
        <v>0.26200000000000001</v>
      </c>
      <c r="AI43" s="26">
        <f t="shared" si="66"/>
        <v>0.33200000000000002</v>
      </c>
      <c r="AJ43" s="26">
        <f t="shared" si="66"/>
        <v>0.433</v>
      </c>
      <c r="AK43" s="27">
        <f t="shared" si="66"/>
        <v>0.76500000000000001</v>
      </c>
      <c r="AL43" s="5"/>
    </row>
    <row r="44" spans="1:38" x14ac:dyDescent="0.3">
      <c r="A44" t="s">
        <v>28</v>
      </c>
      <c r="B44" t="str">
        <f>B43</f>
        <v>NL</v>
      </c>
      <c r="C44">
        <f t="shared" ref="C44:R44" si="67">C43</f>
        <v>51</v>
      </c>
      <c r="D44">
        <f t="shared" si="67"/>
        <v>1691</v>
      </c>
      <c r="E44">
        <f t="shared" si="67"/>
        <v>181</v>
      </c>
      <c r="F44">
        <f t="shared" si="67"/>
        <v>431</v>
      </c>
      <c r="G44">
        <f t="shared" si="67"/>
        <v>78</v>
      </c>
      <c r="H44">
        <f t="shared" si="67"/>
        <v>7</v>
      </c>
      <c r="I44">
        <f t="shared" si="67"/>
        <v>47</v>
      </c>
      <c r="J44">
        <f t="shared" si="67"/>
        <v>171</v>
      </c>
      <c r="K44">
        <f t="shared" si="67"/>
        <v>124</v>
      </c>
      <c r="L44">
        <f t="shared" si="67"/>
        <v>419</v>
      </c>
      <c r="M44">
        <f t="shared" si="67"/>
        <v>42</v>
      </c>
      <c r="N44">
        <f t="shared" si="67"/>
        <v>10</v>
      </c>
      <c r="O44">
        <f t="shared" si="67"/>
        <v>0.255</v>
      </c>
      <c r="P44">
        <f t="shared" si="67"/>
        <v>0.31</v>
      </c>
      <c r="Q44">
        <f t="shared" si="67"/>
        <v>0.39300000000000002</v>
      </c>
      <c r="R44">
        <f t="shared" si="67"/>
        <v>0.70299999999999996</v>
      </c>
      <c r="S44" s="5"/>
      <c r="T44" s="17" t="str">
        <f t="shared" si="48"/>
        <v>Baltimore Orioles</v>
      </c>
      <c r="U44" s="2" t="str">
        <f t="shared" si="48"/>
        <v>AL</v>
      </c>
      <c r="V44" s="2">
        <f t="shared" si="48"/>
        <v>49</v>
      </c>
      <c r="W44" s="177">
        <f t="shared" ref="W44:AG44" si="68">W11/$V11</f>
        <v>33.857142857142854</v>
      </c>
      <c r="X44" s="177">
        <f t="shared" si="68"/>
        <v>5.1836734693877551</v>
      </c>
      <c r="Y44" s="177">
        <f t="shared" si="68"/>
        <v>8.5714285714285712</v>
      </c>
      <c r="Z44" s="177">
        <f t="shared" si="68"/>
        <v>1.7755102040816326</v>
      </c>
      <c r="AA44" s="177">
        <f t="shared" si="68"/>
        <v>0.16326530612244897</v>
      </c>
      <c r="AB44" s="177">
        <f t="shared" si="68"/>
        <v>1.2653061224489797</v>
      </c>
      <c r="AC44" s="177">
        <f t="shared" si="68"/>
        <v>5.0204081632653059</v>
      </c>
      <c r="AD44" s="177">
        <f t="shared" si="68"/>
        <v>3.7551020408163267</v>
      </c>
      <c r="AE44" s="177">
        <f t="shared" si="68"/>
        <v>8.1428571428571423</v>
      </c>
      <c r="AF44" s="30">
        <f t="shared" si="68"/>
        <v>0.87755102040816324</v>
      </c>
      <c r="AG44" s="30">
        <f t="shared" si="68"/>
        <v>0.18367346938775511</v>
      </c>
      <c r="AH44" s="26">
        <f t="shared" ref="AH44:AK44" si="69">AH11</f>
        <v>0.253</v>
      </c>
      <c r="AI44" s="26">
        <f t="shared" si="69"/>
        <v>0.33</v>
      </c>
      <c r="AJ44" s="26">
        <f t="shared" si="69"/>
        <v>0.42699999999999999</v>
      </c>
      <c r="AK44" s="27">
        <f t="shared" si="69"/>
        <v>0.75700000000000001</v>
      </c>
      <c r="AL44" s="5"/>
    </row>
    <row r="45" spans="1:38" x14ac:dyDescent="0.3">
      <c r="A45">
        <v>22</v>
      </c>
      <c r="B45" t="s">
        <v>3</v>
      </c>
      <c r="C45">
        <v>50</v>
      </c>
      <c r="D45">
        <v>1664</v>
      </c>
      <c r="E45">
        <v>217</v>
      </c>
      <c r="F45">
        <v>412</v>
      </c>
      <c r="G45">
        <v>86</v>
      </c>
      <c r="H45">
        <v>7</v>
      </c>
      <c r="I45">
        <v>38</v>
      </c>
      <c r="J45">
        <v>209</v>
      </c>
      <c r="K45">
        <v>173</v>
      </c>
      <c r="L45">
        <v>455</v>
      </c>
      <c r="M45">
        <v>38</v>
      </c>
      <c r="N45">
        <v>16</v>
      </c>
      <c r="O45">
        <v>0.248</v>
      </c>
      <c r="P45">
        <v>0.32500000000000001</v>
      </c>
      <c r="Q45">
        <v>0.376</v>
      </c>
      <c r="R45">
        <v>0.70099999999999996</v>
      </c>
      <c r="S45" s="5"/>
      <c r="T45" s="17" t="str">
        <f t="shared" si="48"/>
        <v>Los Angeles Angels</v>
      </c>
      <c r="U45" s="2" t="str">
        <f t="shared" si="48"/>
        <v>AL</v>
      </c>
      <c r="V45" s="2">
        <f t="shared" si="48"/>
        <v>51</v>
      </c>
      <c r="W45" s="177">
        <f t="shared" ref="W45:AG45" si="70">W12/$V12</f>
        <v>33.941176470588232</v>
      </c>
      <c r="X45" s="177">
        <f t="shared" si="70"/>
        <v>4.9411764705882355</v>
      </c>
      <c r="Y45" s="177">
        <f t="shared" si="70"/>
        <v>8.8235294117647065</v>
      </c>
      <c r="Z45" s="177">
        <f t="shared" si="70"/>
        <v>1.4705882352941178</v>
      </c>
      <c r="AA45" s="177">
        <f t="shared" si="70"/>
        <v>9.8039215686274508E-2</v>
      </c>
      <c r="AB45" s="177">
        <f t="shared" si="70"/>
        <v>1.3137254901960784</v>
      </c>
      <c r="AC45" s="177">
        <f t="shared" si="70"/>
        <v>4.8627450980392153</v>
      </c>
      <c r="AD45" s="177">
        <f t="shared" si="70"/>
        <v>3.0196078431372548</v>
      </c>
      <c r="AE45" s="177">
        <f t="shared" si="70"/>
        <v>8.5686274509803919</v>
      </c>
      <c r="AF45" s="30">
        <f t="shared" si="70"/>
        <v>0.43137254901960786</v>
      </c>
      <c r="AG45" s="30">
        <f t="shared" si="70"/>
        <v>0.15686274509803921</v>
      </c>
      <c r="AH45" s="26">
        <f t="shared" ref="AH45:AK45" si="71">AH12</f>
        <v>0.26</v>
      </c>
      <c r="AI45" s="26">
        <f t="shared" si="71"/>
        <v>0.32700000000000001</v>
      </c>
      <c r="AJ45" s="26">
        <f t="shared" si="71"/>
        <v>0.42499999999999999</v>
      </c>
      <c r="AK45" s="27">
        <f t="shared" si="71"/>
        <v>0.752</v>
      </c>
      <c r="AL45" s="5"/>
    </row>
    <row r="46" spans="1:38" x14ac:dyDescent="0.3">
      <c r="A46" t="s">
        <v>10</v>
      </c>
      <c r="B46" t="str">
        <f>B45</f>
        <v>NL</v>
      </c>
      <c r="C46">
        <f t="shared" ref="C46:R46" si="72">C45</f>
        <v>50</v>
      </c>
      <c r="D46">
        <f t="shared" si="72"/>
        <v>1664</v>
      </c>
      <c r="E46">
        <f t="shared" si="72"/>
        <v>217</v>
      </c>
      <c r="F46">
        <f t="shared" si="72"/>
        <v>412</v>
      </c>
      <c r="G46">
        <f t="shared" si="72"/>
        <v>86</v>
      </c>
      <c r="H46">
        <f t="shared" si="72"/>
        <v>7</v>
      </c>
      <c r="I46">
        <f t="shared" si="72"/>
        <v>38</v>
      </c>
      <c r="J46">
        <f t="shared" si="72"/>
        <v>209</v>
      </c>
      <c r="K46">
        <f t="shared" si="72"/>
        <v>173</v>
      </c>
      <c r="L46">
        <f t="shared" si="72"/>
        <v>455</v>
      </c>
      <c r="M46">
        <f t="shared" si="72"/>
        <v>38</v>
      </c>
      <c r="N46">
        <f t="shared" si="72"/>
        <v>16</v>
      </c>
      <c r="O46">
        <f t="shared" si="72"/>
        <v>0.248</v>
      </c>
      <c r="P46">
        <f t="shared" si="72"/>
        <v>0.32500000000000001</v>
      </c>
      <c r="Q46">
        <f t="shared" si="72"/>
        <v>0.376</v>
      </c>
      <c r="R46">
        <f t="shared" si="72"/>
        <v>0.70099999999999996</v>
      </c>
      <c r="S46" s="5"/>
      <c r="T46" s="17" t="str">
        <f t="shared" si="48"/>
        <v>Toronto Blue Jays</v>
      </c>
      <c r="U46" s="2" t="str">
        <f t="shared" si="48"/>
        <v>AL</v>
      </c>
      <c r="V46" s="2">
        <f t="shared" si="48"/>
        <v>51</v>
      </c>
      <c r="W46" s="177">
        <f t="shared" ref="W46:AG46" si="73">W13/$V13</f>
        <v>34.980392156862742</v>
      </c>
      <c r="X46" s="177">
        <f t="shared" si="73"/>
        <v>4.7450980392156863</v>
      </c>
      <c r="Y46" s="177">
        <f t="shared" si="73"/>
        <v>9.2549019607843146</v>
      </c>
      <c r="Z46" s="177">
        <f t="shared" si="73"/>
        <v>1.8627450980392157</v>
      </c>
      <c r="AA46" s="177">
        <f t="shared" si="73"/>
        <v>7.8431372549019607E-2</v>
      </c>
      <c r="AB46" s="177">
        <f t="shared" si="73"/>
        <v>1.1176470588235294</v>
      </c>
      <c r="AC46" s="177">
        <f t="shared" si="73"/>
        <v>4.4509803921568629</v>
      </c>
      <c r="AD46" s="177">
        <f t="shared" si="73"/>
        <v>3.3137254901960786</v>
      </c>
      <c r="AE46" s="177">
        <f t="shared" si="73"/>
        <v>7.9411764705882355</v>
      </c>
      <c r="AF46" s="30">
        <f t="shared" si="73"/>
        <v>0.82352941176470584</v>
      </c>
      <c r="AG46" s="30">
        <f t="shared" si="73"/>
        <v>0.19607843137254902</v>
      </c>
      <c r="AH46" s="26">
        <f t="shared" ref="AH46:AK46" si="74">AH13</f>
        <v>0.26500000000000001</v>
      </c>
      <c r="AI46" s="26">
        <f t="shared" si="74"/>
        <v>0.33200000000000002</v>
      </c>
      <c r="AJ46" s="26">
        <f t="shared" si="74"/>
        <v>0.41799999999999998</v>
      </c>
      <c r="AK46" s="27">
        <f t="shared" si="74"/>
        <v>0.75</v>
      </c>
      <c r="AL46" s="5"/>
    </row>
    <row r="47" spans="1:38" x14ac:dyDescent="0.3">
      <c r="A47">
        <v>23</v>
      </c>
      <c r="B47" t="s">
        <v>3</v>
      </c>
      <c r="C47">
        <v>49</v>
      </c>
      <c r="D47">
        <v>1593</v>
      </c>
      <c r="E47">
        <v>192</v>
      </c>
      <c r="F47">
        <v>355</v>
      </c>
      <c r="G47">
        <v>82</v>
      </c>
      <c r="H47">
        <v>4</v>
      </c>
      <c r="I47">
        <v>56</v>
      </c>
      <c r="J47">
        <v>182</v>
      </c>
      <c r="K47">
        <v>203</v>
      </c>
      <c r="L47">
        <v>434</v>
      </c>
      <c r="M47">
        <v>29</v>
      </c>
      <c r="N47">
        <v>8</v>
      </c>
      <c r="O47">
        <v>0.223</v>
      </c>
      <c r="P47">
        <v>0.314</v>
      </c>
      <c r="Q47">
        <v>0.38500000000000001</v>
      </c>
      <c r="R47">
        <v>0.69899999999999995</v>
      </c>
      <c r="S47" s="5"/>
      <c r="T47" s="17" t="str">
        <f t="shared" si="48"/>
        <v>Philadelphia Phillies</v>
      </c>
      <c r="U47" s="2" t="str">
        <f t="shared" si="48"/>
        <v>NL</v>
      </c>
      <c r="V47" s="2">
        <f t="shared" si="48"/>
        <v>49</v>
      </c>
      <c r="W47" s="177">
        <f t="shared" ref="W47:AG47" si="75">W14/$V14</f>
        <v>34.204081632653065</v>
      </c>
      <c r="X47" s="177">
        <f t="shared" si="75"/>
        <v>4.2857142857142856</v>
      </c>
      <c r="Y47" s="177">
        <f t="shared" si="75"/>
        <v>8.816326530612244</v>
      </c>
      <c r="Z47" s="177">
        <f t="shared" si="75"/>
        <v>1.8979591836734695</v>
      </c>
      <c r="AA47" s="177">
        <f t="shared" si="75"/>
        <v>0.20408163265306123</v>
      </c>
      <c r="AB47" s="177">
        <f t="shared" si="75"/>
        <v>1.0408163265306123</v>
      </c>
      <c r="AC47" s="177">
        <f t="shared" si="75"/>
        <v>4.1020408163265305</v>
      </c>
      <c r="AD47" s="177">
        <f t="shared" si="75"/>
        <v>3.0204081632653059</v>
      </c>
      <c r="AE47" s="177">
        <f t="shared" si="75"/>
        <v>8.9795918367346932</v>
      </c>
      <c r="AF47" s="30">
        <f t="shared" si="75"/>
        <v>0.63265306122448983</v>
      </c>
      <c r="AG47" s="30">
        <f t="shared" si="75"/>
        <v>0.18367346938775511</v>
      </c>
      <c r="AH47" s="26">
        <f t="shared" ref="AH47:AK47" si="76">AH14</f>
        <v>0.25800000000000001</v>
      </c>
      <c r="AI47" s="26">
        <f t="shared" si="76"/>
        <v>0.32200000000000001</v>
      </c>
      <c r="AJ47" s="26">
        <f t="shared" si="76"/>
        <v>0.41599999999999998</v>
      </c>
      <c r="AK47" s="27">
        <f t="shared" si="76"/>
        <v>0.73799999999999999</v>
      </c>
      <c r="AL47" s="5"/>
    </row>
    <row r="48" spans="1:38" x14ac:dyDescent="0.3">
      <c r="A48" t="s">
        <v>16</v>
      </c>
      <c r="B48" t="str">
        <f>B47</f>
        <v>NL</v>
      </c>
      <c r="C48">
        <f t="shared" ref="C48:R48" si="77">C47</f>
        <v>49</v>
      </c>
      <c r="D48">
        <f t="shared" si="77"/>
        <v>1593</v>
      </c>
      <c r="E48">
        <f t="shared" si="77"/>
        <v>192</v>
      </c>
      <c r="F48">
        <f t="shared" si="77"/>
        <v>355</v>
      </c>
      <c r="G48">
        <f t="shared" si="77"/>
        <v>82</v>
      </c>
      <c r="H48">
        <f t="shared" si="77"/>
        <v>4</v>
      </c>
      <c r="I48">
        <f t="shared" si="77"/>
        <v>56</v>
      </c>
      <c r="J48">
        <f t="shared" si="77"/>
        <v>182</v>
      </c>
      <c r="K48">
        <f t="shared" si="77"/>
        <v>203</v>
      </c>
      <c r="L48">
        <f t="shared" si="77"/>
        <v>434</v>
      </c>
      <c r="M48">
        <f t="shared" si="77"/>
        <v>29</v>
      </c>
      <c r="N48">
        <f t="shared" si="77"/>
        <v>8</v>
      </c>
      <c r="O48">
        <f t="shared" si="77"/>
        <v>0.223</v>
      </c>
      <c r="P48">
        <f t="shared" si="77"/>
        <v>0.314</v>
      </c>
      <c r="Q48">
        <f t="shared" si="77"/>
        <v>0.38500000000000001</v>
      </c>
      <c r="R48">
        <f t="shared" si="77"/>
        <v>0.69899999999999995</v>
      </c>
      <c r="S48" s="5"/>
      <c r="T48" s="17" t="str">
        <f t="shared" si="48"/>
        <v>New York Yankees</v>
      </c>
      <c r="U48" s="2" t="str">
        <f t="shared" si="48"/>
        <v>AL</v>
      </c>
      <c r="V48" s="2">
        <f t="shared" si="48"/>
        <v>51</v>
      </c>
      <c r="W48" s="177">
        <f t="shared" ref="W48:AG48" si="78">W15/$V15</f>
        <v>32.96078431372549</v>
      </c>
      <c r="X48" s="177">
        <f t="shared" si="78"/>
        <v>4.666666666666667</v>
      </c>
      <c r="Y48" s="177">
        <f t="shared" si="78"/>
        <v>7.8039215686274508</v>
      </c>
      <c r="Z48" s="177">
        <f t="shared" si="78"/>
        <v>1.2156862745098038</v>
      </c>
      <c r="AA48" s="177">
        <f t="shared" si="78"/>
        <v>0.15686274509803921</v>
      </c>
      <c r="AB48" s="177">
        <f t="shared" si="78"/>
        <v>1.5294117647058822</v>
      </c>
      <c r="AC48" s="177">
        <f t="shared" si="78"/>
        <v>4.5098039215686274</v>
      </c>
      <c r="AD48" s="177">
        <f t="shared" si="78"/>
        <v>3.3333333333333335</v>
      </c>
      <c r="AE48" s="177">
        <f t="shared" si="78"/>
        <v>8.3725490196078436</v>
      </c>
      <c r="AF48" s="30">
        <f t="shared" si="78"/>
        <v>0.72549019607843135</v>
      </c>
      <c r="AG48" s="30">
        <f t="shared" si="78"/>
        <v>0.25490196078431371</v>
      </c>
      <c r="AH48" s="26">
        <f t="shared" ref="AH48:AK48" si="79">AH15</f>
        <v>0.23699999999999999</v>
      </c>
      <c r="AI48" s="26">
        <f t="shared" si="79"/>
        <v>0.31</v>
      </c>
      <c r="AJ48" s="26">
        <f t="shared" si="79"/>
        <v>0.42199999999999999</v>
      </c>
      <c r="AK48" s="27">
        <f t="shared" si="79"/>
        <v>0.73199999999999998</v>
      </c>
      <c r="AL48" s="5"/>
    </row>
    <row r="49" spans="1:38" x14ac:dyDescent="0.3">
      <c r="A49">
        <v>24</v>
      </c>
      <c r="B49" t="s">
        <v>1</v>
      </c>
      <c r="C49">
        <v>49</v>
      </c>
      <c r="D49">
        <v>1637</v>
      </c>
      <c r="E49">
        <v>213</v>
      </c>
      <c r="F49">
        <v>399</v>
      </c>
      <c r="G49">
        <v>82</v>
      </c>
      <c r="H49">
        <v>4</v>
      </c>
      <c r="I49">
        <v>45</v>
      </c>
      <c r="J49">
        <v>204</v>
      </c>
      <c r="K49">
        <v>153</v>
      </c>
      <c r="L49">
        <v>393</v>
      </c>
      <c r="M49">
        <v>28</v>
      </c>
      <c r="N49">
        <v>9</v>
      </c>
      <c r="O49">
        <v>0.24399999999999999</v>
      </c>
      <c r="P49">
        <v>0.315</v>
      </c>
      <c r="Q49">
        <v>0.38100000000000001</v>
      </c>
      <c r="R49">
        <v>0.69599999999999995</v>
      </c>
      <c r="S49" s="5"/>
      <c r="T49" s="17" t="str">
        <f t="shared" si="48"/>
        <v>San Francisco Giants</v>
      </c>
      <c r="U49" s="2" t="str">
        <f t="shared" si="48"/>
        <v>NL</v>
      </c>
      <c r="V49" s="2">
        <f t="shared" si="48"/>
        <v>49</v>
      </c>
      <c r="W49" s="177">
        <f t="shared" ref="W49:AG49" si="80">W16/$V16</f>
        <v>33.775510204081634</v>
      </c>
      <c r="X49" s="177">
        <f t="shared" si="80"/>
        <v>4.2857142857142856</v>
      </c>
      <c r="Y49" s="177">
        <f t="shared" si="80"/>
        <v>8.1224489795918373</v>
      </c>
      <c r="Z49" s="177">
        <f t="shared" si="80"/>
        <v>1.489795918367347</v>
      </c>
      <c r="AA49" s="177">
        <f t="shared" si="80"/>
        <v>6.1224489795918366E-2</v>
      </c>
      <c r="AB49" s="177">
        <f t="shared" si="80"/>
        <v>1.3673469387755102</v>
      </c>
      <c r="AC49" s="177">
        <f t="shared" si="80"/>
        <v>4.2244897959183669</v>
      </c>
      <c r="AD49" s="177">
        <f t="shared" si="80"/>
        <v>3.306122448979592</v>
      </c>
      <c r="AE49" s="177">
        <f t="shared" si="80"/>
        <v>9.7755102040816322</v>
      </c>
      <c r="AF49" s="30">
        <f t="shared" si="80"/>
        <v>0.53061224489795922</v>
      </c>
      <c r="AG49" s="30">
        <f t="shared" si="80"/>
        <v>0.16326530612244897</v>
      </c>
      <c r="AH49" s="26">
        <f t="shared" ref="AH49:AK49" si="81">AH16</f>
        <v>0.24</v>
      </c>
      <c r="AI49" s="26">
        <f t="shared" si="81"/>
        <v>0.316</v>
      </c>
      <c r="AJ49" s="26">
        <f t="shared" si="81"/>
        <v>0.41</v>
      </c>
      <c r="AK49" s="27">
        <f t="shared" si="81"/>
        <v>0.72599999999999998</v>
      </c>
      <c r="AL49" s="5"/>
    </row>
    <row r="50" spans="1:38" x14ac:dyDescent="0.3">
      <c r="A50" t="s">
        <v>25</v>
      </c>
      <c r="B50" t="str">
        <f>B49</f>
        <v>AL</v>
      </c>
      <c r="C50">
        <f t="shared" ref="C50:R50" si="82">C49</f>
        <v>49</v>
      </c>
      <c r="D50">
        <f t="shared" si="82"/>
        <v>1637</v>
      </c>
      <c r="E50">
        <f t="shared" si="82"/>
        <v>213</v>
      </c>
      <c r="F50">
        <f t="shared" si="82"/>
        <v>399</v>
      </c>
      <c r="G50">
        <f t="shared" si="82"/>
        <v>82</v>
      </c>
      <c r="H50">
        <f t="shared" si="82"/>
        <v>4</v>
      </c>
      <c r="I50">
        <f t="shared" si="82"/>
        <v>45</v>
      </c>
      <c r="J50">
        <f t="shared" si="82"/>
        <v>204</v>
      </c>
      <c r="K50">
        <f t="shared" si="82"/>
        <v>153</v>
      </c>
      <c r="L50">
        <f t="shared" si="82"/>
        <v>393</v>
      </c>
      <c r="M50">
        <f t="shared" si="82"/>
        <v>28</v>
      </c>
      <c r="N50">
        <f t="shared" si="82"/>
        <v>9</v>
      </c>
      <c r="O50">
        <f t="shared" si="82"/>
        <v>0.24399999999999999</v>
      </c>
      <c r="P50">
        <f t="shared" si="82"/>
        <v>0.315</v>
      </c>
      <c r="Q50">
        <f t="shared" si="82"/>
        <v>0.38100000000000001</v>
      </c>
      <c r="R50">
        <f t="shared" si="82"/>
        <v>0.69599999999999995</v>
      </c>
      <c r="S50" s="5"/>
      <c r="T50" s="17" t="str">
        <f t="shared" si="48"/>
        <v>Minnesota Twins</v>
      </c>
      <c r="U50" s="2" t="str">
        <f t="shared" si="48"/>
        <v>AL</v>
      </c>
      <c r="V50" s="2">
        <f t="shared" si="48"/>
        <v>50</v>
      </c>
      <c r="W50" s="177">
        <f t="shared" ref="W50:AG50" si="83">W17/$V17</f>
        <v>33.700000000000003</v>
      </c>
      <c r="X50" s="177">
        <f t="shared" si="83"/>
        <v>4.5999999999999996</v>
      </c>
      <c r="Y50" s="177">
        <f t="shared" si="83"/>
        <v>7.74</v>
      </c>
      <c r="Z50" s="177">
        <f t="shared" si="83"/>
        <v>1.6</v>
      </c>
      <c r="AA50" s="177">
        <f t="shared" si="83"/>
        <v>0.14000000000000001</v>
      </c>
      <c r="AB50" s="177">
        <f t="shared" si="83"/>
        <v>1.36</v>
      </c>
      <c r="AC50" s="177">
        <f t="shared" si="83"/>
        <v>4.34</v>
      </c>
      <c r="AD50" s="177">
        <f t="shared" si="83"/>
        <v>3.44</v>
      </c>
      <c r="AE50" s="177">
        <f t="shared" si="83"/>
        <v>9.92</v>
      </c>
      <c r="AF50" s="30">
        <f t="shared" si="83"/>
        <v>0.42</v>
      </c>
      <c r="AG50" s="30">
        <f t="shared" si="83"/>
        <v>0.12</v>
      </c>
      <c r="AH50" s="26">
        <f t="shared" ref="AH50:AK50" si="84">AH17</f>
        <v>0.23</v>
      </c>
      <c r="AI50" s="26">
        <f t="shared" si="84"/>
        <v>0.31</v>
      </c>
      <c r="AJ50" s="26">
        <f t="shared" si="84"/>
        <v>0.40699999999999997</v>
      </c>
      <c r="AK50" s="27">
        <f t="shared" si="84"/>
        <v>0.71699999999999997</v>
      </c>
      <c r="AL50" s="5"/>
    </row>
    <row r="51" spans="1:38" x14ac:dyDescent="0.3">
      <c r="A51">
        <v>25</v>
      </c>
      <c r="B51" t="s">
        <v>1</v>
      </c>
      <c r="C51">
        <v>49</v>
      </c>
      <c r="D51">
        <v>1642</v>
      </c>
      <c r="E51">
        <v>222</v>
      </c>
      <c r="F51">
        <v>378</v>
      </c>
      <c r="G51">
        <v>81</v>
      </c>
      <c r="H51">
        <v>4</v>
      </c>
      <c r="I51">
        <v>53</v>
      </c>
      <c r="J51">
        <v>213</v>
      </c>
      <c r="K51">
        <v>168</v>
      </c>
      <c r="L51">
        <v>474</v>
      </c>
      <c r="M51">
        <v>30</v>
      </c>
      <c r="N51">
        <v>12</v>
      </c>
      <c r="O51">
        <v>0.23</v>
      </c>
      <c r="P51">
        <v>0.31</v>
      </c>
      <c r="Q51">
        <v>0.38100000000000001</v>
      </c>
      <c r="R51">
        <v>0.69099999999999995</v>
      </c>
      <c r="S51" s="5"/>
      <c r="T51" s="17" t="str">
        <f t="shared" si="48"/>
        <v>Pittsburgh Pirates</v>
      </c>
      <c r="U51" s="2" t="str">
        <f t="shared" si="48"/>
        <v>NL</v>
      </c>
      <c r="V51" s="2">
        <f t="shared" si="48"/>
        <v>49</v>
      </c>
      <c r="W51" s="177">
        <f t="shared" ref="W51:AG51" si="85">W18/$V18</f>
        <v>32.979591836734691</v>
      </c>
      <c r="X51" s="177">
        <f t="shared" si="85"/>
        <v>4.3265306122448983</v>
      </c>
      <c r="Y51" s="177">
        <f t="shared" si="85"/>
        <v>8.0408163265306118</v>
      </c>
      <c r="Z51" s="177">
        <f t="shared" si="85"/>
        <v>1.8979591836734695</v>
      </c>
      <c r="AA51" s="177">
        <f t="shared" si="85"/>
        <v>0.20408163265306123</v>
      </c>
      <c r="AB51" s="177">
        <f t="shared" si="85"/>
        <v>0.87755102040816324</v>
      </c>
      <c r="AC51" s="177">
        <f t="shared" si="85"/>
        <v>4.1224489795918364</v>
      </c>
      <c r="AD51" s="177">
        <f t="shared" si="85"/>
        <v>3.693877551020408</v>
      </c>
      <c r="AE51" s="177">
        <f t="shared" si="85"/>
        <v>8.2857142857142865</v>
      </c>
      <c r="AF51" s="30">
        <f t="shared" si="85"/>
        <v>1.0816326530612246</v>
      </c>
      <c r="AG51" s="30">
        <f t="shared" si="85"/>
        <v>0.38775510204081631</v>
      </c>
      <c r="AH51" s="26">
        <f t="shared" ref="AH51:AK51" si="86">AH18</f>
        <v>0.24399999999999999</v>
      </c>
      <c r="AI51" s="26">
        <f t="shared" si="86"/>
        <v>0.32300000000000001</v>
      </c>
      <c r="AJ51" s="26">
        <f t="shared" si="86"/>
        <v>0.39400000000000002</v>
      </c>
      <c r="AK51" s="27">
        <f t="shared" si="86"/>
        <v>0.71699999999999997</v>
      </c>
      <c r="AL51" s="5"/>
    </row>
    <row r="52" spans="1:38" x14ac:dyDescent="0.3">
      <c r="A52" t="s">
        <v>23</v>
      </c>
      <c r="B52" t="str">
        <f>B51</f>
        <v>AL</v>
      </c>
      <c r="C52">
        <f t="shared" ref="C52:R52" si="87">C51</f>
        <v>49</v>
      </c>
      <c r="D52">
        <f t="shared" si="87"/>
        <v>1642</v>
      </c>
      <c r="E52">
        <f t="shared" si="87"/>
        <v>222</v>
      </c>
      <c r="F52">
        <f t="shared" si="87"/>
        <v>378</v>
      </c>
      <c r="G52">
        <f t="shared" si="87"/>
        <v>81</v>
      </c>
      <c r="H52">
        <f t="shared" si="87"/>
        <v>4</v>
      </c>
      <c r="I52">
        <f t="shared" si="87"/>
        <v>53</v>
      </c>
      <c r="J52">
        <f t="shared" si="87"/>
        <v>213</v>
      </c>
      <c r="K52">
        <f t="shared" si="87"/>
        <v>168</v>
      </c>
      <c r="L52">
        <f t="shared" si="87"/>
        <v>474</v>
      </c>
      <c r="M52">
        <f t="shared" si="87"/>
        <v>30</v>
      </c>
      <c r="N52">
        <f t="shared" si="87"/>
        <v>12</v>
      </c>
      <c r="O52">
        <f t="shared" si="87"/>
        <v>0.23</v>
      </c>
      <c r="P52">
        <f t="shared" si="87"/>
        <v>0.31</v>
      </c>
      <c r="Q52">
        <f t="shared" si="87"/>
        <v>0.38100000000000001</v>
      </c>
      <c r="R52">
        <f t="shared" si="87"/>
        <v>0.69099999999999995</v>
      </c>
      <c r="S52" s="5"/>
      <c r="T52" s="17" t="str">
        <f t="shared" si="48"/>
        <v>New York Mets</v>
      </c>
      <c r="U52" s="2" t="str">
        <f t="shared" si="48"/>
        <v>NL</v>
      </c>
      <c r="V52" s="2">
        <f t="shared" si="48"/>
        <v>50</v>
      </c>
      <c r="W52" s="177">
        <f t="shared" ref="W52:AG52" si="88">W19/$V19</f>
        <v>33</v>
      </c>
      <c r="X52" s="177">
        <f t="shared" si="88"/>
        <v>4.22</v>
      </c>
      <c r="Y52" s="177">
        <f t="shared" si="88"/>
        <v>7.94</v>
      </c>
      <c r="Z52" s="177">
        <f t="shared" si="88"/>
        <v>1.36</v>
      </c>
      <c r="AA52" s="177">
        <f t="shared" si="88"/>
        <v>0.06</v>
      </c>
      <c r="AB52" s="177">
        <f t="shared" si="88"/>
        <v>1.1200000000000001</v>
      </c>
      <c r="AC52" s="177">
        <f t="shared" si="88"/>
        <v>4.0599999999999996</v>
      </c>
      <c r="AD52" s="177">
        <f t="shared" si="88"/>
        <v>3.48</v>
      </c>
      <c r="AE52" s="177">
        <f t="shared" si="88"/>
        <v>7.44</v>
      </c>
      <c r="AF52" s="30">
        <f t="shared" si="88"/>
        <v>0.64</v>
      </c>
      <c r="AG52" s="30">
        <f t="shared" si="88"/>
        <v>0.12</v>
      </c>
      <c r="AH52" s="26">
        <f t="shared" ref="AH52:AK52" si="89">AH19</f>
        <v>0.24099999999999999</v>
      </c>
      <c r="AI52" s="26">
        <f t="shared" si="89"/>
        <v>0.32100000000000001</v>
      </c>
      <c r="AJ52" s="26">
        <f t="shared" si="89"/>
        <v>0.38700000000000001</v>
      </c>
      <c r="AK52" s="27">
        <f t="shared" si="89"/>
        <v>0.70799999999999996</v>
      </c>
      <c r="AL52" s="5"/>
    </row>
    <row r="53" spans="1:38" x14ac:dyDescent="0.3">
      <c r="A53">
        <v>26</v>
      </c>
      <c r="B53" t="s">
        <v>1</v>
      </c>
      <c r="C53">
        <v>51</v>
      </c>
      <c r="D53">
        <v>1734</v>
      </c>
      <c r="E53">
        <v>213</v>
      </c>
      <c r="F53">
        <v>414</v>
      </c>
      <c r="G53">
        <v>90</v>
      </c>
      <c r="H53">
        <v>4</v>
      </c>
      <c r="I53">
        <v>52</v>
      </c>
      <c r="J53">
        <v>209</v>
      </c>
      <c r="K53">
        <v>127</v>
      </c>
      <c r="L53">
        <v>424</v>
      </c>
      <c r="M53">
        <v>29</v>
      </c>
      <c r="N53">
        <v>5</v>
      </c>
      <c r="O53">
        <v>0.23899999999999999</v>
      </c>
      <c r="P53">
        <v>0.29699999999999999</v>
      </c>
      <c r="Q53">
        <v>0.38500000000000001</v>
      </c>
      <c r="R53">
        <v>0.68200000000000005</v>
      </c>
      <c r="S53" s="5"/>
      <c r="T53" s="17" t="str">
        <f t="shared" si="48"/>
        <v>Colorado Rockies</v>
      </c>
      <c r="U53" s="2" t="str">
        <f t="shared" si="48"/>
        <v>NL</v>
      </c>
      <c r="V53" s="2">
        <f t="shared" si="48"/>
        <v>51</v>
      </c>
      <c r="W53" s="177">
        <f t="shared" ref="W53:AG53" si="90">W20/$V20</f>
        <v>33</v>
      </c>
      <c r="X53" s="177">
        <f t="shared" si="90"/>
        <v>4.3137254901960782</v>
      </c>
      <c r="Y53" s="177">
        <f t="shared" si="90"/>
        <v>8.3725490196078436</v>
      </c>
      <c r="Z53" s="177">
        <f t="shared" si="90"/>
        <v>2.1176470588235294</v>
      </c>
      <c r="AA53" s="177">
        <f t="shared" si="90"/>
        <v>9.8039215686274508E-2</v>
      </c>
      <c r="AB53" s="177">
        <f t="shared" si="90"/>
        <v>0.76470588235294112</v>
      </c>
      <c r="AC53" s="177">
        <f t="shared" si="90"/>
        <v>4.117647058823529</v>
      </c>
      <c r="AD53" s="177">
        <f t="shared" si="90"/>
        <v>2.784313725490196</v>
      </c>
      <c r="AE53" s="177">
        <f t="shared" si="90"/>
        <v>8.3725490196078436</v>
      </c>
      <c r="AF53" s="30">
        <f t="shared" si="90"/>
        <v>0.31372549019607843</v>
      </c>
      <c r="AG53" s="30">
        <f t="shared" si="90"/>
        <v>9.8039215686274508E-2</v>
      </c>
      <c r="AH53" s="26">
        <f t="shared" ref="AH53:AK53" si="91">AH20</f>
        <v>0.254</v>
      </c>
      <c r="AI53" s="26">
        <f t="shared" si="91"/>
        <v>0.314</v>
      </c>
      <c r="AJ53" s="26">
        <f t="shared" si="91"/>
        <v>0.39300000000000002</v>
      </c>
      <c r="AK53" s="27">
        <f t="shared" si="91"/>
        <v>0.70699999999999996</v>
      </c>
      <c r="AL53" s="5"/>
    </row>
    <row r="54" spans="1:38" x14ac:dyDescent="0.3">
      <c r="A54" t="s">
        <v>9</v>
      </c>
      <c r="B54" t="str">
        <f>B53</f>
        <v>AL</v>
      </c>
      <c r="C54">
        <f t="shared" ref="C54:R54" si="92">C53</f>
        <v>51</v>
      </c>
      <c r="D54">
        <f t="shared" si="92"/>
        <v>1734</v>
      </c>
      <c r="E54">
        <f t="shared" si="92"/>
        <v>213</v>
      </c>
      <c r="F54">
        <f t="shared" si="92"/>
        <v>414</v>
      </c>
      <c r="G54">
        <f t="shared" si="92"/>
        <v>90</v>
      </c>
      <c r="H54">
        <f t="shared" si="92"/>
        <v>4</v>
      </c>
      <c r="I54">
        <f t="shared" si="92"/>
        <v>52</v>
      </c>
      <c r="J54">
        <f t="shared" si="92"/>
        <v>209</v>
      </c>
      <c r="K54">
        <f t="shared" si="92"/>
        <v>127</v>
      </c>
      <c r="L54">
        <f t="shared" si="92"/>
        <v>424</v>
      </c>
      <c r="M54">
        <f t="shared" si="92"/>
        <v>29</v>
      </c>
      <c r="N54">
        <f t="shared" si="92"/>
        <v>5</v>
      </c>
      <c r="O54">
        <f t="shared" si="92"/>
        <v>0.23899999999999999</v>
      </c>
      <c r="P54">
        <f t="shared" si="92"/>
        <v>0.29699999999999999</v>
      </c>
      <c r="Q54">
        <f t="shared" si="92"/>
        <v>0.38500000000000001</v>
      </c>
      <c r="R54">
        <f t="shared" si="92"/>
        <v>0.68200000000000005</v>
      </c>
      <c r="S54" s="5"/>
      <c r="T54" s="17" t="str">
        <f t="shared" si="48"/>
        <v>Washington Nationals</v>
      </c>
      <c r="U54" s="2" t="str">
        <f t="shared" si="48"/>
        <v>NL</v>
      </c>
      <c r="V54" s="2">
        <f t="shared" si="48"/>
        <v>49</v>
      </c>
      <c r="W54" s="177">
        <f t="shared" ref="W54:AG54" si="93">W21/$V21</f>
        <v>33.95918367346939</v>
      </c>
      <c r="X54" s="177">
        <f t="shared" si="93"/>
        <v>4.1224489795918364</v>
      </c>
      <c r="Y54" s="177">
        <f t="shared" si="93"/>
        <v>8.9591836734693882</v>
      </c>
      <c r="Z54" s="177">
        <f t="shared" si="93"/>
        <v>1.5510204081632653</v>
      </c>
      <c r="AA54" s="177">
        <f t="shared" si="93"/>
        <v>0.14285714285714285</v>
      </c>
      <c r="AB54" s="177">
        <f t="shared" si="93"/>
        <v>0.73469387755102045</v>
      </c>
      <c r="AC54" s="177">
        <f t="shared" si="93"/>
        <v>3.9387755102040818</v>
      </c>
      <c r="AD54" s="177">
        <f t="shared" si="93"/>
        <v>2.6326530612244898</v>
      </c>
      <c r="AE54" s="177">
        <f t="shared" si="93"/>
        <v>7.1020408163265305</v>
      </c>
      <c r="AF54" s="30">
        <f t="shared" si="93"/>
        <v>0.53061224489795922</v>
      </c>
      <c r="AG54" s="30">
        <f t="shared" si="93"/>
        <v>0.16326530612244897</v>
      </c>
      <c r="AH54" s="26">
        <f t="shared" ref="AH54:AK54" si="94">AH21</f>
        <v>0.26400000000000001</v>
      </c>
      <c r="AI54" s="26">
        <f t="shared" si="94"/>
        <v>0.32400000000000001</v>
      </c>
      <c r="AJ54" s="26">
        <f t="shared" si="94"/>
        <v>0.38300000000000001</v>
      </c>
      <c r="AK54" s="27">
        <f t="shared" si="94"/>
        <v>0.70699999999999996</v>
      </c>
      <c r="AL54" s="5"/>
    </row>
    <row r="55" spans="1:38" x14ac:dyDescent="0.3">
      <c r="A55">
        <v>27</v>
      </c>
      <c r="B55" t="s">
        <v>1</v>
      </c>
      <c r="C55">
        <v>51</v>
      </c>
      <c r="D55">
        <v>1703</v>
      </c>
      <c r="E55">
        <v>198</v>
      </c>
      <c r="F55">
        <v>390</v>
      </c>
      <c r="G55">
        <v>86</v>
      </c>
      <c r="H55">
        <v>12</v>
      </c>
      <c r="I55">
        <v>49</v>
      </c>
      <c r="J55">
        <v>190</v>
      </c>
      <c r="K55">
        <v>137</v>
      </c>
      <c r="L55">
        <v>456</v>
      </c>
      <c r="M55">
        <v>34</v>
      </c>
      <c r="N55">
        <v>7</v>
      </c>
      <c r="O55">
        <v>0.22900000000000001</v>
      </c>
      <c r="P55">
        <v>0.29199999999999998</v>
      </c>
      <c r="Q55">
        <v>0.38</v>
      </c>
      <c r="R55">
        <v>0.67200000000000004</v>
      </c>
      <c r="S55" s="5"/>
      <c r="T55" s="17" t="str">
        <f t="shared" si="48"/>
        <v>Milwaukee Brewers</v>
      </c>
      <c r="U55" s="2" t="str">
        <f t="shared" si="48"/>
        <v>NL</v>
      </c>
      <c r="V55" s="2">
        <f t="shared" si="48"/>
        <v>49</v>
      </c>
      <c r="W55" s="177">
        <f t="shared" ref="W55:AG55" si="95">W22/$V22</f>
        <v>32.734693877551024</v>
      </c>
      <c r="X55" s="177">
        <f t="shared" si="95"/>
        <v>4.1836734693877551</v>
      </c>
      <c r="Y55" s="177">
        <f t="shared" si="95"/>
        <v>7.7755102040816331</v>
      </c>
      <c r="Z55" s="177">
        <f t="shared" si="95"/>
        <v>1.2448979591836735</v>
      </c>
      <c r="AA55" s="177">
        <f t="shared" si="95"/>
        <v>4.0816326530612242E-2</v>
      </c>
      <c r="AB55" s="177">
        <f t="shared" si="95"/>
        <v>1.2653061224489797</v>
      </c>
      <c r="AC55" s="177">
        <f t="shared" si="95"/>
        <v>4</v>
      </c>
      <c r="AD55" s="177">
        <f t="shared" si="95"/>
        <v>3.3265306122448979</v>
      </c>
      <c r="AE55" s="177">
        <f t="shared" si="95"/>
        <v>9.1632653061224492</v>
      </c>
      <c r="AF55" s="30">
        <f t="shared" si="95"/>
        <v>0.77551020408163263</v>
      </c>
      <c r="AG55" s="30">
        <f t="shared" si="95"/>
        <v>0.18367346938775511</v>
      </c>
      <c r="AH55" s="26">
        <f t="shared" ref="AH55:AK55" si="96">AH22</f>
        <v>0.23799999999999999</v>
      </c>
      <c r="AI55" s="26">
        <f t="shared" si="96"/>
        <v>0.311</v>
      </c>
      <c r="AJ55" s="26">
        <f t="shared" si="96"/>
        <v>0.39400000000000002</v>
      </c>
      <c r="AK55" s="27">
        <f t="shared" si="96"/>
        <v>0.70499999999999996</v>
      </c>
      <c r="AL55" s="5"/>
    </row>
    <row r="56" spans="1:38" x14ac:dyDescent="0.3">
      <c r="A56" t="s">
        <v>30</v>
      </c>
      <c r="B56" t="str">
        <f>B55</f>
        <v>AL</v>
      </c>
      <c r="C56">
        <f t="shared" ref="C56:R56" si="97">C55</f>
        <v>51</v>
      </c>
      <c r="D56">
        <f t="shared" si="97"/>
        <v>1703</v>
      </c>
      <c r="E56">
        <f t="shared" si="97"/>
        <v>198</v>
      </c>
      <c r="F56">
        <f t="shared" si="97"/>
        <v>390</v>
      </c>
      <c r="G56">
        <f t="shared" si="97"/>
        <v>86</v>
      </c>
      <c r="H56">
        <f t="shared" si="97"/>
        <v>12</v>
      </c>
      <c r="I56">
        <f t="shared" si="97"/>
        <v>49</v>
      </c>
      <c r="J56">
        <f t="shared" si="97"/>
        <v>190</v>
      </c>
      <c r="K56">
        <f t="shared" si="97"/>
        <v>137</v>
      </c>
      <c r="L56">
        <f t="shared" si="97"/>
        <v>456</v>
      </c>
      <c r="M56">
        <f t="shared" si="97"/>
        <v>34</v>
      </c>
      <c r="N56">
        <f t="shared" si="97"/>
        <v>7</v>
      </c>
      <c r="O56">
        <f t="shared" si="97"/>
        <v>0.22900000000000001</v>
      </c>
      <c r="P56">
        <f t="shared" si="97"/>
        <v>0.29199999999999998</v>
      </c>
      <c r="Q56">
        <f t="shared" si="97"/>
        <v>0.38</v>
      </c>
      <c r="R56">
        <f t="shared" si="97"/>
        <v>0.67200000000000004</v>
      </c>
      <c r="S56" s="5"/>
      <c r="T56" s="17" t="str">
        <f t="shared" si="48"/>
        <v>Miami Marlins</v>
      </c>
      <c r="U56" s="2" t="str">
        <f t="shared" si="48"/>
        <v>NL</v>
      </c>
      <c r="V56" s="2">
        <f t="shared" si="48"/>
        <v>51</v>
      </c>
      <c r="W56" s="177">
        <f t="shared" ref="W56:AG56" si="98">W23/$V23</f>
        <v>33.156862745098039</v>
      </c>
      <c r="X56" s="177">
        <f t="shared" si="98"/>
        <v>3.5490196078431371</v>
      </c>
      <c r="Y56" s="177">
        <f t="shared" si="98"/>
        <v>8.4509803921568629</v>
      </c>
      <c r="Z56" s="177">
        <f t="shared" si="98"/>
        <v>1.5294117647058822</v>
      </c>
      <c r="AA56" s="177">
        <f t="shared" si="98"/>
        <v>0.13725490196078433</v>
      </c>
      <c r="AB56" s="177">
        <f t="shared" si="98"/>
        <v>0.92156862745098034</v>
      </c>
      <c r="AC56" s="177">
        <f t="shared" si="98"/>
        <v>3.3529411764705883</v>
      </c>
      <c r="AD56" s="177">
        <f t="shared" si="98"/>
        <v>2.4313725490196076</v>
      </c>
      <c r="AE56" s="177">
        <f t="shared" si="98"/>
        <v>8.2156862745098032</v>
      </c>
      <c r="AF56" s="30">
        <f t="shared" si="98"/>
        <v>0.82352941176470584</v>
      </c>
      <c r="AG56" s="30">
        <f t="shared" si="98"/>
        <v>0.19607843137254902</v>
      </c>
      <c r="AH56" s="26">
        <f t="shared" ref="AH56:AK56" si="99">AH23</f>
        <v>0.255</v>
      </c>
      <c r="AI56" s="26">
        <f t="shared" si="99"/>
        <v>0.31</v>
      </c>
      <c r="AJ56" s="26">
        <f t="shared" si="99"/>
        <v>0.39300000000000002</v>
      </c>
      <c r="AK56" s="27">
        <f t="shared" si="99"/>
        <v>0.70299999999999996</v>
      </c>
      <c r="AL56" s="5"/>
    </row>
    <row r="57" spans="1:38" x14ac:dyDescent="0.3">
      <c r="A57">
        <v>28</v>
      </c>
      <c r="B57" t="s">
        <v>1</v>
      </c>
      <c r="C57">
        <v>51</v>
      </c>
      <c r="D57">
        <v>1706</v>
      </c>
      <c r="E57">
        <v>181</v>
      </c>
      <c r="F57">
        <v>383</v>
      </c>
      <c r="G57">
        <v>67</v>
      </c>
      <c r="H57">
        <v>6</v>
      </c>
      <c r="I57">
        <v>53</v>
      </c>
      <c r="J57">
        <v>175</v>
      </c>
      <c r="K57">
        <v>166</v>
      </c>
      <c r="L57">
        <v>481</v>
      </c>
      <c r="M57">
        <v>49</v>
      </c>
      <c r="N57">
        <v>11</v>
      </c>
      <c r="O57">
        <v>0.22500000000000001</v>
      </c>
      <c r="P57">
        <v>0.30199999999999999</v>
      </c>
      <c r="Q57">
        <v>0.36399999999999999</v>
      </c>
      <c r="R57">
        <v>0.66600000000000004</v>
      </c>
      <c r="S57" s="5"/>
      <c r="T57" s="17" t="str">
        <f t="shared" si="48"/>
        <v>Cincinnati Reds</v>
      </c>
      <c r="U57" s="2" t="str">
        <f t="shared" si="48"/>
        <v>NL</v>
      </c>
      <c r="V57" s="2">
        <f t="shared" si="48"/>
        <v>50</v>
      </c>
      <c r="W57" s="177">
        <f t="shared" ref="W57:AG57" si="100">W24/$V24</f>
        <v>33.28</v>
      </c>
      <c r="X57" s="177">
        <f t="shared" si="100"/>
        <v>4.34</v>
      </c>
      <c r="Y57" s="177">
        <f t="shared" si="100"/>
        <v>8.24</v>
      </c>
      <c r="Z57" s="177">
        <f t="shared" si="100"/>
        <v>1.72</v>
      </c>
      <c r="AA57" s="177">
        <f t="shared" si="100"/>
        <v>0.14000000000000001</v>
      </c>
      <c r="AB57" s="177">
        <f t="shared" si="100"/>
        <v>0.76</v>
      </c>
      <c r="AC57" s="177">
        <f t="shared" si="100"/>
        <v>4.18</v>
      </c>
      <c r="AD57" s="177">
        <f t="shared" si="100"/>
        <v>3.46</v>
      </c>
      <c r="AE57" s="177">
        <f t="shared" si="100"/>
        <v>9.1</v>
      </c>
      <c r="AF57" s="30">
        <f t="shared" si="100"/>
        <v>0.76</v>
      </c>
      <c r="AG57" s="30">
        <f t="shared" si="100"/>
        <v>0.32</v>
      </c>
      <c r="AH57" s="26">
        <f t="shared" ref="AH57:AK57" si="101">AH24</f>
        <v>0.248</v>
      </c>
      <c r="AI57" s="26">
        <f t="shared" si="101"/>
        <v>0.32500000000000001</v>
      </c>
      <c r="AJ57" s="26">
        <f t="shared" si="101"/>
        <v>0.376</v>
      </c>
      <c r="AK57" s="27">
        <f t="shared" si="101"/>
        <v>0.70099999999999996</v>
      </c>
      <c r="AL57" s="5"/>
    </row>
    <row r="58" spans="1:38" x14ac:dyDescent="0.3">
      <c r="A58" t="s">
        <v>26</v>
      </c>
      <c r="B58" t="str">
        <f>B57</f>
        <v>AL</v>
      </c>
      <c r="C58">
        <f t="shared" ref="C58:R58" si="102">C57</f>
        <v>51</v>
      </c>
      <c r="D58">
        <f t="shared" si="102"/>
        <v>1706</v>
      </c>
      <c r="E58">
        <f t="shared" si="102"/>
        <v>181</v>
      </c>
      <c r="F58">
        <f t="shared" si="102"/>
        <v>383</v>
      </c>
      <c r="G58">
        <f t="shared" si="102"/>
        <v>67</v>
      </c>
      <c r="H58">
        <f t="shared" si="102"/>
        <v>6</v>
      </c>
      <c r="I58">
        <f t="shared" si="102"/>
        <v>53</v>
      </c>
      <c r="J58">
        <f t="shared" si="102"/>
        <v>175</v>
      </c>
      <c r="K58">
        <f t="shared" si="102"/>
        <v>166</v>
      </c>
      <c r="L58">
        <f t="shared" si="102"/>
        <v>481</v>
      </c>
      <c r="M58">
        <f t="shared" si="102"/>
        <v>49</v>
      </c>
      <c r="N58">
        <f t="shared" si="102"/>
        <v>11</v>
      </c>
      <c r="O58">
        <f t="shared" si="102"/>
        <v>0.22500000000000001</v>
      </c>
      <c r="P58">
        <f t="shared" si="102"/>
        <v>0.30199999999999999</v>
      </c>
      <c r="Q58">
        <f t="shared" si="102"/>
        <v>0.36399999999999999</v>
      </c>
      <c r="R58">
        <f t="shared" si="102"/>
        <v>0.66600000000000004</v>
      </c>
      <c r="S58" s="5"/>
      <c r="T58" s="17" t="str">
        <f t="shared" si="48"/>
        <v>San Diego Padres</v>
      </c>
      <c r="U58" s="2" t="str">
        <f t="shared" si="48"/>
        <v>NL</v>
      </c>
      <c r="V58" s="2">
        <f t="shared" si="48"/>
        <v>49</v>
      </c>
      <c r="W58" s="177">
        <f t="shared" ref="W58:AG58" si="103">W25/$V25</f>
        <v>32.510204081632651</v>
      </c>
      <c r="X58" s="177">
        <f t="shared" si="103"/>
        <v>3.9183673469387754</v>
      </c>
      <c r="Y58" s="177">
        <f t="shared" si="103"/>
        <v>7.2448979591836737</v>
      </c>
      <c r="Z58" s="177">
        <f t="shared" si="103"/>
        <v>1.6734693877551021</v>
      </c>
      <c r="AA58" s="177">
        <f t="shared" si="103"/>
        <v>8.1632653061224483E-2</v>
      </c>
      <c r="AB58" s="177">
        <f t="shared" si="103"/>
        <v>1.1428571428571428</v>
      </c>
      <c r="AC58" s="177">
        <f t="shared" si="103"/>
        <v>3.7142857142857144</v>
      </c>
      <c r="AD58" s="177">
        <f t="shared" si="103"/>
        <v>4.1428571428571432</v>
      </c>
      <c r="AE58" s="177">
        <f t="shared" si="103"/>
        <v>8.8571428571428577</v>
      </c>
      <c r="AF58" s="30">
        <f t="shared" si="103"/>
        <v>0.59183673469387754</v>
      </c>
      <c r="AG58" s="30">
        <f t="shared" si="103"/>
        <v>0.16326530612244897</v>
      </c>
      <c r="AH58" s="26">
        <f t="shared" ref="AH58:AK58" si="104">AH25</f>
        <v>0.223</v>
      </c>
      <c r="AI58" s="26">
        <f t="shared" si="104"/>
        <v>0.314</v>
      </c>
      <c r="AJ58" s="26">
        <f t="shared" si="104"/>
        <v>0.38500000000000001</v>
      </c>
      <c r="AK58" s="27">
        <f t="shared" si="104"/>
        <v>0.69899999999999995</v>
      </c>
      <c r="AL58" s="5"/>
    </row>
    <row r="59" spans="1:38" x14ac:dyDescent="0.3">
      <c r="A59">
        <v>29</v>
      </c>
      <c r="B59" t="s">
        <v>1</v>
      </c>
      <c r="C59">
        <v>47</v>
      </c>
      <c r="D59">
        <v>1607</v>
      </c>
      <c r="E59">
        <v>172</v>
      </c>
      <c r="F59">
        <v>369</v>
      </c>
      <c r="G59">
        <v>75</v>
      </c>
      <c r="H59">
        <v>2</v>
      </c>
      <c r="I59">
        <v>40</v>
      </c>
      <c r="J59">
        <v>167</v>
      </c>
      <c r="K59">
        <v>151</v>
      </c>
      <c r="L59">
        <v>426</v>
      </c>
      <c r="M59">
        <v>25</v>
      </c>
      <c r="N59">
        <v>8</v>
      </c>
      <c r="O59">
        <v>0.23</v>
      </c>
      <c r="P59">
        <v>0.3</v>
      </c>
      <c r="Q59">
        <v>0.35299999999999998</v>
      </c>
      <c r="R59">
        <v>0.65300000000000002</v>
      </c>
      <c r="S59" s="5"/>
      <c r="T59" s="17" t="str">
        <f t="shared" si="48"/>
        <v>Houston Astros</v>
      </c>
      <c r="U59" s="2" t="str">
        <f t="shared" si="48"/>
        <v>AL</v>
      </c>
      <c r="V59" s="2">
        <f t="shared" si="48"/>
        <v>49</v>
      </c>
      <c r="W59" s="177">
        <f t="shared" ref="W59:AG59" si="105">W26/$V26</f>
        <v>33.408163265306122</v>
      </c>
      <c r="X59" s="177">
        <f t="shared" si="105"/>
        <v>4.3469387755102042</v>
      </c>
      <c r="Y59" s="177">
        <f t="shared" si="105"/>
        <v>8.1428571428571423</v>
      </c>
      <c r="Z59" s="177">
        <f t="shared" si="105"/>
        <v>1.6734693877551021</v>
      </c>
      <c r="AA59" s="177">
        <f t="shared" si="105"/>
        <v>8.1632653061224483E-2</v>
      </c>
      <c r="AB59" s="177">
        <f t="shared" si="105"/>
        <v>0.91836734693877553</v>
      </c>
      <c r="AC59" s="177">
        <f t="shared" si="105"/>
        <v>4.1632653061224492</v>
      </c>
      <c r="AD59" s="177">
        <f t="shared" si="105"/>
        <v>3.1224489795918369</v>
      </c>
      <c r="AE59" s="177">
        <f t="shared" si="105"/>
        <v>8.0204081632653068</v>
      </c>
      <c r="AF59" s="30">
        <f t="shared" si="105"/>
        <v>0.5714285714285714</v>
      </c>
      <c r="AG59" s="30">
        <f t="shared" si="105"/>
        <v>0.18367346938775511</v>
      </c>
      <c r="AH59" s="26">
        <f t="shared" ref="AH59:AK59" si="106">AH26</f>
        <v>0.24399999999999999</v>
      </c>
      <c r="AI59" s="26">
        <f t="shared" si="106"/>
        <v>0.315</v>
      </c>
      <c r="AJ59" s="26">
        <f t="shared" si="106"/>
        <v>0.38100000000000001</v>
      </c>
      <c r="AK59" s="27">
        <f t="shared" si="106"/>
        <v>0.69599999999999995</v>
      </c>
      <c r="AL59" s="5"/>
    </row>
    <row r="60" spans="1:38" x14ac:dyDescent="0.3">
      <c r="A60" t="s">
        <v>31</v>
      </c>
      <c r="B60" t="str">
        <f>B59</f>
        <v>AL</v>
      </c>
      <c r="C60">
        <f t="shared" ref="C60:R60" si="107">C59</f>
        <v>47</v>
      </c>
      <c r="D60">
        <f t="shared" si="107"/>
        <v>1607</v>
      </c>
      <c r="E60">
        <f t="shared" si="107"/>
        <v>172</v>
      </c>
      <c r="F60">
        <f t="shared" si="107"/>
        <v>369</v>
      </c>
      <c r="G60">
        <f t="shared" si="107"/>
        <v>75</v>
      </c>
      <c r="H60">
        <f t="shared" si="107"/>
        <v>2</v>
      </c>
      <c r="I60">
        <f t="shared" si="107"/>
        <v>40</v>
      </c>
      <c r="J60">
        <f t="shared" si="107"/>
        <v>167</v>
      </c>
      <c r="K60">
        <f t="shared" si="107"/>
        <v>151</v>
      </c>
      <c r="L60">
        <f t="shared" si="107"/>
        <v>426</v>
      </c>
      <c r="M60">
        <f t="shared" si="107"/>
        <v>25</v>
      </c>
      <c r="N60">
        <f t="shared" si="107"/>
        <v>8</v>
      </c>
      <c r="O60">
        <f t="shared" si="107"/>
        <v>0.23</v>
      </c>
      <c r="P60">
        <f t="shared" si="107"/>
        <v>0.3</v>
      </c>
      <c r="Q60">
        <f t="shared" si="107"/>
        <v>0.35299999999999998</v>
      </c>
      <c r="R60">
        <f t="shared" si="107"/>
        <v>0.65300000000000002</v>
      </c>
      <c r="S60" s="5"/>
      <c r="T60" s="17" t="str">
        <f t="shared" si="48"/>
        <v>Seattle Mariners</v>
      </c>
      <c r="U60" s="2" t="str">
        <f t="shared" si="48"/>
        <v>AL</v>
      </c>
      <c r="V60" s="2">
        <f t="shared" si="48"/>
        <v>49</v>
      </c>
      <c r="W60" s="177">
        <f t="shared" ref="W60:AG60" si="108">W27/$V27</f>
        <v>33.510204081632651</v>
      </c>
      <c r="X60" s="177">
        <f t="shared" si="108"/>
        <v>4.5306122448979593</v>
      </c>
      <c r="Y60" s="177">
        <f t="shared" si="108"/>
        <v>7.7142857142857144</v>
      </c>
      <c r="Z60" s="177">
        <f t="shared" si="108"/>
        <v>1.653061224489796</v>
      </c>
      <c r="AA60" s="177">
        <f t="shared" si="108"/>
        <v>8.1632653061224483E-2</v>
      </c>
      <c r="AB60" s="177">
        <f t="shared" si="108"/>
        <v>1.0816326530612246</v>
      </c>
      <c r="AC60" s="177">
        <f t="shared" si="108"/>
        <v>4.3469387755102042</v>
      </c>
      <c r="AD60" s="177">
        <f t="shared" si="108"/>
        <v>3.4285714285714284</v>
      </c>
      <c r="AE60" s="177">
        <f t="shared" si="108"/>
        <v>9.6734693877551017</v>
      </c>
      <c r="AF60" s="30">
        <f t="shared" si="108"/>
        <v>0.61224489795918369</v>
      </c>
      <c r="AG60" s="30">
        <f t="shared" si="108"/>
        <v>0.24489795918367346</v>
      </c>
      <c r="AH60" s="26">
        <f t="shared" ref="AH60:AK60" si="109">AH27</f>
        <v>0.23</v>
      </c>
      <c r="AI60" s="26">
        <f t="shared" si="109"/>
        <v>0.31</v>
      </c>
      <c r="AJ60" s="26">
        <f t="shared" si="109"/>
        <v>0.38100000000000001</v>
      </c>
      <c r="AK60" s="27">
        <f t="shared" si="109"/>
        <v>0.69099999999999995</v>
      </c>
      <c r="AL60" s="5"/>
    </row>
    <row r="61" spans="1:38" x14ac:dyDescent="0.3">
      <c r="A61">
        <v>30</v>
      </c>
      <c r="B61" t="s">
        <v>1</v>
      </c>
      <c r="C61">
        <v>49</v>
      </c>
      <c r="D61">
        <v>1616</v>
      </c>
      <c r="E61">
        <v>169</v>
      </c>
      <c r="F61">
        <v>363</v>
      </c>
      <c r="G61">
        <v>77</v>
      </c>
      <c r="H61">
        <v>10</v>
      </c>
      <c r="I61">
        <v>30</v>
      </c>
      <c r="J61">
        <v>155</v>
      </c>
      <c r="K61">
        <v>158</v>
      </c>
      <c r="L61">
        <v>351</v>
      </c>
      <c r="M61">
        <v>46</v>
      </c>
      <c r="N61">
        <v>8</v>
      </c>
      <c r="O61">
        <v>0.22500000000000001</v>
      </c>
      <c r="P61">
        <v>0.29699999999999999</v>
      </c>
      <c r="Q61">
        <v>0.34</v>
      </c>
      <c r="R61">
        <v>0.63700000000000001</v>
      </c>
      <c r="S61" s="5"/>
      <c r="T61" s="17" t="str">
        <f t="shared" si="48"/>
        <v>Chicago White Sox</v>
      </c>
      <c r="U61" s="2" t="str">
        <f t="shared" si="48"/>
        <v>AL</v>
      </c>
      <c r="V61" s="2">
        <f t="shared" si="48"/>
        <v>51</v>
      </c>
      <c r="W61" s="177">
        <f t="shared" ref="W61:AG61" si="110">W28/$V28</f>
        <v>34</v>
      </c>
      <c r="X61" s="177">
        <f t="shared" si="110"/>
        <v>4.1764705882352944</v>
      </c>
      <c r="Y61" s="177">
        <f t="shared" si="110"/>
        <v>8.117647058823529</v>
      </c>
      <c r="Z61" s="177">
        <f t="shared" si="110"/>
        <v>1.7647058823529411</v>
      </c>
      <c r="AA61" s="177">
        <f t="shared" si="110"/>
        <v>7.8431372549019607E-2</v>
      </c>
      <c r="AB61" s="177">
        <f t="shared" si="110"/>
        <v>1.0196078431372548</v>
      </c>
      <c r="AC61" s="177">
        <f t="shared" si="110"/>
        <v>4.0980392156862742</v>
      </c>
      <c r="AD61" s="177">
        <f t="shared" si="110"/>
        <v>2.4901960784313726</v>
      </c>
      <c r="AE61" s="177">
        <f t="shared" si="110"/>
        <v>8.3137254901960791</v>
      </c>
      <c r="AF61" s="30">
        <f t="shared" si="110"/>
        <v>0.56862745098039214</v>
      </c>
      <c r="AG61" s="30">
        <f t="shared" si="110"/>
        <v>9.8039215686274508E-2</v>
      </c>
      <c r="AH61" s="26">
        <f t="shared" ref="AH61:AK61" si="111">AH28</f>
        <v>0.23899999999999999</v>
      </c>
      <c r="AI61" s="26">
        <f t="shared" si="111"/>
        <v>0.29699999999999999</v>
      </c>
      <c r="AJ61" s="26">
        <f t="shared" si="111"/>
        <v>0.38500000000000001</v>
      </c>
      <c r="AK61" s="27">
        <f t="shared" si="111"/>
        <v>0.68200000000000005</v>
      </c>
      <c r="AL61" s="5"/>
    </row>
    <row r="62" spans="1:38" x14ac:dyDescent="0.3">
      <c r="A62" t="s">
        <v>20</v>
      </c>
      <c r="B62" t="str">
        <f>B61</f>
        <v>AL</v>
      </c>
      <c r="C62">
        <f t="shared" ref="C62:R62" si="112">C61</f>
        <v>49</v>
      </c>
      <c r="D62">
        <f t="shared" si="112"/>
        <v>1616</v>
      </c>
      <c r="E62">
        <f t="shared" si="112"/>
        <v>169</v>
      </c>
      <c r="F62">
        <f t="shared" si="112"/>
        <v>363</v>
      </c>
      <c r="G62">
        <f t="shared" si="112"/>
        <v>77</v>
      </c>
      <c r="H62">
        <f t="shared" si="112"/>
        <v>10</v>
      </c>
      <c r="I62">
        <f t="shared" si="112"/>
        <v>30</v>
      </c>
      <c r="J62">
        <f t="shared" si="112"/>
        <v>155</v>
      </c>
      <c r="K62">
        <f t="shared" si="112"/>
        <v>158</v>
      </c>
      <c r="L62">
        <f t="shared" si="112"/>
        <v>351</v>
      </c>
      <c r="M62">
        <f t="shared" si="112"/>
        <v>46</v>
      </c>
      <c r="N62">
        <f t="shared" si="112"/>
        <v>8</v>
      </c>
      <c r="O62">
        <f t="shared" si="112"/>
        <v>0.22500000000000001</v>
      </c>
      <c r="P62">
        <f t="shared" si="112"/>
        <v>0.29699999999999999</v>
      </c>
      <c r="Q62">
        <f t="shared" si="112"/>
        <v>0.34</v>
      </c>
      <c r="R62">
        <f t="shared" si="112"/>
        <v>0.63700000000000001</v>
      </c>
      <c r="S62" s="5"/>
      <c r="T62" s="17" t="str">
        <f t="shared" si="48"/>
        <v>Kansas City Royals</v>
      </c>
      <c r="U62" s="2" t="str">
        <f t="shared" si="48"/>
        <v>AL</v>
      </c>
      <c r="V62" s="2">
        <f t="shared" si="48"/>
        <v>51</v>
      </c>
      <c r="W62" s="177">
        <f t="shared" ref="W62:AG62" si="113">W29/$V29</f>
        <v>33.392156862745097</v>
      </c>
      <c r="X62" s="177">
        <f t="shared" si="113"/>
        <v>3.8823529411764706</v>
      </c>
      <c r="Y62" s="177">
        <f t="shared" si="113"/>
        <v>7.6470588235294121</v>
      </c>
      <c r="Z62" s="177">
        <f t="shared" si="113"/>
        <v>1.6862745098039216</v>
      </c>
      <c r="AA62" s="177">
        <f t="shared" si="113"/>
        <v>0.23529411764705882</v>
      </c>
      <c r="AB62" s="177">
        <f t="shared" si="113"/>
        <v>0.96078431372549022</v>
      </c>
      <c r="AC62" s="177">
        <f t="shared" si="113"/>
        <v>3.7254901960784315</v>
      </c>
      <c r="AD62" s="177">
        <f t="shared" si="113"/>
        <v>2.6862745098039214</v>
      </c>
      <c r="AE62" s="177">
        <f t="shared" si="113"/>
        <v>8.9411764705882355</v>
      </c>
      <c r="AF62" s="30">
        <f t="shared" si="113"/>
        <v>0.66666666666666663</v>
      </c>
      <c r="AG62" s="30">
        <f t="shared" si="113"/>
        <v>0.13725490196078433</v>
      </c>
      <c r="AH62" s="26">
        <f t="shared" ref="AH62:AK62" si="114">AH29</f>
        <v>0.22900000000000001</v>
      </c>
      <c r="AI62" s="26">
        <f t="shared" si="114"/>
        <v>0.29199999999999998</v>
      </c>
      <c r="AJ62" s="26">
        <f t="shared" si="114"/>
        <v>0.38</v>
      </c>
      <c r="AK62" s="27">
        <f t="shared" si="114"/>
        <v>0.67200000000000004</v>
      </c>
      <c r="AL62" s="5"/>
    </row>
    <row r="63" spans="1:38" x14ac:dyDescent="0.3">
      <c r="A63" t="s">
        <v>31</v>
      </c>
      <c r="S63" s="5"/>
      <c r="T63" s="17" t="str">
        <f t="shared" si="48"/>
        <v>Oakland Athletics</v>
      </c>
      <c r="U63" s="2" t="str">
        <f t="shared" si="48"/>
        <v>AL</v>
      </c>
      <c r="V63" s="2">
        <f t="shared" si="48"/>
        <v>51</v>
      </c>
      <c r="W63" s="177">
        <f t="shared" ref="W63:AG63" si="115">W30/$V30</f>
        <v>33.450980392156865</v>
      </c>
      <c r="X63" s="177">
        <f t="shared" si="115"/>
        <v>3.5490196078431371</v>
      </c>
      <c r="Y63" s="177">
        <f t="shared" si="115"/>
        <v>7.5098039215686274</v>
      </c>
      <c r="Z63" s="177">
        <f t="shared" si="115"/>
        <v>1.3137254901960784</v>
      </c>
      <c r="AA63" s="177">
        <f t="shared" si="115"/>
        <v>0.11764705882352941</v>
      </c>
      <c r="AB63" s="177">
        <f t="shared" si="115"/>
        <v>1.0392156862745099</v>
      </c>
      <c r="AC63" s="177">
        <f t="shared" si="115"/>
        <v>3.4313725490196076</v>
      </c>
      <c r="AD63" s="177">
        <f t="shared" si="115"/>
        <v>3.2549019607843137</v>
      </c>
      <c r="AE63" s="177">
        <f t="shared" si="115"/>
        <v>9.4313725490196081</v>
      </c>
      <c r="AF63" s="30">
        <f t="shared" si="115"/>
        <v>0.96078431372549022</v>
      </c>
      <c r="AG63" s="30">
        <f t="shared" si="115"/>
        <v>0.21568627450980393</v>
      </c>
      <c r="AH63" s="26">
        <f t="shared" ref="AH63:AK63" si="116">AH30</f>
        <v>0.22500000000000001</v>
      </c>
      <c r="AI63" s="26">
        <f t="shared" si="116"/>
        <v>0.30199999999999999</v>
      </c>
      <c r="AJ63" s="26">
        <f t="shared" si="116"/>
        <v>0.36399999999999999</v>
      </c>
      <c r="AK63" s="27">
        <f t="shared" si="116"/>
        <v>0.66600000000000004</v>
      </c>
      <c r="AL63" s="5"/>
    </row>
    <row r="64" spans="1:38" x14ac:dyDescent="0.3">
      <c r="S64" s="5"/>
      <c r="T64" s="17" t="str">
        <f t="shared" si="48"/>
        <v>Detroit Tigers</v>
      </c>
      <c r="U64" s="2" t="str">
        <f t="shared" si="48"/>
        <v>AL</v>
      </c>
      <c r="V64" s="2">
        <f t="shared" si="48"/>
        <v>47</v>
      </c>
      <c r="W64" s="177">
        <f t="shared" ref="W64:AG64" si="117">W31/$V31</f>
        <v>34.191489361702125</v>
      </c>
      <c r="X64" s="177">
        <f t="shared" si="117"/>
        <v>3.6595744680851063</v>
      </c>
      <c r="Y64" s="177">
        <f t="shared" si="117"/>
        <v>7.8510638297872344</v>
      </c>
      <c r="Z64" s="177">
        <f t="shared" si="117"/>
        <v>1.5957446808510638</v>
      </c>
      <c r="AA64" s="177">
        <f t="shared" si="117"/>
        <v>4.2553191489361701E-2</v>
      </c>
      <c r="AB64" s="177">
        <f t="shared" si="117"/>
        <v>0.85106382978723405</v>
      </c>
      <c r="AC64" s="177">
        <f t="shared" si="117"/>
        <v>3.5531914893617023</v>
      </c>
      <c r="AD64" s="177">
        <f t="shared" si="117"/>
        <v>3.2127659574468086</v>
      </c>
      <c r="AE64" s="177">
        <f t="shared" si="117"/>
        <v>9.0638297872340434</v>
      </c>
      <c r="AF64" s="30">
        <f t="shared" si="117"/>
        <v>0.53191489361702127</v>
      </c>
      <c r="AG64" s="30">
        <f t="shared" si="117"/>
        <v>0.1702127659574468</v>
      </c>
      <c r="AH64" s="26">
        <f t="shared" ref="AH64:AK64" si="118">AH31</f>
        <v>0.23</v>
      </c>
      <c r="AI64" s="26">
        <f t="shared" si="118"/>
        <v>0.3</v>
      </c>
      <c r="AJ64" s="26">
        <f t="shared" si="118"/>
        <v>0.35299999999999998</v>
      </c>
      <c r="AK64" s="27">
        <f t="shared" si="118"/>
        <v>0.65300000000000002</v>
      </c>
      <c r="AL64" s="5"/>
    </row>
    <row r="65" spans="19:38" ht="15" thickBot="1" x14ac:dyDescent="0.35">
      <c r="S65" s="5"/>
      <c r="T65" s="18" t="str">
        <f>T32</f>
        <v>Cleveland Guardians</v>
      </c>
      <c r="U65" s="20" t="str">
        <f t="shared" ref="U65:V65" si="119">U32</f>
        <v>AL</v>
      </c>
      <c r="V65" s="20">
        <f t="shared" si="119"/>
        <v>49</v>
      </c>
      <c r="W65" s="178">
        <f t="shared" ref="W65:AG65" si="120">W32/$V32</f>
        <v>32.979591836734691</v>
      </c>
      <c r="X65" s="178">
        <f t="shared" si="120"/>
        <v>3.4489795918367347</v>
      </c>
      <c r="Y65" s="178">
        <f t="shared" si="120"/>
        <v>7.408163265306122</v>
      </c>
      <c r="Z65" s="178">
        <f t="shared" si="120"/>
        <v>1.5714285714285714</v>
      </c>
      <c r="AA65" s="178">
        <f t="shared" si="120"/>
        <v>0.20408163265306123</v>
      </c>
      <c r="AB65" s="178">
        <f t="shared" si="120"/>
        <v>0.61224489795918369</v>
      </c>
      <c r="AC65" s="178">
        <f t="shared" si="120"/>
        <v>3.1632653061224492</v>
      </c>
      <c r="AD65" s="178">
        <f t="shared" si="120"/>
        <v>3.2244897959183674</v>
      </c>
      <c r="AE65" s="178">
        <f t="shared" si="120"/>
        <v>7.1632653061224492</v>
      </c>
      <c r="AF65" s="31">
        <f t="shared" si="120"/>
        <v>0.93877551020408168</v>
      </c>
      <c r="AG65" s="31">
        <f t="shared" si="120"/>
        <v>0.16326530612244897</v>
      </c>
      <c r="AH65" s="28">
        <f t="shared" ref="AH65:AK65" si="121">AH32</f>
        <v>0.22500000000000001</v>
      </c>
      <c r="AI65" s="28">
        <f t="shared" si="121"/>
        <v>0.29699999999999999</v>
      </c>
      <c r="AJ65" s="28">
        <f t="shared" si="121"/>
        <v>0.34</v>
      </c>
      <c r="AK65" s="29">
        <f t="shared" si="121"/>
        <v>0.63700000000000001</v>
      </c>
      <c r="AL65" s="5"/>
    </row>
    <row r="66" spans="19:38" x14ac:dyDescent="0.3">
      <c r="S66" s="5"/>
      <c r="AL66" s="5"/>
    </row>
    <row r="67" spans="19:38" x14ac:dyDescent="0.3">
      <c r="S67" s="5"/>
      <c r="AL67" s="5"/>
    </row>
    <row r="68" spans="19:38" x14ac:dyDescent="0.3">
      <c r="S68" s="5"/>
      <c r="AL68" s="5"/>
    </row>
    <row r="69" spans="19:38" x14ac:dyDescent="0.3">
      <c r="S69" s="5"/>
      <c r="AL69" s="5"/>
    </row>
    <row r="70" spans="19:38" x14ac:dyDescent="0.3">
      <c r="S70" s="5"/>
      <c r="AL70" s="5"/>
    </row>
    <row r="71" spans="19:38" x14ac:dyDescent="0.3">
      <c r="S71" s="5"/>
      <c r="AL71" s="5"/>
    </row>
    <row r="72" spans="19:38" x14ac:dyDescent="0.3">
      <c r="S72" s="5"/>
      <c r="AL72" s="5"/>
    </row>
    <row r="73" spans="19:38" x14ac:dyDescent="0.3">
      <c r="S73" s="5"/>
      <c r="AL73" s="5"/>
    </row>
    <row r="74" spans="19:38" x14ac:dyDescent="0.3">
      <c r="S74" s="5"/>
      <c r="AL74" s="5"/>
    </row>
    <row r="75" spans="19:38" x14ac:dyDescent="0.3">
      <c r="S75" s="5"/>
      <c r="AL75" s="5"/>
    </row>
    <row r="76" spans="19:38" x14ac:dyDescent="0.3">
      <c r="S76" s="5"/>
      <c r="AL76" s="5"/>
    </row>
    <row r="77" spans="19:38" x14ac:dyDescent="0.3">
      <c r="S77" s="5"/>
      <c r="AL77" s="5"/>
    </row>
    <row r="78" spans="19:38" x14ac:dyDescent="0.3">
      <c r="S78" s="5"/>
      <c r="AL78" s="5"/>
    </row>
    <row r="79" spans="19:38" x14ac:dyDescent="0.3">
      <c r="S79" s="5"/>
      <c r="AL79" s="5"/>
    </row>
    <row r="80" spans="19:38" x14ac:dyDescent="0.3">
      <c r="S80" s="5"/>
      <c r="AL80" s="5"/>
    </row>
    <row r="81" spans="19:38" x14ac:dyDescent="0.3">
      <c r="S81" s="5"/>
      <c r="AL81" s="5"/>
    </row>
    <row r="82" spans="19:38" x14ac:dyDescent="0.3">
      <c r="S82" s="5"/>
      <c r="AL82" s="5"/>
    </row>
    <row r="83" spans="19:38" x14ac:dyDescent="0.3">
      <c r="S83" s="5"/>
      <c r="AL83" s="5"/>
    </row>
    <row r="84" spans="19:38" x14ac:dyDescent="0.3">
      <c r="S84" s="5"/>
      <c r="AL84" s="5"/>
    </row>
    <row r="85" spans="19:38" x14ac:dyDescent="0.3">
      <c r="S85" s="5"/>
      <c r="AL85" s="5"/>
    </row>
    <row r="86" spans="19:38" x14ac:dyDescent="0.3">
      <c r="S86" s="5"/>
      <c r="AL86" s="5"/>
    </row>
    <row r="87" spans="19:38" x14ac:dyDescent="0.3">
      <c r="S87" s="5"/>
      <c r="AL87" s="5"/>
    </row>
    <row r="88" spans="19:38" x14ac:dyDescent="0.3">
      <c r="S88" s="5"/>
      <c r="AL88" s="5"/>
    </row>
    <row r="89" spans="19:38" x14ac:dyDescent="0.3">
      <c r="S89" s="5"/>
      <c r="AL89" s="5"/>
    </row>
    <row r="90" spans="19:38" x14ac:dyDescent="0.3">
      <c r="S90" s="5"/>
      <c r="AL90" s="5"/>
    </row>
    <row r="91" spans="19:38" x14ac:dyDescent="0.3">
      <c r="S91" s="5"/>
      <c r="AL91" s="5"/>
    </row>
    <row r="92" spans="19:38" x14ac:dyDescent="0.3">
      <c r="S92" s="5"/>
      <c r="AL92" s="5"/>
    </row>
    <row r="93" spans="19:38" x14ac:dyDescent="0.3">
      <c r="S93" s="5"/>
      <c r="AL93" s="5"/>
    </row>
    <row r="94" spans="19:38" x14ac:dyDescent="0.3">
      <c r="S94" s="5"/>
      <c r="AL94" s="5"/>
    </row>
    <row r="95" spans="19:38" x14ac:dyDescent="0.3">
      <c r="S95" s="5"/>
      <c r="AL95" s="5"/>
    </row>
    <row r="96" spans="19:38" x14ac:dyDescent="0.3">
      <c r="S96" s="5"/>
      <c r="AL96" s="5"/>
    </row>
    <row r="97" spans="19:38" x14ac:dyDescent="0.3">
      <c r="S97" s="5"/>
      <c r="AL97" s="5"/>
    </row>
    <row r="98" spans="19:38" x14ac:dyDescent="0.3">
      <c r="S98" s="5"/>
      <c r="AL98" s="5"/>
    </row>
    <row r="99" spans="19:38" x14ac:dyDescent="0.3">
      <c r="S99" s="5"/>
      <c r="AL99" s="5"/>
    </row>
    <row r="100" spans="19:38" x14ac:dyDescent="0.3">
      <c r="S100" s="5"/>
      <c r="AL100" s="5"/>
    </row>
  </sheetData>
  <conditionalFormatting sqref="AB3:AB32">
    <cfRule type="colorScale" priority="11">
      <colorScale>
        <cfvo type="min"/>
        <cfvo type="percentile" val="50"/>
        <cfvo type="max"/>
        <color rgb="FFF8696B"/>
        <color rgb="FFFCFCFF"/>
        <color rgb="FF63BE7B"/>
      </colorScale>
    </cfRule>
  </conditionalFormatting>
  <conditionalFormatting sqref="AC36:AC65">
    <cfRule type="colorScale" priority="10">
      <colorScale>
        <cfvo type="min"/>
        <cfvo type="percentile" val="50"/>
        <cfvo type="max"/>
        <color rgb="FFF8696B"/>
        <color rgb="FFFCFCFF"/>
        <color rgb="FF63BE7B"/>
      </colorScale>
    </cfRule>
  </conditionalFormatting>
  <conditionalFormatting sqref="AE36:AE65">
    <cfRule type="colorScale" priority="8">
      <colorScale>
        <cfvo type="min"/>
        <cfvo type="percentile" val="50"/>
        <cfvo type="max"/>
        <color rgb="FF63BE7B"/>
        <color rgb="FFFCFCFF"/>
        <color rgb="FFF8696B"/>
      </colorScale>
    </cfRule>
  </conditionalFormatting>
  <conditionalFormatting sqref="AB36:AB65">
    <cfRule type="colorScale" priority="7">
      <colorScale>
        <cfvo type="min"/>
        <cfvo type="percentile" val="50"/>
        <cfvo type="max"/>
        <color rgb="FFF8696B"/>
        <color rgb="FFFCFCFF"/>
        <color rgb="FF63BE7B"/>
      </colorScale>
    </cfRule>
  </conditionalFormatting>
  <conditionalFormatting sqref="AA36:AA65">
    <cfRule type="colorScale" priority="6">
      <colorScale>
        <cfvo type="min"/>
        <cfvo type="percentile" val="50"/>
        <cfvo type="max"/>
        <color rgb="FFF8696B"/>
        <color rgb="FFFCFCFF"/>
        <color rgb="FF63BE7B"/>
      </colorScale>
    </cfRule>
  </conditionalFormatting>
  <conditionalFormatting sqref="Z36:Z65">
    <cfRule type="colorScale" priority="5">
      <colorScale>
        <cfvo type="min"/>
        <cfvo type="percentile" val="50"/>
        <cfvo type="max"/>
        <color rgb="FFF8696B"/>
        <color rgb="FFFCFCFF"/>
        <color rgb="FF63BE7B"/>
      </colorScale>
    </cfRule>
  </conditionalFormatting>
  <conditionalFormatting sqref="Y36:Y65">
    <cfRule type="colorScale" priority="4">
      <colorScale>
        <cfvo type="min"/>
        <cfvo type="percentile" val="50"/>
        <cfvo type="max"/>
        <color rgb="FFF8696B"/>
        <color rgb="FFFCFCFF"/>
        <color rgb="FF63BE7B"/>
      </colorScale>
    </cfRule>
  </conditionalFormatting>
  <conditionalFormatting sqref="X36:X65">
    <cfRule type="colorScale" priority="3">
      <colorScale>
        <cfvo type="min"/>
        <cfvo type="percentile" val="50"/>
        <cfvo type="max"/>
        <color rgb="FFF8696B"/>
        <color rgb="FFFCFCFF"/>
        <color rgb="FF63BE7B"/>
      </colorScale>
    </cfRule>
  </conditionalFormatting>
  <conditionalFormatting sqref="W36:W65">
    <cfRule type="colorScale" priority="2">
      <colorScale>
        <cfvo type="min"/>
        <cfvo type="percentile" val="50"/>
        <cfvo type="max"/>
        <color rgb="FFF8696B"/>
        <color rgb="FFFCFCFF"/>
        <color rgb="FF63BE7B"/>
      </colorScale>
    </cfRule>
  </conditionalFormatting>
  <conditionalFormatting sqref="AH36:AH65">
    <cfRule type="colorScale" priority="1">
      <colorScale>
        <cfvo type="min"/>
        <cfvo type="percentile" val="50"/>
        <cfvo type="max"/>
        <color rgb="FFF8696B"/>
        <color rgb="FFFCFCFF"/>
        <color rgb="FF63BE7B"/>
      </colorScale>
    </cfRule>
  </conditionalFormatting>
  <hyperlinks>
    <hyperlink ref="A1" r:id="rId1" xr:uid="{AB3B6FA6-28D0-49CA-B6FC-B939C42216BC}"/>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9D1C5-1C18-4F5D-849F-DCF6D5C03B30}">
  <sheetPr codeName="Sheet14">
    <tabColor rgb="FFFF0000"/>
  </sheetPr>
  <dimension ref="A1:U1106"/>
  <sheetViews>
    <sheetView workbookViewId="0">
      <selection activeCell="Q7" sqref="Q7"/>
    </sheetView>
  </sheetViews>
  <sheetFormatPr defaultRowHeight="14.4" x14ac:dyDescent="0.3"/>
  <cols>
    <col min="1" max="1" width="4" bestFit="1" customWidth="1"/>
    <col min="2" max="2" width="19.88671875" bestFit="1" customWidth="1"/>
    <col min="3" max="3" width="6.33203125" bestFit="1" customWidth="1"/>
    <col min="4" max="4" width="4" bestFit="1" customWidth="1"/>
    <col min="5" max="5" width="5" bestFit="1" customWidth="1"/>
    <col min="6" max="6" width="9.109375" style="1" bestFit="1" customWidth="1"/>
    <col min="7" max="7" width="8.44140625" style="1" bestFit="1" customWidth="1"/>
    <col min="8" max="8" width="10.5546875" style="1" bestFit="1" customWidth="1"/>
    <col min="12" max="12" width="12.5546875" bestFit="1" customWidth="1"/>
    <col min="13" max="13" width="14.88671875" bestFit="1" customWidth="1"/>
    <col min="14" max="14" width="14.33203125" bestFit="1" customWidth="1"/>
    <col min="16" max="16" width="15.5546875" bestFit="1" customWidth="1"/>
    <col min="17" max="17" width="7.88671875" bestFit="1" customWidth="1"/>
    <col min="18" max="18" width="8.5546875" bestFit="1" customWidth="1"/>
  </cols>
  <sheetData>
    <row r="1" spans="1:21" ht="15" thickBot="1" x14ac:dyDescent="0.35">
      <c r="A1" s="191" t="s">
        <v>213</v>
      </c>
      <c r="B1" s="191" t="s">
        <v>214</v>
      </c>
      <c r="C1" s="191" t="s">
        <v>32</v>
      </c>
      <c r="D1" s="191" t="s">
        <v>215</v>
      </c>
      <c r="E1" s="191" t="s">
        <v>216</v>
      </c>
      <c r="F1" s="191" t="s">
        <v>217</v>
      </c>
      <c r="G1" s="191" t="s">
        <v>218</v>
      </c>
      <c r="H1" s="191" t="s">
        <v>219</v>
      </c>
      <c r="K1" s="96" t="s">
        <v>976</v>
      </c>
      <c r="L1" s="97"/>
      <c r="M1" s="97"/>
      <c r="P1" s="95" t="s">
        <v>984</v>
      </c>
      <c r="Q1" s="95"/>
      <c r="R1" s="95"/>
    </row>
    <row r="2" spans="1:21" x14ac:dyDescent="0.3">
      <c r="A2" s="1">
        <v>1</v>
      </c>
      <c r="B2" s="1" t="s">
        <v>190</v>
      </c>
      <c r="C2" s="1" t="s">
        <v>286</v>
      </c>
      <c r="D2" s="1"/>
      <c r="E2" s="1">
        <v>66.2</v>
      </c>
      <c r="F2" s="1">
        <v>0</v>
      </c>
      <c r="G2" s="1">
        <v>2.8</v>
      </c>
      <c r="H2" s="1">
        <v>2.8</v>
      </c>
      <c r="L2" s="88" t="s">
        <v>977</v>
      </c>
      <c r="M2" t="s">
        <v>979</v>
      </c>
      <c r="N2" t="s">
        <v>980</v>
      </c>
      <c r="P2" s="94" t="s">
        <v>981</v>
      </c>
      <c r="Q2" s="23" t="s">
        <v>982</v>
      </c>
      <c r="R2" s="24" t="s">
        <v>983</v>
      </c>
      <c r="U2" s="1">
        <v>1.2</v>
      </c>
    </row>
    <row r="3" spans="1:21" x14ac:dyDescent="0.3">
      <c r="A3" s="1">
        <v>2</v>
      </c>
      <c r="B3" s="1" t="s">
        <v>275</v>
      </c>
      <c r="C3" s="1" t="s">
        <v>250</v>
      </c>
      <c r="D3" s="1">
        <v>222</v>
      </c>
      <c r="E3" s="1"/>
      <c r="F3" s="1">
        <v>2.5</v>
      </c>
      <c r="H3" s="1">
        <v>2.5</v>
      </c>
      <c r="L3" s="1" t="s">
        <v>286</v>
      </c>
      <c r="M3" s="25">
        <v>8.4</v>
      </c>
      <c r="N3" s="25">
        <v>4.1999999999999984</v>
      </c>
      <c r="P3" s="93" t="str">
        <f>L3</f>
        <v>ARI</v>
      </c>
      <c r="Q3" s="98">
        <f t="shared" ref="Q3:R3" si="0">M3</f>
        <v>8.4</v>
      </c>
      <c r="R3" s="98">
        <f t="shared" si="0"/>
        <v>4.1999999999999984</v>
      </c>
    </row>
    <row r="4" spans="1:21" x14ac:dyDescent="0.3">
      <c r="A4" s="1">
        <v>3</v>
      </c>
      <c r="B4" s="1" t="s">
        <v>595</v>
      </c>
      <c r="C4" s="1" t="s">
        <v>250</v>
      </c>
      <c r="D4" s="1">
        <v>171</v>
      </c>
      <c r="E4" s="1"/>
      <c r="F4" s="1">
        <v>2.5</v>
      </c>
      <c r="H4" s="1">
        <v>2.5</v>
      </c>
      <c r="L4" s="1" t="s">
        <v>250</v>
      </c>
      <c r="M4" s="25">
        <v>7.8000000000000007</v>
      </c>
      <c r="N4" s="25">
        <v>7.1</v>
      </c>
      <c r="P4" s="93" t="str">
        <f t="shared" ref="P4:P33" si="1">L4</f>
        <v>ATL</v>
      </c>
      <c r="Q4" s="98">
        <f t="shared" ref="Q4:Q33" si="2">M4</f>
        <v>7.8000000000000007</v>
      </c>
      <c r="R4" s="98">
        <f t="shared" ref="R4:R33" si="3">N4</f>
        <v>7.1</v>
      </c>
    </row>
    <row r="5" spans="1:21" x14ac:dyDescent="0.3">
      <c r="A5" s="1">
        <v>4</v>
      </c>
      <c r="B5" s="1" t="s">
        <v>437</v>
      </c>
      <c r="C5" s="1" t="s">
        <v>264</v>
      </c>
      <c r="D5" s="1">
        <v>229</v>
      </c>
      <c r="E5" s="1"/>
      <c r="F5" s="1">
        <v>2.5</v>
      </c>
      <c r="H5" s="1">
        <v>2.5</v>
      </c>
      <c r="L5" s="1" t="s">
        <v>278</v>
      </c>
      <c r="M5" s="25">
        <v>6.799999999999998</v>
      </c>
      <c r="N5" s="25">
        <v>4.8999999999999995</v>
      </c>
      <c r="P5" s="93" t="str">
        <f t="shared" si="1"/>
        <v>BAL</v>
      </c>
      <c r="Q5" s="98">
        <f t="shared" si="2"/>
        <v>6.799999999999998</v>
      </c>
      <c r="R5" s="98">
        <f t="shared" si="3"/>
        <v>4.8999999999999995</v>
      </c>
    </row>
    <row r="6" spans="1:21" x14ac:dyDescent="0.3">
      <c r="A6" s="1">
        <v>5</v>
      </c>
      <c r="B6" s="1" t="s">
        <v>150</v>
      </c>
      <c r="C6" s="1" t="s">
        <v>264</v>
      </c>
      <c r="D6" s="1"/>
      <c r="E6" s="1">
        <v>69.099999999999994</v>
      </c>
      <c r="F6" s="1">
        <v>0</v>
      </c>
      <c r="G6" s="1">
        <v>2.4</v>
      </c>
      <c r="H6" s="1">
        <v>2.4</v>
      </c>
      <c r="L6" s="1" t="s">
        <v>221</v>
      </c>
      <c r="M6" s="25">
        <v>6.9</v>
      </c>
      <c r="N6" s="25">
        <v>2.2999999999999998</v>
      </c>
      <c r="P6" s="93" t="str">
        <f t="shared" si="1"/>
        <v>BOS</v>
      </c>
      <c r="Q6" s="98">
        <f t="shared" si="2"/>
        <v>6.9</v>
      </c>
      <c r="R6" s="98">
        <f t="shared" si="3"/>
        <v>2.2999999999999998</v>
      </c>
    </row>
    <row r="7" spans="1:21" x14ac:dyDescent="0.3">
      <c r="A7" s="1">
        <v>6</v>
      </c>
      <c r="B7" s="1" t="s">
        <v>227</v>
      </c>
      <c r="C7" s="1" t="s">
        <v>228</v>
      </c>
      <c r="D7" s="1">
        <v>216</v>
      </c>
      <c r="E7" s="1"/>
      <c r="F7" s="1">
        <v>2.2999999999999998</v>
      </c>
      <c r="H7" s="1">
        <v>2.2999999999999998</v>
      </c>
      <c r="L7" s="1" t="s">
        <v>248</v>
      </c>
      <c r="M7" s="25">
        <v>8.5000000000000018</v>
      </c>
      <c r="N7" s="25">
        <v>5.1999999999999993</v>
      </c>
      <c r="P7" s="93" t="str">
        <f t="shared" si="1"/>
        <v>CHC</v>
      </c>
      <c r="Q7" s="98">
        <f t="shared" si="2"/>
        <v>8.5000000000000018</v>
      </c>
      <c r="R7" s="98">
        <f t="shared" si="3"/>
        <v>5.1999999999999993</v>
      </c>
    </row>
    <row r="8" spans="1:21" x14ac:dyDescent="0.3">
      <c r="A8" s="1">
        <v>7</v>
      </c>
      <c r="B8" s="1" t="s">
        <v>156</v>
      </c>
      <c r="C8" s="1" t="s">
        <v>235</v>
      </c>
      <c r="D8" s="1">
        <v>217</v>
      </c>
      <c r="E8" s="1">
        <v>59</v>
      </c>
      <c r="F8" s="1">
        <v>1.2</v>
      </c>
      <c r="G8" s="1">
        <v>1.1000000000000001</v>
      </c>
      <c r="H8" s="1">
        <v>2.2999999999999998</v>
      </c>
      <c r="L8" s="1" t="s">
        <v>243</v>
      </c>
      <c r="M8" s="25">
        <v>2.2000000000000011</v>
      </c>
      <c r="N8" s="25">
        <v>3.8</v>
      </c>
      <c r="P8" s="93" t="str">
        <f t="shared" si="1"/>
        <v>CHW</v>
      </c>
      <c r="Q8" s="98">
        <f t="shared" si="2"/>
        <v>2.2000000000000011</v>
      </c>
      <c r="R8" s="98">
        <f t="shared" si="3"/>
        <v>3.8</v>
      </c>
    </row>
    <row r="9" spans="1:21" x14ac:dyDescent="0.3">
      <c r="A9" s="1">
        <v>8</v>
      </c>
      <c r="B9" s="1" t="s">
        <v>147</v>
      </c>
      <c r="C9" s="1" t="s">
        <v>234</v>
      </c>
      <c r="D9" s="1"/>
      <c r="E9" s="1">
        <v>63</v>
      </c>
      <c r="F9" s="1">
        <v>0</v>
      </c>
      <c r="G9" s="1">
        <v>2.2999999999999998</v>
      </c>
      <c r="H9" s="1">
        <v>2.2999999999999998</v>
      </c>
      <c r="L9" s="1" t="s">
        <v>270</v>
      </c>
      <c r="M9" s="25">
        <v>2.4000000000000008</v>
      </c>
      <c r="N9" s="25">
        <v>4.3999999999999995</v>
      </c>
      <c r="P9" s="93" t="str">
        <f t="shared" si="1"/>
        <v>CIN</v>
      </c>
      <c r="Q9" s="98">
        <f t="shared" si="2"/>
        <v>2.4000000000000008</v>
      </c>
      <c r="R9" s="98">
        <f t="shared" si="3"/>
        <v>4.3999999999999995</v>
      </c>
    </row>
    <row r="10" spans="1:21" x14ac:dyDescent="0.3">
      <c r="A10" s="1">
        <v>9</v>
      </c>
      <c r="B10" s="1" t="s">
        <v>299</v>
      </c>
      <c r="C10" s="1" t="s">
        <v>226</v>
      </c>
      <c r="D10" s="1">
        <v>233</v>
      </c>
      <c r="E10" s="1"/>
      <c r="F10" s="1">
        <v>2.2999999999999998</v>
      </c>
      <c r="H10" s="1">
        <v>2.2999999999999998</v>
      </c>
      <c r="L10" s="1" t="s">
        <v>251</v>
      </c>
      <c r="M10" s="25">
        <v>0.29999999999999993</v>
      </c>
      <c r="N10" s="25">
        <v>4.9999999999999991</v>
      </c>
      <c r="P10" s="93" t="str">
        <f t="shared" si="1"/>
        <v>CLE</v>
      </c>
      <c r="Q10" s="98">
        <f t="shared" si="2"/>
        <v>0.29999999999999993</v>
      </c>
      <c r="R10" s="98">
        <f t="shared" si="3"/>
        <v>4.9999999999999991</v>
      </c>
    </row>
    <row r="11" spans="1:21" x14ac:dyDescent="0.3">
      <c r="A11" s="1">
        <v>10</v>
      </c>
      <c r="B11" s="1" t="s">
        <v>152</v>
      </c>
      <c r="C11" s="1" t="s">
        <v>274</v>
      </c>
      <c r="D11" s="1"/>
      <c r="E11" s="1">
        <v>54.1</v>
      </c>
      <c r="F11" s="1">
        <v>0</v>
      </c>
      <c r="G11" s="1">
        <v>2.2000000000000002</v>
      </c>
      <c r="H11" s="1">
        <v>2.2000000000000002</v>
      </c>
      <c r="L11" s="1" t="s">
        <v>266</v>
      </c>
      <c r="M11" s="25">
        <v>-0.59999999999999931</v>
      </c>
      <c r="N11" s="25">
        <v>3.1999999999999997</v>
      </c>
      <c r="P11" s="93" t="str">
        <f t="shared" si="1"/>
        <v>COL</v>
      </c>
      <c r="Q11" s="98">
        <f t="shared" si="2"/>
        <v>-0.59999999999999931</v>
      </c>
      <c r="R11" s="98">
        <f t="shared" si="3"/>
        <v>3.1999999999999997</v>
      </c>
    </row>
    <row r="12" spans="1:21" x14ac:dyDescent="0.3">
      <c r="A12" s="1">
        <v>11</v>
      </c>
      <c r="B12" s="1" t="s">
        <v>276</v>
      </c>
      <c r="C12" s="1" t="s">
        <v>222</v>
      </c>
      <c r="D12" s="1">
        <v>175</v>
      </c>
      <c r="E12" s="1"/>
      <c r="F12" s="1">
        <v>2.2000000000000002</v>
      </c>
      <c r="H12" s="1">
        <v>2.2000000000000002</v>
      </c>
      <c r="L12" s="1" t="s">
        <v>346</v>
      </c>
      <c r="M12" s="25">
        <v>2.3000000000000007</v>
      </c>
      <c r="N12" s="25">
        <v>1.7999999999999996</v>
      </c>
      <c r="P12" s="93" t="str">
        <f t="shared" si="1"/>
        <v>DET</v>
      </c>
      <c r="Q12" s="98">
        <f t="shared" si="2"/>
        <v>2.3000000000000007</v>
      </c>
      <c r="R12" s="98">
        <f t="shared" si="3"/>
        <v>1.7999999999999996</v>
      </c>
    </row>
    <row r="13" spans="1:21" x14ac:dyDescent="0.3">
      <c r="A13" s="1">
        <v>12</v>
      </c>
      <c r="B13" s="1" t="s">
        <v>257</v>
      </c>
      <c r="C13" s="1" t="s">
        <v>228</v>
      </c>
      <c r="D13" s="1">
        <v>213</v>
      </c>
      <c r="E13" s="1"/>
      <c r="F13" s="1">
        <v>2.1</v>
      </c>
      <c r="H13" s="1">
        <v>2.1</v>
      </c>
      <c r="L13" s="1" t="s">
        <v>224</v>
      </c>
      <c r="M13" s="25">
        <v>4.4000000000000012</v>
      </c>
      <c r="N13" s="25">
        <v>7.2999999999999989</v>
      </c>
      <c r="P13" s="93" t="str">
        <f t="shared" si="1"/>
        <v>HOU</v>
      </c>
      <c r="Q13" s="98">
        <f t="shared" si="2"/>
        <v>4.4000000000000012</v>
      </c>
      <c r="R13" s="98">
        <f t="shared" si="3"/>
        <v>7.2999999999999989</v>
      </c>
    </row>
    <row r="14" spans="1:21" x14ac:dyDescent="0.3">
      <c r="A14" s="1">
        <v>13</v>
      </c>
      <c r="B14" s="1" t="s">
        <v>347</v>
      </c>
      <c r="C14" s="1" t="s">
        <v>234</v>
      </c>
      <c r="D14" s="1">
        <v>227</v>
      </c>
      <c r="E14" s="1"/>
      <c r="F14" s="1">
        <v>2.1</v>
      </c>
      <c r="H14" s="1">
        <v>2.1</v>
      </c>
      <c r="L14" s="1" t="s">
        <v>287</v>
      </c>
      <c r="M14" s="25">
        <v>2.1999999999999993</v>
      </c>
      <c r="N14" s="25">
        <v>2.4999999999999996</v>
      </c>
      <c r="P14" s="93" t="str">
        <f t="shared" si="1"/>
        <v>KCR</v>
      </c>
      <c r="Q14" s="98">
        <f t="shared" si="2"/>
        <v>2.1999999999999993</v>
      </c>
      <c r="R14" s="98">
        <f t="shared" si="3"/>
        <v>2.4999999999999996</v>
      </c>
    </row>
    <row r="15" spans="1:21" x14ac:dyDescent="0.3">
      <c r="A15" s="1">
        <v>14</v>
      </c>
      <c r="B15" s="1" t="s">
        <v>233</v>
      </c>
      <c r="C15" s="1" t="s">
        <v>234</v>
      </c>
      <c r="D15" s="1">
        <v>211</v>
      </c>
      <c r="E15" s="1"/>
      <c r="F15" s="1">
        <v>2.1</v>
      </c>
      <c r="H15" s="1">
        <v>2.1</v>
      </c>
      <c r="L15" s="1" t="s">
        <v>235</v>
      </c>
      <c r="M15" s="25">
        <v>7.2999999999999989</v>
      </c>
      <c r="N15" s="25">
        <v>5.6000000000000005</v>
      </c>
      <c r="P15" s="93" t="str">
        <f t="shared" si="1"/>
        <v>LAA</v>
      </c>
      <c r="Q15" s="98">
        <f t="shared" si="2"/>
        <v>7.2999999999999989</v>
      </c>
      <c r="R15" s="98">
        <f t="shared" si="3"/>
        <v>5.6000000000000005</v>
      </c>
    </row>
    <row r="16" spans="1:21" x14ac:dyDescent="0.3">
      <c r="A16" s="1">
        <v>15</v>
      </c>
      <c r="B16" s="1" t="s">
        <v>582</v>
      </c>
      <c r="C16" s="1" t="s">
        <v>274</v>
      </c>
      <c r="D16" s="1"/>
      <c r="E16" s="1">
        <v>61</v>
      </c>
      <c r="F16" s="1">
        <v>0</v>
      </c>
      <c r="G16" s="1">
        <v>2.1</v>
      </c>
      <c r="H16" s="1">
        <v>2.1</v>
      </c>
      <c r="L16" s="1" t="s">
        <v>226</v>
      </c>
      <c r="M16" s="25">
        <v>9.4000000000000021</v>
      </c>
      <c r="N16" s="25">
        <v>5.9000000000000012</v>
      </c>
      <c r="P16" s="93" t="str">
        <f t="shared" si="1"/>
        <v>LAD</v>
      </c>
      <c r="Q16" s="98">
        <f t="shared" si="2"/>
        <v>9.4000000000000021</v>
      </c>
      <c r="R16" s="98">
        <f t="shared" si="3"/>
        <v>5.9000000000000012</v>
      </c>
    </row>
    <row r="17" spans="1:18" x14ac:dyDescent="0.3">
      <c r="A17" s="1">
        <v>16</v>
      </c>
      <c r="B17" s="1" t="s">
        <v>253</v>
      </c>
      <c r="C17" s="1" t="s">
        <v>243</v>
      </c>
      <c r="D17" s="1">
        <v>201</v>
      </c>
      <c r="E17" s="1"/>
      <c r="F17" s="1">
        <v>2.1</v>
      </c>
      <c r="H17" s="1">
        <v>2.1</v>
      </c>
      <c r="L17" s="1" t="s">
        <v>246</v>
      </c>
      <c r="M17" s="25">
        <v>3.6000000000000005</v>
      </c>
      <c r="N17" s="25">
        <v>4.7000000000000011</v>
      </c>
      <c r="P17" s="93" t="str">
        <f t="shared" si="1"/>
        <v>MIA</v>
      </c>
      <c r="Q17" s="98">
        <f t="shared" si="2"/>
        <v>3.6000000000000005</v>
      </c>
      <c r="R17" s="98">
        <f t="shared" si="3"/>
        <v>4.7000000000000011</v>
      </c>
    </row>
    <row r="18" spans="1:18" x14ac:dyDescent="0.3">
      <c r="A18" s="1">
        <v>17</v>
      </c>
      <c r="B18" s="1" t="s">
        <v>259</v>
      </c>
      <c r="C18" s="1" t="s">
        <v>255</v>
      </c>
      <c r="D18" s="1">
        <v>227</v>
      </c>
      <c r="E18" s="1"/>
      <c r="F18" s="1">
        <v>2.1</v>
      </c>
      <c r="H18" s="1">
        <v>2.1</v>
      </c>
      <c r="L18" s="1" t="s">
        <v>239</v>
      </c>
      <c r="M18" s="25">
        <v>5.6000000000000005</v>
      </c>
      <c r="N18" s="25">
        <v>2.2999999999999989</v>
      </c>
      <c r="P18" s="93" t="str">
        <f t="shared" si="1"/>
        <v>MIL</v>
      </c>
      <c r="Q18" s="98">
        <f t="shared" si="2"/>
        <v>5.6000000000000005</v>
      </c>
      <c r="R18" s="98">
        <f t="shared" si="3"/>
        <v>2.2999999999999989</v>
      </c>
    </row>
    <row r="19" spans="1:18" x14ac:dyDescent="0.3">
      <c r="A19" s="1">
        <v>18</v>
      </c>
      <c r="B19" s="1" t="s">
        <v>296</v>
      </c>
      <c r="C19" s="1" t="s">
        <v>228</v>
      </c>
      <c r="D19" s="1">
        <v>181</v>
      </c>
      <c r="E19" s="1"/>
      <c r="F19" s="1">
        <v>2.1</v>
      </c>
      <c r="H19" s="1">
        <v>2.1</v>
      </c>
      <c r="L19" s="1" t="s">
        <v>274</v>
      </c>
      <c r="M19" s="25">
        <v>5.3</v>
      </c>
      <c r="N19" s="25">
        <v>8.6999999999999975</v>
      </c>
      <c r="P19" s="93" t="str">
        <f t="shared" si="1"/>
        <v>MIN</v>
      </c>
      <c r="Q19" s="98">
        <f t="shared" si="2"/>
        <v>5.3</v>
      </c>
      <c r="R19" s="98">
        <f t="shared" si="3"/>
        <v>8.6999999999999975</v>
      </c>
    </row>
    <row r="20" spans="1:18" x14ac:dyDescent="0.3">
      <c r="A20" s="1">
        <v>19</v>
      </c>
      <c r="B20" s="1" t="s">
        <v>282</v>
      </c>
      <c r="C20" s="1" t="s">
        <v>226</v>
      </c>
      <c r="D20" s="1">
        <v>217</v>
      </c>
      <c r="E20" s="1"/>
      <c r="F20" s="1">
        <v>2.1</v>
      </c>
      <c r="H20" s="1">
        <v>2.1</v>
      </c>
      <c r="L20" s="1" t="s">
        <v>339</v>
      </c>
      <c r="M20" s="25">
        <v>6.3000000000000016</v>
      </c>
      <c r="N20" s="25">
        <v>0.79999999999999871</v>
      </c>
      <c r="P20" s="93" t="str">
        <f t="shared" si="1"/>
        <v>NYM</v>
      </c>
      <c r="Q20" s="98">
        <f t="shared" si="2"/>
        <v>6.3000000000000016</v>
      </c>
      <c r="R20" s="98">
        <f t="shared" si="3"/>
        <v>0.79999999999999871</v>
      </c>
    </row>
    <row r="21" spans="1:18" x14ac:dyDescent="0.3">
      <c r="A21" s="1">
        <v>20</v>
      </c>
      <c r="B21" s="1" t="s">
        <v>279</v>
      </c>
      <c r="C21" s="1" t="s">
        <v>224</v>
      </c>
      <c r="D21" s="1">
        <v>186</v>
      </c>
      <c r="E21" s="1"/>
      <c r="F21" s="1">
        <v>2</v>
      </c>
      <c r="H21" s="1">
        <v>2</v>
      </c>
      <c r="L21" s="1" t="s">
        <v>222</v>
      </c>
      <c r="M21" s="25">
        <v>6.3</v>
      </c>
      <c r="N21" s="25">
        <v>5.3000000000000016</v>
      </c>
      <c r="P21" s="93" t="str">
        <f t="shared" si="1"/>
        <v>NYY</v>
      </c>
      <c r="Q21" s="98">
        <f t="shared" si="2"/>
        <v>6.3</v>
      </c>
      <c r="R21" s="98">
        <f t="shared" si="3"/>
        <v>5.3000000000000016</v>
      </c>
    </row>
    <row r="22" spans="1:18" x14ac:dyDescent="0.3">
      <c r="A22" s="1">
        <v>21</v>
      </c>
      <c r="B22" s="1" t="s">
        <v>267</v>
      </c>
      <c r="C22" s="1" t="s">
        <v>268</v>
      </c>
      <c r="D22" s="1">
        <v>201</v>
      </c>
      <c r="E22" s="1"/>
      <c r="F22" s="1">
        <v>2</v>
      </c>
      <c r="H22" s="1">
        <v>2</v>
      </c>
      <c r="L22" s="1" t="s">
        <v>325</v>
      </c>
      <c r="M22" s="25">
        <v>2.3000000000000007</v>
      </c>
      <c r="N22" s="25">
        <v>-3.9000000000000004</v>
      </c>
      <c r="P22" s="93" t="str">
        <f t="shared" si="1"/>
        <v>OAK</v>
      </c>
      <c r="Q22" s="98">
        <f t="shared" si="2"/>
        <v>2.3000000000000007</v>
      </c>
      <c r="R22" s="98">
        <f t="shared" si="3"/>
        <v>-3.9000000000000004</v>
      </c>
    </row>
    <row r="23" spans="1:18" x14ac:dyDescent="0.3">
      <c r="A23" s="1">
        <v>22</v>
      </c>
      <c r="B23" s="1" t="s">
        <v>240</v>
      </c>
      <c r="C23" s="1" t="s">
        <v>241</v>
      </c>
      <c r="D23" s="1">
        <v>208</v>
      </c>
      <c r="E23" s="1"/>
      <c r="F23" s="1">
        <v>2</v>
      </c>
      <c r="H23" s="1">
        <v>2</v>
      </c>
      <c r="L23" s="1" t="s">
        <v>311</v>
      </c>
      <c r="M23" s="25">
        <v>4.6000000000000005</v>
      </c>
      <c r="N23" s="25">
        <v>7.2000000000000011</v>
      </c>
      <c r="P23" s="93" t="str">
        <f t="shared" si="1"/>
        <v>PHI</v>
      </c>
      <c r="Q23" s="98">
        <f t="shared" si="2"/>
        <v>4.6000000000000005</v>
      </c>
      <c r="R23" s="98">
        <f t="shared" si="3"/>
        <v>7.2000000000000011</v>
      </c>
    </row>
    <row r="24" spans="1:18" x14ac:dyDescent="0.3">
      <c r="A24" s="1">
        <v>23</v>
      </c>
      <c r="B24" s="1" t="s">
        <v>163</v>
      </c>
      <c r="C24" s="1" t="s">
        <v>250</v>
      </c>
      <c r="D24" s="1"/>
      <c r="E24" s="1">
        <v>57.2</v>
      </c>
      <c r="F24" s="1">
        <v>0</v>
      </c>
      <c r="G24" s="1">
        <v>2</v>
      </c>
      <c r="H24" s="1">
        <v>2</v>
      </c>
      <c r="L24" s="1" t="s">
        <v>231</v>
      </c>
      <c r="M24" s="25">
        <v>5.5</v>
      </c>
      <c r="N24" s="25">
        <v>5.5</v>
      </c>
      <c r="P24" s="93" t="str">
        <f t="shared" si="1"/>
        <v>PIT</v>
      </c>
      <c r="Q24" s="98">
        <f t="shared" si="2"/>
        <v>5.5</v>
      </c>
      <c r="R24" s="98">
        <f t="shared" si="3"/>
        <v>5.5</v>
      </c>
    </row>
    <row r="25" spans="1:18" x14ac:dyDescent="0.3">
      <c r="A25" s="1">
        <v>24</v>
      </c>
      <c r="B25" s="1" t="s">
        <v>285</v>
      </c>
      <c r="C25" s="1" t="s">
        <v>286</v>
      </c>
      <c r="D25" s="1">
        <v>130</v>
      </c>
      <c r="E25" s="1"/>
      <c r="F25" s="1">
        <v>2</v>
      </c>
      <c r="H25" s="1">
        <v>2</v>
      </c>
      <c r="L25" s="1" t="s">
        <v>241</v>
      </c>
      <c r="M25" s="25">
        <v>5.7</v>
      </c>
      <c r="N25" s="25">
        <v>4.5000000000000009</v>
      </c>
      <c r="P25" s="93" t="str">
        <f t="shared" si="1"/>
        <v>SDP</v>
      </c>
      <c r="Q25" s="98">
        <f t="shared" si="2"/>
        <v>5.7</v>
      </c>
      <c r="R25" s="98">
        <f t="shared" si="3"/>
        <v>4.5000000000000009</v>
      </c>
    </row>
    <row r="26" spans="1:18" x14ac:dyDescent="0.3">
      <c r="A26" s="1">
        <v>25</v>
      </c>
      <c r="B26" s="1" t="s">
        <v>361</v>
      </c>
      <c r="C26" s="1" t="s">
        <v>278</v>
      </c>
      <c r="D26" s="1">
        <v>208</v>
      </c>
      <c r="E26" s="1"/>
      <c r="F26" s="1">
        <v>1.9</v>
      </c>
      <c r="H26" s="1">
        <v>1.9</v>
      </c>
      <c r="L26" s="1" t="s">
        <v>244</v>
      </c>
      <c r="M26" s="25">
        <v>6.1</v>
      </c>
      <c r="N26" s="25">
        <v>10.1</v>
      </c>
      <c r="P26" s="93" t="str">
        <f t="shared" si="1"/>
        <v>SEA</v>
      </c>
      <c r="Q26" s="98">
        <f t="shared" si="2"/>
        <v>6.1</v>
      </c>
      <c r="R26" s="98">
        <f t="shared" si="3"/>
        <v>10.1</v>
      </c>
    </row>
    <row r="27" spans="1:18" x14ac:dyDescent="0.3">
      <c r="A27" s="1">
        <v>26</v>
      </c>
      <c r="B27" s="1" t="s">
        <v>284</v>
      </c>
      <c r="C27" s="1" t="s">
        <v>228</v>
      </c>
      <c r="D27" s="1">
        <v>152</v>
      </c>
      <c r="E27" s="1"/>
      <c r="F27" s="1">
        <v>1.9</v>
      </c>
      <c r="H27" s="1">
        <v>1.9</v>
      </c>
      <c r="L27" s="1" t="s">
        <v>268</v>
      </c>
      <c r="M27" s="25">
        <v>6.6</v>
      </c>
      <c r="N27" s="25">
        <v>3.1</v>
      </c>
      <c r="P27" s="93" t="str">
        <f t="shared" si="1"/>
        <v>SFG</v>
      </c>
      <c r="Q27" s="98">
        <f t="shared" si="2"/>
        <v>6.6</v>
      </c>
      <c r="R27" s="98">
        <f t="shared" si="3"/>
        <v>3.1</v>
      </c>
    </row>
    <row r="28" spans="1:18" x14ac:dyDescent="0.3">
      <c r="A28" s="1">
        <v>27</v>
      </c>
      <c r="B28" s="1" t="s">
        <v>254</v>
      </c>
      <c r="C28" s="1" t="s">
        <v>255</v>
      </c>
      <c r="D28" s="1">
        <v>176</v>
      </c>
      <c r="E28" s="1"/>
      <c r="F28" s="1">
        <v>1.9</v>
      </c>
      <c r="H28" s="1">
        <v>1.9</v>
      </c>
      <c r="L28" s="1" t="s">
        <v>255</v>
      </c>
      <c r="M28" s="25">
        <v>9.7000000000000011</v>
      </c>
      <c r="N28" s="25">
        <v>3.6999999999999988</v>
      </c>
      <c r="P28" s="93" t="str">
        <f t="shared" si="1"/>
        <v>STL</v>
      </c>
      <c r="Q28" s="98">
        <f t="shared" si="2"/>
        <v>9.7000000000000011</v>
      </c>
      <c r="R28" s="98">
        <f t="shared" si="3"/>
        <v>3.6999999999999988</v>
      </c>
    </row>
    <row r="29" spans="1:18" x14ac:dyDescent="0.3">
      <c r="A29" s="1">
        <v>28</v>
      </c>
      <c r="B29" s="1" t="s">
        <v>711</v>
      </c>
      <c r="C29" s="1" t="s">
        <v>244</v>
      </c>
      <c r="D29" s="1"/>
      <c r="E29" s="1">
        <v>58.1</v>
      </c>
      <c r="F29" s="1">
        <v>0</v>
      </c>
      <c r="G29" s="1">
        <v>1.9</v>
      </c>
      <c r="H29" s="1">
        <v>1.9</v>
      </c>
      <c r="L29" s="1" t="s">
        <v>228</v>
      </c>
      <c r="M29" s="25">
        <v>16.2</v>
      </c>
      <c r="N29" s="25">
        <v>4.9000000000000004</v>
      </c>
      <c r="P29" s="93" t="str">
        <f t="shared" si="1"/>
        <v>TBR</v>
      </c>
      <c r="Q29" s="98">
        <f t="shared" si="2"/>
        <v>16.2</v>
      </c>
      <c r="R29" s="98">
        <f t="shared" si="3"/>
        <v>4.9000000000000004</v>
      </c>
    </row>
    <row r="30" spans="1:18" x14ac:dyDescent="0.3">
      <c r="A30" s="1">
        <v>29</v>
      </c>
      <c r="B30" s="1" t="s">
        <v>256</v>
      </c>
      <c r="C30" s="1" t="s">
        <v>235</v>
      </c>
      <c r="D30" s="1">
        <v>209</v>
      </c>
      <c r="E30" s="1"/>
      <c r="F30" s="1">
        <v>1.9</v>
      </c>
      <c r="H30" s="1">
        <v>1.9</v>
      </c>
      <c r="L30" s="1" t="s">
        <v>264</v>
      </c>
      <c r="M30" s="25">
        <v>10.700000000000003</v>
      </c>
      <c r="N30" s="25">
        <v>6.2000000000000011</v>
      </c>
      <c r="P30" s="93" t="str">
        <f t="shared" si="1"/>
        <v>TEX</v>
      </c>
      <c r="Q30" s="98">
        <f t="shared" si="2"/>
        <v>10.700000000000003</v>
      </c>
      <c r="R30" s="98">
        <f t="shared" si="3"/>
        <v>6.2000000000000011</v>
      </c>
    </row>
    <row r="31" spans="1:18" x14ac:dyDescent="0.3">
      <c r="A31" s="1">
        <v>30</v>
      </c>
      <c r="B31" s="1" t="s">
        <v>146</v>
      </c>
      <c r="C31" s="1" t="s">
        <v>224</v>
      </c>
      <c r="D31" s="1"/>
      <c r="E31" s="1">
        <v>66</v>
      </c>
      <c r="F31" s="1">
        <v>0</v>
      </c>
      <c r="G31" s="1">
        <v>1.9</v>
      </c>
      <c r="H31" s="1">
        <v>1.9</v>
      </c>
      <c r="L31" s="1" t="s">
        <v>234</v>
      </c>
      <c r="M31" s="25">
        <v>8.7000000000000011</v>
      </c>
      <c r="N31" s="25">
        <v>3.9000000000000008</v>
      </c>
      <c r="P31" s="93" t="str">
        <f t="shared" si="1"/>
        <v>TOR</v>
      </c>
      <c r="Q31" s="98">
        <f t="shared" si="2"/>
        <v>8.7000000000000011</v>
      </c>
      <c r="R31" s="98">
        <f t="shared" si="3"/>
        <v>3.9000000000000008</v>
      </c>
    </row>
    <row r="32" spans="1:18" ht="15" thickBot="1" x14ac:dyDescent="0.35">
      <c r="A32" s="1">
        <v>31</v>
      </c>
      <c r="B32" s="1" t="s">
        <v>174</v>
      </c>
      <c r="C32" s="1" t="s">
        <v>231</v>
      </c>
      <c r="D32" s="1"/>
      <c r="E32" s="1">
        <v>62.2</v>
      </c>
      <c r="F32" s="1">
        <v>0</v>
      </c>
      <c r="G32" s="1">
        <v>1.8</v>
      </c>
      <c r="H32" s="1">
        <v>1.8</v>
      </c>
      <c r="L32" s="1" t="s">
        <v>392</v>
      </c>
      <c r="M32" s="25">
        <v>3.0999999999999996</v>
      </c>
      <c r="N32" s="25">
        <v>3.1999999999999993</v>
      </c>
      <c r="P32" s="93" t="str">
        <f t="shared" si="1"/>
        <v>WSN</v>
      </c>
      <c r="Q32" s="98">
        <f t="shared" si="2"/>
        <v>3.0999999999999996</v>
      </c>
      <c r="R32" s="98">
        <f t="shared" si="3"/>
        <v>3.1999999999999993</v>
      </c>
    </row>
    <row r="33" spans="1:18" x14ac:dyDescent="0.3">
      <c r="A33" s="1">
        <v>32</v>
      </c>
      <c r="B33" s="1" t="s">
        <v>247</v>
      </c>
      <c r="C33" s="1" t="s">
        <v>248</v>
      </c>
      <c r="D33" s="1">
        <v>215</v>
      </c>
      <c r="E33" s="1"/>
      <c r="F33" s="1">
        <v>1.8</v>
      </c>
      <c r="H33" s="1">
        <v>1.8</v>
      </c>
      <c r="L33" s="1" t="s">
        <v>978</v>
      </c>
      <c r="M33" s="92">
        <v>174.59999999999994</v>
      </c>
      <c r="N33" s="92">
        <v>133.39999999999998</v>
      </c>
      <c r="P33" s="94" t="str">
        <f t="shared" si="1"/>
        <v>Grand Total</v>
      </c>
      <c r="Q33" s="99">
        <f t="shared" si="2"/>
        <v>174.59999999999994</v>
      </c>
      <c r="R33" s="100">
        <f t="shared" si="3"/>
        <v>133.39999999999998</v>
      </c>
    </row>
    <row r="34" spans="1:18" x14ac:dyDescent="0.3">
      <c r="A34" s="1">
        <v>33</v>
      </c>
      <c r="B34" s="1" t="s">
        <v>175</v>
      </c>
      <c r="C34" s="1" t="s">
        <v>311</v>
      </c>
      <c r="D34" s="1"/>
      <c r="E34" s="1">
        <v>57</v>
      </c>
      <c r="F34" s="1">
        <v>0</v>
      </c>
      <c r="G34" s="1">
        <v>1.8</v>
      </c>
      <c r="H34" s="1">
        <v>1.8</v>
      </c>
    </row>
    <row r="35" spans="1:18" x14ac:dyDescent="0.3">
      <c r="A35" s="1">
        <v>34</v>
      </c>
      <c r="B35" s="1" t="s">
        <v>321</v>
      </c>
      <c r="C35" s="1" t="s">
        <v>222</v>
      </c>
      <c r="D35" s="1">
        <v>214</v>
      </c>
      <c r="E35" s="1"/>
      <c r="F35" s="1">
        <v>1.8</v>
      </c>
      <c r="H35" s="1">
        <v>1.8</v>
      </c>
    </row>
    <row r="36" spans="1:18" x14ac:dyDescent="0.3">
      <c r="A36" s="1">
        <v>35</v>
      </c>
      <c r="B36" s="1" t="s">
        <v>140</v>
      </c>
      <c r="C36" s="1" t="s">
        <v>248</v>
      </c>
      <c r="D36" s="1"/>
      <c r="E36" s="1">
        <v>61.1</v>
      </c>
      <c r="F36" s="1">
        <v>0</v>
      </c>
      <c r="G36" s="1">
        <v>1.8</v>
      </c>
      <c r="H36" s="1">
        <v>1.8</v>
      </c>
    </row>
    <row r="37" spans="1:18" x14ac:dyDescent="0.3">
      <c r="A37" s="1">
        <v>36</v>
      </c>
      <c r="B37" s="1" t="s">
        <v>523</v>
      </c>
      <c r="C37" s="1" t="s">
        <v>241</v>
      </c>
      <c r="D37" s="1">
        <v>215</v>
      </c>
      <c r="E37" s="1"/>
      <c r="F37" s="1">
        <v>1.7</v>
      </c>
      <c r="H37" s="1">
        <v>1.7</v>
      </c>
    </row>
    <row r="38" spans="1:18" x14ac:dyDescent="0.3">
      <c r="A38" s="1">
        <v>37</v>
      </c>
      <c r="B38" s="1" t="s">
        <v>225</v>
      </c>
      <c r="C38" s="1" t="s">
        <v>226</v>
      </c>
      <c r="D38" s="1">
        <v>148</v>
      </c>
      <c r="E38" s="1"/>
      <c r="F38" s="1">
        <v>1.7</v>
      </c>
      <c r="H38" s="1">
        <v>1.7</v>
      </c>
    </row>
    <row r="39" spans="1:18" x14ac:dyDescent="0.3">
      <c r="A39" s="1">
        <v>38</v>
      </c>
      <c r="B39" s="1" t="s">
        <v>777</v>
      </c>
      <c r="C39" s="1" t="s">
        <v>264</v>
      </c>
      <c r="D39" s="1">
        <v>169</v>
      </c>
      <c r="E39" s="1"/>
      <c r="F39" s="1">
        <v>1.7</v>
      </c>
      <c r="H39" s="1">
        <v>1.7</v>
      </c>
    </row>
    <row r="40" spans="1:18" x14ac:dyDescent="0.3">
      <c r="A40" s="1">
        <v>39</v>
      </c>
      <c r="B40" s="1" t="s">
        <v>686</v>
      </c>
      <c r="C40" s="1" t="s">
        <v>286</v>
      </c>
      <c r="D40" s="1">
        <v>188</v>
      </c>
      <c r="E40" s="1"/>
      <c r="F40" s="1">
        <v>1.7</v>
      </c>
      <c r="H40" s="1">
        <v>1.7</v>
      </c>
    </row>
    <row r="41" spans="1:18" x14ac:dyDescent="0.3">
      <c r="A41" s="1">
        <v>40</v>
      </c>
      <c r="B41" s="1" t="s">
        <v>166</v>
      </c>
      <c r="C41" s="1" t="s">
        <v>244</v>
      </c>
      <c r="D41" s="1"/>
      <c r="E41" s="1">
        <v>52</v>
      </c>
      <c r="F41" s="1">
        <v>0</v>
      </c>
      <c r="G41" s="1">
        <v>1.7</v>
      </c>
      <c r="H41" s="1">
        <v>1.7</v>
      </c>
    </row>
    <row r="42" spans="1:18" x14ac:dyDescent="0.3">
      <c r="A42" s="1">
        <v>41</v>
      </c>
      <c r="B42" s="1" t="s">
        <v>203</v>
      </c>
      <c r="C42" s="1" t="s">
        <v>346</v>
      </c>
      <c r="D42" s="1"/>
      <c r="E42" s="1">
        <v>61.2</v>
      </c>
      <c r="F42" s="1">
        <v>0</v>
      </c>
      <c r="G42" s="1">
        <v>1.6</v>
      </c>
      <c r="H42" s="1">
        <v>1.6</v>
      </c>
    </row>
    <row r="43" spans="1:18" x14ac:dyDescent="0.3">
      <c r="A43" s="1">
        <v>42</v>
      </c>
      <c r="B43" s="1" t="s">
        <v>492</v>
      </c>
      <c r="C43" s="1" t="s">
        <v>248</v>
      </c>
      <c r="D43" s="1">
        <v>187</v>
      </c>
      <c r="E43" s="1"/>
      <c r="F43" s="1">
        <v>1.6</v>
      </c>
      <c r="H43" s="1">
        <v>1.6</v>
      </c>
    </row>
    <row r="44" spans="1:18" x14ac:dyDescent="0.3">
      <c r="A44" s="1">
        <v>43</v>
      </c>
      <c r="B44" s="1" t="s">
        <v>307</v>
      </c>
      <c r="C44" s="1" t="s">
        <v>264</v>
      </c>
      <c r="D44" s="1">
        <v>206</v>
      </c>
      <c r="E44" s="1"/>
      <c r="F44" s="1">
        <v>1.6</v>
      </c>
      <c r="H44" s="1">
        <v>1.6</v>
      </c>
    </row>
    <row r="45" spans="1:18" x14ac:dyDescent="0.3">
      <c r="A45" s="1">
        <v>44</v>
      </c>
      <c r="B45" s="1" t="s">
        <v>366</v>
      </c>
      <c r="C45" s="1" t="s">
        <v>339</v>
      </c>
      <c r="D45" s="1">
        <v>220</v>
      </c>
      <c r="E45" s="1"/>
      <c r="F45" s="1">
        <v>1.6</v>
      </c>
      <c r="H45" s="1">
        <v>1.6</v>
      </c>
    </row>
    <row r="46" spans="1:18" x14ac:dyDescent="0.3">
      <c r="A46" s="1">
        <v>45</v>
      </c>
      <c r="B46" s="1" t="s">
        <v>148</v>
      </c>
      <c r="C46" s="1" t="s">
        <v>244</v>
      </c>
      <c r="D46" s="1"/>
      <c r="E46" s="1">
        <v>57.2</v>
      </c>
      <c r="F46" s="1">
        <v>0</v>
      </c>
      <c r="G46" s="1">
        <v>1.6</v>
      </c>
      <c r="H46" s="1">
        <v>1.6</v>
      </c>
    </row>
    <row r="47" spans="1:18" x14ac:dyDescent="0.3">
      <c r="A47" s="1">
        <v>46</v>
      </c>
      <c r="B47" s="1" t="s">
        <v>350</v>
      </c>
      <c r="C47" s="1" t="s">
        <v>226</v>
      </c>
      <c r="D47" s="1"/>
      <c r="E47" s="1">
        <v>57.1</v>
      </c>
      <c r="F47" s="1">
        <v>0</v>
      </c>
      <c r="G47" s="1">
        <v>1.6</v>
      </c>
      <c r="H47" s="1">
        <v>1.6</v>
      </c>
    </row>
    <row r="48" spans="1:18" x14ac:dyDescent="0.3">
      <c r="A48" s="1">
        <v>47</v>
      </c>
      <c r="B48" s="1" t="s">
        <v>312</v>
      </c>
      <c r="C48" s="1" t="s">
        <v>221</v>
      </c>
      <c r="D48" s="1">
        <v>209</v>
      </c>
      <c r="E48" s="1"/>
      <c r="F48" s="1">
        <v>1.5</v>
      </c>
      <c r="H48" s="1">
        <v>1.5</v>
      </c>
    </row>
    <row r="49" spans="1:8" x14ac:dyDescent="0.3">
      <c r="A49" s="1">
        <v>48</v>
      </c>
      <c r="B49" s="1" t="s">
        <v>372</v>
      </c>
      <c r="C49" s="1" t="s">
        <v>339</v>
      </c>
      <c r="D49" s="1">
        <v>217</v>
      </c>
      <c r="E49" s="1"/>
      <c r="F49" s="1">
        <v>1.5</v>
      </c>
      <c r="H49" s="1">
        <v>1.5</v>
      </c>
    </row>
    <row r="50" spans="1:8" x14ac:dyDescent="0.3">
      <c r="A50" s="1">
        <v>49</v>
      </c>
      <c r="B50" s="1" t="s">
        <v>896</v>
      </c>
      <c r="C50" s="1" t="s">
        <v>244</v>
      </c>
      <c r="D50" s="1">
        <v>188</v>
      </c>
      <c r="E50" s="1"/>
      <c r="F50" s="1">
        <v>1.5</v>
      </c>
      <c r="H50" s="1">
        <v>1.5</v>
      </c>
    </row>
    <row r="51" spans="1:8" x14ac:dyDescent="0.3">
      <c r="A51" s="1">
        <v>50</v>
      </c>
      <c r="B51" s="1" t="s">
        <v>378</v>
      </c>
      <c r="C51" s="1" t="s">
        <v>346</v>
      </c>
      <c r="D51" s="1">
        <v>199</v>
      </c>
      <c r="E51" s="1"/>
      <c r="F51" s="1">
        <v>1.5</v>
      </c>
      <c r="H51" s="1">
        <v>1.5</v>
      </c>
    </row>
    <row r="52" spans="1:8" x14ac:dyDescent="0.3">
      <c r="A52" s="1">
        <v>51</v>
      </c>
      <c r="B52" s="1" t="s">
        <v>142</v>
      </c>
      <c r="C52" s="1" t="s">
        <v>222</v>
      </c>
      <c r="D52" s="1"/>
      <c r="E52" s="1">
        <v>67.2</v>
      </c>
      <c r="F52" s="1">
        <v>0</v>
      </c>
      <c r="G52" s="1">
        <v>1.5</v>
      </c>
      <c r="H52" s="1">
        <v>1.5</v>
      </c>
    </row>
    <row r="53" spans="1:8" x14ac:dyDescent="0.3">
      <c r="A53" s="1">
        <v>52</v>
      </c>
      <c r="B53" s="1" t="s">
        <v>2025</v>
      </c>
      <c r="C53" s="1" t="s">
        <v>278</v>
      </c>
      <c r="D53" s="1"/>
      <c r="E53" s="1">
        <v>25.2</v>
      </c>
      <c r="F53" s="1">
        <v>0</v>
      </c>
      <c r="G53" s="1">
        <v>1.5</v>
      </c>
      <c r="H53" s="1">
        <v>1.5</v>
      </c>
    </row>
    <row r="54" spans="1:8" x14ac:dyDescent="0.3">
      <c r="A54" s="1">
        <v>53</v>
      </c>
      <c r="B54" s="1" t="s">
        <v>526</v>
      </c>
      <c r="C54" s="1" t="s">
        <v>278</v>
      </c>
      <c r="D54" s="1">
        <v>220</v>
      </c>
      <c r="E54" s="1"/>
      <c r="F54" s="1">
        <v>1.4</v>
      </c>
      <c r="H54" s="1">
        <v>1.4</v>
      </c>
    </row>
    <row r="55" spans="1:8" x14ac:dyDescent="0.3">
      <c r="A55" s="1">
        <v>54</v>
      </c>
      <c r="B55" s="1" t="s">
        <v>143</v>
      </c>
      <c r="C55" s="1" t="s">
        <v>264</v>
      </c>
      <c r="D55" s="1"/>
      <c r="E55" s="1">
        <v>30.1</v>
      </c>
      <c r="F55" s="1">
        <v>0</v>
      </c>
      <c r="G55" s="1">
        <v>1.4</v>
      </c>
      <c r="H55" s="1">
        <v>1.4</v>
      </c>
    </row>
    <row r="56" spans="1:8" x14ac:dyDescent="0.3">
      <c r="A56" s="1">
        <v>55</v>
      </c>
      <c r="B56" s="1" t="s">
        <v>931</v>
      </c>
      <c r="C56" s="1" t="s">
        <v>325</v>
      </c>
      <c r="D56" s="1">
        <v>178</v>
      </c>
      <c r="E56" s="1"/>
      <c r="F56" s="1">
        <v>1.4</v>
      </c>
      <c r="H56" s="1">
        <v>1.4</v>
      </c>
    </row>
    <row r="57" spans="1:8" x14ac:dyDescent="0.3">
      <c r="A57" s="1">
        <v>56</v>
      </c>
      <c r="B57" s="1" t="s">
        <v>606</v>
      </c>
      <c r="C57" s="1" t="s">
        <v>248</v>
      </c>
      <c r="D57" s="1">
        <v>163</v>
      </c>
      <c r="E57" s="1"/>
      <c r="F57" s="1">
        <v>1.4</v>
      </c>
      <c r="H57" s="1">
        <v>1.4</v>
      </c>
    </row>
    <row r="58" spans="1:8" x14ac:dyDescent="0.3">
      <c r="A58" s="1">
        <v>57</v>
      </c>
      <c r="B58" s="1" t="s">
        <v>229</v>
      </c>
      <c r="C58" s="1" t="s">
        <v>226</v>
      </c>
      <c r="D58" s="1">
        <v>186</v>
      </c>
      <c r="E58" s="1"/>
      <c r="F58" s="1">
        <v>1.4</v>
      </c>
      <c r="H58" s="1">
        <v>1.4</v>
      </c>
    </row>
    <row r="59" spans="1:8" x14ac:dyDescent="0.3">
      <c r="A59" s="1">
        <v>58</v>
      </c>
      <c r="B59" s="1" t="s">
        <v>400</v>
      </c>
      <c r="C59" s="1" t="s">
        <v>264</v>
      </c>
      <c r="D59" s="1">
        <v>219</v>
      </c>
      <c r="E59" s="1"/>
      <c r="F59" s="1">
        <v>1.4</v>
      </c>
      <c r="H59" s="1">
        <v>1.4</v>
      </c>
    </row>
    <row r="60" spans="1:8" x14ac:dyDescent="0.3">
      <c r="A60" s="1">
        <v>59</v>
      </c>
      <c r="B60" s="1" t="s">
        <v>3170</v>
      </c>
      <c r="C60" s="1" t="s">
        <v>244</v>
      </c>
      <c r="D60" s="1"/>
      <c r="E60" s="1">
        <v>31.1</v>
      </c>
      <c r="F60" s="1">
        <v>0</v>
      </c>
      <c r="G60" s="1">
        <v>1.4</v>
      </c>
      <c r="H60" s="1">
        <v>1.4</v>
      </c>
    </row>
    <row r="61" spans="1:8" x14ac:dyDescent="0.3">
      <c r="A61" s="1">
        <v>60</v>
      </c>
      <c r="B61" s="1" t="s">
        <v>468</v>
      </c>
      <c r="C61" s="1" t="s">
        <v>266</v>
      </c>
      <c r="D61" s="1">
        <v>159</v>
      </c>
      <c r="E61" s="1"/>
      <c r="F61" s="1">
        <v>1.4</v>
      </c>
      <c r="H61" s="1">
        <v>1.4</v>
      </c>
    </row>
    <row r="62" spans="1:8" x14ac:dyDescent="0.3">
      <c r="A62" s="1">
        <v>61</v>
      </c>
      <c r="B62" s="1" t="s">
        <v>377</v>
      </c>
      <c r="C62" s="1" t="s">
        <v>234</v>
      </c>
      <c r="D62" s="1">
        <v>147</v>
      </c>
      <c r="E62" s="1"/>
      <c r="F62" s="1">
        <v>1.4</v>
      </c>
      <c r="H62" s="1">
        <v>1.4</v>
      </c>
    </row>
    <row r="63" spans="1:8" x14ac:dyDescent="0.3">
      <c r="A63" s="1">
        <v>62</v>
      </c>
      <c r="B63" s="1" t="s">
        <v>3094</v>
      </c>
      <c r="C63" s="1" t="s">
        <v>255</v>
      </c>
      <c r="D63" s="1">
        <v>97</v>
      </c>
      <c r="E63" s="1"/>
      <c r="F63" s="1">
        <v>1.4</v>
      </c>
      <c r="H63" s="1">
        <v>1.4</v>
      </c>
    </row>
    <row r="64" spans="1:8" x14ac:dyDescent="0.3">
      <c r="A64" s="1">
        <v>63</v>
      </c>
      <c r="B64" s="1" t="s">
        <v>297</v>
      </c>
      <c r="C64" s="1" t="s">
        <v>228</v>
      </c>
      <c r="D64" s="1"/>
      <c r="E64" s="1">
        <v>44.2</v>
      </c>
      <c r="F64" s="1">
        <v>0</v>
      </c>
      <c r="G64" s="1">
        <v>1.4</v>
      </c>
      <c r="H64" s="1">
        <v>1.4</v>
      </c>
    </row>
    <row r="65" spans="1:8" x14ac:dyDescent="0.3">
      <c r="A65" s="1">
        <v>64</v>
      </c>
      <c r="B65" s="1" t="s">
        <v>520</v>
      </c>
      <c r="C65" s="1" t="s">
        <v>255</v>
      </c>
      <c r="D65" s="1">
        <v>164</v>
      </c>
      <c r="E65" s="1"/>
      <c r="F65" s="1">
        <v>1.4</v>
      </c>
      <c r="H65" s="1">
        <v>1.4</v>
      </c>
    </row>
    <row r="66" spans="1:8" x14ac:dyDescent="0.3">
      <c r="A66" s="1">
        <v>65</v>
      </c>
      <c r="B66" s="1" t="s">
        <v>700</v>
      </c>
      <c r="C66" s="1" t="s">
        <v>228</v>
      </c>
      <c r="D66" s="1">
        <v>172</v>
      </c>
      <c r="E66" s="1"/>
      <c r="F66" s="1">
        <v>1.4</v>
      </c>
      <c r="H66" s="1">
        <v>1.4</v>
      </c>
    </row>
    <row r="67" spans="1:8" x14ac:dyDescent="0.3">
      <c r="A67" s="1">
        <v>66</v>
      </c>
      <c r="B67" s="1" t="s">
        <v>157</v>
      </c>
      <c r="C67" s="1" t="s">
        <v>228</v>
      </c>
      <c r="D67" s="1"/>
      <c r="E67" s="1">
        <v>64</v>
      </c>
      <c r="F67" s="1">
        <v>0</v>
      </c>
      <c r="G67" s="1">
        <v>1.4</v>
      </c>
      <c r="H67" s="1">
        <v>1.4</v>
      </c>
    </row>
    <row r="68" spans="1:8" x14ac:dyDescent="0.3">
      <c r="A68" s="1">
        <v>67</v>
      </c>
      <c r="B68" s="1" t="s">
        <v>409</v>
      </c>
      <c r="C68" s="1" t="s">
        <v>224</v>
      </c>
      <c r="D68" s="1"/>
      <c r="E68" s="1">
        <v>50.2</v>
      </c>
      <c r="F68" s="1">
        <v>0</v>
      </c>
      <c r="G68" s="1">
        <v>1.4</v>
      </c>
      <c r="H68" s="1">
        <v>1.4</v>
      </c>
    </row>
    <row r="69" spans="1:8" x14ac:dyDescent="0.3">
      <c r="A69" s="1">
        <v>68</v>
      </c>
      <c r="B69" s="1" t="s">
        <v>263</v>
      </c>
      <c r="C69" s="1" t="s">
        <v>251</v>
      </c>
      <c r="D69" s="1">
        <v>201</v>
      </c>
      <c r="E69" s="1"/>
      <c r="F69" s="1">
        <v>1.3</v>
      </c>
      <c r="H69" s="1">
        <v>1.3</v>
      </c>
    </row>
    <row r="70" spans="1:8" x14ac:dyDescent="0.3">
      <c r="A70" s="1">
        <v>69</v>
      </c>
      <c r="B70" s="1" t="s">
        <v>293</v>
      </c>
      <c r="C70" s="1" t="s">
        <v>268</v>
      </c>
      <c r="D70" s="1">
        <v>176</v>
      </c>
      <c r="E70" s="1"/>
      <c r="F70" s="1">
        <v>1.3</v>
      </c>
      <c r="H70" s="1">
        <v>1.3</v>
      </c>
    </row>
    <row r="71" spans="1:8" x14ac:dyDescent="0.3">
      <c r="A71" s="1">
        <v>70</v>
      </c>
      <c r="B71" s="1" t="s">
        <v>249</v>
      </c>
      <c r="C71" s="1" t="s">
        <v>250</v>
      </c>
      <c r="D71" s="1">
        <v>221</v>
      </c>
      <c r="E71" s="1"/>
      <c r="F71" s="1">
        <v>1.3</v>
      </c>
      <c r="H71" s="1">
        <v>1.3</v>
      </c>
    </row>
    <row r="72" spans="1:8" x14ac:dyDescent="0.3">
      <c r="A72" s="1">
        <v>71</v>
      </c>
      <c r="B72" s="1" t="s">
        <v>290</v>
      </c>
      <c r="C72" s="1" t="s">
        <v>270</v>
      </c>
      <c r="D72" s="1">
        <v>143</v>
      </c>
      <c r="E72" s="1"/>
      <c r="F72" s="1">
        <v>1.3</v>
      </c>
      <c r="H72" s="1">
        <v>1.3</v>
      </c>
    </row>
    <row r="73" spans="1:8" x14ac:dyDescent="0.3">
      <c r="A73" s="1">
        <v>72</v>
      </c>
      <c r="B73" s="1" t="s">
        <v>485</v>
      </c>
      <c r="C73" s="1" t="s">
        <v>239</v>
      </c>
      <c r="D73" s="1">
        <v>109</v>
      </c>
      <c r="E73" s="1"/>
      <c r="F73" s="1">
        <v>1.3</v>
      </c>
      <c r="H73" s="1">
        <v>1.3</v>
      </c>
    </row>
    <row r="74" spans="1:8" x14ac:dyDescent="0.3">
      <c r="A74" s="1">
        <v>73</v>
      </c>
      <c r="B74" s="1" t="s">
        <v>530</v>
      </c>
      <c r="C74" s="1" t="s">
        <v>228</v>
      </c>
      <c r="D74" s="1">
        <v>133</v>
      </c>
      <c r="E74" s="1"/>
      <c r="F74" s="1">
        <v>1.3</v>
      </c>
      <c r="H74" s="1">
        <v>1.3</v>
      </c>
    </row>
    <row r="75" spans="1:8" x14ac:dyDescent="0.3">
      <c r="A75" s="1">
        <v>74</v>
      </c>
      <c r="B75" s="1" t="s">
        <v>774</v>
      </c>
      <c r="C75" s="1" t="s">
        <v>248</v>
      </c>
      <c r="D75" s="1"/>
      <c r="E75" s="1">
        <v>55.1</v>
      </c>
      <c r="F75" s="1">
        <v>0</v>
      </c>
      <c r="G75" s="1">
        <v>1.3</v>
      </c>
      <c r="H75" s="1">
        <v>1.3</v>
      </c>
    </row>
    <row r="76" spans="1:8" x14ac:dyDescent="0.3">
      <c r="A76" s="1">
        <v>75</v>
      </c>
      <c r="B76" s="1" t="s">
        <v>261</v>
      </c>
      <c r="C76" s="1" t="s">
        <v>248</v>
      </c>
      <c r="D76" s="1">
        <v>208</v>
      </c>
      <c r="E76" s="1"/>
      <c r="F76" s="1">
        <v>1.3</v>
      </c>
      <c r="H76" s="1">
        <v>1.3</v>
      </c>
    </row>
    <row r="77" spans="1:8" x14ac:dyDescent="0.3">
      <c r="A77" s="1">
        <v>76</v>
      </c>
      <c r="B77" s="1" t="s">
        <v>632</v>
      </c>
      <c r="C77" s="1" t="s">
        <v>244</v>
      </c>
      <c r="D77" s="1">
        <v>164</v>
      </c>
      <c r="E77" s="1"/>
      <c r="F77" s="1">
        <v>1.3</v>
      </c>
      <c r="H77" s="1">
        <v>1.3</v>
      </c>
    </row>
    <row r="78" spans="1:8" x14ac:dyDescent="0.3">
      <c r="A78" s="1">
        <v>77</v>
      </c>
      <c r="B78" s="1" t="s">
        <v>385</v>
      </c>
      <c r="C78" s="1" t="s">
        <v>339</v>
      </c>
      <c r="D78" s="1">
        <v>212</v>
      </c>
      <c r="E78" s="1"/>
      <c r="F78" s="1">
        <v>1.3</v>
      </c>
      <c r="H78" s="1">
        <v>1.3</v>
      </c>
    </row>
    <row r="79" spans="1:8" x14ac:dyDescent="0.3">
      <c r="A79" s="1">
        <v>78</v>
      </c>
      <c r="B79" s="1" t="s">
        <v>306</v>
      </c>
      <c r="C79" s="1" t="s">
        <v>228</v>
      </c>
      <c r="D79" s="1">
        <v>125</v>
      </c>
      <c r="E79" s="1">
        <v>2.2000000000000002</v>
      </c>
      <c r="F79" s="1">
        <v>1.4</v>
      </c>
      <c r="G79" s="1">
        <v>-0.1</v>
      </c>
      <c r="H79" s="1">
        <v>1.3</v>
      </c>
    </row>
    <row r="80" spans="1:8" x14ac:dyDescent="0.3">
      <c r="A80" s="1">
        <v>79</v>
      </c>
      <c r="B80" s="1" t="s">
        <v>145</v>
      </c>
      <c r="C80" s="1" t="s">
        <v>224</v>
      </c>
      <c r="D80" s="1"/>
      <c r="E80" s="1">
        <v>58.2</v>
      </c>
      <c r="F80" s="1">
        <v>0</v>
      </c>
      <c r="G80" s="1">
        <v>1.3</v>
      </c>
      <c r="H80" s="1">
        <v>1.3</v>
      </c>
    </row>
    <row r="81" spans="1:8" x14ac:dyDescent="0.3">
      <c r="A81" s="1">
        <v>80</v>
      </c>
      <c r="B81" s="1" t="s">
        <v>427</v>
      </c>
      <c r="C81" s="1" t="s">
        <v>239</v>
      </c>
      <c r="D81" s="1">
        <v>195</v>
      </c>
      <c r="E81" s="1"/>
      <c r="F81" s="1">
        <v>1.3</v>
      </c>
      <c r="H81" s="1">
        <v>1.3</v>
      </c>
    </row>
    <row r="82" spans="1:8" x14ac:dyDescent="0.3">
      <c r="A82" s="1">
        <v>81</v>
      </c>
      <c r="B82" s="1" t="s">
        <v>972</v>
      </c>
      <c r="C82" s="1" t="s">
        <v>286</v>
      </c>
      <c r="D82" s="1">
        <v>183</v>
      </c>
      <c r="E82" s="1"/>
      <c r="F82" s="1">
        <v>1.3</v>
      </c>
      <c r="H82" s="1">
        <v>1.3</v>
      </c>
    </row>
    <row r="83" spans="1:8" x14ac:dyDescent="0.3">
      <c r="A83" s="1">
        <v>82</v>
      </c>
      <c r="B83" s="1" t="s">
        <v>569</v>
      </c>
      <c r="C83" s="1" t="s">
        <v>311</v>
      </c>
      <c r="D83" s="1">
        <v>160</v>
      </c>
      <c r="E83" s="1"/>
      <c r="F83" s="1">
        <v>1.3</v>
      </c>
      <c r="H83" s="1">
        <v>1.3</v>
      </c>
    </row>
    <row r="84" spans="1:8" x14ac:dyDescent="0.3">
      <c r="A84" s="1">
        <v>83</v>
      </c>
      <c r="B84" s="1" t="s">
        <v>370</v>
      </c>
      <c r="C84" s="1" t="s">
        <v>311</v>
      </c>
      <c r="D84" s="1"/>
      <c r="E84" s="1">
        <v>35</v>
      </c>
      <c r="F84" s="1">
        <v>0</v>
      </c>
      <c r="G84" s="1">
        <v>1.2</v>
      </c>
      <c r="H84" s="1">
        <v>1.2</v>
      </c>
    </row>
    <row r="85" spans="1:8" x14ac:dyDescent="0.3">
      <c r="A85" s="1">
        <v>84</v>
      </c>
      <c r="B85" s="1" t="s">
        <v>269</v>
      </c>
      <c r="C85" s="1" t="s">
        <v>270</v>
      </c>
      <c r="D85" s="1">
        <v>215</v>
      </c>
      <c r="E85" s="1"/>
      <c r="F85" s="1">
        <v>1.2</v>
      </c>
      <c r="H85" s="1">
        <v>1.2</v>
      </c>
    </row>
    <row r="86" spans="1:8" x14ac:dyDescent="0.3">
      <c r="A86" s="1">
        <v>85</v>
      </c>
      <c r="B86" s="1" t="s">
        <v>726</v>
      </c>
      <c r="C86" s="1" t="s">
        <v>241</v>
      </c>
      <c r="D86" s="1"/>
      <c r="E86" s="1">
        <v>50.1</v>
      </c>
      <c r="F86" s="1">
        <v>0</v>
      </c>
      <c r="G86" s="1">
        <v>1.2</v>
      </c>
      <c r="H86" s="1">
        <v>1.2</v>
      </c>
    </row>
    <row r="87" spans="1:8" x14ac:dyDescent="0.3">
      <c r="A87" s="1">
        <v>86</v>
      </c>
      <c r="B87" s="1" t="s">
        <v>641</v>
      </c>
      <c r="C87" s="1" t="s">
        <v>392</v>
      </c>
      <c r="D87" s="1">
        <v>200</v>
      </c>
      <c r="E87" s="1"/>
      <c r="F87" s="1">
        <v>1.2</v>
      </c>
      <c r="H87" s="1">
        <v>1.2</v>
      </c>
    </row>
    <row r="88" spans="1:8" x14ac:dyDescent="0.3">
      <c r="A88" s="1">
        <v>87</v>
      </c>
      <c r="B88" s="1" t="s">
        <v>316</v>
      </c>
      <c r="C88" s="1" t="s">
        <v>246</v>
      </c>
      <c r="D88" s="1">
        <v>187</v>
      </c>
      <c r="E88" s="1"/>
      <c r="F88" s="1">
        <v>1.2</v>
      </c>
      <c r="H88" s="1">
        <v>1.2</v>
      </c>
    </row>
    <row r="89" spans="1:8" x14ac:dyDescent="0.3">
      <c r="A89" s="1">
        <v>88</v>
      </c>
      <c r="B89" s="1" t="s">
        <v>177</v>
      </c>
      <c r="C89" s="1" t="s">
        <v>311</v>
      </c>
      <c r="D89" s="1"/>
      <c r="E89" s="1">
        <v>62.2</v>
      </c>
      <c r="F89" s="1">
        <v>0</v>
      </c>
      <c r="G89" s="1">
        <v>1.2</v>
      </c>
      <c r="H89" s="1">
        <v>1.2</v>
      </c>
    </row>
    <row r="90" spans="1:8" x14ac:dyDescent="0.3">
      <c r="A90" s="1">
        <v>89</v>
      </c>
      <c r="B90" s="1" t="s">
        <v>189</v>
      </c>
      <c r="C90" s="1" t="s">
        <v>243</v>
      </c>
      <c r="D90" s="1"/>
      <c r="E90" s="1">
        <v>59.2</v>
      </c>
      <c r="F90" s="1">
        <v>0</v>
      </c>
      <c r="G90" s="1">
        <v>1.2</v>
      </c>
      <c r="H90" s="1">
        <v>1.2</v>
      </c>
    </row>
    <row r="91" spans="1:8" x14ac:dyDescent="0.3">
      <c r="A91" s="1">
        <v>90</v>
      </c>
      <c r="B91" s="1" t="s">
        <v>362</v>
      </c>
      <c r="C91" s="1" t="s">
        <v>268</v>
      </c>
      <c r="D91" s="1">
        <v>170</v>
      </c>
      <c r="E91" s="1"/>
      <c r="F91" s="1">
        <v>1.2</v>
      </c>
      <c r="H91" s="1">
        <v>1.2</v>
      </c>
    </row>
    <row r="92" spans="1:8" x14ac:dyDescent="0.3">
      <c r="A92" s="1">
        <v>91</v>
      </c>
      <c r="B92" s="1" t="s">
        <v>159</v>
      </c>
      <c r="C92" s="1" t="s">
        <v>226</v>
      </c>
      <c r="D92" s="1"/>
      <c r="E92" s="1">
        <v>48</v>
      </c>
      <c r="F92" s="1">
        <v>0</v>
      </c>
      <c r="G92" s="1">
        <v>1.2</v>
      </c>
      <c r="H92" s="1">
        <v>1.2</v>
      </c>
    </row>
    <row r="93" spans="1:8" x14ac:dyDescent="0.3">
      <c r="A93" s="1">
        <v>92</v>
      </c>
      <c r="B93" s="1" t="s">
        <v>352</v>
      </c>
      <c r="C93" s="1" t="s">
        <v>274</v>
      </c>
      <c r="D93" s="1">
        <v>192</v>
      </c>
      <c r="E93" s="1"/>
      <c r="F93" s="1">
        <v>1.2</v>
      </c>
      <c r="H93" s="1">
        <v>1.2</v>
      </c>
    </row>
    <row r="94" spans="1:8" x14ac:dyDescent="0.3">
      <c r="A94" s="1">
        <v>93</v>
      </c>
      <c r="B94" s="1" t="s">
        <v>185</v>
      </c>
      <c r="C94" s="1" t="s">
        <v>286</v>
      </c>
      <c r="D94" s="1"/>
      <c r="E94" s="1">
        <v>57.1</v>
      </c>
      <c r="F94" s="1">
        <v>0</v>
      </c>
      <c r="G94" s="1">
        <v>1.2</v>
      </c>
      <c r="H94" s="1">
        <v>1.2</v>
      </c>
    </row>
    <row r="95" spans="1:8" x14ac:dyDescent="0.3">
      <c r="A95" s="1">
        <v>94</v>
      </c>
      <c r="B95" s="1" t="s">
        <v>411</v>
      </c>
      <c r="C95" s="1" t="s">
        <v>250</v>
      </c>
      <c r="D95" s="1"/>
      <c r="E95" s="1">
        <v>58.1</v>
      </c>
      <c r="F95" s="1">
        <v>0</v>
      </c>
      <c r="G95" s="1">
        <v>1.2</v>
      </c>
      <c r="H95" s="1">
        <v>1.2</v>
      </c>
    </row>
    <row r="96" spans="1:8" x14ac:dyDescent="0.3">
      <c r="A96" s="1">
        <v>95</v>
      </c>
      <c r="B96" s="1" t="s">
        <v>301</v>
      </c>
      <c r="C96" s="1" t="s">
        <v>274</v>
      </c>
      <c r="D96" s="1"/>
      <c r="E96" s="1">
        <v>60</v>
      </c>
      <c r="F96" s="1">
        <v>0</v>
      </c>
      <c r="G96" s="1">
        <v>1.2</v>
      </c>
      <c r="H96" s="1">
        <v>1.2</v>
      </c>
    </row>
    <row r="97" spans="1:8" x14ac:dyDescent="0.3">
      <c r="A97" s="1">
        <v>96</v>
      </c>
      <c r="B97" s="1" t="s">
        <v>160</v>
      </c>
      <c r="C97" s="1" t="s">
        <v>248</v>
      </c>
      <c r="D97" s="1"/>
      <c r="E97" s="1">
        <v>64</v>
      </c>
      <c r="F97" s="1">
        <v>0</v>
      </c>
      <c r="G97" s="1">
        <v>1.1000000000000001</v>
      </c>
      <c r="H97" s="1">
        <v>1.1000000000000001</v>
      </c>
    </row>
    <row r="98" spans="1:8" x14ac:dyDescent="0.3">
      <c r="A98" s="1">
        <v>97</v>
      </c>
      <c r="B98" s="1" t="s">
        <v>171</v>
      </c>
      <c r="C98" s="1" t="s">
        <v>268</v>
      </c>
      <c r="D98" s="1"/>
      <c r="E98" s="1">
        <v>65</v>
      </c>
      <c r="F98" s="1">
        <v>0</v>
      </c>
      <c r="G98" s="1">
        <v>1.1000000000000001</v>
      </c>
      <c r="H98" s="1">
        <v>1.1000000000000001</v>
      </c>
    </row>
    <row r="99" spans="1:8" x14ac:dyDescent="0.3">
      <c r="A99" s="1">
        <v>98</v>
      </c>
      <c r="B99" s="1" t="s">
        <v>674</v>
      </c>
      <c r="C99" s="1" t="s">
        <v>239</v>
      </c>
      <c r="D99" s="1">
        <v>156</v>
      </c>
      <c r="E99" s="1"/>
      <c r="F99" s="1">
        <v>1.1000000000000001</v>
      </c>
      <c r="H99" s="1">
        <v>1.1000000000000001</v>
      </c>
    </row>
    <row r="100" spans="1:8" x14ac:dyDescent="0.3">
      <c r="A100" s="1">
        <v>99</v>
      </c>
      <c r="B100" s="1" t="s">
        <v>432</v>
      </c>
      <c r="C100" s="1" t="s">
        <v>244</v>
      </c>
      <c r="D100" s="1">
        <v>186</v>
      </c>
      <c r="E100" s="1"/>
      <c r="F100" s="1">
        <v>1.1000000000000001</v>
      </c>
      <c r="H100" s="1">
        <v>1.1000000000000001</v>
      </c>
    </row>
    <row r="101" spans="1:8" x14ac:dyDescent="0.3">
      <c r="A101" s="1">
        <v>100</v>
      </c>
      <c r="B101" s="1" t="s">
        <v>465</v>
      </c>
      <c r="C101" s="1" t="s">
        <v>270</v>
      </c>
      <c r="D101" s="1"/>
      <c r="E101" s="1">
        <v>18.2</v>
      </c>
      <c r="F101" s="1">
        <v>0</v>
      </c>
      <c r="G101" s="1">
        <v>1.1000000000000001</v>
      </c>
      <c r="H101" s="1">
        <v>1.1000000000000001</v>
      </c>
    </row>
    <row r="102" spans="1:8" x14ac:dyDescent="0.3">
      <c r="A102" s="1">
        <v>101</v>
      </c>
      <c r="B102" s="1" t="s">
        <v>962</v>
      </c>
      <c r="C102" s="1" t="s">
        <v>226</v>
      </c>
      <c r="D102" s="1">
        <v>192</v>
      </c>
      <c r="E102" s="1"/>
      <c r="F102" s="1">
        <v>1.1000000000000001</v>
      </c>
      <c r="H102" s="1">
        <v>1.1000000000000001</v>
      </c>
    </row>
    <row r="103" spans="1:8" x14ac:dyDescent="0.3">
      <c r="A103" s="1">
        <v>102</v>
      </c>
      <c r="B103" s="1" t="s">
        <v>3010</v>
      </c>
      <c r="C103" s="1" t="s">
        <v>221</v>
      </c>
      <c r="D103" s="1">
        <v>133</v>
      </c>
      <c r="E103" s="1"/>
      <c r="F103" s="1">
        <v>1.1000000000000001</v>
      </c>
      <c r="H103" s="1">
        <v>1.1000000000000001</v>
      </c>
    </row>
    <row r="104" spans="1:8" x14ac:dyDescent="0.3">
      <c r="A104" s="1">
        <v>103</v>
      </c>
      <c r="B104" s="1" t="s">
        <v>303</v>
      </c>
      <c r="C104" s="1" t="s">
        <v>228</v>
      </c>
      <c r="D104" s="1">
        <v>98</v>
      </c>
      <c r="E104" s="1"/>
      <c r="F104" s="1">
        <v>1.1000000000000001</v>
      </c>
      <c r="H104" s="1">
        <v>1.1000000000000001</v>
      </c>
    </row>
    <row r="105" spans="1:8" x14ac:dyDescent="0.3">
      <c r="A105" s="1">
        <v>104</v>
      </c>
      <c r="B105" s="1" t="s">
        <v>857</v>
      </c>
      <c r="C105" s="1" t="s">
        <v>224</v>
      </c>
      <c r="D105" s="1">
        <v>137</v>
      </c>
      <c r="E105" s="1"/>
      <c r="F105" s="1">
        <v>1.1000000000000001</v>
      </c>
      <c r="H105" s="1">
        <v>1.1000000000000001</v>
      </c>
    </row>
    <row r="106" spans="1:8" x14ac:dyDescent="0.3">
      <c r="A106" s="1">
        <v>105</v>
      </c>
      <c r="B106" s="1" t="s">
        <v>369</v>
      </c>
      <c r="C106" s="1" t="s">
        <v>325</v>
      </c>
      <c r="D106" s="1">
        <v>223</v>
      </c>
      <c r="E106" s="1"/>
      <c r="F106" s="1">
        <v>1.1000000000000001</v>
      </c>
      <c r="H106" s="1">
        <v>1.1000000000000001</v>
      </c>
    </row>
    <row r="107" spans="1:8" x14ac:dyDescent="0.3">
      <c r="A107" s="1">
        <v>106</v>
      </c>
      <c r="B107" s="1" t="s">
        <v>179</v>
      </c>
      <c r="C107" s="1" t="s">
        <v>268</v>
      </c>
      <c r="D107" s="1"/>
      <c r="E107" s="1">
        <v>58</v>
      </c>
      <c r="F107" s="1">
        <v>0</v>
      </c>
      <c r="G107" s="1">
        <v>1.1000000000000001</v>
      </c>
      <c r="H107" s="1">
        <v>1.1000000000000001</v>
      </c>
    </row>
    <row r="108" spans="1:8" x14ac:dyDescent="0.3">
      <c r="A108" s="1">
        <v>107</v>
      </c>
      <c r="B108" s="1" t="s">
        <v>656</v>
      </c>
      <c r="C108" s="1" t="s">
        <v>255</v>
      </c>
      <c r="D108" s="1">
        <v>172</v>
      </c>
      <c r="E108" s="1"/>
      <c r="F108" s="1">
        <v>1.1000000000000001</v>
      </c>
      <c r="H108" s="1">
        <v>1.1000000000000001</v>
      </c>
    </row>
    <row r="109" spans="1:8" x14ac:dyDescent="0.3">
      <c r="A109" s="1">
        <v>108</v>
      </c>
      <c r="B109" s="1" t="s">
        <v>329</v>
      </c>
      <c r="C109" s="1" t="s">
        <v>234</v>
      </c>
      <c r="D109" s="1"/>
      <c r="E109" s="1">
        <v>59.2</v>
      </c>
      <c r="F109" s="1">
        <v>0</v>
      </c>
      <c r="G109" s="1">
        <v>1.1000000000000001</v>
      </c>
      <c r="H109" s="1">
        <v>1.1000000000000001</v>
      </c>
    </row>
    <row r="110" spans="1:8" x14ac:dyDescent="0.3">
      <c r="A110" s="1">
        <v>109</v>
      </c>
      <c r="B110" s="1" t="s">
        <v>323</v>
      </c>
      <c r="C110" s="1" t="s">
        <v>268</v>
      </c>
      <c r="D110" s="1"/>
      <c r="E110" s="1">
        <v>60.1</v>
      </c>
      <c r="F110" s="1">
        <v>0</v>
      </c>
      <c r="G110" s="1">
        <v>1.1000000000000001</v>
      </c>
      <c r="H110" s="1">
        <v>1.1000000000000001</v>
      </c>
    </row>
    <row r="111" spans="1:8" x14ac:dyDescent="0.3">
      <c r="A111" s="1">
        <v>110</v>
      </c>
      <c r="B111" s="1" t="s">
        <v>173</v>
      </c>
      <c r="C111" s="1" t="s">
        <v>246</v>
      </c>
      <c r="D111" s="1"/>
      <c r="E111" s="1">
        <v>63</v>
      </c>
      <c r="F111" s="1">
        <v>0</v>
      </c>
      <c r="G111" s="1">
        <v>1.1000000000000001</v>
      </c>
      <c r="H111" s="1">
        <v>1.1000000000000001</v>
      </c>
    </row>
    <row r="112" spans="1:8" x14ac:dyDescent="0.3">
      <c r="A112" s="1">
        <v>111</v>
      </c>
      <c r="B112" s="1" t="s">
        <v>570</v>
      </c>
      <c r="C112" s="1" t="s">
        <v>231</v>
      </c>
      <c r="D112" s="1">
        <v>152</v>
      </c>
      <c r="E112" s="1"/>
      <c r="F112" s="1">
        <v>1.1000000000000001</v>
      </c>
      <c r="H112" s="1">
        <v>1.1000000000000001</v>
      </c>
    </row>
    <row r="113" spans="1:8" x14ac:dyDescent="0.3">
      <c r="A113" s="1">
        <v>112</v>
      </c>
      <c r="B113" s="1" t="s">
        <v>2205</v>
      </c>
      <c r="C113" s="1" t="s">
        <v>244</v>
      </c>
      <c r="D113" s="1">
        <v>74</v>
      </c>
      <c r="E113" s="1"/>
      <c r="F113" s="1">
        <v>1.1000000000000001</v>
      </c>
      <c r="H113" s="1">
        <v>1.1000000000000001</v>
      </c>
    </row>
    <row r="114" spans="1:8" x14ac:dyDescent="0.3">
      <c r="A114" s="1">
        <v>113</v>
      </c>
      <c r="B114" s="1" t="s">
        <v>220</v>
      </c>
      <c r="C114" s="1" t="s">
        <v>221</v>
      </c>
      <c r="D114" s="1">
        <v>37</v>
      </c>
      <c r="E114" s="1"/>
      <c r="F114" s="1">
        <v>1.1000000000000001</v>
      </c>
      <c r="H114" s="1">
        <v>1.1000000000000001</v>
      </c>
    </row>
    <row r="115" spans="1:8" x14ac:dyDescent="0.3">
      <c r="A115" s="1">
        <v>114</v>
      </c>
      <c r="B115" s="1" t="s">
        <v>283</v>
      </c>
      <c r="C115" s="1" t="s">
        <v>250</v>
      </c>
      <c r="D115" s="1">
        <v>105</v>
      </c>
      <c r="E115" s="1"/>
      <c r="F115" s="1">
        <v>1</v>
      </c>
      <c r="H115" s="1">
        <v>1</v>
      </c>
    </row>
    <row r="116" spans="1:8" x14ac:dyDescent="0.3">
      <c r="A116" s="1">
        <v>115</v>
      </c>
      <c r="B116" s="1" t="s">
        <v>3073</v>
      </c>
      <c r="C116" s="1" t="s">
        <v>241</v>
      </c>
      <c r="D116" s="1">
        <v>133</v>
      </c>
      <c r="E116" s="1"/>
      <c r="F116" s="1">
        <v>1</v>
      </c>
      <c r="H116" s="1">
        <v>1</v>
      </c>
    </row>
    <row r="117" spans="1:8" x14ac:dyDescent="0.3">
      <c r="A117" s="1">
        <v>116</v>
      </c>
      <c r="B117" s="1" t="s">
        <v>371</v>
      </c>
      <c r="C117" s="1" t="s">
        <v>325</v>
      </c>
      <c r="D117" s="1">
        <v>157</v>
      </c>
      <c r="E117" s="1"/>
      <c r="F117" s="1">
        <v>1</v>
      </c>
      <c r="H117" s="1">
        <v>1</v>
      </c>
    </row>
    <row r="118" spans="1:8" x14ac:dyDescent="0.3">
      <c r="A118" s="1">
        <v>117</v>
      </c>
      <c r="B118" s="1" t="s">
        <v>910</v>
      </c>
      <c r="C118" s="1" t="s">
        <v>339</v>
      </c>
      <c r="D118" s="1">
        <v>203</v>
      </c>
      <c r="E118" s="1"/>
      <c r="F118" s="1">
        <v>1</v>
      </c>
      <c r="H118" s="1">
        <v>1</v>
      </c>
    </row>
    <row r="119" spans="1:8" x14ac:dyDescent="0.3">
      <c r="A119" s="1">
        <v>118</v>
      </c>
      <c r="B119" s="1" t="s">
        <v>511</v>
      </c>
      <c r="C119" s="1" t="s">
        <v>286</v>
      </c>
      <c r="D119" s="1">
        <v>198</v>
      </c>
      <c r="E119" s="1"/>
      <c r="F119" s="1">
        <v>1</v>
      </c>
      <c r="H119" s="1">
        <v>1</v>
      </c>
    </row>
    <row r="120" spans="1:8" x14ac:dyDescent="0.3">
      <c r="A120" s="1">
        <v>119</v>
      </c>
      <c r="B120" s="1" t="s">
        <v>849</v>
      </c>
      <c r="C120" s="1" t="s">
        <v>264</v>
      </c>
      <c r="D120" s="1">
        <v>144</v>
      </c>
      <c r="E120" s="1"/>
      <c r="F120" s="1">
        <v>1</v>
      </c>
      <c r="H120" s="1">
        <v>1</v>
      </c>
    </row>
    <row r="121" spans="1:8" x14ac:dyDescent="0.3">
      <c r="A121" s="1">
        <v>120</v>
      </c>
      <c r="B121" s="1" t="s">
        <v>236</v>
      </c>
      <c r="C121" s="1" t="s">
        <v>234</v>
      </c>
      <c r="D121" s="1">
        <v>208</v>
      </c>
      <c r="E121" s="1"/>
      <c r="F121" s="1">
        <v>1</v>
      </c>
      <c r="H121" s="1">
        <v>1</v>
      </c>
    </row>
    <row r="122" spans="1:8" x14ac:dyDescent="0.3">
      <c r="A122" s="1">
        <v>121</v>
      </c>
      <c r="B122" s="1" t="s">
        <v>309</v>
      </c>
      <c r="C122" s="1" t="s">
        <v>244</v>
      </c>
      <c r="D122" s="1">
        <v>214</v>
      </c>
      <c r="E122" s="1"/>
      <c r="F122" s="1">
        <v>1</v>
      </c>
      <c r="H122" s="1">
        <v>1</v>
      </c>
    </row>
    <row r="123" spans="1:8" x14ac:dyDescent="0.3">
      <c r="A123" s="1">
        <v>122</v>
      </c>
      <c r="B123" s="1" t="s">
        <v>272</v>
      </c>
      <c r="C123" s="1" t="s">
        <v>248</v>
      </c>
      <c r="D123" s="1">
        <v>161</v>
      </c>
      <c r="E123" s="1"/>
      <c r="F123" s="1">
        <v>1</v>
      </c>
      <c r="H123" s="1">
        <v>1</v>
      </c>
    </row>
    <row r="124" spans="1:8" x14ac:dyDescent="0.3">
      <c r="A124" s="1">
        <v>123</v>
      </c>
      <c r="B124" s="1" t="s">
        <v>353</v>
      </c>
      <c r="C124" s="1" t="s">
        <v>235</v>
      </c>
      <c r="D124" s="1"/>
      <c r="E124" s="1">
        <v>40.200000000000003</v>
      </c>
      <c r="F124" s="1">
        <v>0</v>
      </c>
      <c r="G124" s="1">
        <v>1</v>
      </c>
      <c r="H124" s="1">
        <v>1</v>
      </c>
    </row>
    <row r="125" spans="1:8" x14ac:dyDescent="0.3">
      <c r="A125" s="1">
        <v>124</v>
      </c>
      <c r="B125" s="1" t="s">
        <v>689</v>
      </c>
      <c r="C125" s="1" t="s">
        <v>346</v>
      </c>
      <c r="D125" s="1">
        <v>130</v>
      </c>
      <c r="E125" s="1">
        <v>1</v>
      </c>
      <c r="F125" s="1">
        <v>1</v>
      </c>
      <c r="G125" s="1">
        <v>-0.1</v>
      </c>
      <c r="H125" s="1">
        <v>1</v>
      </c>
    </row>
    <row r="126" spans="1:8" x14ac:dyDescent="0.3">
      <c r="A126" s="1">
        <v>125</v>
      </c>
      <c r="B126" s="1" t="s">
        <v>659</v>
      </c>
      <c r="C126" s="1" t="s">
        <v>231</v>
      </c>
      <c r="D126" s="1">
        <v>155</v>
      </c>
      <c r="E126" s="1"/>
      <c r="F126" s="1">
        <v>1</v>
      </c>
      <c r="H126" s="1">
        <v>1</v>
      </c>
    </row>
    <row r="127" spans="1:8" x14ac:dyDescent="0.3">
      <c r="A127" s="1">
        <v>126</v>
      </c>
      <c r="B127" s="1" t="s">
        <v>149</v>
      </c>
      <c r="C127" s="1" t="s">
        <v>251</v>
      </c>
      <c r="D127" s="1"/>
      <c r="E127" s="1">
        <v>64.099999999999994</v>
      </c>
      <c r="F127" s="1">
        <v>0</v>
      </c>
      <c r="G127" s="1">
        <v>1</v>
      </c>
      <c r="H127" s="1">
        <v>1</v>
      </c>
    </row>
    <row r="128" spans="1:8" x14ac:dyDescent="0.3">
      <c r="A128" s="1">
        <v>127</v>
      </c>
      <c r="B128" s="1" t="s">
        <v>586</v>
      </c>
      <c r="C128" s="1" t="s">
        <v>287</v>
      </c>
      <c r="D128" s="1">
        <v>190</v>
      </c>
      <c r="E128" s="1"/>
      <c r="F128" s="1">
        <v>1</v>
      </c>
      <c r="H128" s="1">
        <v>1</v>
      </c>
    </row>
    <row r="129" spans="1:8" x14ac:dyDescent="0.3">
      <c r="A129" s="1">
        <v>128</v>
      </c>
      <c r="B129" s="1" t="s">
        <v>181</v>
      </c>
      <c r="C129" s="1" t="s">
        <v>264</v>
      </c>
      <c r="D129" s="1"/>
      <c r="E129" s="1">
        <v>43</v>
      </c>
      <c r="F129" s="1">
        <v>0</v>
      </c>
      <c r="G129" s="1">
        <v>1</v>
      </c>
      <c r="H129" s="1">
        <v>1</v>
      </c>
    </row>
    <row r="130" spans="1:8" x14ac:dyDescent="0.3">
      <c r="A130" s="1">
        <v>129</v>
      </c>
      <c r="B130" s="1" t="s">
        <v>230</v>
      </c>
      <c r="C130" s="1" t="s">
        <v>231</v>
      </c>
      <c r="D130" s="1">
        <v>202</v>
      </c>
      <c r="E130" s="1"/>
      <c r="F130" s="1">
        <v>1</v>
      </c>
      <c r="H130" s="1">
        <v>1</v>
      </c>
    </row>
    <row r="131" spans="1:8" x14ac:dyDescent="0.3">
      <c r="A131" s="1">
        <v>130</v>
      </c>
      <c r="B131" s="1" t="s">
        <v>300</v>
      </c>
      <c r="C131" s="1" t="s">
        <v>246</v>
      </c>
      <c r="D131" s="1">
        <v>200</v>
      </c>
      <c r="E131" s="1"/>
      <c r="F131" s="1">
        <v>1</v>
      </c>
      <c r="H131" s="1">
        <v>1</v>
      </c>
    </row>
    <row r="132" spans="1:8" x14ac:dyDescent="0.3">
      <c r="A132" s="1">
        <v>131</v>
      </c>
      <c r="B132" s="1" t="s">
        <v>183</v>
      </c>
      <c r="C132" s="1" t="s">
        <v>270</v>
      </c>
      <c r="D132" s="1"/>
      <c r="E132" s="1">
        <v>50</v>
      </c>
      <c r="F132" s="1">
        <v>0</v>
      </c>
      <c r="G132" s="1">
        <v>0.9</v>
      </c>
      <c r="H132" s="1">
        <v>0.9</v>
      </c>
    </row>
    <row r="133" spans="1:8" x14ac:dyDescent="0.3">
      <c r="A133" s="1">
        <v>132</v>
      </c>
      <c r="B133" s="1" t="s">
        <v>245</v>
      </c>
      <c r="C133" s="1" t="s">
        <v>246</v>
      </c>
      <c r="D133" s="1"/>
      <c r="E133" s="1">
        <v>56.1</v>
      </c>
      <c r="F133" s="1">
        <v>0</v>
      </c>
      <c r="G133" s="1">
        <v>0.9</v>
      </c>
      <c r="H133" s="1">
        <v>0.9</v>
      </c>
    </row>
    <row r="134" spans="1:8" x14ac:dyDescent="0.3">
      <c r="A134" s="1">
        <v>133</v>
      </c>
      <c r="B134" s="1" t="s">
        <v>2202</v>
      </c>
      <c r="C134" s="1" t="s">
        <v>248</v>
      </c>
      <c r="D134" s="1">
        <v>150</v>
      </c>
      <c r="E134" s="1"/>
      <c r="F134" s="1">
        <v>0.9</v>
      </c>
      <c r="H134" s="1">
        <v>0.9</v>
      </c>
    </row>
    <row r="135" spans="1:8" x14ac:dyDescent="0.3">
      <c r="A135" s="1">
        <v>134</v>
      </c>
      <c r="B135" s="1" t="s">
        <v>405</v>
      </c>
      <c r="C135" s="1" t="s">
        <v>241</v>
      </c>
      <c r="D135" s="1">
        <v>172</v>
      </c>
      <c r="E135" s="1"/>
      <c r="F135" s="1">
        <v>0.9</v>
      </c>
      <c r="H135" s="1">
        <v>0.9</v>
      </c>
    </row>
    <row r="136" spans="1:8" x14ac:dyDescent="0.3">
      <c r="A136" s="1">
        <v>135</v>
      </c>
      <c r="B136" s="1" t="s">
        <v>1599</v>
      </c>
      <c r="C136" s="1" t="s">
        <v>339</v>
      </c>
      <c r="D136" s="1">
        <v>95</v>
      </c>
      <c r="E136" s="1"/>
      <c r="F136" s="1">
        <v>0.9</v>
      </c>
      <c r="H136" s="1">
        <v>0.9</v>
      </c>
    </row>
    <row r="137" spans="1:8" x14ac:dyDescent="0.3">
      <c r="A137" s="1">
        <v>136</v>
      </c>
      <c r="B137" s="1" t="s">
        <v>875</v>
      </c>
      <c r="C137" s="1" t="s">
        <v>235</v>
      </c>
      <c r="D137" s="1">
        <v>209</v>
      </c>
      <c r="E137" s="1"/>
      <c r="F137" s="1">
        <v>0.9</v>
      </c>
      <c r="H137" s="1">
        <v>0.9</v>
      </c>
    </row>
    <row r="138" spans="1:8" x14ac:dyDescent="0.3">
      <c r="A138" s="1">
        <v>137</v>
      </c>
      <c r="B138" s="1" t="s">
        <v>351</v>
      </c>
      <c r="C138" s="1" t="s">
        <v>255</v>
      </c>
      <c r="D138" s="1"/>
      <c r="E138" s="1">
        <v>55.1</v>
      </c>
      <c r="F138" s="1">
        <v>0</v>
      </c>
      <c r="G138" s="1">
        <v>0.9</v>
      </c>
      <c r="H138" s="1">
        <v>0.9</v>
      </c>
    </row>
    <row r="139" spans="1:8" x14ac:dyDescent="0.3">
      <c r="A139" s="1">
        <v>138</v>
      </c>
      <c r="B139" s="1" t="s">
        <v>698</v>
      </c>
      <c r="C139" s="1" t="s">
        <v>241</v>
      </c>
      <c r="D139" s="1"/>
      <c r="E139" s="1">
        <v>54</v>
      </c>
      <c r="F139" s="1">
        <v>0</v>
      </c>
      <c r="G139" s="1">
        <v>0.9</v>
      </c>
      <c r="H139" s="1">
        <v>0.9</v>
      </c>
    </row>
    <row r="140" spans="1:8" x14ac:dyDescent="0.3">
      <c r="A140" s="1">
        <v>139</v>
      </c>
      <c r="B140" s="1" t="s">
        <v>751</v>
      </c>
      <c r="C140" s="1" t="s">
        <v>287</v>
      </c>
      <c r="D140" s="1">
        <v>219</v>
      </c>
      <c r="E140" s="1"/>
      <c r="F140" s="1">
        <v>0.9</v>
      </c>
      <c r="H140" s="1">
        <v>0.9</v>
      </c>
    </row>
    <row r="141" spans="1:8" x14ac:dyDescent="0.3">
      <c r="A141" s="1">
        <v>140</v>
      </c>
      <c r="B141" s="1" t="s">
        <v>2210</v>
      </c>
      <c r="C141" s="1" t="s">
        <v>235</v>
      </c>
      <c r="D141" s="1">
        <v>138</v>
      </c>
      <c r="E141" s="1"/>
      <c r="F141" s="1">
        <v>0.9</v>
      </c>
      <c r="H141" s="1">
        <v>0.9</v>
      </c>
    </row>
    <row r="142" spans="1:8" x14ac:dyDescent="0.3">
      <c r="A142" s="1">
        <v>141</v>
      </c>
      <c r="B142" s="1" t="s">
        <v>784</v>
      </c>
      <c r="C142" s="1" t="s">
        <v>228</v>
      </c>
      <c r="D142" s="1">
        <v>145</v>
      </c>
      <c r="E142" s="1"/>
      <c r="F142" s="1">
        <v>0.9</v>
      </c>
      <c r="H142" s="1">
        <v>0.9</v>
      </c>
    </row>
    <row r="143" spans="1:8" x14ac:dyDescent="0.3">
      <c r="A143" s="1">
        <v>142</v>
      </c>
      <c r="B143" s="1" t="s">
        <v>619</v>
      </c>
      <c r="C143" s="1" t="s">
        <v>255</v>
      </c>
      <c r="D143" s="1">
        <v>213</v>
      </c>
      <c r="E143" s="1"/>
      <c r="F143" s="1">
        <v>0.9</v>
      </c>
      <c r="H143" s="1">
        <v>0.9</v>
      </c>
    </row>
    <row r="144" spans="1:8" x14ac:dyDescent="0.3">
      <c r="A144" s="1">
        <v>143</v>
      </c>
      <c r="B144" s="1" t="s">
        <v>238</v>
      </c>
      <c r="C144" s="1" t="s">
        <v>239</v>
      </c>
      <c r="D144" s="1">
        <v>186</v>
      </c>
      <c r="E144" s="1"/>
      <c r="F144" s="1">
        <v>0.9</v>
      </c>
      <c r="H144" s="1">
        <v>0.9</v>
      </c>
    </row>
    <row r="145" spans="1:8" x14ac:dyDescent="0.3">
      <c r="A145" s="1">
        <v>144</v>
      </c>
      <c r="B145" s="1" t="s">
        <v>330</v>
      </c>
      <c r="C145" s="1" t="s">
        <v>264</v>
      </c>
      <c r="D145" s="1">
        <v>197</v>
      </c>
      <c r="E145" s="1"/>
      <c r="F145" s="1">
        <v>0.9</v>
      </c>
      <c r="H145" s="1">
        <v>0.9</v>
      </c>
    </row>
    <row r="146" spans="1:8" x14ac:dyDescent="0.3">
      <c r="A146" s="1">
        <v>145</v>
      </c>
      <c r="B146" s="1" t="s">
        <v>195</v>
      </c>
      <c r="C146" s="1" t="s">
        <v>392</v>
      </c>
      <c r="D146" s="1"/>
      <c r="E146" s="1">
        <v>57.2</v>
      </c>
      <c r="F146" s="1">
        <v>0</v>
      </c>
      <c r="G146" s="1">
        <v>0.9</v>
      </c>
      <c r="H146" s="1">
        <v>0.9</v>
      </c>
    </row>
    <row r="147" spans="1:8" x14ac:dyDescent="0.3">
      <c r="A147" s="1">
        <v>146</v>
      </c>
      <c r="B147" s="1" t="s">
        <v>3160</v>
      </c>
      <c r="C147" s="1" t="s">
        <v>222</v>
      </c>
      <c r="D147" s="1">
        <v>77</v>
      </c>
      <c r="E147" s="1"/>
      <c r="F147" s="1">
        <v>0.9</v>
      </c>
      <c r="H147" s="1">
        <v>0.9</v>
      </c>
    </row>
    <row r="148" spans="1:8" x14ac:dyDescent="0.3">
      <c r="A148" s="1">
        <v>147</v>
      </c>
      <c r="B148" s="1" t="s">
        <v>404</v>
      </c>
      <c r="C148" s="1" t="s">
        <v>392</v>
      </c>
      <c r="D148" s="1"/>
      <c r="E148" s="1">
        <v>51</v>
      </c>
      <c r="F148" s="1">
        <v>0</v>
      </c>
      <c r="G148" s="1">
        <v>0.9</v>
      </c>
      <c r="H148" s="1">
        <v>0.9</v>
      </c>
    </row>
    <row r="149" spans="1:8" x14ac:dyDescent="0.3">
      <c r="A149" s="1">
        <v>148</v>
      </c>
      <c r="B149" s="1" t="s">
        <v>294</v>
      </c>
      <c r="C149" s="1" t="s">
        <v>231</v>
      </c>
      <c r="D149" s="1"/>
      <c r="E149" s="1">
        <v>18</v>
      </c>
      <c r="F149" s="1">
        <v>0</v>
      </c>
      <c r="G149" s="1">
        <v>0.9</v>
      </c>
      <c r="H149" s="1">
        <v>0.9</v>
      </c>
    </row>
    <row r="150" spans="1:8" x14ac:dyDescent="0.3">
      <c r="A150" s="1">
        <v>149</v>
      </c>
      <c r="B150" s="1" t="s">
        <v>1747</v>
      </c>
      <c r="C150" s="1" t="s">
        <v>264</v>
      </c>
      <c r="D150" s="1">
        <v>140</v>
      </c>
      <c r="E150" s="1"/>
      <c r="F150" s="1">
        <v>0.9</v>
      </c>
      <c r="H150" s="1">
        <v>0.9</v>
      </c>
    </row>
    <row r="151" spans="1:8" x14ac:dyDescent="0.3">
      <c r="A151" s="1">
        <v>150</v>
      </c>
      <c r="B151" s="1" t="s">
        <v>237</v>
      </c>
      <c r="C151" s="1" t="s">
        <v>222</v>
      </c>
      <c r="D151" s="1">
        <v>211</v>
      </c>
      <c r="E151" s="1"/>
      <c r="F151" s="1">
        <v>0.9</v>
      </c>
      <c r="H151" s="1">
        <v>0.9</v>
      </c>
    </row>
    <row r="152" spans="1:8" x14ac:dyDescent="0.3">
      <c r="A152" s="1">
        <v>151</v>
      </c>
      <c r="B152" s="1" t="s">
        <v>208</v>
      </c>
      <c r="C152" s="1" t="s">
        <v>221</v>
      </c>
      <c r="D152" s="1"/>
      <c r="E152" s="1">
        <v>50.1</v>
      </c>
      <c r="F152" s="1">
        <v>0</v>
      </c>
      <c r="G152" s="1">
        <v>0.9</v>
      </c>
      <c r="H152" s="1">
        <v>0.9</v>
      </c>
    </row>
    <row r="153" spans="1:8" x14ac:dyDescent="0.3">
      <c r="A153" s="1">
        <v>152</v>
      </c>
      <c r="B153" s="1" t="s">
        <v>638</v>
      </c>
      <c r="C153" s="1" t="s">
        <v>235</v>
      </c>
      <c r="D153" s="1"/>
      <c r="E153" s="1">
        <v>22</v>
      </c>
      <c r="F153" s="1">
        <v>0</v>
      </c>
      <c r="G153" s="1">
        <v>0.9</v>
      </c>
      <c r="H153" s="1">
        <v>0.9</v>
      </c>
    </row>
    <row r="154" spans="1:8" x14ac:dyDescent="0.3">
      <c r="A154" s="1">
        <v>153</v>
      </c>
      <c r="B154" s="1" t="s">
        <v>331</v>
      </c>
      <c r="C154" s="1" t="s">
        <v>221</v>
      </c>
      <c r="D154" s="1">
        <v>207</v>
      </c>
      <c r="E154" s="1"/>
      <c r="F154" s="1">
        <v>0.9</v>
      </c>
      <c r="H154" s="1">
        <v>0.9</v>
      </c>
    </row>
    <row r="155" spans="1:8" x14ac:dyDescent="0.3">
      <c r="A155" s="1">
        <v>154</v>
      </c>
      <c r="B155" s="1" t="s">
        <v>833</v>
      </c>
      <c r="C155" s="1" t="s">
        <v>221</v>
      </c>
      <c r="D155" s="1"/>
      <c r="E155" s="1">
        <v>48.2</v>
      </c>
      <c r="F155" s="1">
        <v>0</v>
      </c>
      <c r="G155" s="1">
        <v>0.9</v>
      </c>
      <c r="H155" s="1">
        <v>0.9</v>
      </c>
    </row>
    <row r="156" spans="1:8" x14ac:dyDescent="0.3">
      <c r="A156" s="1">
        <v>155</v>
      </c>
      <c r="B156" s="1" t="s">
        <v>3309</v>
      </c>
      <c r="C156" s="1" t="s">
        <v>248</v>
      </c>
      <c r="D156" s="1">
        <v>56</v>
      </c>
      <c r="E156" s="1"/>
      <c r="F156" s="1">
        <v>0.8</v>
      </c>
      <c r="H156" s="1">
        <v>0.8</v>
      </c>
    </row>
    <row r="157" spans="1:8" x14ac:dyDescent="0.3">
      <c r="A157" s="1">
        <v>156</v>
      </c>
      <c r="B157" s="1" t="s">
        <v>562</v>
      </c>
      <c r="C157" s="1" t="s">
        <v>243</v>
      </c>
      <c r="D157" s="1">
        <v>115</v>
      </c>
      <c r="E157" s="1"/>
      <c r="F157" s="1">
        <v>0.8</v>
      </c>
      <c r="H157" s="1">
        <v>0.8</v>
      </c>
    </row>
    <row r="158" spans="1:8" x14ac:dyDescent="0.3">
      <c r="A158" s="1">
        <v>157</v>
      </c>
      <c r="B158" s="1" t="s">
        <v>158</v>
      </c>
      <c r="C158" s="1" t="s">
        <v>228</v>
      </c>
      <c r="D158" s="1"/>
      <c r="E158" s="1">
        <v>47</v>
      </c>
      <c r="F158" s="1">
        <v>0</v>
      </c>
      <c r="G158" s="1">
        <v>0.8</v>
      </c>
      <c r="H158" s="1">
        <v>0.8</v>
      </c>
    </row>
    <row r="159" spans="1:8" x14ac:dyDescent="0.3">
      <c r="A159" s="1">
        <v>158</v>
      </c>
      <c r="B159" s="1" t="s">
        <v>765</v>
      </c>
      <c r="C159" s="1" t="s">
        <v>235</v>
      </c>
      <c r="D159" s="1"/>
      <c r="E159" s="1">
        <v>49.1</v>
      </c>
      <c r="F159" s="1">
        <v>0</v>
      </c>
      <c r="G159" s="1">
        <v>0.8</v>
      </c>
      <c r="H159" s="1">
        <v>0.8</v>
      </c>
    </row>
    <row r="160" spans="1:8" x14ac:dyDescent="0.3">
      <c r="A160" s="1">
        <v>159</v>
      </c>
      <c r="B160" s="1" t="s">
        <v>422</v>
      </c>
      <c r="C160" s="1" t="s">
        <v>244</v>
      </c>
      <c r="D160" s="1"/>
      <c r="E160" s="1">
        <v>22.2</v>
      </c>
      <c r="F160" s="1">
        <v>0</v>
      </c>
      <c r="G160" s="1">
        <v>0.8</v>
      </c>
      <c r="H160" s="1">
        <v>0.8</v>
      </c>
    </row>
    <row r="161" spans="1:8" x14ac:dyDescent="0.3">
      <c r="A161" s="1">
        <v>160</v>
      </c>
      <c r="B161" s="1" t="s">
        <v>3312</v>
      </c>
      <c r="C161" s="1" t="s">
        <v>235</v>
      </c>
      <c r="D161" s="1">
        <v>32</v>
      </c>
      <c r="E161" s="1"/>
      <c r="F161" s="1">
        <v>0.8</v>
      </c>
      <c r="H161" s="1">
        <v>0.8</v>
      </c>
    </row>
    <row r="162" spans="1:8" x14ac:dyDescent="0.3">
      <c r="A162" s="1">
        <v>161</v>
      </c>
      <c r="B162" s="1" t="s">
        <v>169</v>
      </c>
      <c r="C162" s="1" t="s">
        <v>266</v>
      </c>
      <c r="D162" s="1"/>
      <c r="E162" s="1">
        <v>53.1</v>
      </c>
      <c r="F162" s="1">
        <v>0</v>
      </c>
      <c r="G162" s="1">
        <v>0.8</v>
      </c>
      <c r="H162" s="1">
        <v>0.8</v>
      </c>
    </row>
    <row r="163" spans="1:8" x14ac:dyDescent="0.3">
      <c r="A163" s="1">
        <v>162</v>
      </c>
      <c r="B163" s="1" t="s">
        <v>3169</v>
      </c>
      <c r="C163" s="1" t="s">
        <v>251</v>
      </c>
      <c r="D163" s="1"/>
      <c r="E163" s="1">
        <v>28.1</v>
      </c>
      <c r="F163" s="1">
        <v>0</v>
      </c>
      <c r="G163" s="1">
        <v>0.8</v>
      </c>
      <c r="H163" s="1">
        <v>0.8</v>
      </c>
    </row>
    <row r="164" spans="1:8" x14ac:dyDescent="0.3">
      <c r="A164" s="1">
        <v>163</v>
      </c>
      <c r="B164" s="1" t="s">
        <v>289</v>
      </c>
      <c r="C164" s="1" t="s">
        <v>244</v>
      </c>
      <c r="D164" s="1">
        <v>214</v>
      </c>
      <c r="E164" s="1"/>
      <c r="F164" s="1">
        <v>0.8</v>
      </c>
      <c r="H164" s="1">
        <v>0.8</v>
      </c>
    </row>
    <row r="165" spans="1:8" x14ac:dyDescent="0.3">
      <c r="A165" s="1">
        <v>164</v>
      </c>
      <c r="B165" s="1" t="s">
        <v>447</v>
      </c>
      <c r="C165" s="1" t="s">
        <v>231</v>
      </c>
      <c r="D165" s="1">
        <v>71</v>
      </c>
      <c r="E165" s="1"/>
      <c r="F165" s="1">
        <v>0.8</v>
      </c>
      <c r="H165" s="1">
        <v>0.8</v>
      </c>
    </row>
    <row r="166" spans="1:8" x14ac:dyDescent="0.3">
      <c r="A166" s="1">
        <v>165</v>
      </c>
      <c r="B166" s="1" t="s">
        <v>798</v>
      </c>
      <c r="C166" s="1" t="s">
        <v>278</v>
      </c>
      <c r="D166" s="1"/>
      <c r="E166" s="1">
        <v>25</v>
      </c>
      <c r="F166" s="1">
        <v>0</v>
      </c>
      <c r="G166" s="1">
        <v>0.8</v>
      </c>
      <c r="H166" s="1">
        <v>0.8</v>
      </c>
    </row>
    <row r="167" spans="1:8" x14ac:dyDescent="0.3">
      <c r="A167" s="1">
        <v>166</v>
      </c>
      <c r="B167" s="1" t="s">
        <v>188</v>
      </c>
      <c r="C167" s="1" t="s">
        <v>278</v>
      </c>
      <c r="D167" s="1"/>
      <c r="E167" s="1">
        <v>59</v>
      </c>
      <c r="F167" s="1">
        <v>0</v>
      </c>
      <c r="G167" s="1">
        <v>0.8</v>
      </c>
      <c r="H167" s="1">
        <v>0.8</v>
      </c>
    </row>
    <row r="168" spans="1:8" x14ac:dyDescent="0.3">
      <c r="A168" s="1">
        <v>167</v>
      </c>
      <c r="B168" s="1" t="s">
        <v>484</v>
      </c>
      <c r="C168" s="1" t="s">
        <v>268</v>
      </c>
      <c r="D168" s="1">
        <v>113</v>
      </c>
      <c r="E168" s="1"/>
      <c r="F168" s="1">
        <v>0.8</v>
      </c>
      <c r="H168" s="1">
        <v>0.8</v>
      </c>
    </row>
    <row r="169" spans="1:8" x14ac:dyDescent="0.3">
      <c r="A169" s="1">
        <v>168</v>
      </c>
      <c r="B169" s="1" t="s">
        <v>154</v>
      </c>
      <c r="C169" s="1" t="s">
        <v>239</v>
      </c>
      <c r="D169" s="1"/>
      <c r="E169" s="1">
        <v>52</v>
      </c>
      <c r="F169" s="1">
        <v>0</v>
      </c>
      <c r="G169" s="1">
        <v>0.8</v>
      </c>
      <c r="H169" s="1">
        <v>0.8</v>
      </c>
    </row>
    <row r="170" spans="1:8" x14ac:dyDescent="0.3">
      <c r="A170" s="1">
        <v>169</v>
      </c>
      <c r="B170" s="1" t="s">
        <v>180</v>
      </c>
      <c r="C170" s="1" t="s">
        <v>270</v>
      </c>
      <c r="D170" s="1"/>
      <c r="E170" s="1">
        <v>53.1</v>
      </c>
      <c r="F170" s="1">
        <v>0</v>
      </c>
      <c r="G170" s="1">
        <v>0.8</v>
      </c>
      <c r="H170" s="1">
        <v>0.8</v>
      </c>
    </row>
    <row r="171" spans="1:8" x14ac:dyDescent="0.3">
      <c r="A171" s="1">
        <v>170</v>
      </c>
      <c r="B171" s="1" t="s">
        <v>164</v>
      </c>
      <c r="C171" s="1" t="s">
        <v>243</v>
      </c>
      <c r="D171" s="1"/>
      <c r="E171" s="1">
        <v>58.2</v>
      </c>
      <c r="F171" s="1">
        <v>0</v>
      </c>
      <c r="G171" s="1">
        <v>0.8</v>
      </c>
      <c r="H171" s="1">
        <v>0.8</v>
      </c>
    </row>
    <row r="172" spans="1:8" x14ac:dyDescent="0.3">
      <c r="A172" s="1">
        <v>171</v>
      </c>
      <c r="B172" s="1" t="s">
        <v>3098</v>
      </c>
      <c r="C172" s="1" t="s">
        <v>274</v>
      </c>
      <c r="D172" s="1"/>
      <c r="E172" s="1">
        <v>35.1</v>
      </c>
      <c r="F172" s="1">
        <v>0</v>
      </c>
      <c r="G172" s="1">
        <v>0.8</v>
      </c>
      <c r="H172" s="1">
        <v>0.8</v>
      </c>
    </row>
    <row r="173" spans="1:8" x14ac:dyDescent="0.3">
      <c r="A173" s="1">
        <v>172</v>
      </c>
      <c r="B173" s="1" t="s">
        <v>260</v>
      </c>
      <c r="C173" s="1" t="s">
        <v>226</v>
      </c>
      <c r="D173" s="1">
        <v>183</v>
      </c>
      <c r="E173" s="1"/>
      <c r="F173" s="1">
        <v>0.8</v>
      </c>
      <c r="H173" s="1">
        <v>0.8</v>
      </c>
    </row>
    <row r="174" spans="1:8" x14ac:dyDescent="0.3">
      <c r="A174" s="1">
        <v>173</v>
      </c>
      <c r="B174" s="1" t="s">
        <v>364</v>
      </c>
      <c r="C174" s="1" t="s">
        <v>278</v>
      </c>
      <c r="D174" s="1">
        <v>171</v>
      </c>
      <c r="E174" s="1"/>
      <c r="F174" s="1">
        <v>0.8</v>
      </c>
      <c r="H174" s="1">
        <v>0.8</v>
      </c>
    </row>
    <row r="175" spans="1:8" x14ac:dyDescent="0.3">
      <c r="A175" s="1">
        <v>174</v>
      </c>
      <c r="B175" s="1" t="s">
        <v>3127</v>
      </c>
      <c r="C175" s="1" t="s">
        <v>266</v>
      </c>
      <c r="D175" s="1">
        <v>75</v>
      </c>
      <c r="E175" s="1"/>
      <c r="F175" s="1">
        <v>0.8</v>
      </c>
      <c r="H175" s="1">
        <v>0.8</v>
      </c>
    </row>
    <row r="176" spans="1:8" x14ac:dyDescent="0.3">
      <c r="A176" s="1">
        <v>175</v>
      </c>
      <c r="B176" s="1" t="s">
        <v>858</v>
      </c>
      <c r="C176" s="1" t="s">
        <v>264</v>
      </c>
      <c r="D176" s="1">
        <v>79</v>
      </c>
      <c r="E176" s="1"/>
      <c r="F176" s="1">
        <v>0.8</v>
      </c>
      <c r="H176" s="1">
        <v>0.8</v>
      </c>
    </row>
    <row r="177" spans="1:8" x14ac:dyDescent="0.3">
      <c r="A177" s="1">
        <v>176</v>
      </c>
      <c r="B177" s="1" t="s">
        <v>579</v>
      </c>
      <c r="C177" s="1" t="s">
        <v>266</v>
      </c>
      <c r="D177" s="1"/>
      <c r="E177" s="1">
        <v>30.2</v>
      </c>
      <c r="F177" s="1">
        <v>0</v>
      </c>
      <c r="G177" s="1">
        <v>0.8</v>
      </c>
      <c r="H177" s="1">
        <v>0.8</v>
      </c>
    </row>
    <row r="178" spans="1:8" x14ac:dyDescent="0.3">
      <c r="A178" s="1">
        <v>177</v>
      </c>
      <c r="B178" s="1" t="s">
        <v>396</v>
      </c>
      <c r="C178" s="1" t="s">
        <v>255</v>
      </c>
      <c r="D178" s="1">
        <v>163</v>
      </c>
      <c r="E178" s="1"/>
      <c r="F178" s="1">
        <v>0.8</v>
      </c>
      <c r="H178" s="1">
        <v>0.8</v>
      </c>
    </row>
    <row r="179" spans="1:8" x14ac:dyDescent="0.3">
      <c r="A179" s="1">
        <v>178</v>
      </c>
      <c r="B179" s="1" t="s">
        <v>968</v>
      </c>
      <c r="C179" s="1" t="s">
        <v>286</v>
      </c>
      <c r="D179" s="1">
        <v>205</v>
      </c>
      <c r="E179" s="1"/>
      <c r="F179" s="1">
        <v>0.8</v>
      </c>
      <c r="H179" s="1">
        <v>0.8</v>
      </c>
    </row>
    <row r="180" spans="1:8" x14ac:dyDescent="0.3">
      <c r="A180" s="1">
        <v>179</v>
      </c>
      <c r="B180" s="1" t="s">
        <v>518</v>
      </c>
      <c r="C180" s="1" t="s">
        <v>311</v>
      </c>
      <c r="D180" s="1">
        <v>169</v>
      </c>
      <c r="E180" s="1"/>
      <c r="F180" s="1">
        <v>0.8</v>
      </c>
      <c r="H180" s="1">
        <v>0.8</v>
      </c>
    </row>
    <row r="181" spans="1:8" x14ac:dyDescent="0.3">
      <c r="A181" s="1">
        <v>180</v>
      </c>
      <c r="B181" s="1" t="s">
        <v>903</v>
      </c>
      <c r="C181" s="1" t="s">
        <v>246</v>
      </c>
      <c r="D181" s="1">
        <v>159</v>
      </c>
      <c r="E181" s="1"/>
      <c r="F181" s="1">
        <v>0.8</v>
      </c>
      <c r="H181" s="1">
        <v>0.8</v>
      </c>
    </row>
    <row r="182" spans="1:8" x14ac:dyDescent="0.3">
      <c r="A182" s="1">
        <v>181</v>
      </c>
      <c r="B182" s="1" t="s">
        <v>373</v>
      </c>
      <c r="C182" s="1" t="s">
        <v>274</v>
      </c>
      <c r="D182" s="1">
        <v>134</v>
      </c>
      <c r="E182" s="1"/>
      <c r="F182" s="1">
        <v>0.8</v>
      </c>
      <c r="H182" s="1">
        <v>0.8</v>
      </c>
    </row>
    <row r="183" spans="1:8" x14ac:dyDescent="0.3">
      <c r="A183" s="1">
        <v>182</v>
      </c>
      <c r="B183" s="1" t="s">
        <v>503</v>
      </c>
      <c r="C183" s="1" t="s">
        <v>250</v>
      </c>
      <c r="D183" s="1"/>
      <c r="E183" s="1">
        <v>52.1</v>
      </c>
      <c r="F183" s="1">
        <v>0</v>
      </c>
      <c r="G183" s="1">
        <v>0.8</v>
      </c>
      <c r="H183" s="1">
        <v>0.8</v>
      </c>
    </row>
    <row r="184" spans="1:8" x14ac:dyDescent="0.3">
      <c r="A184" s="1">
        <v>183</v>
      </c>
      <c r="B184" s="1" t="s">
        <v>3097</v>
      </c>
      <c r="C184" s="1" t="s">
        <v>251</v>
      </c>
      <c r="D184" s="1"/>
      <c r="E184" s="1">
        <v>32.200000000000003</v>
      </c>
      <c r="F184" s="1">
        <v>0</v>
      </c>
      <c r="G184" s="1">
        <v>0.8</v>
      </c>
      <c r="H184" s="1">
        <v>0.8</v>
      </c>
    </row>
    <row r="185" spans="1:8" x14ac:dyDescent="0.3">
      <c r="A185" s="1">
        <v>184</v>
      </c>
      <c r="B185" s="1" t="s">
        <v>368</v>
      </c>
      <c r="C185" s="1" t="s">
        <v>226</v>
      </c>
      <c r="D185" s="1">
        <v>112</v>
      </c>
      <c r="E185" s="1"/>
      <c r="F185" s="1">
        <v>0.8</v>
      </c>
      <c r="H185" s="1">
        <v>0.8</v>
      </c>
    </row>
    <row r="186" spans="1:8" x14ac:dyDescent="0.3">
      <c r="A186" s="1">
        <v>185</v>
      </c>
      <c r="B186" s="1" t="s">
        <v>320</v>
      </c>
      <c r="C186" s="1" t="s">
        <v>231</v>
      </c>
      <c r="D186" s="1">
        <v>179</v>
      </c>
      <c r="E186" s="1"/>
      <c r="F186" s="1">
        <v>0.8</v>
      </c>
      <c r="H186" s="1">
        <v>0.8</v>
      </c>
    </row>
    <row r="187" spans="1:8" x14ac:dyDescent="0.3">
      <c r="A187" s="1">
        <v>186</v>
      </c>
      <c r="B187" s="1" t="s">
        <v>480</v>
      </c>
      <c r="C187" s="1" t="s">
        <v>244</v>
      </c>
      <c r="D187" s="1"/>
      <c r="E187" s="1">
        <v>21</v>
      </c>
      <c r="F187" s="1">
        <v>0</v>
      </c>
      <c r="G187" s="1">
        <v>0.8</v>
      </c>
      <c r="H187" s="1">
        <v>0.8</v>
      </c>
    </row>
    <row r="188" spans="1:8" x14ac:dyDescent="0.3">
      <c r="A188" s="1">
        <v>187</v>
      </c>
      <c r="B188" s="1" t="s">
        <v>495</v>
      </c>
      <c r="C188" s="1" t="s">
        <v>222</v>
      </c>
      <c r="D188" s="1">
        <v>200</v>
      </c>
      <c r="E188" s="1"/>
      <c r="F188" s="1">
        <v>0.8</v>
      </c>
      <c r="H188" s="1">
        <v>0.8</v>
      </c>
    </row>
    <row r="189" spans="1:8" x14ac:dyDescent="0.3">
      <c r="A189" s="1">
        <v>188</v>
      </c>
      <c r="B189" s="1" t="s">
        <v>367</v>
      </c>
      <c r="C189" s="1" t="s">
        <v>241</v>
      </c>
      <c r="D189" s="1"/>
      <c r="E189" s="1">
        <v>41.2</v>
      </c>
      <c r="F189" s="1">
        <v>0</v>
      </c>
      <c r="G189" s="1">
        <v>0.7</v>
      </c>
      <c r="H189" s="1">
        <v>0.7</v>
      </c>
    </row>
    <row r="190" spans="1:8" x14ac:dyDescent="0.3">
      <c r="A190" s="1">
        <v>189</v>
      </c>
      <c r="B190" s="1" t="s">
        <v>462</v>
      </c>
      <c r="C190" s="1" t="s">
        <v>311</v>
      </c>
      <c r="D190" s="1"/>
      <c r="E190" s="1">
        <v>14.1</v>
      </c>
      <c r="F190" s="1">
        <v>0</v>
      </c>
      <c r="G190" s="1">
        <v>0.7</v>
      </c>
      <c r="H190" s="1">
        <v>0.7</v>
      </c>
    </row>
    <row r="191" spans="1:8" x14ac:dyDescent="0.3">
      <c r="A191" s="1">
        <v>190</v>
      </c>
      <c r="B191" s="1" t="s">
        <v>476</v>
      </c>
      <c r="C191" s="1" t="s">
        <v>241</v>
      </c>
      <c r="D191" s="1"/>
      <c r="E191" s="1">
        <v>20</v>
      </c>
      <c r="F191" s="1">
        <v>0</v>
      </c>
      <c r="G191" s="1">
        <v>0.7</v>
      </c>
      <c r="H191" s="1">
        <v>0.7</v>
      </c>
    </row>
    <row r="192" spans="1:8" x14ac:dyDescent="0.3">
      <c r="A192" s="1">
        <v>191</v>
      </c>
      <c r="B192" s="1" t="s">
        <v>196</v>
      </c>
      <c r="C192" s="1" t="s">
        <v>392</v>
      </c>
      <c r="D192" s="1"/>
      <c r="E192" s="1">
        <v>56.1</v>
      </c>
      <c r="F192" s="1">
        <v>0</v>
      </c>
      <c r="G192" s="1">
        <v>0.7</v>
      </c>
      <c r="H192" s="1">
        <v>0.7</v>
      </c>
    </row>
    <row r="193" spans="1:8" x14ac:dyDescent="0.3">
      <c r="A193" s="1">
        <v>192</v>
      </c>
      <c r="B193" s="1" t="s">
        <v>471</v>
      </c>
      <c r="C193" s="1" t="s">
        <v>286</v>
      </c>
      <c r="D193" s="1">
        <v>156</v>
      </c>
      <c r="E193" s="1"/>
      <c r="F193" s="1">
        <v>0.7</v>
      </c>
      <c r="H193" s="1">
        <v>0.7</v>
      </c>
    </row>
    <row r="194" spans="1:8" x14ac:dyDescent="0.3">
      <c r="A194" s="1">
        <v>193</v>
      </c>
      <c r="B194" s="1" t="s">
        <v>223</v>
      </c>
      <c r="C194" s="1" t="s">
        <v>224</v>
      </c>
      <c r="D194" s="1">
        <v>204</v>
      </c>
      <c r="E194" s="1"/>
      <c r="F194" s="1">
        <v>0.7</v>
      </c>
      <c r="H194" s="1">
        <v>0.7</v>
      </c>
    </row>
    <row r="195" spans="1:8" x14ac:dyDescent="0.3">
      <c r="A195" s="1">
        <v>194</v>
      </c>
      <c r="B195" s="1" t="s">
        <v>401</v>
      </c>
      <c r="C195" s="1" t="s">
        <v>239</v>
      </c>
      <c r="D195" s="1">
        <v>209</v>
      </c>
      <c r="E195" s="1"/>
      <c r="F195" s="1">
        <v>0.7</v>
      </c>
      <c r="H195" s="1">
        <v>0.7</v>
      </c>
    </row>
    <row r="196" spans="1:8" x14ac:dyDescent="0.3">
      <c r="A196" s="1">
        <v>195</v>
      </c>
      <c r="B196" s="1" t="s">
        <v>425</v>
      </c>
      <c r="C196" s="1" t="s">
        <v>339</v>
      </c>
      <c r="D196" s="1"/>
      <c r="E196" s="1">
        <v>21.1</v>
      </c>
      <c r="F196" s="1">
        <v>0</v>
      </c>
      <c r="G196" s="1">
        <v>0.7</v>
      </c>
      <c r="H196" s="1">
        <v>0.7</v>
      </c>
    </row>
    <row r="197" spans="1:8" x14ac:dyDescent="0.3">
      <c r="A197" s="1">
        <v>196</v>
      </c>
      <c r="B197" s="1" t="s">
        <v>786</v>
      </c>
      <c r="C197" s="1" t="s">
        <v>246</v>
      </c>
      <c r="D197" s="1">
        <v>77</v>
      </c>
      <c r="E197" s="1"/>
      <c r="F197" s="1">
        <v>0.7</v>
      </c>
      <c r="H197" s="1">
        <v>0.7</v>
      </c>
    </row>
    <row r="198" spans="1:8" x14ac:dyDescent="0.3">
      <c r="A198" s="1">
        <v>197</v>
      </c>
      <c r="B198" s="1" t="s">
        <v>334</v>
      </c>
      <c r="C198" s="1" t="s">
        <v>221</v>
      </c>
      <c r="D198" s="1">
        <v>185</v>
      </c>
      <c r="E198" s="1"/>
      <c r="F198" s="1">
        <v>0.7</v>
      </c>
      <c r="H198" s="1">
        <v>0.7</v>
      </c>
    </row>
    <row r="199" spans="1:8" x14ac:dyDescent="0.3">
      <c r="A199" s="1">
        <v>198</v>
      </c>
      <c r="B199" s="1" t="s">
        <v>277</v>
      </c>
      <c r="C199" s="1" t="s">
        <v>278</v>
      </c>
      <c r="D199" s="1">
        <v>151</v>
      </c>
      <c r="E199" s="1"/>
      <c r="F199" s="1">
        <v>0.7</v>
      </c>
      <c r="H199" s="1">
        <v>0.7</v>
      </c>
    </row>
    <row r="200" spans="1:8" x14ac:dyDescent="0.3">
      <c r="A200" s="1">
        <v>199</v>
      </c>
      <c r="B200" s="1" t="s">
        <v>310</v>
      </c>
      <c r="C200" s="1" t="s">
        <v>311</v>
      </c>
      <c r="D200" s="1">
        <v>217</v>
      </c>
      <c r="E200" s="1"/>
      <c r="F200" s="1">
        <v>0.7</v>
      </c>
      <c r="H200" s="1">
        <v>0.7</v>
      </c>
    </row>
    <row r="201" spans="1:8" x14ac:dyDescent="0.3">
      <c r="A201" s="1">
        <v>200</v>
      </c>
      <c r="B201" s="1" t="s">
        <v>840</v>
      </c>
      <c r="C201" s="1" t="s">
        <v>234</v>
      </c>
      <c r="D201" s="1">
        <v>175</v>
      </c>
      <c r="E201" s="1"/>
      <c r="F201" s="1">
        <v>0.7</v>
      </c>
      <c r="H201" s="1">
        <v>0.7</v>
      </c>
    </row>
    <row r="202" spans="1:8" x14ac:dyDescent="0.3">
      <c r="A202" s="1">
        <v>201</v>
      </c>
      <c r="B202" s="1" t="s">
        <v>258</v>
      </c>
      <c r="C202" s="1" t="s">
        <v>228</v>
      </c>
      <c r="D202" s="1"/>
      <c r="E202" s="1">
        <v>16</v>
      </c>
      <c r="F202" s="1">
        <v>0</v>
      </c>
      <c r="G202" s="1">
        <v>0.7</v>
      </c>
      <c r="H202" s="1">
        <v>0.7</v>
      </c>
    </row>
    <row r="203" spans="1:8" x14ac:dyDescent="0.3">
      <c r="A203" s="1">
        <v>202</v>
      </c>
      <c r="B203" s="1" t="s">
        <v>548</v>
      </c>
      <c r="C203" s="1" t="s">
        <v>246</v>
      </c>
      <c r="D203" s="1"/>
      <c r="E203" s="1">
        <v>26.1</v>
      </c>
      <c r="F203" s="1">
        <v>0</v>
      </c>
      <c r="G203" s="1">
        <v>0.7</v>
      </c>
      <c r="H203" s="1">
        <v>0.7</v>
      </c>
    </row>
    <row r="204" spans="1:8" x14ac:dyDescent="0.3">
      <c r="A204" s="1">
        <v>203</v>
      </c>
      <c r="B204" s="1" t="s">
        <v>637</v>
      </c>
      <c r="C204" s="1" t="s">
        <v>274</v>
      </c>
      <c r="D204" s="1"/>
      <c r="E204" s="1">
        <v>21.1</v>
      </c>
      <c r="F204" s="1">
        <v>0</v>
      </c>
      <c r="G204" s="1">
        <v>0.7</v>
      </c>
      <c r="H204" s="1">
        <v>0.7</v>
      </c>
    </row>
    <row r="205" spans="1:8" x14ac:dyDescent="0.3">
      <c r="A205" s="1">
        <v>204</v>
      </c>
      <c r="B205" s="1" t="s">
        <v>597</v>
      </c>
      <c r="C205" s="1" t="s">
        <v>250</v>
      </c>
      <c r="D205" s="1"/>
      <c r="E205" s="1">
        <v>21.1</v>
      </c>
      <c r="F205" s="1">
        <v>0</v>
      </c>
      <c r="G205" s="1">
        <v>0.7</v>
      </c>
      <c r="H205" s="1">
        <v>0.7</v>
      </c>
    </row>
    <row r="206" spans="1:8" x14ac:dyDescent="0.3">
      <c r="A206" s="1">
        <v>205</v>
      </c>
      <c r="B206" s="1" t="s">
        <v>560</v>
      </c>
      <c r="C206" s="1" t="s">
        <v>287</v>
      </c>
      <c r="D206" s="1"/>
      <c r="E206" s="1">
        <v>18.2</v>
      </c>
      <c r="F206" s="1">
        <v>0</v>
      </c>
      <c r="G206" s="1">
        <v>0.7</v>
      </c>
      <c r="H206" s="1">
        <v>0.7</v>
      </c>
    </row>
    <row r="207" spans="1:8" x14ac:dyDescent="0.3">
      <c r="A207" s="1">
        <v>206</v>
      </c>
      <c r="B207" s="1" t="s">
        <v>324</v>
      </c>
      <c r="C207" s="1" t="s">
        <v>274</v>
      </c>
      <c r="D207" s="1">
        <v>77</v>
      </c>
      <c r="E207" s="1"/>
      <c r="F207" s="1">
        <v>0.7</v>
      </c>
      <c r="H207" s="1">
        <v>0.7</v>
      </c>
    </row>
    <row r="208" spans="1:8" x14ac:dyDescent="0.3">
      <c r="A208" s="1">
        <v>207</v>
      </c>
      <c r="B208" s="1" t="s">
        <v>588</v>
      </c>
      <c r="C208" s="1" t="s">
        <v>222</v>
      </c>
      <c r="D208" s="1"/>
      <c r="E208" s="1">
        <v>22</v>
      </c>
      <c r="F208" s="1">
        <v>0</v>
      </c>
      <c r="G208" s="1">
        <v>0.7</v>
      </c>
      <c r="H208" s="1">
        <v>0.7</v>
      </c>
    </row>
    <row r="209" spans="1:8" x14ac:dyDescent="0.3">
      <c r="A209" s="1">
        <v>208</v>
      </c>
      <c r="B209" s="1" t="s">
        <v>803</v>
      </c>
      <c r="C209" s="1" t="s">
        <v>224</v>
      </c>
      <c r="D209" s="1">
        <v>218</v>
      </c>
      <c r="E209" s="1"/>
      <c r="F209" s="1">
        <v>0.7</v>
      </c>
      <c r="H209" s="1">
        <v>0.7</v>
      </c>
    </row>
    <row r="210" spans="1:8" x14ac:dyDescent="0.3">
      <c r="A210" s="1">
        <v>209</v>
      </c>
      <c r="B210" s="1" t="s">
        <v>867</v>
      </c>
      <c r="C210" s="1" t="s">
        <v>286</v>
      </c>
      <c r="D210" s="1">
        <v>135</v>
      </c>
      <c r="E210" s="1"/>
      <c r="F210" s="1">
        <v>0.7</v>
      </c>
      <c r="H210" s="1">
        <v>0.7</v>
      </c>
    </row>
    <row r="211" spans="1:8" x14ac:dyDescent="0.3">
      <c r="A211" s="1">
        <v>210</v>
      </c>
      <c r="B211" s="1" t="s">
        <v>731</v>
      </c>
      <c r="C211" s="1" t="s">
        <v>246</v>
      </c>
      <c r="D211" s="1">
        <v>159</v>
      </c>
      <c r="E211" s="1"/>
      <c r="F211" s="1">
        <v>0.7</v>
      </c>
      <c r="H211" s="1">
        <v>0.7</v>
      </c>
    </row>
    <row r="212" spans="1:8" x14ac:dyDescent="0.3">
      <c r="A212" s="1">
        <v>211</v>
      </c>
      <c r="B212" s="1" t="s">
        <v>757</v>
      </c>
      <c r="C212" s="1" t="s">
        <v>228</v>
      </c>
      <c r="D212" s="1">
        <v>167</v>
      </c>
      <c r="E212" s="1"/>
      <c r="F212" s="1">
        <v>0.7</v>
      </c>
      <c r="H212" s="1">
        <v>0.7</v>
      </c>
    </row>
    <row r="213" spans="1:8" x14ac:dyDescent="0.3">
      <c r="A213" s="1">
        <v>212</v>
      </c>
      <c r="B213" s="1" t="s">
        <v>662</v>
      </c>
      <c r="C213" s="1" t="s">
        <v>222</v>
      </c>
      <c r="D213" s="1"/>
      <c r="E213" s="1">
        <v>48</v>
      </c>
      <c r="F213" s="1">
        <v>0</v>
      </c>
      <c r="G213" s="1">
        <v>0.7</v>
      </c>
      <c r="H213" s="1">
        <v>0.7</v>
      </c>
    </row>
    <row r="214" spans="1:8" x14ac:dyDescent="0.3">
      <c r="A214" s="1">
        <v>213</v>
      </c>
      <c r="B214" s="1" t="s">
        <v>1739</v>
      </c>
      <c r="C214" s="1" t="s">
        <v>228</v>
      </c>
      <c r="D214" s="1"/>
      <c r="E214" s="1">
        <v>24.1</v>
      </c>
      <c r="F214" s="1">
        <v>0</v>
      </c>
      <c r="G214" s="1">
        <v>0.7</v>
      </c>
      <c r="H214" s="1">
        <v>0.7</v>
      </c>
    </row>
    <row r="215" spans="1:8" x14ac:dyDescent="0.3">
      <c r="A215" s="1">
        <v>214</v>
      </c>
      <c r="B215" s="1" t="s">
        <v>449</v>
      </c>
      <c r="C215" s="1" t="s">
        <v>270</v>
      </c>
      <c r="D215" s="1">
        <v>154</v>
      </c>
      <c r="E215" s="1"/>
      <c r="F215" s="1">
        <v>0.7</v>
      </c>
      <c r="H215" s="1">
        <v>0.7</v>
      </c>
    </row>
    <row r="216" spans="1:8" x14ac:dyDescent="0.3">
      <c r="A216" s="1">
        <v>215</v>
      </c>
      <c r="B216" s="1" t="s">
        <v>741</v>
      </c>
      <c r="C216" s="1" t="s">
        <v>224</v>
      </c>
      <c r="D216" s="1"/>
      <c r="E216" s="1">
        <v>27</v>
      </c>
      <c r="F216" s="1">
        <v>0</v>
      </c>
      <c r="G216" s="1">
        <v>0.7</v>
      </c>
      <c r="H216" s="1">
        <v>0.7</v>
      </c>
    </row>
    <row r="217" spans="1:8" x14ac:dyDescent="0.3">
      <c r="A217" s="1">
        <v>216</v>
      </c>
      <c r="B217" s="1" t="s">
        <v>819</v>
      </c>
      <c r="C217" s="1" t="s">
        <v>266</v>
      </c>
      <c r="D217" s="1"/>
      <c r="E217" s="1">
        <v>32.200000000000003</v>
      </c>
      <c r="F217" s="1">
        <v>0</v>
      </c>
      <c r="G217" s="1">
        <v>0.7</v>
      </c>
      <c r="H217" s="1">
        <v>0.7</v>
      </c>
    </row>
    <row r="218" spans="1:8" x14ac:dyDescent="0.3">
      <c r="A218" s="1">
        <v>217</v>
      </c>
      <c r="B218" s="1" t="s">
        <v>799</v>
      </c>
      <c r="C218" s="1" t="s">
        <v>246</v>
      </c>
      <c r="D218" s="1"/>
      <c r="E218" s="1">
        <v>43</v>
      </c>
      <c r="F218" s="1">
        <v>0</v>
      </c>
      <c r="G218" s="1">
        <v>0.7</v>
      </c>
      <c r="H218" s="1">
        <v>0.7</v>
      </c>
    </row>
    <row r="219" spans="1:8" x14ac:dyDescent="0.3">
      <c r="A219" s="1">
        <v>218</v>
      </c>
      <c r="B219" s="1" t="s">
        <v>802</v>
      </c>
      <c r="C219" s="1" t="s">
        <v>235</v>
      </c>
      <c r="D219" s="1"/>
      <c r="E219" s="1">
        <v>28</v>
      </c>
      <c r="F219" s="1">
        <v>0</v>
      </c>
      <c r="G219" s="1">
        <v>0.7</v>
      </c>
      <c r="H219" s="1">
        <v>0.7</v>
      </c>
    </row>
    <row r="220" spans="1:8" x14ac:dyDescent="0.3">
      <c r="A220" s="1">
        <v>219</v>
      </c>
      <c r="B220" s="1" t="s">
        <v>577</v>
      </c>
      <c r="C220" s="1" t="s">
        <v>244</v>
      </c>
      <c r="D220" s="1"/>
      <c r="E220" s="1">
        <v>21.2</v>
      </c>
      <c r="F220" s="1">
        <v>0</v>
      </c>
      <c r="G220" s="1">
        <v>0.7</v>
      </c>
      <c r="H220" s="1">
        <v>0.7</v>
      </c>
    </row>
    <row r="221" spans="1:8" x14ac:dyDescent="0.3">
      <c r="A221" s="1">
        <v>220</v>
      </c>
      <c r="B221" s="1" t="s">
        <v>672</v>
      </c>
      <c r="C221" s="1" t="s">
        <v>266</v>
      </c>
      <c r="D221" s="1"/>
      <c r="E221" s="1">
        <v>17.2</v>
      </c>
      <c r="F221" s="1">
        <v>0</v>
      </c>
      <c r="G221" s="1">
        <v>0.7</v>
      </c>
      <c r="H221" s="1">
        <v>0.7</v>
      </c>
    </row>
    <row r="222" spans="1:8" x14ac:dyDescent="0.3">
      <c r="A222" s="1">
        <v>221</v>
      </c>
      <c r="B222" s="1" t="s">
        <v>3158</v>
      </c>
      <c r="C222" s="1" t="s">
        <v>287</v>
      </c>
      <c r="D222" s="1">
        <v>78</v>
      </c>
      <c r="E222" s="1"/>
      <c r="F222" s="1">
        <v>0.7</v>
      </c>
      <c r="H222" s="1">
        <v>0.7</v>
      </c>
    </row>
    <row r="223" spans="1:8" x14ac:dyDescent="0.3">
      <c r="A223" s="1">
        <v>222</v>
      </c>
      <c r="B223" s="1" t="s">
        <v>675</v>
      </c>
      <c r="C223" s="1" t="s">
        <v>226</v>
      </c>
      <c r="D223" s="1"/>
      <c r="E223" s="1">
        <v>18.100000000000001</v>
      </c>
      <c r="F223" s="1">
        <v>0</v>
      </c>
      <c r="G223" s="1">
        <v>0.7</v>
      </c>
      <c r="H223" s="1">
        <v>0.7</v>
      </c>
    </row>
    <row r="224" spans="1:8" x14ac:dyDescent="0.3">
      <c r="A224" s="1">
        <v>223</v>
      </c>
      <c r="B224" s="1" t="s">
        <v>314</v>
      </c>
      <c r="C224" s="1" t="s">
        <v>311</v>
      </c>
      <c r="D224" s="1">
        <v>209</v>
      </c>
      <c r="E224" s="1"/>
      <c r="F224" s="1">
        <v>0.6</v>
      </c>
      <c r="H224" s="1">
        <v>0.6</v>
      </c>
    </row>
    <row r="225" spans="1:8" x14ac:dyDescent="0.3">
      <c r="A225" s="1">
        <v>224</v>
      </c>
      <c r="B225" s="1" t="s">
        <v>950</v>
      </c>
      <c r="C225" s="1" t="s">
        <v>231</v>
      </c>
      <c r="D225" s="1"/>
      <c r="E225" s="1">
        <v>53.2</v>
      </c>
      <c r="F225" s="1">
        <v>0</v>
      </c>
      <c r="G225" s="1">
        <v>0.6</v>
      </c>
      <c r="H225" s="1">
        <v>0.6</v>
      </c>
    </row>
    <row r="226" spans="1:8" x14ac:dyDescent="0.3">
      <c r="A226" s="1">
        <v>225</v>
      </c>
      <c r="B226" s="1" t="s">
        <v>951</v>
      </c>
      <c r="C226" s="1" t="s">
        <v>248</v>
      </c>
      <c r="D226" s="1">
        <v>103</v>
      </c>
      <c r="E226" s="1"/>
      <c r="F226" s="1">
        <v>0.6</v>
      </c>
      <c r="H226" s="1">
        <v>0.6</v>
      </c>
    </row>
    <row r="227" spans="1:8" x14ac:dyDescent="0.3">
      <c r="A227" s="1">
        <v>226</v>
      </c>
      <c r="B227" s="1" t="s">
        <v>776</v>
      </c>
      <c r="C227" s="1" t="s">
        <v>311</v>
      </c>
      <c r="D227" s="1">
        <v>206</v>
      </c>
      <c r="E227" s="1"/>
      <c r="F227" s="1">
        <v>0.6</v>
      </c>
      <c r="H227" s="1">
        <v>0.6</v>
      </c>
    </row>
    <row r="228" spans="1:8" x14ac:dyDescent="0.3">
      <c r="A228" s="1">
        <v>227</v>
      </c>
      <c r="B228" s="1" t="s">
        <v>807</v>
      </c>
      <c r="C228" s="1" t="s">
        <v>287</v>
      </c>
      <c r="D228" s="1">
        <v>214</v>
      </c>
      <c r="E228" s="1"/>
      <c r="F228" s="1">
        <v>0.6</v>
      </c>
      <c r="H228" s="1">
        <v>0.6</v>
      </c>
    </row>
    <row r="229" spans="1:8" x14ac:dyDescent="0.3">
      <c r="A229" s="1">
        <v>228</v>
      </c>
      <c r="B229" s="1" t="s">
        <v>327</v>
      </c>
      <c r="C229" s="1" t="s">
        <v>278</v>
      </c>
      <c r="D229" s="1">
        <v>169</v>
      </c>
      <c r="E229" s="1"/>
      <c r="F229" s="1">
        <v>0.6</v>
      </c>
      <c r="H229" s="1">
        <v>0.6</v>
      </c>
    </row>
    <row r="230" spans="1:8" x14ac:dyDescent="0.3">
      <c r="A230" s="1">
        <v>229</v>
      </c>
      <c r="B230" s="1" t="s">
        <v>545</v>
      </c>
      <c r="C230" s="1" t="s">
        <v>222</v>
      </c>
      <c r="D230" s="1"/>
      <c r="E230" s="1">
        <v>27.2</v>
      </c>
      <c r="F230" s="1">
        <v>0</v>
      </c>
      <c r="G230" s="1">
        <v>0.6</v>
      </c>
      <c r="H230" s="1">
        <v>0.6</v>
      </c>
    </row>
    <row r="231" spans="1:8" x14ac:dyDescent="0.3">
      <c r="A231" s="1">
        <v>230</v>
      </c>
      <c r="B231" s="1" t="s">
        <v>463</v>
      </c>
      <c r="C231" s="1" t="s">
        <v>286</v>
      </c>
      <c r="D231" s="1"/>
      <c r="E231" s="1">
        <v>19.100000000000001</v>
      </c>
      <c r="F231" s="1">
        <v>0</v>
      </c>
      <c r="G231" s="1">
        <v>0.6</v>
      </c>
      <c r="H231" s="1">
        <v>0.6</v>
      </c>
    </row>
    <row r="232" spans="1:8" x14ac:dyDescent="0.3">
      <c r="A232" s="1">
        <v>231</v>
      </c>
      <c r="B232" s="1" t="s">
        <v>772</v>
      </c>
      <c r="C232" s="1" t="s">
        <v>346</v>
      </c>
      <c r="D232" s="1"/>
      <c r="E232" s="1">
        <v>21.1</v>
      </c>
      <c r="F232" s="1">
        <v>0</v>
      </c>
      <c r="G232" s="1">
        <v>0.6</v>
      </c>
      <c r="H232" s="1">
        <v>0.6</v>
      </c>
    </row>
    <row r="233" spans="1:8" x14ac:dyDescent="0.3">
      <c r="A233" s="1">
        <v>232</v>
      </c>
      <c r="B233" s="1" t="s">
        <v>789</v>
      </c>
      <c r="C233" s="1" t="s">
        <v>224</v>
      </c>
      <c r="D233" s="1">
        <v>167</v>
      </c>
      <c r="E233" s="1"/>
      <c r="F233" s="1">
        <v>0.6</v>
      </c>
      <c r="H233" s="1">
        <v>0.6</v>
      </c>
    </row>
    <row r="234" spans="1:8" x14ac:dyDescent="0.3">
      <c r="A234" s="1">
        <v>233</v>
      </c>
      <c r="B234" s="1" t="s">
        <v>209</v>
      </c>
      <c r="C234" s="1" t="s">
        <v>231</v>
      </c>
      <c r="D234" s="1"/>
      <c r="E234" s="1">
        <v>52.2</v>
      </c>
      <c r="F234" s="1">
        <v>0</v>
      </c>
      <c r="G234" s="1">
        <v>0.6</v>
      </c>
      <c r="H234" s="1">
        <v>0.6</v>
      </c>
    </row>
    <row r="235" spans="1:8" x14ac:dyDescent="0.3">
      <c r="A235" s="1">
        <v>234</v>
      </c>
      <c r="B235" s="1" t="s">
        <v>593</v>
      </c>
      <c r="C235" s="1" t="s">
        <v>226</v>
      </c>
      <c r="D235" s="1"/>
      <c r="E235" s="1">
        <v>20.2</v>
      </c>
      <c r="F235" s="1">
        <v>0</v>
      </c>
      <c r="G235" s="1">
        <v>0.6</v>
      </c>
      <c r="H235" s="1">
        <v>0.6</v>
      </c>
    </row>
    <row r="236" spans="1:8" x14ac:dyDescent="0.3">
      <c r="A236" s="1">
        <v>235</v>
      </c>
      <c r="B236" s="1" t="s">
        <v>207</v>
      </c>
      <c r="C236" s="1" t="s">
        <v>243</v>
      </c>
      <c r="D236" s="1"/>
      <c r="E236" s="1">
        <v>57.1</v>
      </c>
      <c r="F236" s="1">
        <v>0</v>
      </c>
      <c r="G236" s="1">
        <v>0.6</v>
      </c>
      <c r="H236" s="1">
        <v>0.6</v>
      </c>
    </row>
    <row r="237" spans="1:8" x14ac:dyDescent="0.3">
      <c r="A237" s="1">
        <v>236</v>
      </c>
      <c r="B237" s="1" t="s">
        <v>420</v>
      </c>
      <c r="C237" s="1" t="s">
        <v>250</v>
      </c>
      <c r="D237" s="1"/>
      <c r="E237" s="1">
        <v>26</v>
      </c>
      <c r="F237" s="1">
        <v>0</v>
      </c>
      <c r="G237" s="1">
        <v>0.6</v>
      </c>
      <c r="H237" s="1">
        <v>0.6</v>
      </c>
    </row>
    <row r="238" spans="1:8" x14ac:dyDescent="0.3">
      <c r="A238" s="1">
        <v>237</v>
      </c>
      <c r="B238" s="1" t="s">
        <v>225</v>
      </c>
      <c r="C238" s="1" t="s">
        <v>264</v>
      </c>
      <c r="D238" s="1"/>
      <c r="E238" s="1">
        <v>17</v>
      </c>
      <c r="F238" s="1">
        <v>0</v>
      </c>
      <c r="G238" s="1">
        <v>0.6</v>
      </c>
      <c r="H238" s="1">
        <v>0.6</v>
      </c>
    </row>
    <row r="239" spans="1:8" x14ac:dyDescent="0.3">
      <c r="A239" s="1">
        <v>238</v>
      </c>
      <c r="B239" s="1" t="s">
        <v>474</v>
      </c>
      <c r="C239" s="1" t="s">
        <v>392</v>
      </c>
      <c r="D239" s="1"/>
      <c r="E239" s="1">
        <v>22.1</v>
      </c>
      <c r="F239" s="1">
        <v>0</v>
      </c>
      <c r="G239" s="1">
        <v>0.6</v>
      </c>
      <c r="H239" s="1">
        <v>0.6</v>
      </c>
    </row>
    <row r="240" spans="1:8" x14ac:dyDescent="0.3">
      <c r="A240" s="1">
        <v>239</v>
      </c>
      <c r="B240" s="1" t="s">
        <v>430</v>
      </c>
      <c r="C240" s="1" t="s">
        <v>268</v>
      </c>
      <c r="D240" s="1"/>
      <c r="E240" s="1">
        <v>20</v>
      </c>
      <c r="F240" s="1">
        <v>0</v>
      </c>
      <c r="G240" s="1">
        <v>0.6</v>
      </c>
      <c r="H240" s="1">
        <v>0.6</v>
      </c>
    </row>
    <row r="241" spans="1:8" x14ac:dyDescent="0.3">
      <c r="A241" s="1">
        <v>240</v>
      </c>
      <c r="B241" s="1" t="s">
        <v>315</v>
      </c>
      <c r="C241" s="1" t="s">
        <v>250</v>
      </c>
      <c r="D241" s="1">
        <v>214</v>
      </c>
      <c r="E241" s="1"/>
      <c r="F241" s="1">
        <v>0.6</v>
      </c>
      <c r="H241" s="1">
        <v>0.6</v>
      </c>
    </row>
    <row r="242" spans="1:8" x14ac:dyDescent="0.3">
      <c r="A242" s="1">
        <v>241</v>
      </c>
      <c r="B242" s="1" t="s">
        <v>3156</v>
      </c>
      <c r="C242" s="1" t="s">
        <v>286</v>
      </c>
      <c r="D242" s="1">
        <v>85</v>
      </c>
      <c r="E242" s="1"/>
      <c r="F242" s="1">
        <v>0.6</v>
      </c>
      <c r="H242" s="1">
        <v>0.6</v>
      </c>
    </row>
    <row r="243" spans="1:8" x14ac:dyDescent="0.3">
      <c r="A243" s="1">
        <v>242</v>
      </c>
      <c r="B243" s="1" t="s">
        <v>733</v>
      </c>
      <c r="C243" s="1" t="s">
        <v>266</v>
      </c>
      <c r="D243" s="1"/>
      <c r="E243" s="1">
        <v>35.1</v>
      </c>
      <c r="F243" s="1">
        <v>0</v>
      </c>
      <c r="G243" s="1">
        <v>0.6</v>
      </c>
      <c r="H243" s="1">
        <v>0.6</v>
      </c>
    </row>
    <row r="244" spans="1:8" x14ac:dyDescent="0.3">
      <c r="A244" s="1">
        <v>243</v>
      </c>
      <c r="B244" s="1" t="s">
        <v>356</v>
      </c>
      <c r="C244" s="1" t="s">
        <v>241</v>
      </c>
      <c r="D244" s="1">
        <v>201</v>
      </c>
      <c r="E244" s="1"/>
      <c r="F244" s="1">
        <v>0.6</v>
      </c>
      <c r="H244" s="1">
        <v>0.6</v>
      </c>
    </row>
    <row r="245" spans="1:8" x14ac:dyDescent="0.3">
      <c r="A245" s="1">
        <v>244</v>
      </c>
      <c r="B245" s="1" t="s">
        <v>838</v>
      </c>
      <c r="C245" s="1" t="s">
        <v>231</v>
      </c>
      <c r="D245" s="1"/>
      <c r="E245" s="1">
        <v>35.1</v>
      </c>
      <c r="F245" s="1">
        <v>0</v>
      </c>
      <c r="G245" s="1">
        <v>0.6</v>
      </c>
      <c r="H245" s="1">
        <v>0.6</v>
      </c>
    </row>
    <row r="246" spans="1:8" x14ac:dyDescent="0.3">
      <c r="A246" s="1">
        <v>245</v>
      </c>
      <c r="B246" s="1" t="s">
        <v>194</v>
      </c>
      <c r="C246" s="1" t="s">
        <v>241</v>
      </c>
      <c r="D246" s="1"/>
      <c r="E246" s="1">
        <v>41.1</v>
      </c>
      <c r="F246" s="1">
        <v>0</v>
      </c>
      <c r="G246" s="1">
        <v>0.6</v>
      </c>
      <c r="H246" s="1">
        <v>0.6</v>
      </c>
    </row>
    <row r="247" spans="1:8" x14ac:dyDescent="0.3">
      <c r="A247" s="1">
        <v>246</v>
      </c>
      <c r="B247" s="1" t="s">
        <v>354</v>
      </c>
      <c r="C247" s="1" t="s">
        <v>268</v>
      </c>
      <c r="D247" s="1">
        <v>129</v>
      </c>
      <c r="E247" s="1"/>
      <c r="F247" s="1">
        <v>0.6</v>
      </c>
      <c r="H247" s="1">
        <v>0.6</v>
      </c>
    </row>
    <row r="248" spans="1:8" x14ac:dyDescent="0.3">
      <c r="A248" s="1">
        <v>247</v>
      </c>
      <c r="B248" s="1" t="s">
        <v>3166</v>
      </c>
      <c r="C248" s="1" t="s">
        <v>311</v>
      </c>
      <c r="D248" s="1">
        <v>83</v>
      </c>
      <c r="E248" s="1"/>
      <c r="F248" s="1">
        <v>0.6</v>
      </c>
      <c r="H248" s="1">
        <v>0.6</v>
      </c>
    </row>
    <row r="249" spans="1:8" x14ac:dyDescent="0.3">
      <c r="A249" s="1">
        <v>248</v>
      </c>
      <c r="B249" s="1" t="s">
        <v>399</v>
      </c>
      <c r="C249" s="1" t="s">
        <v>255</v>
      </c>
      <c r="D249" s="1"/>
      <c r="E249" s="1">
        <v>21</v>
      </c>
      <c r="F249" s="1">
        <v>0</v>
      </c>
      <c r="G249" s="1">
        <v>0.6</v>
      </c>
      <c r="H249" s="1">
        <v>0.6</v>
      </c>
    </row>
    <row r="250" spans="1:8" x14ac:dyDescent="0.3">
      <c r="A250" s="1">
        <v>249</v>
      </c>
      <c r="B250" s="1" t="s">
        <v>747</v>
      </c>
      <c r="C250" s="1" t="s">
        <v>286</v>
      </c>
      <c r="D250" s="1"/>
      <c r="E250" s="1">
        <v>52</v>
      </c>
      <c r="F250" s="1">
        <v>0</v>
      </c>
      <c r="G250" s="1">
        <v>0.6</v>
      </c>
      <c r="H250" s="1">
        <v>0.6</v>
      </c>
    </row>
    <row r="251" spans="1:8" x14ac:dyDescent="0.3">
      <c r="A251" s="1">
        <v>250</v>
      </c>
      <c r="B251" s="1" t="s">
        <v>375</v>
      </c>
      <c r="C251" s="1" t="s">
        <v>255</v>
      </c>
      <c r="D251" s="1"/>
      <c r="E251" s="1">
        <v>25</v>
      </c>
      <c r="F251" s="1">
        <v>0</v>
      </c>
      <c r="G251" s="1">
        <v>0.6</v>
      </c>
      <c r="H251" s="1">
        <v>0.6</v>
      </c>
    </row>
    <row r="252" spans="1:8" x14ac:dyDescent="0.3">
      <c r="A252" s="1">
        <v>251</v>
      </c>
      <c r="B252" s="1" t="s">
        <v>338</v>
      </c>
      <c r="C252" s="1" t="s">
        <v>339</v>
      </c>
      <c r="D252" s="1"/>
      <c r="E252" s="1">
        <v>48</v>
      </c>
      <c r="F252" s="1">
        <v>0</v>
      </c>
      <c r="G252" s="1">
        <v>0.6</v>
      </c>
      <c r="H252" s="1">
        <v>0.6</v>
      </c>
    </row>
    <row r="253" spans="1:8" x14ac:dyDescent="0.3">
      <c r="A253" s="1">
        <v>252</v>
      </c>
      <c r="B253" s="1" t="s">
        <v>768</v>
      </c>
      <c r="C253" s="1" t="s">
        <v>224</v>
      </c>
      <c r="D253" s="1"/>
      <c r="E253" s="1">
        <v>23.2</v>
      </c>
      <c r="F253" s="1">
        <v>0</v>
      </c>
      <c r="G253" s="1">
        <v>0.6</v>
      </c>
      <c r="H253" s="1">
        <v>0.6</v>
      </c>
    </row>
    <row r="254" spans="1:8" x14ac:dyDescent="0.3">
      <c r="A254" s="1">
        <v>253</v>
      </c>
      <c r="B254" s="1" t="s">
        <v>454</v>
      </c>
      <c r="C254" s="1" t="s">
        <v>266</v>
      </c>
      <c r="D254" s="1"/>
      <c r="E254" s="1">
        <v>26</v>
      </c>
      <c r="F254" s="1">
        <v>0</v>
      </c>
      <c r="G254" s="1">
        <v>0.6</v>
      </c>
      <c r="H254" s="1">
        <v>0.6</v>
      </c>
    </row>
    <row r="255" spans="1:8" x14ac:dyDescent="0.3">
      <c r="A255" s="1">
        <v>254</v>
      </c>
      <c r="B255" s="1" t="s">
        <v>960</v>
      </c>
      <c r="C255" s="1" t="s">
        <v>278</v>
      </c>
      <c r="D255" s="1">
        <v>199</v>
      </c>
      <c r="E255" s="1"/>
      <c r="F255" s="1">
        <v>0.6</v>
      </c>
      <c r="H255" s="1">
        <v>0.6</v>
      </c>
    </row>
    <row r="256" spans="1:8" x14ac:dyDescent="0.3">
      <c r="A256" s="1">
        <v>255</v>
      </c>
      <c r="B256" s="1" t="s">
        <v>426</v>
      </c>
      <c r="C256" s="1" t="s">
        <v>234</v>
      </c>
      <c r="D256" s="1"/>
      <c r="E256" s="1">
        <v>17</v>
      </c>
      <c r="F256" s="1">
        <v>0</v>
      </c>
      <c r="G256" s="1">
        <v>0.6</v>
      </c>
      <c r="H256" s="1">
        <v>0.6</v>
      </c>
    </row>
    <row r="257" spans="1:8" x14ac:dyDescent="0.3">
      <c r="A257" s="1">
        <v>256</v>
      </c>
      <c r="B257" s="1" t="s">
        <v>890</v>
      </c>
      <c r="C257" s="1" t="s">
        <v>228</v>
      </c>
      <c r="D257" s="1">
        <v>114</v>
      </c>
      <c r="E257" s="1">
        <v>0.1</v>
      </c>
      <c r="F257" s="1">
        <v>0.6</v>
      </c>
      <c r="G257" s="1">
        <v>-0.1</v>
      </c>
      <c r="H257" s="1">
        <v>0.6</v>
      </c>
    </row>
    <row r="258" spans="1:8" x14ac:dyDescent="0.3">
      <c r="A258" s="1">
        <v>257</v>
      </c>
      <c r="B258" s="1" t="s">
        <v>461</v>
      </c>
      <c r="C258" s="1" t="s">
        <v>250</v>
      </c>
      <c r="D258" s="1"/>
      <c r="E258" s="1">
        <v>21.1</v>
      </c>
      <c r="F258" s="1">
        <v>0</v>
      </c>
      <c r="G258" s="1">
        <v>0.6</v>
      </c>
      <c r="H258" s="1">
        <v>0.6</v>
      </c>
    </row>
    <row r="259" spans="1:8" x14ac:dyDescent="0.3">
      <c r="A259" s="1">
        <v>258</v>
      </c>
      <c r="B259" s="1" t="s">
        <v>165</v>
      </c>
      <c r="C259" s="1" t="s">
        <v>251</v>
      </c>
      <c r="D259" s="1"/>
      <c r="E259" s="1">
        <v>25.2</v>
      </c>
      <c r="F259" s="1">
        <v>0</v>
      </c>
      <c r="G259" s="1">
        <v>0.6</v>
      </c>
      <c r="H259" s="1">
        <v>0.6</v>
      </c>
    </row>
    <row r="260" spans="1:8" x14ac:dyDescent="0.3">
      <c r="A260" s="1">
        <v>259</v>
      </c>
      <c r="B260" s="1" t="s">
        <v>344</v>
      </c>
      <c r="C260" s="1" t="s">
        <v>255</v>
      </c>
      <c r="D260" s="1">
        <v>203</v>
      </c>
      <c r="E260" s="1"/>
      <c r="F260" s="1">
        <v>0.6</v>
      </c>
      <c r="H260" s="1">
        <v>0.6</v>
      </c>
    </row>
    <row r="261" spans="1:8" x14ac:dyDescent="0.3">
      <c r="A261" s="1">
        <v>260</v>
      </c>
      <c r="B261" s="1" t="s">
        <v>665</v>
      </c>
      <c r="C261" s="1" t="s">
        <v>226</v>
      </c>
      <c r="D261" s="1">
        <v>151</v>
      </c>
      <c r="E261" s="1"/>
      <c r="F261" s="1">
        <v>0.6</v>
      </c>
      <c r="H261" s="1">
        <v>0.6</v>
      </c>
    </row>
    <row r="262" spans="1:8" x14ac:dyDescent="0.3">
      <c r="A262" s="1">
        <v>261</v>
      </c>
      <c r="B262" s="1" t="s">
        <v>252</v>
      </c>
      <c r="C262" s="1" t="s">
        <v>239</v>
      </c>
      <c r="D262" s="1">
        <v>153</v>
      </c>
      <c r="E262" s="1"/>
      <c r="F262" s="1">
        <v>0.6</v>
      </c>
      <c r="H262" s="1">
        <v>0.6</v>
      </c>
    </row>
    <row r="263" spans="1:8" x14ac:dyDescent="0.3">
      <c r="A263" s="1">
        <v>262</v>
      </c>
      <c r="B263" s="1" t="s">
        <v>423</v>
      </c>
      <c r="C263" s="1" t="s">
        <v>222</v>
      </c>
      <c r="D263" s="1"/>
      <c r="E263" s="1">
        <v>19.100000000000001</v>
      </c>
      <c r="F263" s="1">
        <v>0</v>
      </c>
      <c r="G263" s="1">
        <v>0.6</v>
      </c>
      <c r="H263" s="1">
        <v>0.6</v>
      </c>
    </row>
    <row r="264" spans="1:8" x14ac:dyDescent="0.3">
      <c r="A264" s="1">
        <v>263</v>
      </c>
      <c r="B264" s="1" t="s">
        <v>3051</v>
      </c>
      <c r="C264" s="1" t="s">
        <v>325</v>
      </c>
      <c r="D264" s="1"/>
      <c r="E264" s="1">
        <v>21.1</v>
      </c>
      <c r="F264" s="1">
        <v>0</v>
      </c>
      <c r="G264" s="1">
        <v>0.6</v>
      </c>
      <c r="H264" s="1">
        <v>0.6</v>
      </c>
    </row>
    <row r="265" spans="1:8" x14ac:dyDescent="0.3">
      <c r="A265" s="1">
        <v>264</v>
      </c>
      <c r="B265" s="1" t="s">
        <v>648</v>
      </c>
      <c r="C265" s="1" t="s">
        <v>248</v>
      </c>
      <c r="D265" s="1"/>
      <c r="E265" s="1">
        <v>20.100000000000001</v>
      </c>
      <c r="F265" s="1">
        <v>0</v>
      </c>
      <c r="G265" s="1">
        <v>0.6</v>
      </c>
      <c r="H265" s="1">
        <v>0.6</v>
      </c>
    </row>
    <row r="266" spans="1:8" x14ac:dyDescent="0.3">
      <c r="A266" s="1">
        <v>265</v>
      </c>
      <c r="B266" s="1" t="s">
        <v>915</v>
      </c>
      <c r="C266" s="1" t="s">
        <v>235</v>
      </c>
      <c r="D266" s="1">
        <v>130</v>
      </c>
      <c r="E266" s="1"/>
      <c r="F266" s="1">
        <v>0.6</v>
      </c>
      <c r="H266" s="1">
        <v>0.6</v>
      </c>
    </row>
    <row r="267" spans="1:8" x14ac:dyDescent="0.3">
      <c r="A267" s="1">
        <v>266</v>
      </c>
      <c r="B267" s="1" t="s">
        <v>410</v>
      </c>
      <c r="C267" s="1" t="s">
        <v>346</v>
      </c>
      <c r="D267" s="1">
        <v>97</v>
      </c>
      <c r="E267" s="1"/>
      <c r="F267" s="1">
        <v>0.6</v>
      </c>
      <c r="H267" s="1">
        <v>0.6</v>
      </c>
    </row>
    <row r="268" spans="1:8" x14ac:dyDescent="0.3">
      <c r="A268" s="1">
        <v>267</v>
      </c>
      <c r="B268" s="1" t="s">
        <v>673</v>
      </c>
      <c r="C268" s="1" t="s">
        <v>278</v>
      </c>
      <c r="D268" s="1"/>
      <c r="E268" s="1">
        <v>18.2</v>
      </c>
      <c r="F268" s="1">
        <v>0</v>
      </c>
      <c r="G268" s="1">
        <v>0.6</v>
      </c>
      <c r="H268" s="1">
        <v>0.6</v>
      </c>
    </row>
    <row r="269" spans="1:8" x14ac:dyDescent="0.3">
      <c r="A269" s="1">
        <v>268</v>
      </c>
      <c r="B269" s="1" t="s">
        <v>391</v>
      </c>
      <c r="C269" s="1" t="s">
        <v>392</v>
      </c>
      <c r="D269" s="1">
        <v>107</v>
      </c>
      <c r="E269" s="1"/>
      <c r="F269" s="1">
        <v>0.5</v>
      </c>
      <c r="H269" s="1">
        <v>0.5</v>
      </c>
    </row>
    <row r="270" spans="1:8" x14ac:dyDescent="0.3">
      <c r="A270" s="1">
        <v>269</v>
      </c>
      <c r="B270" s="1" t="s">
        <v>313</v>
      </c>
      <c r="C270" s="1" t="s">
        <v>222</v>
      </c>
      <c r="D270" s="1"/>
      <c r="E270" s="1">
        <v>54.1</v>
      </c>
      <c r="F270" s="1">
        <v>0</v>
      </c>
      <c r="G270" s="1">
        <v>0.5</v>
      </c>
      <c r="H270" s="1">
        <v>0.5</v>
      </c>
    </row>
    <row r="271" spans="1:8" x14ac:dyDescent="0.3">
      <c r="A271" s="1">
        <v>270</v>
      </c>
      <c r="B271" s="1" t="s">
        <v>161</v>
      </c>
      <c r="C271" s="1" t="s">
        <v>255</v>
      </c>
      <c r="D271" s="1"/>
      <c r="E271" s="1">
        <v>54.2</v>
      </c>
      <c r="F271" s="1">
        <v>0</v>
      </c>
      <c r="G271" s="1">
        <v>0.5</v>
      </c>
      <c r="H271" s="1">
        <v>0.5</v>
      </c>
    </row>
    <row r="272" spans="1:8" x14ac:dyDescent="0.3">
      <c r="A272" s="1">
        <v>271</v>
      </c>
      <c r="B272" s="1" t="s">
        <v>800</v>
      </c>
      <c r="C272" s="1" t="s">
        <v>346</v>
      </c>
      <c r="D272" s="1"/>
      <c r="E272" s="1">
        <v>20.100000000000001</v>
      </c>
      <c r="F272" s="1">
        <v>0</v>
      </c>
      <c r="G272" s="1">
        <v>0.5</v>
      </c>
      <c r="H272" s="1">
        <v>0.5</v>
      </c>
    </row>
    <row r="273" spans="1:8" x14ac:dyDescent="0.3">
      <c r="A273" s="1">
        <v>272</v>
      </c>
      <c r="B273" s="1" t="s">
        <v>3265</v>
      </c>
      <c r="C273" s="1" t="s">
        <v>239</v>
      </c>
      <c r="D273" s="1"/>
      <c r="E273" s="1">
        <v>20</v>
      </c>
      <c r="F273" s="1">
        <v>0</v>
      </c>
      <c r="G273" s="1">
        <v>0.5</v>
      </c>
      <c r="H273" s="1">
        <v>0.5</v>
      </c>
    </row>
    <row r="274" spans="1:8" x14ac:dyDescent="0.3">
      <c r="A274" s="1">
        <v>273</v>
      </c>
      <c r="B274" s="1" t="s">
        <v>651</v>
      </c>
      <c r="C274" s="1" t="s">
        <v>392</v>
      </c>
      <c r="D274" s="1">
        <v>200</v>
      </c>
      <c r="E274" s="1">
        <v>1</v>
      </c>
      <c r="F274" s="1">
        <v>0.6</v>
      </c>
      <c r="G274" s="1">
        <v>0</v>
      </c>
      <c r="H274" s="1">
        <v>0.5</v>
      </c>
    </row>
    <row r="275" spans="1:8" x14ac:dyDescent="0.3">
      <c r="A275" s="1">
        <v>274</v>
      </c>
      <c r="B275" s="1" t="s">
        <v>891</v>
      </c>
      <c r="C275" s="1" t="s">
        <v>239</v>
      </c>
      <c r="D275" s="1">
        <v>167</v>
      </c>
      <c r="E275" s="1"/>
      <c r="F275" s="1">
        <v>0.5</v>
      </c>
      <c r="H275" s="1">
        <v>0.5</v>
      </c>
    </row>
    <row r="276" spans="1:8" x14ac:dyDescent="0.3">
      <c r="A276" s="1">
        <v>275</v>
      </c>
      <c r="B276" s="1" t="s">
        <v>513</v>
      </c>
      <c r="C276" s="1" t="s">
        <v>228</v>
      </c>
      <c r="D276" s="1"/>
      <c r="E276" s="1">
        <v>24.1</v>
      </c>
      <c r="F276" s="1">
        <v>0</v>
      </c>
      <c r="G276" s="1">
        <v>0.5</v>
      </c>
      <c r="H276" s="1">
        <v>0.5</v>
      </c>
    </row>
    <row r="277" spans="1:8" x14ac:dyDescent="0.3">
      <c r="A277" s="1">
        <v>276</v>
      </c>
      <c r="B277" s="1" t="s">
        <v>647</v>
      </c>
      <c r="C277" s="1" t="s">
        <v>224</v>
      </c>
      <c r="D277" s="1">
        <v>204</v>
      </c>
      <c r="E277" s="1"/>
      <c r="F277" s="1">
        <v>0.5</v>
      </c>
      <c r="H277" s="1">
        <v>0.5</v>
      </c>
    </row>
    <row r="278" spans="1:8" x14ac:dyDescent="0.3">
      <c r="A278" s="1">
        <v>277</v>
      </c>
      <c r="B278" s="1" t="s">
        <v>671</v>
      </c>
      <c r="C278" s="1" t="s">
        <v>278</v>
      </c>
      <c r="D278" s="1">
        <v>112</v>
      </c>
      <c r="E278" s="1"/>
      <c r="F278" s="1">
        <v>0.5</v>
      </c>
      <c r="H278" s="1">
        <v>0.5</v>
      </c>
    </row>
    <row r="279" spans="1:8" x14ac:dyDescent="0.3">
      <c r="A279" s="1">
        <v>278</v>
      </c>
      <c r="B279" s="1" t="s">
        <v>898</v>
      </c>
      <c r="C279" s="1" t="s">
        <v>251</v>
      </c>
      <c r="D279" s="1"/>
      <c r="E279" s="1">
        <v>24</v>
      </c>
      <c r="F279" s="1">
        <v>0</v>
      </c>
      <c r="G279" s="1">
        <v>0.5</v>
      </c>
      <c r="H279" s="1">
        <v>0.5</v>
      </c>
    </row>
    <row r="280" spans="1:8" x14ac:dyDescent="0.3">
      <c r="A280" s="1">
        <v>279</v>
      </c>
      <c r="B280" s="1" t="s">
        <v>201</v>
      </c>
      <c r="C280" s="1" t="s">
        <v>222</v>
      </c>
      <c r="D280" s="1"/>
      <c r="E280" s="1">
        <v>45</v>
      </c>
      <c r="F280" s="1">
        <v>0</v>
      </c>
      <c r="G280" s="1">
        <v>0.5</v>
      </c>
      <c r="H280" s="1">
        <v>0.5</v>
      </c>
    </row>
    <row r="281" spans="1:8" x14ac:dyDescent="0.3">
      <c r="A281" s="1">
        <v>280</v>
      </c>
      <c r="B281" s="1" t="s">
        <v>281</v>
      </c>
      <c r="C281" s="1" t="s">
        <v>234</v>
      </c>
      <c r="D281" s="1">
        <v>204</v>
      </c>
      <c r="E281" s="1"/>
      <c r="F281" s="1">
        <v>0.5</v>
      </c>
      <c r="H281" s="1">
        <v>0.5</v>
      </c>
    </row>
    <row r="282" spans="1:8" x14ac:dyDescent="0.3">
      <c r="A282" s="1">
        <v>281</v>
      </c>
      <c r="B282" s="1" t="s">
        <v>242</v>
      </c>
      <c r="C282" s="1" t="s">
        <v>243</v>
      </c>
      <c r="D282" s="1">
        <v>86</v>
      </c>
      <c r="E282" s="1"/>
      <c r="F282" s="1">
        <v>0.5</v>
      </c>
      <c r="H282" s="1">
        <v>0.5</v>
      </c>
    </row>
    <row r="283" spans="1:8" x14ac:dyDescent="0.3">
      <c r="A283" s="1">
        <v>282</v>
      </c>
      <c r="B283" s="1" t="s">
        <v>419</v>
      </c>
      <c r="C283" s="1" t="s">
        <v>286</v>
      </c>
      <c r="D283" s="1"/>
      <c r="E283" s="1">
        <v>22.1</v>
      </c>
      <c r="F283" s="1">
        <v>0</v>
      </c>
      <c r="G283" s="1">
        <v>0.5</v>
      </c>
      <c r="H283" s="1">
        <v>0.5</v>
      </c>
    </row>
    <row r="284" spans="1:8" x14ac:dyDescent="0.3">
      <c r="A284" s="1">
        <v>283</v>
      </c>
      <c r="B284" s="1" t="s">
        <v>524</v>
      </c>
      <c r="C284" s="1" t="s">
        <v>255</v>
      </c>
      <c r="D284" s="1"/>
      <c r="E284" s="1">
        <v>28.1</v>
      </c>
      <c r="F284" s="1">
        <v>0</v>
      </c>
      <c r="G284" s="1">
        <v>0.5</v>
      </c>
      <c r="H284" s="1">
        <v>0.5</v>
      </c>
    </row>
    <row r="285" spans="1:8" x14ac:dyDescent="0.3">
      <c r="A285" s="1">
        <v>284</v>
      </c>
      <c r="B285" s="1" t="s">
        <v>3021</v>
      </c>
      <c r="C285" s="1" t="s">
        <v>339</v>
      </c>
      <c r="D285" s="1">
        <v>112</v>
      </c>
      <c r="E285" s="1"/>
      <c r="F285" s="1">
        <v>0.5</v>
      </c>
      <c r="H285" s="1">
        <v>0.5</v>
      </c>
    </row>
    <row r="286" spans="1:8" x14ac:dyDescent="0.3">
      <c r="A286" s="1">
        <v>285</v>
      </c>
      <c r="B286" s="1" t="s">
        <v>705</v>
      </c>
      <c r="C286" s="1" t="s">
        <v>274</v>
      </c>
      <c r="D286" s="1">
        <v>92</v>
      </c>
      <c r="E286" s="1"/>
      <c r="F286" s="1">
        <v>0.5</v>
      </c>
      <c r="H286" s="1">
        <v>0.5</v>
      </c>
    </row>
    <row r="287" spans="1:8" x14ac:dyDescent="0.3">
      <c r="A287" s="1">
        <v>286</v>
      </c>
      <c r="B287" s="1" t="s">
        <v>914</v>
      </c>
      <c r="C287" s="1" t="s">
        <v>246</v>
      </c>
      <c r="D287" s="1">
        <v>178</v>
      </c>
      <c r="E287" s="1"/>
      <c r="F287" s="1">
        <v>0.5</v>
      </c>
      <c r="H287" s="1">
        <v>0.5</v>
      </c>
    </row>
    <row r="288" spans="1:8" x14ac:dyDescent="0.3">
      <c r="A288" s="1">
        <v>287</v>
      </c>
      <c r="B288" s="1" t="s">
        <v>342</v>
      </c>
      <c r="C288" s="1" t="s">
        <v>241</v>
      </c>
      <c r="D288" s="1"/>
      <c r="E288" s="1">
        <v>29.2</v>
      </c>
      <c r="F288" s="1">
        <v>0</v>
      </c>
      <c r="G288" s="1">
        <v>0.5</v>
      </c>
      <c r="H288" s="1">
        <v>0.5</v>
      </c>
    </row>
    <row r="289" spans="1:8" x14ac:dyDescent="0.3">
      <c r="A289" s="1">
        <v>288</v>
      </c>
      <c r="B289" s="1" t="s">
        <v>3082</v>
      </c>
      <c r="C289" s="1" t="s">
        <v>274</v>
      </c>
      <c r="D289" s="1">
        <v>101</v>
      </c>
      <c r="E289" s="1"/>
      <c r="F289" s="1">
        <v>0.5</v>
      </c>
      <c r="H289" s="1">
        <v>0.5</v>
      </c>
    </row>
    <row r="290" spans="1:8" x14ac:dyDescent="0.3">
      <c r="A290" s="1">
        <v>289</v>
      </c>
      <c r="B290" s="1" t="s">
        <v>271</v>
      </c>
      <c r="C290" s="1" t="s">
        <v>244</v>
      </c>
      <c r="D290" s="1">
        <v>208</v>
      </c>
      <c r="E290" s="1"/>
      <c r="F290" s="1">
        <v>0.5</v>
      </c>
      <c r="H290" s="1">
        <v>0.5</v>
      </c>
    </row>
    <row r="291" spans="1:8" x14ac:dyDescent="0.3">
      <c r="A291" s="1">
        <v>290</v>
      </c>
      <c r="B291" s="1" t="s">
        <v>677</v>
      </c>
      <c r="C291" s="1" t="s">
        <v>224</v>
      </c>
      <c r="D291" s="1"/>
      <c r="E291" s="1">
        <v>23.1</v>
      </c>
      <c r="F291" s="1">
        <v>0</v>
      </c>
      <c r="G291" s="1">
        <v>0.5</v>
      </c>
      <c r="H291" s="1">
        <v>0.5</v>
      </c>
    </row>
    <row r="292" spans="1:8" x14ac:dyDescent="0.3">
      <c r="A292" s="1">
        <v>291</v>
      </c>
      <c r="B292" s="1" t="s">
        <v>687</v>
      </c>
      <c r="C292" s="1" t="s">
        <v>250</v>
      </c>
      <c r="D292" s="1">
        <v>204</v>
      </c>
      <c r="E292" s="1"/>
      <c r="F292" s="1">
        <v>0.5</v>
      </c>
      <c r="H292" s="1">
        <v>0.5</v>
      </c>
    </row>
    <row r="293" spans="1:8" x14ac:dyDescent="0.3">
      <c r="A293" s="1">
        <v>292</v>
      </c>
      <c r="B293" s="1" t="s">
        <v>348</v>
      </c>
      <c r="C293" s="1" t="s">
        <v>264</v>
      </c>
      <c r="D293" s="1"/>
      <c r="E293" s="1">
        <v>56.1</v>
      </c>
      <c r="F293" s="1">
        <v>0</v>
      </c>
      <c r="G293" s="1">
        <v>0.5</v>
      </c>
      <c r="H293" s="1">
        <v>0.5</v>
      </c>
    </row>
    <row r="294" spans="1:8" x14ac:dyDescent="0.3">
      <c r="A294" s="1">
        <v>293</v>
      </c>
      <c r="B294" s="1" t="s">
        <v>589</v>
      </c>
      <c r="C294" s="1" t="s">
        <v>243</v>
      </c>
      <c r="D294" s="1"/>
      <c r="E294" s="1">
        <v>14.1</v>
      </c>
      <c r="F294" s="1">
        <v>0</v>
      </c>
      <c r="G294" s="1">
        <v>0.5</v>
      </c>
      <c r="H294" s="1">
        <v>0.5</v>
      </c>
    </row>
    <row r="295" spans="1:8" x14ac:dyDescent="0.3">
      <c r="A295" s="1">
        <v>294</v>
      </c>
      <c r="B295" s="1" t="s">
        <v>493</v>
      </c>
      <c r="C295" s="1" t="s">
        <v>231</v>
      </c>
      <c r="D295" s="1"/>
      <c r="E295" s="1">
        <v>18.100000000000001</v>
      </c>
      <c r="F295" s="1">
        <v>0</v>
      </c>
      <c r="G295" s="1">
        <v>0.5</v>
      </c>
      <c r="H295" s="1">
        <v>0.5</v>
      </c>
    </row>
    <row r="296" spans="1:8" x14ac:dyDescent="0.3">
      <c r="A296" s="1">
        <v>295</v>
      </c>
      <c r="B296" s="1" t="s">
        <v>900</v>
      </c>
      <c r="C296" s="1" t="s">
        <v>346</v>
      </c>
      <c r="D296" s="1">
        <v>188</v>
      </c>
      <c r="E296" s="1"/>
      <c r="F296" s="1">
        <v>0.5</v>
      </c>
      <c r="H296" s="1">
        <v>0.5</v>
      </c>
    </row>
    <row r="297" spans="1:8" x14ac:dyDescent="0.3">
      <c r="A297" s="1">
        <v>296</v>
      </c>
      <c r="B297" s="1" t="s">
        <v>153</v>
      </c>
      <c r="C297" s="1" t="s">
        <v>287</v>
      </c>
      <c r="D297" s="1"/>
      <c r="E297" s="1">
        <v>57.1</v>
      </c>
      <c r="F297" s="1">
        <v>0</v>
      </c>
      <c r="G297" s="1">
        <v>0.5</v>
      </c>
      <c r="H297" s="1">
        <v>0.5</v>
      </c>
    </row>
    <row r="298" spans="1:8" x14ac:dyDescent="0.3">
      <c r="A298" s="1">
        <v>297</v>
      </c>
      <c r="B298" s="1" t="s">
        <v>395</v>
      </c>
      <c r="C298" s="1" t="s">
        <v>251</v>
      </c>
      <c r="D298" s="1">
        <v>182</v>
      </c>
      <c r="E298" s="1"/>
      <c r="F298" s="1">
        <v>0.5</v>
      </c>
      <c r="H298" s="1">
        <v>0.5</v>
      </c>
    </row>
    <row r="299" spans="1:8" x14ac:dyDescent="0.3">
      <c r="A299" s="1">
        <v>298</v>
      </c>
      <c r="B299" s="1" t="s">
        <v>381</v>
      </c>
      <c r="C299" s="1" t="s">
        <v>287</v>
      </c>
      <c r="D299" s="1"/>
      <c r="E299" s="1">
        <v>16</v>
      </c>
      <c r="F299" s="1">
        <v>0</v>
      </c>
      <c r="G299" s="1">
        <v>0.5</v>
      </c>
      <c r="H299" s="1">
        <v>0.5</v>
      </c>
    </row>
    <row r="300" spans="1:8" x14ac:dyDescent="0.3">
      <c r="A300" s="1">
        <v>299</v>
      </c>
      <c r="B300" s="1" t="s">
        <v>349</v>
      </c>
      <c r="C300" s="1" t="s">
        <v>268</v>
      </c>
      <c r="D300" s="1">
        <v>175</v>
      </c>
      <c r="E300" s="1"/>
      <c r="F300" s="1">
        <v>0.5</v>
      </c>
      <c r="H300" s="1">
        <v>0.5</v>
      </c>
    </row>
    <row r="301" spans="1:8" x14ac:dyDescent="0.3">
      <c r="A301" s="1">
        <v>300</v>
      </c>
      <c r="B301" s="1" t="s">
        <v>748</v>
      </c>
      <c r="C301" s="1" t="s">
        <v>268</v>
      </c>
      <c r="D301" s="1"/>
      <c r="E301" s="1">
        <v>22.2</v>
      </c>
      <c r="F301" s="1">
        <v>0</v>
      </c>
      <c r="G301" s="1">
        <v>0.5</v>
      </c>
      <c r="H301" s="1">
        <v>0.5</v>
      </c>
    </row>
    <row r="302" spans="1:8" x14ac:dyDescent="0.3">
      <c r="A302" s="1">
        <v>301</v>
      </c>
      <c r="B302" s="1" t="s">
        <v>383</v>
      </c>
      <c r="C302" s="1" t="s">
        <v>244</v>
      </c>
      <c r="D302" s="1"/>
      <c r="E302" s="1">
        <v>17.2</v>
      </c>
      <c r="F302" s="1">
        <v>0</v>
      </c>
      <c r="G302" s="1">
        <v>0.5</v>
      </c>
      <c r="H302" s="1">
        <v>0.5</v>
      </c>
    </row>
    <row r="303" spans="1:8" x14ac:dyDescent="0.3">
      <c r="A303" s="1">
        <v>302</v>
      </c>
      <c r="B303" s="1" t="s">
        <v>644</v>
      </c>
      <c r="C303" s="1" t="s">
        <v>274</v>
      </c>
      <c r="D303" s="1">
        <v>133</v>
      </c>
      <c r="E303" s="1"/>
      <c r="F303" s="1">
        <v>0.5</v>
      </c>
      <c r="H303" s="1">
        <v>0.5</v>
      </c>
    </row>
    <row r="304" spans="1:8" x14ac:dyDescent="0.3">
      <c r="A304" s="1">
        <v>303</v>
      </c>
      <c r="B304" s="1" t="s">
        <v>722</v>
      </c>
      <c r="C304" s="1" t="s">
        <v>221</v>
      </c>
      <c r="D304" s="1">
        <v>88</v>
      </c>
      <c r="E304" s="1"/>
      <c r="F304" s="1">
        <v>0.5</v>
      </c>
      <c r="H304" s="1">
        <v>0.5</v>
      </c>
    </row>
    <row r="305" spans="1:8" x14ac:dyDescent="0.3">
      <c r="A305" s="1">
        <v>304</v>
      </c>
      <c r="B305" s="1" t="s">
        <v>779</v>
      </c>
      <c r="C305" s="1" t="s">
        <v>239</v>
      </c>
      <c r="D305" s="1"/>
      <c r="E305" s="1">
        <v>24.1</v>
      </c>
      <c r="F305" s="1">
        <v>0</v>
      </c>
      <c r="G305" s="1">
        <v>0.5</v>
      </c>
      <c r="H305" s="1">
        <v>0.5</v>
      </c>
    </row>
    <row r="306" spans="1:8" x14ac:dyDescent="0.3">
      <c r="A306" s="1">
        <v>305</v>
      </c>
      <c r="B306" s="1" t="s">
        <v>496</v>
      </c>
      <c r="C306" s="1" t="s">
        <v>311</v>
      </c>
      <c r="D306" s="1"/>
      <c r="E306" s="1">
        <v>40.1</v>
      </c>
      <c r="F306" s="1">
        <v>0</v>
      </c>
      <c r="G306" s="1">
        <v>0.5</v>
      </c>
      <c r="H306" s="1">
        <v>0.5</v>
      </c>
    </row>
    <row r="307" spans="1:8" x14ac:dyDescent="0.3">
      <c r="A307" s="1">
        <v>306</v>
      </c>
      <c r="B307" s="1" t="s">
        <v>374</v>
      </c>
      <c r="C307" s="1" t="s">
        <v>234</v>
      </c>
      <c r="D307" s="1"/>
      <c r="E307" s="1">
        <v>19</v>
      </c>
      <c r="F307" s="1">
        <v>0</v>
      </c>
      <c r="G307" s="1">
        <v>0.5</v>
      </c>
      <c r="H307" s="1">
        <v>0.5</v>
      </c>
    </row>
    <row r="308" spans="1:8" x14ac:dyDescent="0.3">
      <c r="A308" s="1">
        <v>307</v>
      </c>
      <c r="B308" s="1" t="s">
        <v>836</v>
      </c>
      <c r="C308" s="1" t="s">
        <v>278</v>
      </c>
      <c r="D308" s="1">
        <v>163</v>
      </c>
      <c r="E308" s="1"/>
      <c r="F308" s="1">
        <v>0.5</v>
      </c>
      <c r="H308" s="1">
        <v>0.5</v>
      </c>
    </row>
    <row r="309" spans="1:8" x14ac:dyDescent="0.3">
      <c r="A309" s="1">
        <v>308</v>
      </c>
      <c r="B309" s="1" t="s">
        <v>813</v>
      </c>
      <c r="C309" s="1" t="s">
        <v>244</v>
      </c>
      <c r="D309" s="1"/>
      <c r="E309" s="1">
        <v>44.1</v>
      </c>
      <c r="F309" s="1">
        <v>0</v>
      </c>
      <c r="G309" s="1">
        <v>0.5</v>
      </c>
      <c r="H309" s="1">
        <v>0.5</v>
      </c>
    </row>
    <row r="310" spans="1:8" x14ac:dyDescent="0.3">
      <c r="A310" s="1">
        <v>309</v>
      </c>
      <c r="B310" s="1" t="s">
        <v>487</v>
      </c>
      <c r="C310" s="1" t="s">
        <v>239</v>
      </c>
      <c r="D310" s="1"/>
      <c r="E310" s="1">
        <v>22</v>
      </c>
      <c r="F310" s="1">
        <v>0</v>
      </c>
      <c r="G310" s="1">
        <v>0.5</v>
      </c>
      <c r="H310" s="1">
        <v>0.5</v>
      </c>
    </row>
    <row r="311" spans="1:8" x14ac:dyDescent="0.3">
      <c r="A311" s="1">
        <v>310</v>
      </c>
      <c r="B311" s="1" t="s">
        <v>750</v>
      </c>
      <c r="C311" s="1" t="s">
        <v>228</v>
      </c>
      <c r="D311" s="1">
        <v>130</v>
      </c>
      <c r="E311" s="1"/>
      <c r="F311" s="1">
        <v>0.5</v>
      </c>
      <c r="H311" s="1">
        <v>0.5</v>
      </c>
    </row>
    <row r="312" spans="1:8" x14ac:dyDescent="0.3">
      <c r="A312" s="1">
        <v>311</v>
      </c>
      <c r="B312" s="1" t="s">
        <v>948</v>
      </c>
      <c r="C312" s="1" t="s">
        <v>231</v>
      </c>
      <c r="D312" s="1">
        <v>197</v>
      </c>
      <c r="E312" s="1"/>
      <c r="F312" s="1">
        <v>0.5</v>
      </c>
      <c r="H312" s="1">
        <v>0.5</v>
      </c>
    </row>
    <row r="313" spans="1:8" x14ac:dyDescent="0.3">
      <c r="A313" s="1">
        <v>312</v>
      </c>
      <c r="B313" s="1" t="s">
        <v>390</v>
      </c>
      <c r="C313" s="1" t="s">
        <v>264</v>
      </c>
      <c r="D313" s="1">
        <v>99</v>
      </c>
      <c r="E313" s="1"/>
      <c r="F313" s="1">
        <v>0.5</v>
      </c>
      <c r="H313" s="1">
        <v>0.5</v>
      </c>
    </row>
    <row r="314" spans="1:8" x14ac:dyDescent="0.3">
      <c r="A314" s="1">
        <v>313</v>
      </c>
      <c r="B314" s="1" t="s">
        <v>292</v>
      </c>
      <c r="C314" s="1" t="s">
        <v>226</v>
      </c>
      <c r="D314" s="1"/>
      <c r="E314" s="1">
        <v>41.1</v>
      </c>
      <c r="F314" s="1">
        <v>0</v>
      </c>
      <c r="G314" s="1">
        <v>0.5</v>
      </c>
      <c r="H314" s="1">
        <v>0.5</v>
      </c>
    </row>
    <row r="315" spans="1:8" x14ac:dyDescent="0.3">
      <c r="A315" s="1">
        <v>314</v>
      </c>
      <c r="B315" s="1" t="s">
        <v>360</v>
      </c>
      <c r="C315" s="1" t="s">
        <v>221</v>
      </c>
      <c r="D315" s="1">
        <v>205</v>
      </c>
      <c r="E315" s="1"/>
      <c r="F315" s="1">
        <v>0.5</v>
      </c>
      <c r="H315" s="1">
        <v>0.5</v>
      </c>
    </row>
    <row r="316" spans="1:8" x14ac:dyDescent="0.3">
      <c r="A316" s="1">
        <v>315</v>
      </c>
      <c r="B316" s="1" t="s">
        <v>540</v>
      </c>
      <c r="C316" s="1" t="s">
        <v>235</v>
      </c>
      <c r="D316" s="1"/>
      <c r="E316" s="1">
        <v>21.2</v>
      </c>
      <c r="F316" s="1">
        <v>0</v>
      </c>
      <c r="G316" s="1">
        <v>0.5</v>
      </c>
      <c r="H316" s="1">
        <v>0.5</v>
      </c>
    </row>
    <row r="317" spans="1:8" x14ac:dyDescent="0.3">
      <c r="A317" s="1">
        <v>316</v>
      </c>
      <c r="B317" s="1" t="s">
        <v>3314</v>
      </c>
      <c r="C317" s="1" t="s">
        <v>270</v>
      </c>
      <c r="D317" s="1">
        <v>37</v>
      </c>
      <c r="E317" s="1"/>
      <c r="F317" s="1">
        <v>0.5</v>
      </c>
      <c r="H317" s="1">
        <v>0.5</v>
      </c>
    </row>
    <row r="318" spans="1:8" x14ac:dyDescent="0.3">
      <c r="A318" s="1">
        <v>317</v>
      </c>
      <c r="B318" s="1" t="s">
        <v>482</v>
      </c>
      <c r="C318" s="1" t="s">
        <v>248</v>
      </c>
      <c r="D318" s="1"/>
      <c r="E318" s="1">
        <v>23.2</v>
      </c>
      <c r="F318" s="1">
        <v>0</v>
      </c>
      <c r="G318" s="1">
        <v>0.4</v>
      </c>
      <c r="H318" s="1">
        <v>0.4</v>
      </c>
    </row>
    <row r="319" spans="1:8" x14ac:dyDescent="0.3">
      <c r="A319" s="1">
        <v>318</v>
      </c>
      <c r="B319" s="1" t="s">
        <v>1755</v>
      </c>
      <c r="C319" s="1" t="s">
        <v>270</v>
      </c>
      <c r="D319" s="1">
        <v>145</v>
      </c>
      <c r="E319" s="1"/>
      <c r="F319" s="1">
        <v>0.4</v>
      </c>
      <c r="H319" s="1">
        <v>0.4</v>
      </c>
    </row>
    <row r="320" spans="1:8" x14ac:dyDescent="0.3">
      <c r="A320" s="1">
        <v>319</v>
      </c>
      <c r="B320" s="1" t="s">
        <v>491</v>
      </c>
      <c r="C320" s="1" t="s">
        <v>325</v>
      </c>
      <c r="D320" s="1"/>
      <c r="E320" s="1">
        <v>18</v>
      </c>
      <c r="F320" s="1">
        <v>0</v>
      </c>
      <c r="G320" s="1">
        <v>0.4</v>
      </c>
      <c r="H320" s="1">
        <v>0.4</v>
      </c>
    </row>
    <row r="321" spans="1:8" x14ac:dyDescent="0.3">
      <c r="A321" s="1">
        <v>320</v>
      </c>
      <c r="B321" s="1" t="s">
        <v>814</v>
      </c>
      <c r="C321" s="1" t="s">
        <v>274</v>
      </c>
      <c r="D321" s="1">
        <v>114</v>
      </c>
      <c r="E321" s="1"/>
      <c r="F321" s="1">
        <v>0.4</v>
      </c>
      <c r="H321" s="1">
        <v>0.4</v>
      </c>
    </row>
    <row r="322" spans="1:8" x14ac:dyDescent="0.3">
      <c r="A322" s="1">
        <v>321</v>
      </c>
      <c r="B322" s="1" t="s">
        <v>3151</v>
      </c>
      <c r="C322" s="1" t="s">
        <v>346</v>
      </c>
      <c r="D322" s="1">
        <v>29</v>
      </c>
      <c r="E322" s="1"/>
      <c r="F322" s="1">
        <v>0.4</v>
      </c>
      <c r="H322" s="1">
        <v>0.4</v>
      </c>
    </row>
    <row r="323" spans="1:8" x14ac:dyDescent="0.3">
      <c r="A323" s="1">
        <v>322</v>
      </c>
      <c r="B323" s="1" t="s">
        <v>821</v>
      </c>
      <c r="C323" s="1" t="s">
        <v>392</v>
      </c>
      <c r="D323" s="1"/>
      <c r="E323" s="1">
        <v>50</v>
      </c>
      <c r="F323" s="1">
        <v>0</v>
      </c>
      <c r="G323" s="1">
        <v>0.4</v>
      </c>
      <c r="H323" s="1">
        <v>0.4</v>
      </c>
    </row>
    <row r="324" spans="1:8" x14ac:dyDescent="0.3">
      <c r="A324" s="1">
        <v>323</v>
      </c>
      <c r="B324" s="1" t="s">
        <v>885</v>
      </c>
      <c r="C324" s="1" t="s">
        <v>235</v>
      </c>
      <c r="D324" s="1">
        <v>179</v>
      </c>
      <c r="E324" s="1"/>
      <c r="F324" s="1">
        <v>0.4</v>
      </c>
      <c r="H324" s="1">
        <v>0.4</v>
      </c>
    </row>
    <row r="325" spans="1:8" x14ac:dyDescent="0.3">
      <c r="A325" s="1">
        <v>324</v>
      </c>
      <c r="B325" s="1" t="s">
        <v>916</v>
      </c>
      <c r="C325" s="1" t="s">
        <v>221</v>
      </c>
      <c r="D325" s="1">
        <v>113</v>
      </c>
      <c r="E325" s="1"/>
      <c r="F325" s="1">
        <v>0.4</v>
      </c>
      <c r="H325" s="1">
        <v>0.4</v>
      </c>
    </row>
    <row r="326" spans="1:8" x14ac:dyDescent="0.3">
      <c r="A326" s="1">
        <v>325</v>
      </c>
      <c r="B326" s="1" t="s">
        <v>388</v>
      </c>
      <c r="C326" s="1" t="s">
        <v>235</v>
      </c>
      <c r="D326" s="1">
        <v>59</v>
      </c>
      <c r="E326" s="1"/>
      <c r="F326" s="1">
        <v>0.4</v>
      </c>
      <c r="H326" s="1">
        <v>0.4</v>
      </c>
    </row>
    <row r="327" spans="1:8" x14ac:dyDescent="0.3">
      <c r="A327" s="1">
        <v>326</v>
      </c>
      <c r="B327" s="1" t="s">
        <v>155</v>
      </c>
      <c r="C327" s="1" t="s">
        <v>251</v>
      </c>
      <c r="D327" s="1"/>
      <c r="E327" s="1">
        <v>12.2</v>
      </c>
      <c r="F327" s="1">
        <v>0</v>
      </c>
      <c r="G327" s="1">
        <v>0.4</v>
      </c>
      <c r="H327" s="1">
        <v>0.4</v>
      </c>
    </row>
    <row r="328" spans="1:8" x14ac:dyDescent="0.3">
      <c r="A328" s="1">
        <v>327</v>
      </c>
      <c r="B328" s="1" t="s">
        <v>376</v>
      </c>
      <c r="C328" s="1" t="s">
        <v>231</v>
      </c>
      <c r="D328" s="1"/>
      <c r="E328" s="1">
        <v>50</v>
      </c>
      <c r="F328" s="1">
        <v>0</v>
      </c>
      <c r="G328" s="1">
        <v>0.4</v>
      </c>
      <c r="H328" s="1">
        <v>0.4</v>
      </c>
    </row>
    <row r="329" spans="1:8" x14ac:dyDescent="0.3">
      <c r="A329" s="1">
        <v>328</v>
      </c>
      <c r="B329" s="1" t="s">
        <v>512</v>
      </c>
      <c r="C329" s="1" t="s">
        <v>250</v>
      </c>
      <c r="D329" s="1"/>
      <c r="E329" s="1">
        <v>22</v>
      </c>
      <c r="F329" s="1">
        <v>0</v>
      </c>
      <c r="G329" s="1">
        <v>0.4</v>
      </c>
      <c r="H329" s="1">
        <v>0.4</v>
      </c>
    </row>
    <row r="330" spans="1:8" x14ac:dyDescent="0.3">
      <c r="A330" s="1">
        <v>329</v>
      </c>
      <c r="B330" s="1" t="s">
        <v>895</v>
      </c>
      <c r="C330" s="1" t="s">
        <v>311</v>
      </c>
      <c r="D330" s="1">
        <v>26</v>
      </c>
      <c r="E330" s="1"/>
      <c r="F330" s="1">
        <v>0.4</v>
      </c>
      <c r="H330" s="1">
        <v>0.4</v>
      </c>
    </row>
    <row r="331" spans="1:8" x14ac:dyDescent="0.3">
      <c r="A331" s="1">
        <v>330</v>
      </c>
      <c r="B331" s="1" t="s">
        <v>543</v>
      </c>
      <c r="C331" s="1" t="s">
        <v>325</v>
      </c>
      <c r="D331" s="1">
        <v>85</v>
      </c>
      <c r="E331" s="1">
        <v>1.2</v>
      </c>
      <c r="F331" s="1">
        <v>0.5</v>
      </c>
      <c r="G331" s="1">
        <v>-0.1</v>
      </c>
      <c r="H331" s="1">
        <v>0.4</v>
      </c>
    </row>
    <row r="332" spans="1:8" x14ac:dyDescent="0.3">
      <c r="A332" s="1">
        <v>331</v>
      </c>
      <c r="B332" s="1" t="s">
        <v>966</v>
      </c>
      <c r="C332" s="1" t="s">
        <v>234</v>
      </c>
      <c r="D332" s="1"/>
      <c r="E332" s="1">
        <v>62.1</v>
      </c>
      <c r="F332" s="1">
        <v>0</v>
      </c>
      <c r="G332" s="1">
        <v>0.4</v>
      </c>
      <c r="H332" s="1">
        <v>0.4</v>
      </c>
    </row>
    <row r="333" spans="1:8" x14ac:dyDescent="0.3">
      <c r="A333" s="1">
        <v>332</v>
      </c>
      <c r="B333" s="1" t="s">
        <v>600</v>
      </c>
      <c r="C333" s="1" t="s">
        <v>255</v>
      </c>
      <c r="D333" s="1"/>
      <c r="E333" s="1">
        <v>19.100000000000001</v>
      </c>
      <c r="F333" s="1">
        <v>0</v>
      </c>
      <c r="G333" s="1">
        <v>0.4</v>
      </c>
      <c r="H333" s="1">
        <v>0.4</v>
      </c>
    </row>
    <row r="334" spans="1:8" x14ac:dyDescent="0.3">
      <c r="A334" s="1">
        <v>333</v>
      </c>
      <c r="B334" s="1" t="s">
        <v>3584</v>
      </c>
      <c r="C334" s="1" t="s">
        <v>255</v>
      </c>
      <c r="D334" s="1">
        <v>20</v>
      </c>
      <c r="E334" s="1"/>
      <c r="F334" s="1">
        <v>0.4</v>
      </c>
      <c r="H334" s="1">
        <v>0.4</v>
      </c>
    </row>
    <row r="335" spans="1:8" x14ac:dyDescent="0.3">
      <c r="A335" s="1">
        <v>334</v>
      </c>
      <c r="B335" s="1" t="s">
        <v>1244</v>
      </c>
      <c r="C335" s="1" t="s">
        <v>346</v>
      </c>
      <c r="D335" s="1">
        <v>119</v>
      </c>
      <c r="E335" s="1"/>
      <c r="F335" s="1">
        <v>0.4</v>
      </c>
      <c r="H335" s="1">
        <v>0.4</v>
      </c>
    </row>
    <row r="336" spans="1:8" x14ac:dyDescent="0.3">
      <c r="A336" s="1">
        <v>335</v>
      </c>
      <c r="B336" s="1" t="s">
        <v>558</v>
      </c>
      <c r="C336" s="1" t="s">
        <v>278</v>
      </c>
      <c r="D336" s="1"/>
      <c r="E336" s="1">
        <v>22.2</v>
      </c>
      <c r="F336" s="1">
        <v>0</v>
      </c>
      <c r="G336" s="1">
        <v>0.4</v>
      </c>
      <c r="H336" s="1">
        <v>0.4</v>
      </c>
    </row>
    <row r="337" spans="1:8" x14ac:dyDescent="0.3">
      <c r="A337" s="1">
        <v>336</v>
      </c>
      <c r="B337" s="1" t="s">
        <v>878</v>
      </c>
      <c r="C337" s="1" t="s">
        <v>241</v>
      </c>
      <c r="D337" s="1">
        <v>170</v>
      </c>
      <c r="E337" s="1"/>
      <c r="F337" s="1">
        <v>0.4</v>
      </c>
      <c r="H337" s="1">
        <v>0.4</v>
      </c>
    </row>
    <row r="338" spans="1:8" x14ac:dyDescent="0.3">
      <c r="A338" s="1">
        <v>337</v>
      </c>
      <c r="B338" s="1" t="s">
        <v>333</v>
      </c>
      <c r="C338" s="1" t="s">
        <v>222</v>
      </c>
      <c r="D338" s="1">
        <v>182</v>
      </c>
      <c r="E338" s="1"/>
      <c r="F338" s="1">
        <v>0.4</v>
      </c>
      <c r="H338" s="1">
        <v>0.4</v>
      </c>
    </row>
    <row r="339" spans="1:8" x14ac:dyDescent="0.3">
      <c r="A339" s="1">
        <v>338</v>
      </c>
      <c r="B339" s="1" t="s">
        <v>549</v>
      </c>
      <c r="C339" s="1" t="s">
        <v>250</v>
      </c>
      <c r="D339" s="1">
        <v>83</v>
      </c>
      <c r="E339" s="1"/>
      <c r="F339" s="1">
        <v>0.4</v>
      </c>
      <c r="H339" s="1">
        <v>0.4</v>
      </c>
    </row>
    <row r="340" spans="1:8" x14ac:dyDescent="0.3">
      <c r="A340" s="1">
        <v>339</v>
      </c>
      <c r="B340" s="1" t="s">
        <v>791</v>
      </c>
      <c r="C340" s="1" t="s">
        <v>287</v>
      </c>
      <c r="D340" s="1"/>
      <c r="E340" s="1">
        <v>25</v>
      </c>
      <c r="F340" s="1">
        <v>0</v>
      </c>
      <c r="G340" s="1">
        <v>0.4</v>
      </c>
      <c r="H340" s="1">
        <v>0.4</v>
      </c>
    </row>
    <row r="341" spans="1:8" x14ac:dyDescent="0.3">
      <c r="A341" s="1">
        <v>340</v>
      </c>
      <c r="B341" s="1" t="s">
        <v>872</v>
      </c>
      <c r="C341" s="1" t="s">
        <v>235</v>
      </c>
      <c r="D341" s="1">
        <v>91</v>
      </c>
      <c r="E341" s="1"/>
      <c r="F341" s="1">
        <v>0.4</v>
      </c>
      <c r="H341" s="1">
        <v>0.4</v>
      </c>
    </row>
    <row r="342" spans="1:8" x14ac:dyDescent="0.3">
      <c r="A342" s="1">
        <v>341</v>
      </c>
      <c r="B342" s="1" t="s">
        <v>431</v>
      </c>
      <c r="C342" s="1" t="s">
        <v>287</v>
      </c>
      <c r="D342" s="1">
        <v>71</v>
      </c>
      <c r="E342" s="1"/>
      <c r="F342" s="1">
        <v>0.4</v>
      </c>
      <c r="H342" s="1">
        <v>0.4</v>
      </c>
    </row>
    <row r="343" spans="1:8" x14ac:dyDescent="0.3">
      <c r="A343" s="1">
        <v>342</v>
      </c>
      <c r="B343" s="1" t="s">
        <v>559</v>
      </c>
      <c r="C343" s="1" t="s">
        <v>222</v>
      </c>
      <c r="D343" s="1"/>
      <c r="E343" s="1">
        <v>21.1</v>
      </c>
      <c r="F343" s="1">
        <v>0</v>
      </c>
      <c r="G343" s="1">
        <v>0.4</v>
      </c>
      <c r="H343" s="1">
        <v>0.4</v>
      </c>
    </row>
    <row r="344" spans="1:8" x14ac:dyDescent="0.3">
      <c r="A344" s="1">
        <v>343</v>
      </c>
      <c r="B344" s="1" t="s">
        <v>2204</v>
      </c>
      <c r="C344" s="1" t="s">
        <v>264</v>
      </c>
      <c r="D344" s="1">
        <v>1</v>
      </c>
      <c r="E344" s="1">
        <v>16</v>
      </c>
      <c r="F344" s="1">
        <v>0</v>
      </c>
      <c r="G344" s="1">
        <v>0.4</v>
      </c>
      <c r="H344" s="1">
        <v>0.4</v>
      </c>
    </row>
    <row r="345" spans="1:8" x14ac:dyDescent="0.3">
      <c r="A345" s="1">
        <v>344</v>
      </c>
      <c r="B345" s="1" t="s">
        <v>3096</v>
      </c>
      <c r="C345" s="1" t="s">
        <v>287</v>
      </c>
      <c r="D345" s="1">
        <v>41</v>
      </c>
      <c r="E345" s="1"/>
      <c r="F345" s="1">
        <v>0.4</v>
      </c>
      <c r="H345" s="1">
        <v>0.4</v>
      </c>
    </row>
    <row r="346" spans="1:8" x14ac:dyDescent="0.3">
      <c r="A346" s="1">
        <v>345</v>
      </c>
      <c r="B346" s="1" t="s">
        <v>429</v>
      </c>
      <c r="C346" s="1" t="s">
        <v>222</v>
      </c>
      <c r="D346" s="1">
        <v>102</v>
      </c>
      <c r="E346" s="1"/>
      <c r="F346" s="1">
        <v>0.4</v>
      </c>
      <c r="H346" s="1">
        <v>0.4</v>
      </c>
    </row>
    <row r="347" spans="1:8" x14ac:dyDescent="0.3">
      <c r="A347" s="1">
        <v>346</v>
      </c>
      <c r="B347" s="1" t="s">
        <v>393</v>
      </c>
      <c r="C347" s="1" t="s">
        <v>243</v>
      </c>
      <c r="D347" s="1"/>
      <c r="E347" s="1">
        <v>47.1</v>
      </c>
      <c r="F347" s="1">
        <v>0</v>
      </c>
      <c r="G347" s="1">
        <v>0.4</v>
      </c>
      <c r="H347" s="1">
        <v>0.4</v>
      </c>
    </row>
    <row r="348" spans="1:8" x14ac:dyDescent="0.3">
      <c r="A348" s="1">
        <v>347</v>
      </c>
      <c r="B348" s="1" t="s">
        <v>629</v>
      </c>
      <c r="C348" s="1" t="s">
        <v>241</v>
      </c>
      <c r="D348" s="1"/>
      <c r="E348" s="1">
        <v>19.100000000000001</v>
      </c>
      <c r="F348" s="1">
        <v>0</v>
      </c>
      <c r="G348" s="1">
        <v>0.4</v>
      </c>
      <c r="H348" s="1">
        <v>0.4</v>
      </c>
    </row>
    <row r="349" spans="1:8" x14ac:dyDescent="0.3">
      <c r="A349" s="1">
        <v>348</v>
      </c>
      <c r="B349" s="1" t="s">
        <v>434</v>
      </c>
      <c r="C349" s="1" t="s">
        <v>221</v>
      </c>
      <c r="D349" s="1"/>
      <c r="E349" s="1">
        <v>29.1</v>
      </c>
      <c r="F349" s="1">
        <v>0</v>
      </c>
      <c r="G349" s="1">
        <v>0.4</v>
      </c>
      <c r="H349" s="1">
        <v>0.4</v>
      </c>
    </row>
    <row r="350" spans="1:8" x14ac:dyDescent="0.3">
      <c r="A350" s="1">
        <v>349</v>
      </c>
      <c r="B350" s="1" t="s">
        <v>542</v>
      </c>
      <c r="C350" s="1" t="s">
        <v>243</v>
      </c>
      <c r="D350" s="1"/>
      <c r="E350" s="1">
        <v>24.1</v>
      </c>
      <c r="F350" s="1">
        <v>0</v>
      </c>
      <c r="G350" s="1">
        <v>0.4</v>
      </c>
      <c r="H350" s="1">
        <v>0.4</v>
      </c>
    </row>
    <row r="351" spans="1:8" x14ac:dyDescent="0.3">
      <c r="A351" s="1">
        <v>350</v>
      </c>
      <c r="B351" s="1" t="s">
        <v>959</v>
      </c>
      <c r="C351" s="1" t="s">
        <v>274</v>
      </c>
      <c r="D351" s="1">
        <v>96</v>
      </c>
      <c r="E351" s="1">
        <v>0.1</v>
      </c>
      <c r="F351" s="1">
        <v>0.4</v>
      </c>
      <c r="G351" s="1">
        <v>0</v>
      </c>
      <c r="H351" s="1">
        <v>0.4</v>
      </c>
    </row>
    <row r="352" spans="1:8" x14ac:dyDescent="0.3">
      <c r="A352" s="1">
        <v>351</v>
      </c>
      <c r="B352" s="1" t="s">
        <v>855</v>
      </c>
      <c r="C352" s="1" t="s">
        <v>311</v>
      </c>
      <c r="D352" s="1"/>
      <c r="E352" s="1">
        <v>21.1</v>
      </c>
      <c r="F352" s="1">
        <v>0</v>
      </c>
      <c r="G352" s="1">
        <v>0.4</v>
      </c>
      <c r="H352" s="1">
        <v>0.4</v>
      </c>
    </row>
    <row r="353" spans="1:8" x14ac:dyDescent="0.3">
      <c r="A353" s="1">
        <v>352</v>
      </c>
      <c r="B353" s="1" t="s">
        <v>497</v>
      </c>
      <c r="C353" s="1" t="s">
        <v>221</v>
      </c>
      <c r="D353" s="1">
        <v>77</v>
      </c>
      <c r="E353" s="1"/>
      <c r="F353" s="1">
        <v>0.4</v>
      </c>
      <c r="H353" s="1">
        <v>0.4</v>
      </c>
    </row>
    <row r="354" spans="1:8" x14ac:dyDescent="0.3">
      <c r="A354" s="1">
        <v>353</v>
      </c>
      <c r="B354" s="1" t="s">
        <v>2208</v>
      </c>
      <c r="C354" s="1" t="s">
        <v>231</v>
      </c>
      <c r="D354" s="1">
        <v>86</v>
      </c>
      <c r="E354" s="1"/>
      <c r="F354" s="1">
        <v>0.4</v>
      </c>
      <c r="H354" s="1">
        <v>0.4</v>
      </c>
    </row>
    <row r="355" spans="1:8" x14ac:dyDescent="0.3">
      <c r="A355" s="1">
        <v>354</v>
      </c>
      <c r="B355" s="1" t="s">
        <v>445</v>
      </c>
      <c r="C355" s="1" t="s">
        <v>231</v>
      </c>
      <c r="D355" s="1"/>
      <c r="E355" s="1">
        <v>22.1</v>
      </c>
      <c r="F355" s="1">
        <v>0</v>
      </c>
      <c r="G355" s="1">
        <v>0.4</v>
      </c>
      <c r="H355" s="1">
        <v>0.4</v>
      </c>
    </row>
    <row r="356" spans="1:8" x14ac:dyDescent="0.3">
      <c r="A356" s="1">
        <v>355</v>
      </c>
      <c r="B356" s="1" t="s">
        <v>502</v>
      </c>
      <c r="C356" s="1" t="s">
        <v>239</v>
      </c>
      <c r="D356" s="1"/>
      <c r="E356" s="1">
        <v>15.1</v>
      </c>
      <c r="F356" s="1">
        <v>0</v>
      </c>
      <c r="G356" s="1">
        <v>0.4</v>
      </c>
      <c r="H356" s="1">
        <v>0.4</v>
      </c>
    </row>
    <row r="357" spans="1:8" x14ac:dyDescent="0.3">
      <c r="A357" s="1">
        <v>356</v>
      </c>
      <c r="B357" s="1" t="s">
        <v>1639</v>
      </c>
      <c r="C357" s="1" t="s">
        <v>224</v>
      </c>
      <c r="D357" s="1"/>
      <c r="E357" s="1">
        <v>20.100000000000001</v>
      </c>
      <c r="F357" s="1">
        <v>0</v>
      </c>
      <c r="G357" s="1">
        <v>0.4</v>
      </c>
      <c r="H357" s="1">
        <v>0.4</v>
      </c>
    </row>
    <row r="358" spans="1:8" x14ac:dyDescent="0.3">
      <c r="A358" s="1">
        <v>357</v>
      </c>
      <c r="B358" s="1" t="s">
        <v>927</v>
      </c>
      <c r="C358" s="1" t="s">
        <v>234</v>
      </c>
      <c r="D358" s="1">
        <v>132</v>
      </c>
      <c r="E358" s="1"/>
      <c r="F358" s="1">
        <v>0.4</v>
      </c>
      <c r="H358" s="1">
        <v>0.4</v>
      </c>
    </row>
    <row r="359" spans="1:8" x14ac:dyDescent="0.3">
      <c r="A359" s="1">
        <v>358</v>
      </c>
      <c r="B359" s="1" t="s">
        <v>702</v>
      </c>
      <c r="C359" s="1" t="s">
        <v>251</v>
      </c>
      <c r="D359" s="1">
        <v>220</v>
      </c>
      <c r="E359" s="1"/>
      <c r="F359" s="1">
        <v>0.4</v>
      </c>
      <c r="H359" s="1">
        <v>0.4</v>
      </c>
    </row>
    <row r="360" spans="1:8" x14ac:dyDescent="0.3">
      <c r="A360" s="1">
        <v>359</v>
      </c>
      <c r="B360" s="1" t="s">
        <v>365</v>
      </c>
      <c r="C360" s="1" t="s">
        <v>243</v>
      </c>
      <c r="D360" s="1">
        <v>150</v>
      </c>
      <c r="E360" s="1"/>
      <c r="F360" s="1">
        <v>0.4</v>
      </c>
      <c r="H360" s="1">
        <v>0.4</v>
      </c>
    </row>
    <row r="361" spans="1:8" x14ac:dyDescent="0.3">
      <c r="A361" s="1">
        <v>360</v>
      </c>
      <c r="B361" s="1" t="s">
        <v>443</v>
      </c>
      <c r="C361" s="1" t="s">
        <v>264</v>
      </c>
      <c r="D361" s="1">
        <v>77</v>
      </c>
      <c r="E361" s="1"/>
      <c r="F361" s="1">
        <v>0.4</v>
      </c>
      <c r="H361" s="1">
        <v>0.4</v>
      </c>
    </row>
    <row r="362" spans="1:8" x14ac:dyDescent="0.3">
      <c r="A362" s="1">
        <v>361</v>
      </c>
      <c r="B362" s="1" t="s">
        <v>170</v>
      </c>
      <c r="C362" s="1" t="s">
        <v>392</v>
      </c>
      <c r="D362" s="1"/>
      <c r="E362" s="1">
        <v>24.1</v>
      </c>
      <c r="F362" s="1">
        <v>0</v>
      </c>
      <c r="G362" s="1">
        <v>0.4</v>
      </c>
      <c r="H362" s="1">
        <v>0.4</v>
      </c>
    </row>
    <row r="363" spans="1:8" x14ac:dyDescent="0.3">
      <c r="A363" s="1">
        <v>362</v>
      </c>
      <c r="B363" s="1" t="s">
        <v>528</v>
      </c>
      <c r="C363" s="1" t="s">
        <v>270</v>
      </c>
      <c r="D363" s="1"/>
      <c r="E363" s="1">
        <v>20.100000000000001</v>
      </c>
      <c r="F363" s="1">
        <v>0</v>
      </c>
      <c r="G363" s="1">
        <v>0.4</v>
      </c>
      <c r="H363" s="1">
        <v>0.4</v>
      </c>
    </row>
    <row r="364" spans="1:8" x14ac:dyDescent="0.3">
      <c r="A364" s="1">
        <v>363</v>
      </c>
      <c r="B364" s="1" t="s">
        <v>854</v>
      </c>
      <c r="C364" s="1" t="s">
        <v>243</v>
      </c>
      <c r="D364" s="1">
        <v>197</v>
      </c>
      <c r="E364" s="1"/>
      <c r="F364" s="1">
        <v>0.4</v>
      </c>
      <c r="H364" s="1">
        <v>0.4</v>
      </c>
    </row>
    <row r="365" spans="1:8" x14ac:dyDescent="0.3">
      <c r="A365" s="1">
        <v>364</v>
      </c>
      <c r="B365" s="1" t="s">
        <v>958</v>
      </c>
      <c r="C365" s="1" t="s">
        <v>234</v>
      </c>
      <c r="D365" s="1">
        <v>127</v>
      </c>
      <c r="E365" s="1"/>
      <c r="F365" s="1">
        <v>0.4</v>
      </c>
      <c r="H365" s="1">
        <v>0.4</v>
      </c>
    </row>
    <row r="366" spans="1:8" x14ac:dyDescent="0.3">
      <c r="A366" s="1">
        <v>365</v>
      </c>
      <c r="B366" s="1" t="s">
        <v>406</v>
      </c>
      <c r="C366" s="1" t="s">
        <v>244</v>
      </c>
      <c r="D366" s="1">
        <v>204</v>
      </c>
      <c r="E366" s="1"/>
      <c r="F366" s="1">
        <v>0.4</v>
      </c>
      <c r="H366" s="1">
        <v>0.4</v>
      </c>
    </row>
    <row r="367" spans="1:8" x14ac:dyDescent="0.3">
      <c r="A367" s="1">
        <v>366</v>
      </c>
      <c r="B367" s="1" t="s">
        <v>1740</v>
      </c>
      <c r="C367" s="1" t="s">
        <v>235</v>
      </c>
      <c r="D367" s="1"/>
      <c r="E367" s="1">
        <v>36.1</v>
      </c>
      <c r="F367" s="1">
        <v>0</v>
      </c>
      <c r="G367" s="1">
        <v>0.4</v>
      </c>
      <c r="H367" s="1">
        <v>0.4</v>
      </c>
    </row>
    <row r="368" spans="1:8" x14ac:dyDescent="0.3">
      <c r="A368" s="1">
        <v>367</v>
      </c>
      <c r="B368" s="1" t="s">
        <v>926</v>
      </c>
      <c r="C368" s="1" t="s">
        <v>264</v>
      </c>
      <c r="D368" s="1"/>
      <c r="E368" s="1">
        <v>48</v>
      </c>
      <c r="F368" s="1">
        <v>0</v>
      </c>
      <c r="G368" s="1">
        <v>0.4</v>
      </c>
      <c r="H368" s="1">
        <v>0.4</v>
      </c>
    </row>
    <row r="369" spans="1:8" x14ac:dyDescent="0.3">
      <c r="A369" s="1">
        <v>368</v>
      </c>
      <c r="B369" s="1" t="s">
        <v>304</v>
      </c>
      <c r="C369" s="1" t="s">
        <v>224</v>
      </c>
      <c r="D369" s="1">
        <v>82</v>
      </c>
      <c r="E369" s="1"/>
      <c r="F369" s="1">
        <v>0.4</v>
      </c>
      <c r="H369" s="1">
        <v>0.4</v>
      </c>
    </row>
    <row r="370" spans="1:8" x14ac:dyDescent="0.3">
      <c r="A370" s="1">
        <v>369</v>
      </c>
      <c r="B370" s="1" t="s">
        <v>942</v>
      </c>
      <c r="C370" s="1" t="s">
        <v>226</v>
      </c>
      <c r="D370" s="1">
        <v>125</v>
      </c>
      <c r="E370" s="1"/>
      <c r="F370" s="1">
        <v>0.4</v>
      </c>
      <c r="H370" s="1">
        <v>0.4</v>
      </c>
    </row>
    <row r="371" spans="1:8" x14ac:dyDescent="0.3">
      <c r="A371" s="1">
        <v>370</v>
      </c>
      <c r="B371" s="1" t="s">
        <v>319</v>
      </c>
      <c r="C371" s="1" t="s">
        <v>274</v>
      </c>
      <c r="D371" s="1"/>
      <c r="E371" s="1">
        <v>25.2</v>
      </c>
      <c r="F371" s="1">
        <v>0</v>
      </c>
      <c r="G371" s="1">
        <v>0.4</v>
      </c>
      <c r="H371" s="1">
        <v>0.4</v>
      </c>
    </row>
    <row r="372" spans="1:8" x14ac:dyDescent="0.3">
      <c r="A372" s="1">
        <v>371</v>
      </c>
      <c r="B372" s="1" t="s">
        <v>764</v>
      </c>
      <c r="C372" s="1" t="s">
        <v>246</v>
      </c>
      <c r="D372" s="1"/>
      <c r="E372" s="1">
        <v>46.1</v>
      </c>
      <c r="F372" s="1">
        <v>0</v>
      </c>
      <c r="G372" s="1">
        <v>0.4</v>
      </c>
      <c r="H372" s="1">
        <v>0.4</v>
      </c>
    </row>
    <row r="373" spans="1:8" x14ac:dyDescent="0.3">
      <c r="A373" s="1">
        <v>372</v>
      </c>
      <c r="B373" s="1" t="s">
        <v>394</v>
      </c>
      <c r="C373" s="1" t="s">
        <v>226</v>
      </c>
      <c r="D373" s="1"/>
      <c r="E373" s="1">
        <v>23</v>
      </c>
      <c r="F373" s="1">
        <v>0</v>
      </c>
      <c r="G373" s="1">
        <v>0.4</v>
      </c>
      <c r="H373" s="1">
        <v>0.4</v>
      </c>
    </row>
    <row r="374" spans="1:8" x14ac:dyDescent="0.3">
      <c r="A374" s="1">
        <v>373</v>
      </c>
      <c r="B374" s="1" t="s">
        <v>856</v>
      </c>
      <c r="C374" s="1" t="s">
        <v>270</v>
      </c>
      <c r="D374" s="1">
        <v>51</v>
      </c>
      <c r="E374" s="1">
        <v>2</v>
      </c>
      <c r="F374" s="1">
        <v>0.3</v>
      </c>
      <c r="G374" s="1">
        <v>0</v>
      </c>
      <c r="H374" s="1">
        <v>0.4</v>
      </c>
    </row>
    <row r="375" spans="1:8" x14ac:dyDescent="0.3">
      <c r="A375" s="1">
        <v>374</v>
      </c>
      <c r="B375" s="1" t="s">
        <v>817</v>
      </c>
      <c r="C375" s="1" t="s">
        <v>246</v>
      </c>
      <c r="D375" s="1"/>
      <c r="E375" s="1">
        <v>14.2</v>
      </c>
      <c r="F375" s="1">
        <v>0</v>
      </c>
      <c r="G375" s="1">
        <v>0.3</v>
      </c>
      <c r="H375" s="1">
        <v>0.3</v>
      </c>
    </row>
    <row r="376" spans="1:8" x14ac:dyDescent="0.3">
      <c r="A376" s="1">
        <v>375</v>
      </c>
      <c r="B376" s="1" t="s">
        <v>640</v>
      </c>
      <c r="C376" s="1" t="s">
        <v>241</v>
      </c>
      <c r="D376" s="1">
        <v>71</v>
      </c>
      <c r="E376" s="1"/>
      <c r="F376" s="1">
        <v>0.3</v>
      </c>
      <c r="H376" s="1">
        <v>0.3</v>
      </c>
    </row>
    <row r="377" spans="1:8" x14ac:dyDescent="0.3">
      <c r="A377" s="1">
        <v>376</v>
      </c>
      <c r="B377" s="1" t="s">
        <v>265</v>
      </c>
      <c r="C377" s="1" t="s">
        <v>239</v>
      </c>
      <c r="D377" s="1">
        <v>62</v>
      </c>
      <c r="E377" s="1"/>
      <c r="F377" s="1">
        <v>0.3</v>
      </c>
      <c r="H377" s="1">
        <v>0.3</v>
      </c>
    </row>
    <row r="378" spans="1:8" x14ac:dyDescent="0.3">
      <c r="A378" s="1">
        <v>377</v>
      </c>
      <c r="B378" s="1" t="s">
        <v>596</v>
      </c>
      <c r="C378" s="1" t="s">
        <v>226</v>
      </c>
      <c r="D378" s="1"/>
      <c r="E378" s="1">
        <v>19</v>
      </c>
      <c r="F378" s="1">
        <v>0</v>
      </c>
      <c r="G378" s="1">
        <v>0.3</v>
      </c>
      <c r="H378" s="1">
        <v>0.3</v>
      </c>
    </row>
    <row r="379" spans="1:8" x14ac:dyDescent="0.3">
      <c r="A379" s="1">
        <v>378</v>
      </c>
      <c r="B379" s="1" t="s">
        <v>162</v>
      </c>
      <c r="C379" s="1" t="s">
        <v>239</v>
      </c>
      <c r="D379" s="1"/>
      <c r="E379" s="1">
        <v>41.2</v>
      </c>
      <c r="F379" s="1">
        <v>0</v>
      </c>
      <c r="G379" s="1">
        <v>0.3</v>
      </c>
      <c r="H379" s="1">
        <v>0.3</v>
      </c>
    </row>
    <row r="380" spans="1:8" x14ac:dyDescent="0.3">
      <c r="A380" s="1">
        <v>379</v>
      </c>
      <c r="B380" s="1" t="s">
        <v>3180</v>
      </c>
      <c r="C380" s="1" t="s">
        <v>235</v>
      </c>
      <c r="D380" s="1"/>
      <c r="E380" s="1">
        <v>14.2</v>
      </c>
      <c r="F380" s="1">
        <v>0</v>
      </c>
      <c r="G380" s="1">
        <v>0.3</v>
      </c>
      <c r="H380" s="1">
        <v>0.3</v>
      </c>
    </row>
    <row r="381" spans="1:8" x14ac:dyDescent="0.3">
      <c r="A381" s="1">
        <v>380</v>
      </c>
      <c r="B381" s="1" t="s">
        <v>568</v>
      </c>
      <c r="C381" s="1" t="s">
        <v>346</v>
      </c>
      <c r="D381" s="1"/>
      <c r="E381" s="1">
        <v>42.1</v>
      </c>
      <c r="F381" s="1">
        <v>0</v>
      </c>
      <c r="G381" s="1">
        <v>0.3</v>
      </c>
      <c r="H381" s="1">
        <v>0.3</v>
      </c>
    </row>
    <row r="382" spans="1:8" x14ac:dyDescent="0.3">
      <c r="A382" s="1">
        <v>381</v>
      </c>
      <c r="B382" s="1" t="s">
        <v>451</v>
      </c>
      <c r="C382" s="1" t="s">
        <v>268</v>
      </c>
      <c r="D382" s="1">
        <v>97</v>
      </c>
      <c r="E382" s="1"/>
      <c r="F382" s="1">
        <v>0.3</v>
      </c>
      <c r="H382" s="1">
        <v>0.3</v>
      </c>
    </row>
    <row r="383" spans="1:8" x14ac:dyDescent="0.3">
      <c r="A383" s="1">
        <v>382</v>
      </c>
      <c r="B383" s="1" t="s">
        <v>402</v>
      </c>
      <c r="C383" s="1" t="s">
        <v>231</v>
      </c>
      <c r="D383" s="1">
        <v>40</v>
      </c>
      <c r="E383" s="1"/>
      <c r="F383" s="1">
        <v>0.3</v>
      </c>
      <c r="H383" s="1">
        <v>0.3</v>
      </c>
    </row>
    <row r="384" spans="1:8" x14ac:dyDescent="0.3">
      <c r="A384" s="1">
        <v>383</v>
      </c>
      <c r="B384" s="1" t="s">
        <v>3251</v>
      </c>
      <c r="C384" s="1" t="s">
        <v>274</v>
      </c>
      <c r="D384" s="1">
        <v>61</v>
      </c>
      <c r="E384" s="1"/>
      <c r="F384" s="1">
        <v>0.3</v>
      </c>
      <c r="H384" s="1">
        <v>0.3</v>
      </c>
    </row>
    <row r="385" spans="1:8" x14ac:dyDescent="0.3">
      <c r="A385" s="1">
        <v>384</v>
      </c>
      <c r="B385" s="1" t="s">
        <v>554</v>
      </c>
      <c r="C385" s="1" t="s">
        <v>392</v>
      </c>
      <c r="D385" s="1">
        <v>189</v>
      </c>
      <c r="E385" s="1"/>
      <c r="F385" s="1">
        <v>0.3</v>
      </c>
      <c r="H385" s="1">
        <v>0.3</v>
      </c>
    </row>
    <row r="386" spans="1:8" x14ac:dyDescent="0.3">
      <c r="A386" s="1">
        <v>385</v>
      </c>
      <c r="B386" s="1" t="s">
        <v>439</v>
      </c>
      <c r="C386" s="1" t="s">
        <v>278</v>
      </c>
      <c r="D386" s="1"/>
      <c r="E386" s="1">
        <v>57</v>
      </c>
      <c r="F386" s="1">
        <v>0</v>
      </c>
      <c r="G386" s="1">
        <v>0.3</v>
      </c>
      <c r="H386" s="1">
        <v>0.3</v>
      </c>
    </row>
    <row r="387" spans="1:8" x14ac:dyDescent="0.3">
      <c r="A387" s="1">
        <v>386</v>
      </c>
      <c r="B387" s="1" t="s">
        <v>3313</v>
      </c>
      <c r="C387" s="1" t="s">
        <v>268</v>
      </c>
      <c r="D387" s="1">
        <v>58</v>
      </c>
      <c r="E387" s="1"/>
      <c r="F387" s="1">
        <v>0.3</v>
      </c>
      <c r="H387" s="1">
        <v>0.3</v>
      </c>
    </row>
    <row r="388" spans="1:8" x14ac:dyDescent="0.3">
      <c r="A388" s="1">
        <v>387</v>
      </c>
      <c r="B388" s="1" t="s">
        <v>1245</v>
      </c>
      <c r="C388" s="1" t="s">
        <v>311</v>
      </c>
      <c r="D388" s="1">
        <v>62</v>
      </c>
      <c r="E388" s="1">
        <v>1.2</v>
      </c>
      <c r="F388" s="1">
        <v>0.4</v>
      </c>
      <c r="G388" s="1">
        <v>0</v>
      </c>
      <c r="H388" s="1">
        <v>0.3</v>
      </c>
    </row>
    <row r="389" spans="1:8" x14ac:dyDescent="0.3">
      <c r="A389" s="1">
        <v>388</v>
      </c>
      <c r="B389" s="1" t="s">
        <v>1598</v>
      </c>
      <c r="C389" s="1" t="s">
        <v>244</v>
      </c>
      <c r="D389" s="1"/>
      <c r="E389" s="1">
        <v>19.100000000000001</v>
      </c>
      <c r="F389" s="1">
        <v>0</v>
      </c>
      <c r="G389" s="1">
        <v>0.3</v>
      </c>
      <c r="H389" s="1">
        <v>0.3</v>
      </c>
    </row>
    <row r="390" spans="1:8" x14ac:dyDescent="0.3">
      <c r="A390" s="1">
        <v>389</v>
      </c>
      <c r="B390" s="1" t="s">
        <v>172</v>
      </c>
      <c r="C390" s="1" t="s">
        <v>239</v>
      </c>
      <c r="D390" s="1"/>
      <c r="E390" s="1">
        <v>11.1</v>
      </c>
      <c r="F390" s="1">
        <v>0</v>
      </c>
      <c r="G390" s="1">
        <v>0.3</v>
      </c>
      <c r="H390" s="1">
        <v>0.3</v>
      </c>
    </row>
    <row r="391" spans="1:8" x14ac:dyDescent="0.3">
      <c r="A391" s="1">
        <v>390</v>
      </c>
      <c r="B391" s="1" t="s">
        <v>397</v>
      </c>
      <c r="C391" s="1" t="s">
        <v>222</v>
      </c>
      <c r="D391" s="1"/>
      <c r="E391" s="1">
        <v>24</v>
      </c>
      <c r="F391" s="1">
        <v>0</v>
      </c>
      <c r="G391" s="1">
        <v>0.3</v>
      </c>
      <c r="H391" s="1">
        <v>0.3</v>
      </c>
    </row>
    <row r="392" spans="1:8" x14ac:dyDescent="0.3">
      <c r="A392" s="1">
        <v>391</v>
      </c>
      <c r="B392" s="1" t="s">
        <v>3101</v>
      </c>
      <c r="C392" s="1" t="s">
        <v>346</v>
      </c>
      <c r="D392" s="1"/>
      <c r="E392" s="1">
        <v>16</v>
      </c>
      <c r="F392" s="1">
        <v>0</v>
      </c>
      <c r="G392" s="1">
        <v>0.3</v>
      </c>
      <c r="H392" s="1">
        <v>0.3</v>
      </c>
    </row>
    <row r="393" spans="1:8" x14ac:dyDescent="0.3">
      <c r="A393" s="1">
        <v>392</v>
      </c>
      <c r="B393" s="1" t="s">
        <v>202</v>
      </c>
      <c r="C393" s="1" t="s">
        <v>239</v>
      </c>
      <c r="D393" s="1"/>
      <c r="E393" s="1">
        <v>56.2</v>
      </c>
      <c r="F393" s="1">
        <v>0</v>
      </c>
      <c r="G393" s="1">
        <v>0.3</v>
      </c>
      <c r="H393" s="1">
        <v>0.3</v>
      </c>
    </row>
    <row r="394" spans="1:8" x14ac:dyDescent="0.3">
      <c r="A394" s="1">
        <v>393</v>
      </c>
      <c r="B394" s="1" t="s">
        <v>571</v>
      </c>
      <c r="C394" s="1" t="s">
        <v>278</v>
      </c>
      <c r="D394" s="1"/>
      <c r="E394" s="1">
        <v>37.1</v>
      </c>
      <c r="F394" s="1">
        <v>0</v>
      </c>
      <c r="G394" s="1">
        <v>0.3</v>
      </c>
      <c r="H394" s="1">
        <v>0.3</v>
      </c>
    </row>
    <row r="395" spans="1:8" x14ac:dyDescent="0.3">
      <c r="A395" s="1">
        <v>394</v>
      </c>
      <c r="B395" s="1" t="s">
        <v>574</v>
      </c>
      <c r="C395" s="1" t="s">
        <v>224</v>
      </c>
      <c r="D395" s="1"/>
      <c r="E395" s="1">
        <v>19.100000000000001</v>
      </c>
      <c r="F395" s="1">
        <v>0</v>
      </c>
      <c r="G395" s="1">
        <v>0.3</v>
      </c>
      <c r="H395" s="1">
        <v>0.3</v>
      </c>
    </row>
    <row r="396" spans="1:8" x14ac:dyDescent="0.3">
      <c r="A396" s="1">
        <v>395</v>
      </c>
      <c r="B396" s="1" t="s">
        <v>538</v>
      </c>
      <c r="C396" s="1" t="s">
        <v>222</v>
      </c>
      <c r="D396" s="1">
        <v>54</v>
      </c>
      <c r="E396" s="1"/>
      <c r="F396" s="1">
        <v>0.3</v>
      </c>
      <c r="H396" s="1">
        <v>0.3</v>
      </c>
    </row>
    <row r="397" spans="1:8" x14ac:dyDescent="0.3">
      <c r="A397" s="1">
        <v>396</v>
      </c>
      <c r="B397" s="1" t="s">
        <v>3124</v>
      </c>
      <c r="C397" s="1" t="s">
        <v>268</v>
      </c>
      <c r="D397" s="1">
        <v>22</v>
      </c>
      <c r="E397" s="1"/>
      <c r="F397" s="1">
        <v>0.3</v>
      </c>
      <c r="H397" s="1">
        <v>0.3</v>
      </c>
    </row>
    <row r="398" spans="1:8" x14ac:dyDescent="0.3">
      <c r="A398" s="1">
        <v>397</v>
      </c>
      <c r="B398" s="1" t="s">
        <v>3105</v>
      </c>
      <c r="C398" s="1" t="s">
        <v>246</v>
      </c>
      <c r="D398" s="1"/>
      <c r="E398" s="1">
        <v>14.1</v>
      </c>
      <c r="F398" s="1">
        <v>0</v>
      </c>
      <c r="G398" s="1">
        <v>0.3</v>
      </c>
      <c r="H398" s="1">
        <v>0.3</v>
      </c>
    </row>
    <row r="399" spans="1:8" x14ac:dyDescent="0.3">
      <c r="A399" s="1">
        <v>398</v>
      </c>
      <c r="B399" s="1" t="s">
        <v>793</v>
      </c>
      <c r="C399" s="1" t="s">
        <v>264</v>
      </c>
      <c r="D399" s="1"/>
      <c r="E399" s="1">
        <v>50.2</v>
      </c>
      <c r="F399" s="1">
        <v>0</v>
      </c>
      <c r="G399" s="1">
        <v>0.3</v>
      </c>
      <c r="H399" s="1">
        <v>0.3</v>
      </c>
    </row>
    <row r="400" spans="1:8" x14ac:dyDescent="0.3">
      <c r="A400" s="1">
        <v>399</v>
      </c>
      <c r="B400" s="1" t="s">
        <v>3182</v>
      </c>
      <c r="C400" s="1" t="s">
        <v>226</v>
      </c>
      <c r="D400" s="1"/>
      <c r="E400" s="1">
        <v>29.2</v>
      </c>
      <c r="F400" s="1">
        <v>0</v>
      </c>
      <c r="G400" s="1">
        <v>0.3</v>
      </c>
      <c r="H400" s="1">
        <v>0.3</v>
      </c>
    </row>
    <row r="401" spans="1:8" x14ac:dyDescent="0.3">
      <c r="A401" s="1">
        <v>400</v>
      </c>
      <c r="B401" s="1" t="s">
        <v>727</v>
      </c>
      <c r="C401" s="1" t="s">
        <v>286</v>
      </c>
      <c r="D401" s="1"/>
      <c r="E401" s="1">
        <v>19.100000000000001</v>
      </c>
      <c r="F401" s="1">
        <v>0</v>
      </c>
      <c r="G401" s="1">
        <v>0.3</v>
      </c>
      <c r="H401" s="1">
        <v>0.3</v>
      </c>
    </row>
    <row r="402" spans="1:8" x14ac:dyDescent="0.3">
      <c r="A402" s="1">
        <v>401</v>
      </c>
      <c r="B402" s="1" t="s">
        <v>1736</v>
      </c>
      <c r="C402" s="1" t="s">
        <v>243</v>
      </c>
      <c r="D402" s="1"/>
      <c r="E402" s="1">
        <v>15.1</v>
      </c>
      <c r="F402" s="1">
        <v>0</v>
      </c>
      <c r="G402" s="1">
        <v>0.3</v>
      </c>
      <c r="H402" s="1">
        <v>0.3</v>
      </c>
    </row>
    <row r="403" spans="1:8" x14ac:dyDescent="0.3">
      <c r="A403" s="1">
        <v>402</v>
      </c>
      <c r="B403" s="1" t="s">
        <v>740</v>
      </c>
      <c r="C403" s="1" t="s">
        <v>250</v>
      </c>
      <c r="D403" s="1"/>
      <c r="E403" s="1">
        <v>20.100000000000001</v>
      </c>
      <c r="F403" s="1">
        <v>0</v>
      </c>
      <c r="G403" s="1">
        <v>0.3</v>
      </c>
      <c r="H403" s="1">
        <v>0.3</v>
      </c>
    </row>
    <row r="404" spans="1:8" x14ac:dyDescent="0.3">
      <c r="A404" s="1">
        <v>403</v>
      </c>
      <c r="B404" s="1" t="s">
        <v>3259</v>
      </c>
      <c r="C404" s="1" t="s">
        <v>1748</v>
      </c>
      <c r="D404" s="1"/>
      <c r="E404" s="1">
        <v>15.2</v>
      </c>
      <c r="F404" s="1">
        <v>0</v>
      </c>
      <c r="G404" s="1">
        <v>0.3</v>
      </c>
      <c r="H404" s="1">
        <v>0.3</v>
      </c>
    </row>
    <row r="405" spans="1:8" x14ac:dyDescent="0.3">
      <c r="A405" s="1">
        <v>404</v>
      </c>
      <c r="B405" s="1" t="s">
        <v>3339</v>
      </c>
      <c r="C405" s="1" t="s">
        <v>270</v>
      </c>
      <c r="D405" s="1"/>
      <c r="E405" s="1">
        <v>17</v>
      </c>
      <c r="F405" s="1">
        <v>0</v>
      </c>
      <c r="G405" s="1">
        <v>0.3</v>
      </c>
      <c r="H405" s="1">
        <v>0.3</v>
      </c>
    </row>
    <row r="406" spans="1:8" x14ac:dyDescent="0.3">
      <c r="A406" s="1">
        <v>405</v>
      </c>
      <c r="B406" s="1" t="s">
        <v>667</v>
      </c>
      <c r="C406" s="1" t="s">
        <v>287</v>
      </c>
      <c r="D406" s="1"/>
      <c r="E406" s="1">
        <v>19</v>
      </c>
      <c r="F406" s="1">
        <v>0</v>
      </c>
      <c r="G406" s="1">
        <v>0.3</v>
      </c>
      <c r="H406" s="1">
        <v>0.3</v>
      </c>
    </row>
    <row r="407" spans="1:8" x14ac:dyDescent="0.3">
      <c r="A407" s="1">
        <v>406</v>
      </c>
      <c r="B407" s="1" t="s">
        <v>868</v>
      </c>
      <c r="C407" s="1" t="s">
        <v>287</v>
      </c>
      <c r="D407" s="1"/>
      <c r="E407" s="1">
        <v>23.2</v>
      </c>
      <c r="F407" s="1">
        <v>0</v>
      </c>
      <c r="G407" s="1">
        <v>0.3</v>
      </c>
      <c r="H407" s="1">
        <v>0.3</v>
      </c>
    </row>
    <row r="408" spans="1:8" x14ac:dyDescent="0.3">
      <c r="A408" s="1">
        <v>407</v>
      </c>
      <c r="B408" s="1" t="s">
        <v>529</v>
      </c>
      <c r="C408" s="1" t="s">
        <v>246</v>
      </c>
      <c r="D408" s="1">
        <v>112</v>
      </c>
      <c r="E408" s="1"/>
      <c r="F408" s="1">
        <v>0.3</v>
      </c>
      <c r="H408" s="1">
        <v>0.3</v>
      </c>
    </row>
    <row r="409" spans="1:8" x14ac:dyDescent="0.3">
      <c r="A409" s="1">
        <v>408</v>
      </c>
      <c r="B409" s="1" t="s">
        <v>507</v>
      </c>
      <c r="C409" s="1" t="s">
        <v>246</v>
      </c>
      <c r="D409" s="1"/>
      <c r="E409" s="1">
        <v>21.2</v>
      </c>
      <c r="F409" s="1">
        <v>0</v>
      </c>
      <c r="G409" s="1">
        <v>0.3</v>
      </c>
      <c r="H409" s="1">
        <v>0.3</v>
      </c>
    </row>
    <row r="410" spans="1:8" x14ac:dyDescent="0.3">
      <c r="A410" s="1">
        <v>409</v>
      </c>
      <c r="B410" s="1" t="s">
        <v>204</v>
      </c>
      <c r="C410" s="1" t="s">
        <v>339</v>
      </c>
      <c r="D410" s="1"/>
      <c r="E410" s="1">
        <v>33.200000000000003</v>
      </c>
      <c r="F410" s="1">
        <v>0</v>
      </c>
      <c r="G410" s="1">
        <v>0.3</v>
      </c>
      <c r="H410" s="1">
        <v>0.3</v>
      </c>
    </row>
    <row r="411" spans="1:8" x14ac:dyDescent="0.3">
      <c r="A411" s="1">
        <v>410</v>
      </c>
      <c r="B411" s="1" t="s">
        <v>713</v>
      </c>
      <c r="C411" s="1" t="s">
        <v>311</v>
      </c>
      <c r="D411" s="1"/>
      <c r="E411" s="1">
        <v>46.2</v>
      </c>
      <c r="F411" s="1">
        <v>0</v>
      </c>
      <c r="G411" s="1">
        <v>0.3</v>
      </c>
      <c r="H411" s="1">
        <v>0.3</v>
      </c>
    </row>
    <row r="412" spans="1:8" x14ac:dyDescent="0.3">
      <c r="A412" s="1">
        <v>411</v>
      </c>
      <c r="B412" s="1" t="s">
        <v>870</v>
      </c>
      <c r="C412" s="1" t="s">
        <v>231</v>
      </c>
      <c r="D412" s="1">
        <v>193</v>
      </c>
      <c r="E412" s="1"/>
      <c r="F412" s="1">
        <v>0.3</v>
      </c>
      <c r="H412" s="1">
        <v>0.3</v>
      </c>
    </row>
    <row r="413" spans="1:8" x14ac:dyDescent="0.3">
      <c r="A413" s="1">
        <v>412</v>
      </c>
      <c r="B413" s="1" t="s">
        <v>3317</v>
      </c>
      <c r="C413" s="1" t="s">
        <v>339</v>
      </c>
      <c r="D413" s="1">
        <v>7</v>
      </c>
      <c r="E413" s="1"/>
      <c r="F413" s="1">
        <v>0.3</v>
      </c>
      <c r="H413" s="1">
        <v>0.3</v>
      </c>
    </row>
    <row r="414" spans="1:8" x14ac:dyDescent="0.3">
      <c r="A414" s="1">
        <v>413</v>
      </c>
      <c r="B414" s="1" t="s">
        <v>534</v>
      </c>
      <c r="C414" s="1" t="s">
        <v>325</v>
      </c>
      <c r="D414" s="1"/>
      <c r="E414" s="1">
        <v>48.2</v>
      </c>
      <c r="F414" s="1">
        <v>0</v>
      </c>
      <c r="G414" s="1">
        <v>0.3</v>
      </c>
      <c r="H414" s="1">
        <v>0.3</v>
      </c>
    </row>
    <row r="415" spans="1:8" x14ac:dyDescent="0.3">
      <c r="A415" s="1">
        <v>414</v>
      </c>
      <c r="B415" s="1" t="s">
        <v>483</v>
      </c>
      <c r="C415" s="1" t="s">
        <v>270</v>
      </c>
      <c r="D415" s="1">
        <v>114</v>
      </c>
      <c r="E415" s="1"/>
      <c r="F415" s="1">
        <v>0.3</v>
      </c>
      <c r="H415" s="1">
        <v>0.3</v>
      </c>
    </row>
    <row r="416" spans="1:8" x14ac:dyDescent="0.3">
      <c r="A416" s="1">
        <v>415</v>
      </c>
      <c r="B416" s="1" t="s">
        <v>601</v>
      </c>
      <c r="C416" s="1" t="s">
        <v>231</v>
      </c>
      <c r="D416" s="1"/>
      <c r="E416" s="1">
        <v>19.2</v>
      </c>
      <c r="F416" s="1">
        <v>0</v>
      </c>
      <c r="G416" s="1">
        <v>0.3</v>
      </c>
      <c r="H416" s="1">
        <v>0.3</v>
      </c>
    </row>
    <row r="417" spans="1:8" x14ac:dyDescent="0.3">
      <c r="A417" s="1">
        <v>416</v>
      </c>
      <c r="B417" s="1" t="s">
        <v>738</v>
      </c>
      <c r="C417" s="1" t="s">
        <v>234</v>
      </c>
      <c r="D417" s="1">
        <v>135</v>
      </c>
      <c r="E417" s="1"/>
      <c r="F417" s="1">
        <v>0.3</v>
      </c>
      <c r="H417" s="1">
        <v>0.3</v>
      </c>
    </row>
    <row r="418" spans="1:8" x14ac:dyDescent="0.3">
      <c r="A418" s="1">
        <v>417</v>
      </c>
      <c r="B418" s="1" t="s">
        <v>3153</v>
      </c>
      <c r="C418" s="1" t="s">
        <v>266</v>
      </c>
      <c r="D418" s="1">
        <v>77</v>
      </c>
      <c r="E418" s="1"/>
      <c r="F418" s="1">
        <v>0.3</v>
      </c>
      <c r="H418" s="1">
        <v>0.3</v>
      </c>
    </row>
    <row r="419" spans="1:8" x14ac:dyDescent="0.3">
      <c r="A419" s="1">
        <v>418</v>
      </c>
      <c r="B419" s="1" t="s">
        <v>608</v>
      </c>
      <c r="C419" s="1" t="s">
        <v>221</v>
      </c>
      <c r="D419" s="1"/>
      <c r="E419" s="1">
        <v>14.2</v>
      </c>
      <c r="F419" s="1">
        <v>0</v>
      </c>
      <c r="G419" s="1">
        <v>0.3</v>
      </c>
      <c r="H419" s="1">
        <v>0.3</v>
      </c>
    </row>
    <row r="420" spans="1:8" x14ac:dyDescent="0.3">
      <c r="A420" s="1">
        <v>419</v>
      </c>
      <c r="B420" s="1" t="s">
        <v>533</v>
      </c>
      <c r="C420" s="1" t="s">
        <v>274</v>
      </c>
      <c r="D420" s="1"/>
      <c r="E420" s="1">
        <v>19.2</v>
      </c>
      <c r="F420" s="1">
        <v>0</v>
      </c>
      <c r="G420" s="1">
        <v>0.3</v>
      </c>
      <c r="H420" s="1">
        <v>0.3</v>
      </c>
    </row>
    <row r="421" spans="1:8" x14ac:dyDescent="0.3">
      <c r="A421" s="1">
        <v>420</v>
      </c>
      <c r="B421" s="1" t="s">
        <v>709</v>
      </c>
      <c r="C421" s="1" t="s">
        <v>239</v>
      </c>
      <c r="D421" s="1"/>
      <c r="E421" s="1">
        <v>26.2</v>
      </c>
      <c r="F421" s="1">
        <v>0</v>
      </c>
      <c r="G421" s="1">
        <v>0.3</v>
      </c>
      <c r="H421" s="1">
        <v>0.3</v>
      </c>
    </row>
    <row r="422" spans="1:8" x14ac:dyDescent="0.3">
      <c r="A422" s="1">
        <v>421</v>
      </c>
      <c r="B422" s="1" t="s">
        <v>594</v>
      </c>
      <c r="C422" s="1" t="s">
        <v>274</v>
      </c>
      <c r="D422" s="1">
        <v>192</v>
      </c>
      <c r="E422" s="1"/>
      <c r="F422" s="1">
        <v>0.3</v>
      </c>
      <c r="H422" s="1">
        <v>0.3</v>
      </c>
    </row>
    <row r="423" spans="1:8" x14ac:dyDescent="0.3">
      <c r="A423" s="1">
        <v>422</v>
      </c>
      <c r="B423" s="1" t="s">
        <v>273</v>
      </c>
      <c r="C423" s="1" t="s">
        <v>274</v>
      </c>
      <c r="D423" s="1">
        <v>152</v>
      </c>
      <c r="E423" s="1"/>
      <c r="F423" s="1">
        <v>0.3</v>
      </c>
      <c r="H423" s="1">
        <v>0.3</v>
      </c>
    </row>
    <row r="424" spans="1:8" x14ac:dyDescent="0.3">
      <c r="A424" s="1">
        <v>423</v>
      </c>
      <c r="B424" s="1" t="s">
        <v>710</v>
      </c>
      <c r="C424" s="1" t="s">
        <v>251</v>
      </c>
      <c r="D424" s="1"/>
      <c r="E424" s="1">
        <v>25.1</v>
      </c>
      <c r="F424" s="1">
        <v>0</v>
      </c>
      <c r="G424" s="1">
        <v>0.3</v>
      </c>
      <c r="H424" s="1">
        <v>0.3</v>
      </c>
    </row>
    <row r="425" spans="1:8" x14ac:dyDescent="0.3">
      <c r="A425" s="1">
        <v>424</v>
      </c>
      <c r="B425" s="1" t="s">
        <v>843</v>
      </c>
      <c r="C425" s="1" t="s">
        <v>234</v>
      </c>
      <c r="D425" s="1">
        <v>211</v>
      </c>
      <c r="E425" s="1"/>
      <c r="F425" s="1">
        <v>0.3</v>
      </c>
      <c r="H425" s="1">
        <v>0.3</v>
      </c>
    </row>
    <row r="426" spans="1:8" x14ac:dyDescent="0.3">
      <c r="A426" s="1">
        <v>425</v>
      </c>
      <c r="B426" s="1" t="s">
        <v>3150</v>
      </c>
      <c r="C426" s="1" t="s">
        <v>286</v>
      </c>
      <c r="D426" s="1">
        <v>65</v>
      </c>
      <c r="E426" s="1"/>
      <c r="F426" s="1">
        <v>0.3</v>
      </c>
      <c r="H426" s="1">
        <v>0.3</v>
      </c>
    </row>
    <row r="427" spans="1:8" x14ac:dyDescent="0.3">
      <c r="A427" s="1">
        <v>426</v>
      </c>
      <c r="B427" s="1" t="s">
        <v>328</v>
      </c>
      <c r="C427" s="1" t="s">
        <v>246</v>
      </c>
      <c r="D427" s="1">
        <v>100</v>
      </c>
      <c r="E427" s="1"/>
      <c r="F427" s="1">
        <v>0.3</v>
      </c>
      <c r="H427" s="1">
        <v>0.3</v>
      </c>
    </row>
    <row r="428" spans="1:8" x14ac:dyDescent="0.3">
      <c r="A428" s="1">
        <v>427</v>
      </c>
      <c r="B428" s="1" t="s">
        <v>766</v>
      </c>
      <c r="C428" s="1" t="s">
        <v>255</v>
      </c>
      <c r="D428" s="1"/>
      <c r="E428" s="1">
        <v>50.1</v>
      </c>
      <c r="F428" s="1">
        <v>0</v>
      </c>
      <c r="G428" s="1">
        <v>0.3</v>
      </c>
      <c r="H428" s="1">
        <v>0.3</v>
      </c>
    </row>
    <row r="429" spans="1:8" x14ac:dyDescent="0.3">
      <c r="A429" s="1">
        <v>428</v>
      </c>
      <c r="B429" s="1" t="s">
        <v>575</v>
      </c>
      <c r="C429" s="1" t="s">
        <v>243</v>
      </c>
      <c r="D429" s="1"/>
      <c r="E429" s="1">
        <v>15</v>
      </c>
      <c r="F429" s="1">
        <v>0</v>
      </c>
      <c r="G429" s="1">
        <v>0.3</v>
      </c>
      <c r="H429" s="1">
        <v>0.3</v>
      </c>
    </row>
    <row r="430" spans="1:8" x14ac:dyDescent="0.3">
      <c r="A430" s="1">
        <v>429</v>
      </c>
      <c r="B430" s="1" t="s">
        <v>655</v>
      </c>
      <c r="C430" s="1" t="s">
        <v>250</v>
      </c>
      <c r="D430" s="1"/>
      <c r="E430" s="1">
        <v>18</v>
      </c>
      <c r="F430" s="1">
        <v>0</v>
      </c>
      <c r="G430" s="1">
        <v>0.3</v>
      </c>
      <c r="H430" s="1">
        <v>0.3</v>
      </c>
    </row>
    <row r="431" spans="1:8" x14ac:dyDescent="0.3">
      <c r="A431" s="1">
        <v>430</v>
      </c>
      <c r="B431" s="1" t="s">
        <v>701</v>
      </c>
      <c r="C431" s="1" t="s">
        <v>311</v>
      </c>
      <c r="D431" s="1">
        <v>116</v>
      </c>
      <c r="E431" s="1"/>
      <c r="F431" s="1">
        <v>0.3</v>
      </c>
      <c r="H431" s="1">
        <v>0.3</v>
      </c>
    </row>
    <row r="432" spans="1:8" x14ac:dyDescent="0.3">
      <c r="A432" s="1">
        <v>431</v>
      </c>
      <c r="B432" s="1" t="s">
        <v>452</v>
      </c>
      <c r="C432" s="1" t="s">
        <v>270</v>
      </c>
      <c r="D432" s="1"/>
      <c r="E432" s="1">
        <v>24</v>
      </c>
      <c r="F432" s="1">
        <v>0</v>
      </c>
      <c r="G432" s="1">
        <v>0.3</v>
      </c>
      <c r="H432" s="1">
        <v>0.3</v>
      </c>
    </row>
    <row r="433" spans="1:8" x14ac:dyDescent="0.3">
      <c r="A433" s="1">
        <v>432</v>
      </c>
      <c r="B433" s="1" t="s">
        <v>935</v>
      </c>
      <c r="C433" s="1" t="s">
        <v>339</v>
      </c>
      <c r="D433" s="1">
        <v>90</v>
      </c>
      <c r="E433" s="1"/>
      <c r="F433" s="1">
        <v>0.3</v>
      </c>
      <c r="H433" s="1">
        <v>0.3</v>
      </c>
    </row>
    <row r="434" spans="1:8" x14ac:dyDescent="0.3">
      <c r="A434" s="1">
        <v>433</v>
      </c>
      <c r="B434" s="1" t="s">
        <v>499</v>
      </c>
      <c r="C434" s="1" t="s">
        <v>235</v>
      </c>
      <c r="D434" s="1"/>
      <c r="E434" s="1">
        <v>25</v>
      </c>
      <c r="F434" s="1">
        <v>0</v>
      </c>
      <c r="G434" s="1">
        <v>0.3</v>
      </c>
      <c r="H434" s="1">
        <v>0.3</v>
      </c>
    </row>
    <row r="435" spans="1:8" x14ac:dyDescent="0.3">
      <c r="A435" s="1">
        <v>434</v>
      </c>
      <c r="B435" s="1" t="s">
        <v>3008</v>
      </c>
      <c r="C435" s="1" t="s">
        <v>266</v>
      </c>
      <c r="D435" s="1"/>
      <c r="E435" s="1">
        <v>11.2</v>
      </c>
      <c r="F435" s="1">
        <v>0</v>
      </c>
      <c r="G435" s="1">
        <v>0.3</v>
      </c>
      <c r="H435" s="1">
        <v>0.3</v>
      </c>
    </row>
    <row r="436" spans="1:8" x14ac:dyDescent="0.3">
      <c r="A436" s="1">
        <v>435</v>
      </c>
      <c r="B436" s="1" t="s">
        <v>3585</v>
      </c>
      <c r="C436" s="1" t="s">
        <v>274</v>
      </c>
      <c r="D436" s="1"/>
      <c r="E436" s="1">
        <v>4.2</v>
      </c>
      <c r="F436" s="1">
        <v>0</v>
      </c>
      <c r="G436" s="1">
        <v>0.3</v>
      </c>
      <c r="H436" s="1">
        <v>0.3</v>
      </c>
    </row>
    <row r="437" spans="1:8" x14ac:dyDescent="0.3">
      <c r="A437" s="1">
        <v>436</v>
      </c>
      <c r="B437" s="1" t="s">
        <v>633</v>
      </c>
      <c r="C437" s="1" t="s">
        <v>221</v>
      </c>
      <c r="D437" s="1"/>
      <c r="E437" s="1">
        <v>17</v>
      </c>
      <c r="F437" s="1">
        <v>0</v>
      </c>
      <c r="G437" s="1">
        <v>0.3</v>
      </c>
      <c r="H437" s="1">
        <v>0.3</v>
      </c>
    </row>
    <row r="438" spans="1:8" x14ac:dyDescent="0.3">
      <c r="A438" s="1">
        <v>437</v>
      </c>
      <c r="B438" s="1" t="s">
        <v>486</v>
      </c>
      <c r="C438" s="1" t="s">
        <v>392</v>
      </c>
      <c r="D438" s="1">
        <v>92</v>
      </c>
      <c r="E438" s="1"/>
      <c r="F438" s="1">
        <v>0.3</v>
      </c>
      <c r="H438" s="1">
        <v>0.3</v>
      </c>
    </row>
    <row r="439" spans="1:8" x14ac:dyDescent="0.3">
      <c r="A439" s="1">
        <v>438</v>
      </c>
      <c r="B439" s="1" t="s">
        <v>3018</v>
      </c>
      <c r="C439" s="1" t="s">
        <v>226</v>
      </c>
      <c r="D439" s="1"/>
      <c r="E439" s="1">
        <v>12.1</v>
      </c>
      <c r="F439" s="1">
        <v>0</v>
      </c>
      <c r="G439" s="1">
        <v>0.2</v>
      </c>
      <c r="H439" s="1">
        <v>0.2</v>
      </c>
    </row>
    <row r="440" spans="1:8" x14ac:dyDescent="0.3">
      <c r="A440" s="1">
        <v>439</v>
      </c>
      <c r="B440" s="1" t="s">
        <v>302</v>
      </c>
      <c r="C440" s="1" t="s">
        <v>264</v>
      </c>
      <c r="D440" s="1">
        <v>22</v>
      </c>
      <c r="E440" s="1"/>
      <c r="F440" s="1">
        <v>0.2</v>
      </c>
      <c r="H440" s="1">
        <v>0.2</v>
      </c>
    </row>
    <row r="441" spans="1:8" x14ac:dyDescent="0.3">
      <c r="A441" s="1">
        <v>440</v>
      </c>
      <c r="B441" s="1" t="s">
        <v>3586</v>
      </c>
      <c r="C441" s="1" t="s">
        <v>311</v>
      </c>
      <c r="D441" s="1"/>
      <c r="E441" s="1">
        <v>11</v>
      </c>
      <c r="F441" s="1">
        <v>0</v>
      </c>
      <c r="G441" s="1">
        <v>0.2</v>
      </c>
      <c r="H441" s="1">
        <v>0.2</v>
      </c>
    </row>
    <row r="442" spans="1:8" x14ac:dyDescent="0.3">
      <c r="A442" s="1">
        <v>441</v>
      </c>
      <c r="B442" s="1" t="s">
        <v>824</v>
      </c>
      <c r="C442" s="1" t="s">
        <v>287</v>
      </c>
      <c r="D442" s="1">
        <v>103</v>
      </c>
      <c r="E442" s="1"/>
      <c r="F442" s="1">
        <v>0.2</v>
      </c>
      <c r="H442" s="1">
        <v>0.2</v>
      </c>
    </row>
    <row r="443" spans="1:8" x14ac:dyDescent="0.3">
      <c r="A443" s="1">
        <v>442</v>
      </c>
      <c r="B443" s="1" t="s">
        <v>714</v>
      </c>
      <c r="C443" s="1" t="s">
        <v>251</v>
      </c>
      <c r="D443" s="1"/>
      <c r="E443" s="1">
        <v>55</v>
      </c>
      <c r="F443" s="1">
        <v>0</v>
      </c>
      <c r="G443" s="1">
        <v>0.2</v>
      </c>
      <c r="H443" s="1">
        <v>0.2</v>
      </c>
    </row>
    <row r="444" spans="1:8" x14ac:dyDescent="0.3">
      <c r="A444" s="1">
        <v>443</v>
      </c>
      <c r="B444" s="1" t="s">
        <v>782</v>
      </c>
      <c r="C444" s="1" t="s">
        <v>255</v>
      </c>
      <c r="D444" s="1"/>
      <c r="E444" s="1">
        <v>51</v>
      </c>
      <c r="F444" s="1">
        <v>0</v>
      </c>
      <c r="G444" s="1">
        <v>0.2</v>
      </c>
      <c r="H444" s="1">
        <v>0.2</v>
      </c>
    </row>
    <row r="445" spans="1:8" x14ac:dyDescent="0.3">
      <c r="A445" s="1">
        <v>444</v>
      </c>
      <c r="B445" s="1" t="s">
        <v>604</v>
      </c>
      <c r="C445" s="1" t="s">
        <v>250</v>
      </c>
      <c r="D445" s="1">
        <v>75</v>
      </c>
      <c r="E445" s="1"/>
      <c r="F445" s="1">
        <v>0.2</v>
      </c>
      <c r="H445" s="1">
        <v>0.2</v>
      </c>
    </row>
    <row r="446" spans="1:8" x14ac:dyDescent="0.3">
      <c r="A446" s="1">
        <v>445</v>
      </c>
      <c r="B446" s="1" t="s">
        <v>359</v>
      </c>
      <c r="C446" s="1" t="s">
        <v>270</v>
      </c>
      <c r="D446" s="1">
        <v>197</v>
      </c>
      <c r="E446" s="1"/>
      <c r="F446" s="1">
        <v>0.2</v>
      </c>
      <c r="H446" s="1">
        <v>0.2</v>
      </c>
    </row>
    <row r="447" spans="1:8" x14ac:dyDescent="0.3">
      <c r="A447" s="1">
        <v>446</v>
      </c>
      <c r="B447" s="1" t="s">
        <v>816</v>
      </c>
      <c r="C447" s="1" t="s">
        <v>246</v>
      </c>
      <c r="D447" s="1"/>
      <c r="E447" s="1">
        <v>18</v>
      </c>
      <c r="F447" s="1">
        <v>0</v>
      </c>
      <c r="G447" s="1">
        <v>0.2</v>
      </c>
      <c r="H447" s="1">
        <v>0.2</v>
      </c>
    </row>
    <row r="448" spans="1:8" x14ac:dyDescent="0.3">
      <c r="A448" s="1">
        <v>447</v>
      </c>
      <c r="B448" s="1" t="s">
        <v>720</v>
      </c>
      <c r="C448" s="1" t="s">
        <v>270</v>
      </c>
      <c r="D448" s="1"/>
      <c r="E448" s="1">
        <v>13.2</v>
      </c>
      <c r="F448" s="1">
        <v>0</v>
      </c>
      <c r="G448" s="1">
        <v>0.2</v>
      </c>
      <c r="H448" s="1">
        <v>0.2</v>
      </c>
    </row>
    <row r="449" spans="1:8" x14ac:dyDescent="0.3">
      <c r="A449" s="1">
        <v>448</v>
      </c>
      <c r="B449" s="1" t="s">
        <v>573</v>
      </c>
      <c r="C449" s="1" t="s">
        <v>235</v>
      </c>
      <c r="D449" s="1"/>
      <c r="E449" s="1">
        <v>20</v>
      </c>
      <c r="F449" s="1">
        <v>0</v>
      </c>
      <c r="G449" s="1">
        <v>0.2</v>
      </c>
      <c r="H449" s="1">
        <v>0.2</v>
      </c>
    </row>
    <row r="450" spans="1:8" x14ac:dyDescent="0.3">
      <c r="A450" s="1">
        <v>449</v>
      </c>
      <c r="B450" s="1" t="s">
        <v>846</v>
      </c>
      <c r="C450" s="1" t="s">
        <v>251</v>
      </c>
      <c r="D450" s="1"/>
      <c r="E450" s="1">
        <v>21.1</v>
      </c>
      <c r="F450" s="1">
        <v>0</v>
      </c>
      <c r="G450" s="1">
        <v>0.2</v>
      </c>
      <c r="H450" s="1">
        <v>0.2</v>
      </c>
    </row>
    <row r="451" spans="1:8" x14ac:dyDescent="0.3">
      <c r="A451" s="1">
        <v>450</v>
      </c>
      <c r="B451" s="1" t="s">
        <v>2211</v>
      </c>
      <c r="C451" s="1" t="s">
        <v>346</v>
      </c>
      <c r="D451" s="1"/>
      <c r="E451" s="1">
        <v>39.200000000000003</v>
      </c>
      <c r="F451" s="1">
        <v>0</v>
      </c>
      <c r="G451" s="1">
        <v>0.2</v>
      </c>
      <c r="H451" s="1">
        <v>0.2</v>
      </c>
    </row>
    <row r="452" spans="1:8" x14ac:dyDescent="0.3">
      <c r="A452" s="1">
        <v>451</v>
      </c>
      <c r="B452" s="1" t="s">
        <v>407</v>
      </c>
      <c r="C452" s="1" t="s">
        <v>266</v>
      </c>
      <c r="D452" s="1">
        <v>191</v>
      </c>
      <c r="E452" s="1"/>
      <c r="F452" s="1">
        <v>0.2</v>
      </c>
      <c r="H452" s="1">
        <v>0.2</v>
      </c>
    </row>
    <row r="453" spans="1:8" x14ac:dyDescent="0.3">
      <c r="A453" s="1">
        <v>452</v>
      </c>
      <c r="B453" s="1" t="s">
        <v>3248</v>
      </c>
      <c r="C453" s="1" t="s">
        <v>325</v>
      </c>
      <c r="D453" s="1">
        <v>60</v>
      </c>
      <c r="E453" s="1"/>
      <c r="F453" s="1">
        <v>0.2</v>
      </c>
      <c r="H453" s="1">
        <v>0.2</v>
      </c>
    </row>
    <row r="454" spans="1:8" x14ac:dyDescent="0.3">
      <c r="A454" s="1">
        <v>453</v>
      </c>
      <c r="B454" s="1" t="s">
        <v>3052</v>
      </c>
      <c r="C454" s="1" t="s">
        <v>251</v>
      </c>
      <c r="D454" s="1">
        <v>20</v>
      </c>
      <c r="E454" s="1"/>
      <c r="F454" s="1">
        <v>0.2</v>
      </c>
      <c r="H454" s="1">
        <v>0.2</v>
      </c>
    </row>
    <row r="455" spans="1:8" x14ac:dyDescent="0.3">
      <c r="A455" s="1">
        <v>454</v>
      </c>
      <c r="B455" s="1" t="s">
        <v>531</v>
      </c>
      <c r="C455" s="1" t="s">
        <v>239</v>
      </c>
      <c r="D455" s="1">
        <v>64</v>
      </c>
      <c r="E455" s="1"/>
      <c r="F455" s="1">
        <v>0.2</v>
      </c>
      <c r="H455" s="1">
        <v>0.2</v>
      </c>
    </row>
    <row r="456" spans="1:8" x14ac:dyDescent="0.3">
      <c r="A456" s="1">
        <v>455</v>
      </c>
      <c r="B456" s="1" t="s">
        <v>205</v>
      </c>
      <c r="C456" s="1" t="s">
        <v>278</v>
      </c>
      <c r="D456" s="1"/>
      <c r="E456" s="1">
        <v>52.2</v>
      </c>
      <c r="F456" s="1">
        <v>0</v>
      </c>
      <c r="G456" s="1">
        <v>0.2</v>
      </c>
      <c r="H456" s="1">
        <v>0.2</v>
      </c>
    </row>
    <row r="457" spans="1:8" x14ac:dyDescent="0.3">
      <c r="A457" s="1">
        <v>456</v>
      </c>
      <c r="B457" s="1" t="s">
        <v>3318</v>
      </c>
      <c r="C457" s="1" t="s">
        <v>246</v>
      </c>
      <c r="D457" s="1">
        <v>4</v>
      </c>
      <c r="E457" s="1"/>
      <c r="F457" s="1">
        <v>0.2</v>
      </c>
      <c r="H457" s="1">
        <v>0.2</v>
      </c>
    </row>
    <row r="458" spans="1:8" x14ac:dyDescent="0.3">
      <c r="A458" s="1">
        <v>457</v>
      </c>
      <c r="B458" s="1" t="s">
        <v>746</v>
      </c>
      <c r="C458" s="1" t="s">
        <v>243</v>
      </c>
      <c r="D458" s="1">
        <v>119</v>
      </c>
      <c r="E458" s="1"/>
      <c r="F458" s="1">
        <v>0.2</v>
      </c>
      <c r="H458" s="1">
        <v>0.2</v>
      </c>
    </row>
    <row r="459" spans="1:8" x14ac:dyDescent="0.3">
      <c r="A459" s="1">
        <v>458</v>
      </c>
      <c r="B459" s="1" t="s">
        <v>3344</v>
      </c>
      <c r="C459" s="1" t="s">
        <v>222</v>
      </c>
      <c r="D459" s="1"/>
      <c r="E459" s="1">
        <v>4.2</v>
      </c>
      <c r="F459" s="1">
        <v>0</v>
      </c>
      <c r="G459" s="1">
        <v>0.2</v>
      </c>
      <c r="H459" s="1">
        <v>0.2</v>
      </c>
    </row>
    <row r="460" spans="1:8" x14ac:dyDescent="0.3">
      <c r="A460" s="1">
        <v>459</v>
      </c>
      <c r="B460" s="1" t="s">
        <v>642</v>
      </c>
      <c r="C460" s="1" t="s">
        <v>266</v>
      </c>
      <c r="D460" s="1"/>
      <c r="E460" s="1">
        <v>20</v>
      </c>
      <c r="F460" s="1">
        <v>0</v>
      </c>
      <c r="G460" s="1">
        <v>0.2</v>
      </c>
      <c r="H460" s="1">
        <v>0.2</v>
      </c>
    </row>
    <row r="461" spans="1:8" x14ac:dyDescent="0.3">
      <c r="A461" s="1">
        <v>460</v>
      </c>
      <c r="B461" s="1" t="s">
        <v>664</v>
      </c>
      <c r="C461" s="1" t="s">
        <v>246</v>
      </c>
      <c r="D461" s="1"/>
      <c r="E461" s="1">
        <v>22</v>
      </c>
      <c r="F461" s="1">
        <v>0</v>
      </c>
      <c r="G461" s="1">
        <v>0.2</v>
      </c>
      <c r="H461" s="1">
        <v>0.2</v>
      </c>
    </row>
    <row r="462" spans="1:8" x14ac:dyDescent="0.3">
      <c r="A462" s="1">
        <v>461</v>
      </c>
      <c r="B462" s="1" t="s">
        <v>3192</v>
      </c>
      <c r="C462" s="1" t="s">
        <v>246</v>
      </c>
      <c r="D462" s="1"/>
      <c r="E462" s="1">
        <v>16.2</v>
      </c>
      <c r="F462" s="1">
        <v>0</v>
      </c>
      <c r="G462" s="1">
        <v>0.2</v>
      </c>
      <c r="H462" s="1">
        <v>0.2</v>
      </c>
    </row>
    <row r="463" spans="1:8" x14ac:dyDescent="0.3">
      <c r="A463" s="1">
        <v>462</v>
      </c>
      <c r="B463" s="1" t="s">
        <v>386</v>
      </c>
      <c r="C463" s="1" t="s">
        <v>246</v>
      </c>
      <c r="D463" s="1"/>
      <c r="E463" s="1">
        <v>7</v>
      </c>
      <c r="F463" s="1">
        <v>0</v>
      </c>
      <c r="G463" s="1">
        <v>0.2</v>
      </c>
      <c r="H463" s="1">
        <v>0.2</v>
      </c>
    </row>
    <row r="464" spans="1:8" x14ac:dyDescent="0.3">
      <c r="A464" s="1">
        <v>463</v>
      </c>
      <c r="B464" s="1" t="s">
        <v>572</v>
      </c>
      <c r="C464" s="1" t="s">
        <v>278</v>
      </c>
      <c r="D464" s="1">
        <v>56</v>
      </c>
      <c r="E464" s="1"/>
      <c r="F464" s="1">
        <v>0.2</v>
      </c>
      <c r="H464" s="1">
        <v>0.2</v>
      </c>
    </row>
    <row r="465" spans="1:8" x14ac:dyDescent="0.3">
      <c r="A465" s="1">
        <v>464</v>
      </c>
      <c r="B465" s="1" t="s">
        <v>820</v>
      </c>
      <c r="C465" s="1" t="s">
        <v>274</v>
      </c>
      <c r="D465" s="1">
        <v>122</v>
      </c>
      <c r="E465" s="1"/>
      <c r="F465" s="1">
        <v>0.2</v>
      </c>
      <c r="H465" s="1">
        <v>0.2</v>
      </c>
    </row>
    <row r="466" spans="1:8" x14ac:dyDescent="0.3">
      <c r="A466" s="1">
        <v>465</v>
      </c>
      <c r="B466" s="1" t="s">
        <v>527</v>
      </c>
      <c r="C466" s="1" t="s">
        <v>224</v>
      </c>
      <c r="D466" s="1">
        <v>126</v>
      </c>
      <c r="E466" s="1"/>
      <c r="F466" s="1">
        <v>0.2</v>
      </c>
      <c r="H466" s="1">
        <v>0.2</v>
      </c>
    </row>
    <row r="467" spans="1:8" x14ac:dyDescent="0.3">
      <c r="A467" s="1">
        <v>466</v>
      </c>
      <c r="B467" s="1" t="s">
        <v>2026</v>
      </c>
      <c r="C467" s="1" t="s">
        <v>287</v>
      </c>
      <c r="D467" s="1"/>
      <c r="E467" s="1">
        <v>15.1</v>
      </c>
      <c r="F467" s="1">
        <v>0</v>
      </c>
      <c r="G467" s="1">
        <v>0.2</v>
      </c>
      <c r="H467" s="1">
        <v>0.2</v>
      </c>
    </row>
    <row r="468" spans="1:8" x14ac:dyDescent="0.3">
      <c r="A468" s="1">
        <v>467</v>
      </c>
      <c r="B468" s="1" t="s">
        <v>3178</v>
      </c>
      <c r="C468" s="1" t="s">
        <v>241</v>
      </c>
      <c r="D468" s="1"/>
      <c r="E468" s="1">
        <v>9</v>
      </c>
      <c r="F468" s="1">
        <v>0</v>
      </c>
      <c r="G468" s="1">
        <v>0.2</v>
      </c>
      <c r="H468" s="1">
        <v>0.2</v>
      </c>
    </row>
    <row r="469" spans="1:8" x14ac:dyDescent="0.3">
      <c r="A469" s="1">
        <v>468</v>
      </c>
      <c r="B469" s="1" t="s">
        <v>729</v>
      </c>
      <c r="C469" s="1" t="s">
        <v>286</v>
      </c>
      <c r="D469" s="1"/>
      <c r="E469" s="1">
        <v>21.1</v>
      </c>
      <c r="F469" s="1">
        <v>0</v>
      </c>
      <c r="G469" s="1">
        <v>0.2</v>
      </c>
      <c r="H469" s="1">
        <v>0.2</v>
      </c>
    </row>
    <row r="470" spans="1:8" x14ac:dyDescent="0.3">
      <c r="A470" s="1">
        <v>469</v>
      </c>
      <c r="B470" s="1" t="s">
        <v>500</v>
      </c>
      <c r="C470" s="1" t="s">
        <v>235</v>
      </c>
      <c r="D470" s="1"/>
      <c r="E470" s="1">
        <v>9</v>
      </c>
      <c r="F470" s="1">
        <v>0</v>
      </c>
      <c r="G470" s="1">
        <v>0.2</v>
      </c>
      <c r="H470" s="1">
        <v>0.2</v>
      </c>
    </row>
    <row r="471" spans="1:8" x14ac:dyDescent="0.3">
      <c r="A471" s="1">
        <v>470</v>
      </c>
      <c r="B471" s="1" t="s">
        <v>3341</v>
      </c>
      <c r="C471" s="1" t="s">
        <v>226</v>
      </c>
      <c r="D471" s="1"/>
      <c r="E471" s="1">
        <v>5</v>
      </c>
      <c r="F471" s="1">
        <v>0</v>
      </c>
      <c r="G471" s="1">
        <v>0.2</v>
      </c>
      <c r="H471" s="1">
        <v>0.2</v>
      </c>
    </row>
    <row r="472" spans="1:8" x14ac:dyDescent="0.3">
      <c r="A472" s="1">
        <v>471</v>
      </c>
      <c r="B472" s="1" t="s">
        <v>3322</v>
      </c>
      <c r="C472" s="1" t="s">
        <v>248</v>
      </c>
      <c r="D472" s="1">
        <v>14</v>
      </c>
      <c r="E472" s="1"/>
      <c r="F472" s="1">
        <v>0.2</v>
      </c>
      <c r="H472" s="1">
        <v>0.2</v>
      </c>
    </row>
    <row r="473" spans="1:8" x14ac:dyDescent="0.3">
      <c r="A473" s="1">
        <v>472</v>
      </c>
      <c r="B473" s="1" t="s">
        <v>232</v>
      </c>
      <c r="C473" s="1" t="s">
        <v>226</v>
      </c>
      <c r="D473" s="1"/>
      <c r="E473" s="1">
        <v>55.1</v>
      </c>
      <c r="F473" s="1">
        <v>0</v>
      </c>
      <c r="G473" s="1">
        <v>0.2</v>
      </c>
      <c r="H473" s="1">
        <v>0.2</v>
      </c>
    </row>
    <row r="474" spans="1:8" x14ac:dyDescent="0.3">
      <c r="A474" s="1">
        <v>473</v>
      </c>
      <c r="B474" s="1" t="s">
        <v>877</v>
      </c>
      <c r="C474" s="1" t="s">
        <v>221</v>
      </c>
      <c r="D474" s="1">
        <v>47</v>
      </c>
      <c r="E474" s="1"/>
      <c r="F474" s="1">
        <v>0.2</v>
      </c>
      <c r="H474" s="1">
        <v>0.2</v>
      </c>
    </row>
    <row r="475" spans="1:8" x14ac:dyDescent="0.3">
      <c r="A475" s="1">
        <v>474</v>
      </c>
      <c r="B475" s="1" t="s">
        <v>446</v>
      </c>
      <c r="C475" s="1" t="s">
        <v>278</v>
      </c>
      <c r="D475" s="1"/>
      <c r="E475" s="1">
        <v>18.100000000000001</v>
      </c>
      <c r="F475" s="1">
        <v>0</v>
      </c>
      <c r="G475" s="1">
        <v>0.2</v>
      </c>
      <c r="H475" s="1">
        <v>0.2</v>
      </c>
    </row>
    <row r="476" spans="1:8" x14ac:dyDescent="0.3">
      <c r="A476" s="1">
        <v>475</v>
      </c>
      <c r="B476" s="1" t="s">
        <v>2200</v>
      </c>
      <c r="C476" s="1" t="s">
        <v>346</v>
      </c>
      <c r="D476" s="1"/>
      <c r="E476" s="1">
        <v>24.1</v>
      </c>
      <c r="F476" s="1">
        <v>0</v>
      </c>
      <c r="G476" s="1">
        <v>0.2</v>
      </c>
      <c r="H476" s="1">
        <v>0.2</v>
      </c>
    </row>
    <row r="477" spans="1:8" x14ac:dyDescent="0.3">
      <c r="A477" s="1">
        <v>476</v>
      </c>
      <c r="B477" s="1" t="s">
        <v>629</v>
      </c>
      <c r="C477" s="1" t="s">
        <v>392</v>
      </c>
      <c r="D477" s="1">
        <v>175</v>
      </c>
      <c r="E477" s="1"/>
      <c r="F477" s="1">
        <v>0.2</v>
      </c>
      <c r="H477" s="1">
        <v>0.2</v>
      </c>
    </row>
    <row r="478" spans="1:8" x14ac:dyDescent="0.3">
      <c r="A478" s="1">
        <v>477</v>
      </c>
      <c r="B478" s="1" t="s">
        <v>957</v>
      </c>
      <c r="C478" s="1" t="s">
        <v>231</v>
      </c>
      <c r="D478" s="1">
        <v>134</v>
      </c>
      <c r="E478" s="1"/>
      <c r="F478" s="1">
        <v>0.2</v>
      </c>
      <c r="H478" s="1">
        <v>0.2</v>
      </c>
    </row>
    <row r="479" spans="1:8" x14ac:dyDescent="0.3">
      <c r="A479" s="1">
        <v>478</v>
      </c>
      <c r="B479" s="1" t="s">
        <v>337</v>
      </c>
      <c r="C479" s="1" t="s">
        <v>251</v>
      </c>
      <c r="D479" s="1"/>
      <c r="E479" s="1">
        <v>21</v>
      </c>
      <c r="F479" s="1">
        <v>0</v>
      </c>
      <c r="G479" s="1">
        <v>0.2</v>
      </c>
      <c r="H479" s="1">
        <v>0.2</v>
      </c>
    </row>
    <row r="480" spans="1:8" x14ac:dyDescent="0.3">
      <c r="A480" s="1">
        <v>479</v>
      </c>
      <c r="B480" s="1" t="s">
        <v>685</v>
      </c>
      <c r="C480" s="1" t="s">
        <v>274</v>
      </c>
      <c r="D480" s="1"/>
      <c r="E480" s="1">
        <v>18.100000000000001</v>
      </c>
      <c r="F480" s="1">
        <v>0</v>
      </c>
      <c r="G480" s="1">
        <v>0.2</v>
      </c>
      <c r="H480" s="1">
        <v>0.2</v>
      </c>
    </row>
    <row r="481" spans="1:8" x14ac:dyDescent="0.3">
      <c r="A481" s="1">
        <v>480</v>
      </c>
      <c r="B481" s="1" t="s">
        <v>614</v>
      </c>
      <c r="C481" s="1" t="s">
        <v>274</v>
      </c>
      <c r="D481" s="1"/>
      <c r="E481" s="1">
        <v>10</v>
      </c>
      <c r="F481" s="1">
        <v>0</v>
      </c>
      <c r="G481" s="1">
        <v>0.2</v>
      </c>
      <c r="H481" s="1">
        <v>0.2</v>
      </c>
    </row>
    <row r="482" spans="1:8" x14ac:dyDescent="0.3">
      <c r="A482" s="1">
        <v>481</v>
      </c>
      <c r="B482" s="1" t="s">
        <v>3277</v>
      </c>
      <c r="C482" s="1" t="s">
        <v>311</v>
      </c>
      <c r="D482" s="1"/>
      <c r="E482" s="1">
        <v>7.1</v>
      </c>
      <c r="F482" s="1">
        <v>0</v>
      </c>
      <c r="G482" s="1">
        <v>0.2</v>
      </c>
      <c r="H482" s="1">
        <v>0.2</v>
      </c>
    </row>
    <row r="483" spans="1:8" x14ac:dyDescent="0.3">
      <c r="A483" s="1">
        <v>482</v>
      </c>
      <c r="B483" s="1" t="s">
        <v>609</v>
      </c>
      <c r="C483" s="1" t="s">
        <v>221</v>
      </c>
      <c r="D483" s="1"/>
      <c r="E483" s="1">
        <v>13</v>
      </c>
      <c r="F483" s="1">
        <v>0</v>
      </c>
      <c r="G483" s="1">
        <v>0.2</v>
      </c>
      <c r="H483" s="1">
        <v>0.2</v>
      </c>
    </row>
    <row r="484" spans="1:8" x14ac:dyDescent="0.3">
      <c r="A484" s="1">
        <v>483</v>
      </c>
      <c r="B484" s="1" t="s">
        <v>842</v>
      </c>
      <c r="C484" s="1" t="s">
        <v>311</v>
      </c>
      <c r="D484" s="1"/>
      <c r="E484" s="1">
        <v>19</v>
      </c>
      <c r="F484" s="1">
        <v>0</v>
      </c>
      <c r="G484" s="1">
        <v>0.2</v>
      </c>
      <c r="H484" s="1">
        <v>0.2</v>
      </c>
    </row>
    <row r="485" spans="1:8" x14ac:dyDescent="0.3">
      <c r="A485" s="1">
        <v>484</v>
      </c>
      <c r="B485" s="1" t="s">
        <v>464</v>
      </c>
      <c r="C485" s="1" t="s">
        <v>286</v>
      </c>
      <c r="D485" s="1">
        <v>93</v>
      </c>
      <c r="E485" s="1"/>
      <c r="F485" s="1">
        <v>0.2</v>
      </c>
      <c r="H485" s="1">
        <v>0.2</v>
      </c>
    </row>
    <row r="486" spans="1:8" x14ac:dyDescent="0.3">
      <c r="A486" s="1">
        <v>485</v>
      </c>
      <c r="B486" s="1" t="s">
        <v>3171</v>
      </c>
      <c r="C486" s="1" t="s">
        <v>244</v>
      </c>
      <c r="D486" s="1"/>
      <c r="E486" s="1">
        <v>6.2</v>
      </c>
      <c r="F486" s="1">
        <v>0</v>
      </c>
      <c r="G486" s="1">
        <v>0.2</v>
      </c>
      <c r="H486" s="1">
        <v>0.2</v>
      </c>
    </row>
    <row r="487" spans="1:8" x14ac:dyDescent="0.3">
      <c r="A487" s="1">
        <v>486</v>
      </c>
      <c r="B487" s="1" t="s">
        <v>3263</v>
      </c>
      <c r="C487" s="1" t="s">
        <v>339</v>
      </c>
      <c r="D487" s="1"/>
      <c r="E487" s="1">
        <v>25</v>
      </c>
      <c r="F487" s="1">
        <v>0</v>
      </c>
      <c r="G487" s="1">
        <v>0.2</v>
      </c>
      <c r="H487" s="1">
        <v>0.2</v>
      </c>
    </row>
    <row r="488" spans="1:8" x14ac:dyDescent="0.3">
      <c r="A488" s="1">
        <v>487</v>
      </c>
      <c r="B488" s="1" t="s">
        <v>623</v>
      </c>
      <c r="C488" s="1" t="s">
        <v>392</v>
      </c>
      <c r="D488" s="1"/>
      <c r="E488" s="1">
        <v>20.2</v>
      </c>
      <c r="F488" s="1">
        <v>0</v>
      </c>
      <c r="G488" s="1">
        <v>0.2</v>
      </c>
      <c r="H488" s="1">
        <v>0.2</v>
      </c>
    </row>
    <row r="489" spans="1:8" x14ac:dyDescent="0.3">
      <c r="A489" s="1">
        <v>488</v>
      </c>
      <c r="B489" s="1" t="s">
        <v>3058</v>
      </c>
      <c r="C489" s="1" t="s">
        <v>244</v>
      </c>
      <c r="D489" s="1"/>
      <c r="E489" s="1">
        <v>9</v>
      </c>
      <c r="F489" s="1">
        <v>0</v>
      </c>
      <c r="G489" s="1">
        <v>0.2</v>
      </c>
      <c r="H489" s="1">
        <v>0.2</v>
      </c>
    </row>
    <row r="490" spans="1:8" x14ac:dyDescent="0.3">
      <c r="A490" s="1">
        <v>489</v>
      </c>
      <c r="B490" s="1" t="s">
        <v>3233</v>
      </c>
      <c r="C490" s="1" t="s">
        <v>226</v>
      </c>
      <c r="D490" s="1"/>
      <c r="E490" s="1">
        <v>13.2</v>
      </c>
      <c r="F490" s="1">
        <v>0</v>
      </c>
      <c r="G490" s="1">
        <v>0.2</v>
      </c>
      <c r="H490" s="1">
        <v>0.2</v>
      </c>
    </row>
    <row r="491" spans="1:8" x14ac:dyDescent="0.3">
      <c r="A491" s="1">
        <v>490</v>
      </c>
      <c r="B491" s="1" t="s">
        <v>3066</v>
      </c>
      <c r="C491" s="1" t="s">
        <v>270</v>
      </c>
      <c r="D491" s="1"/>
      <c r="E491" s="1">
        <v>13.2</v>
      </c>
      <c r="F491" s="1">
        <v>0</v>
      </c>
      <c r="G491" s="1">
        <v>0.2</v>
      </c>
      <c r="H491" s="1">
        <v>0.2</v>
      </c>
    </row>
    <row r="492" spans="1:8" x14ac:dyDescent="0.3">
      <c r="A492" s="1">
        <v>491</v>
      </c>
      <c r="B492" s="1" t="s">
        <v>489</v>
      </c>
      <c r="C492" s="1" t="s">
        <v>274</v>
      </c>
      <c r="D492" s="1"/>
      <c r="E492" s="1">
        <v>22</v>
      </c>
      <c r="F492" s="1">
        <v>0</v>
      </c>
      <c r="G492" s="1">
        <v>0.2</v>
      </c>
      <c r="H492" s="1">
        <v>0.2</v>
      </c>
    </row>
    <row r="493" spans="1:8" x14ac:dyDescent="0.3">
      <c r="A493" s="1">
        <v>492</v>
      </c>
      <c r="B493" s="1" t="s">
        <v>1758</v>
      </c>
      <c r="C493" s="1" t="s">
        <v>278</v>
      </c>
      <c r="D493" s="1">
        <v>35</v>
      </c>
      <c r="E493" s="1"/>
      <c r="F493" s="1">
        <v>0.2</v>
      </c>
      <c r="H493" s="1">
        <v>0.2</v>
      </c>
    </row>
    <row r="494" spans="1:8" x14ac:dyDescent="0.3">
      <c r="A494" s="1">
        <v>493</v>
      </c>
      <c r="B494" s="1" t="s">
        <v>653</v>
      </c>
      <c r="C494" s="1" t="s">
        <v>228</v>
      </c>
      <c r="D494" s="1"/>
      <c r="E494" s="1">
        <v>16.2</v>
      </c>
      <c r="F494" s="1">
        <v>0</v>
      </c>
      <c r="G494" s="1">
        <v>0.2</v>
      </c>
      <c r="H494" s="1">
        <v>0.2</v>
      </c>
    </row>
    <row r="495" spans="1:8" x14ac:dyDescent="0.3">
      <c r="A495" s="1">
        <v>494</v>
      </c>
      <c r="B495" s="1" t="s">
        <v>610</v>
      </c>
      <c r="C495" s="1" t="s">
        <v>268</v>
      </c>
      <c r="D495" s="1"/>
      <c r="E495" s="1">
        <v>25</v>
      </c>
      <c r="F495" s="1">
        <v>0</v>
      </c>
      <c r="G495" s="1">
        <v>0.2</v>
      </c>
      <c r="H495" s="1">
        <v>0.2</v>
      </c>
    </row>
    <row r="496" spans="1:8" x14ac:dyDescent="0.3">
      <c r="A496" s="1">
        <v>495</v>
      </c>
      <c r="B496" s="1" t="s">
        <v>3016</v>
      </c>
      <c r="C496" s="1" t="s">
        <v>311</v>
      </c>
      <c r="D496" s="1"/>
      <c r="E496" s="1">
        <v>10</v>
      </c>
      <c r="F496" s="1">
        <v>0</v>
      </c>
      <c r="G496" s="1">
        <v>0.2</v>
      </c>
      <c r="H496" s="1">
        <v>0.2</v>
      </c>
    </row>
    <row r="497" spans="1:8" x14ac:dyDescent="0.3">
      <c r="A497" s="1">
        <v>496</v>
      </c>
      <c r="B497" s="1" t="s">
        <v>712</v>
      </c>
      <c r="C497" s="1" t="s">
        <v>248</v>
      </c>
      <c r="D497" s="1"/>
      <c r="E497" s="1">
        <v>18.100000000000001</v>
      </c>
      <c r="F497" s="1">
        <v>0</v>
      </c>
      <c r="G497" s="1">
        <v>0.2</v>
      </c>
      <c r="H497" s="1">
        <v>0.2</v>
      </c>
    </row>
    <row r="498" spans="1:8" x14ac:dyDescent="0.3">
      <c r="A498" s="1">
        <v>497</v>
      </c>
      <c r="B498" s="1" t="s">
        <v>728</v>
      </c>
      <c r="C498" s="1" t="s">
        <v>311</v>
      </c>
      <c r="D498" s="1"/>
      <c r="E498" s="1">
        <v>22.1</v>
      </c>
      <c r="F498" s="1">
        <v>0</v>
      </c>
      <c r="G498" s="1">
        <v>0.2</v>
      </c>
      <c r="H498" s="1">
        <v>0.2</v>
      </c>
    </row>
    <row r="499" spans="1:8" x14ac:dyDescent="0.3">
      <c r="A499" s="1">
        <v>498</v>
      </c>
      <c r="B499" s="1" t="s">
        <v>1592</v>
      </c>
      <c r="C499" s="1" t="s">
        <v>270</v>
      </c>
      <c r="D499" s="1"/>
      <c r="E499" s="1">
        <v>16.2</v>
      </c>
      <c r="F499" s="1">
        <v>0</v>
      </c>
      <c r="G499" s="1">
        <v>0.2</v>
      </c>
      <c r="H499" s="1">
        <v>0.2</v>
      </c>
    </row>
    <row r="500" spans="1:8" x14ac:dyDescent="0.3">
      <c r="A500" s="1">
        <v>499</v>
      </c>
      <c r="B500" s="1" t="s">
        <v>696</v>
      </c>
      <c r="C500" s="1" t="s">
        <v>287</v>
      </c>
      <c r="D500" s="1">
        <v>96</v>
      </c>
      <c r="E500" s="1"/>
      <c r="F500" s="1">
        <v>0.2</v>
      </c>
      <c r="H500" s="1">
        <v>0.2</v>
      </c>
    </row>
    <row r="501" spans="1:8" x14ac:dyDescent="0.3">
      <c r="A501" s="1">
        <v>500</v>
      </c>
      <c r="B501" s="1" t="s">
        <v>3269</v>
      </c>
      <c r="C501" s="1" t="s">
        <v>250</v>
      </c>
      <c r="D501" s="1"/>
      <c r="E501" s="1">
        <v>7.1</v>
      </c>
      <c r="F501" s="1">
        <v>0</v>
      </c>
      <c r="G501" s="1">
        <v>0.2</v>
      </c>
      <c r="H501" s="1">
        <v>0.2</v>
      </c>
    </row>
    <row r="502" spans="1:8" x14ac:dyDescent="0.3">
      <c r="A502" s="1">
        <v>501</v>
      </c>
      <c r="B502" s="1" t="s">
        <v>517</v>
      </c>
      <c r="C502" s="1" t="s">
        <v>287</v>
      </c>
      <c r="D502" s="1"/>
      <c r="E502" s="1">
        <v>49.1</v>
      </c>
      <c r="F502" s="1">
        <v>0</v>
      </c>
      <c r="G502" s="1">
        <v>0.2</v>
      </c>
      <c r="H502" s="1">
        <v>0.2</v>
      </c>
    </row>
    <row r="503" spans="1:8" x14ac:dyDescent="0.3">
      <c r="A503" s="1">
        <v>502</v>
      </c>
      <c r="B503" s="1" t="s">
        <v>197</v>
      </c>
      <c r="C503" s="1" t="s">
        <v>339</v>
      </c>
      <c r="D503" s="1"/>
      <c r="E503" s="1">
        <v>39</v>
      </c>
      <c r="F503" s="1">
        <v>0</v>
      </c>
      <c r="G503" s="1">
        <v>0.2</v>
      </c>
      <c r="H503" s="1">
        <v>0.2</v>
      </c>
    </row>
    <row r="504" spans="1:8" x14ac:dyDescent="0.3">
      <c r="A504" s="1">
        <v>503</v>
      </c>
      <c r="B504" s="1" t="s">
        <v>825</v>
      </c>
      <c r="C504" s="1" t="s">
        <v>266</v>
      </c>
      <c r="D504" s="1">
        <v>191</v>
      </c>
      <c r="E504" s="1"/>
      <c r="F504" s="1">
        <v>0.2</v>
      </c>
      <c r="H504" s="1">
        <v>0.2</v>
      </c>
    </row>
    <row r="505" spans="1:8" x14ac:dyDescent="0.3">
      <c r="A505" s="1">
        <v>504</v>
      </c>
      <c r="B505" s="1" t="s">
        <v>288</v>
      </c>
      <c r="C505" s="1" t="s">
        <v>287</v>
      </c>
      <c r="D505" s="1">
        <v>70</v>
      </c>
      <c r="E505" s="1"/>
      <c r="F505" s="1">
        <v>0.2</v>
      </c>
      <c r="H505" s="1">
        <v>0.2</v>
      </c>
    </row>
    <row r="506" spans="1:8" x14ac:dyDescent="0.3">
      <c r="A506" s="1">
        <v>505</v>
      </c>
      <c r="B506" s="1" t="s">
        <v>3117</v>
      </c>
      <c r="C506" s="1" t="s">
        <v>311</v>
      </c>
      <c r="D506" s="1"/>
      <c r="E506" s="1">
        <v>4.0999999999999996</v>
      </c>
      <c r="F506" s="1">
        <v>0</v>
      </c>
      <c r="G506" s="1">
        <v>0.2</v>
      </c>
      <c r="H506" s="1">
        <v>0.2</v>
      </c>
    </row>
    <row r="507" spans="1:8" x14ac:dyDescent="0.3">
      <c r="A507" s="1">
        <v>506</v>
      </c>
      <c r="B507" s="1" t="s">
        <v>831</v>
      </c>
      <c r="C507" s="1" t="s">
        <v>226</v>
      </c>
      <c r="D507" s="1"/>
      <c r="E507" s="1">
        <v>10.1</v>
      </c>
      <c r="F507" s="1">
        <v>0</v>
      </c>
      <c r="G507" s="1">
        <v>0.2</v>
      </c>
      <c r="H507" s="1">
        <v>0.2</v>
      </c>
    </row>
    <row r="508" spans="1:8" x14ac:dyDescent="0.3">
      <c r="A508" s="1">
        <v>507</v>
      </c>
      <c r="B508" s="1" t="s">
        <v>810</v>
      </c>
      <c r="C508" s="1" t="s">
        <v>325</v>
      </c>
      <c r="D508" s="1">
        <v>143</v>
      </c>
      <c r="E508" s="1"/>
      <c r="F508" s="1">
        <v>0.2</v>
      </c>
      <c r="H508" s="1">
        <v>0.2</v>
      </c>
    </row>
    <row r="509" spans="1:8" x14ac:dyDescent="0.3">
      <c r="A509" s="1">
        <v>508</v>
      </c>
      <c r="B509" s="1" t="s">
        <v>832</v>
      </c>
      <c r="C509" s="1" t="s">
        <v>392</v>
      </c>
      <c r="D509" s="1">
        <v>38</v>
      </c>
      <c r="E509" s="1"/>
      <c r="F509" s="1">
        <v>0.2</v>
      </c>
      <c r="H509" s="1">
        <v>0.2</v>
      </c>
    </row>
    <row r="510" spans="1:8" x14ac:dyDescent="0.3">
      <c r="A510" s="1">
        <v>509</v>
      </c>
      <c r="B510" s="1" t="s">
        <v>421</v>
      </c>
      <c r="C510" s="1" t="s">
        <v>241</v>
      </c>
      <c r="D510" s="1"/>
      <c r="E510" s="1">
        <v>22.2</v>
      </c>
      <c r="F510" s="1">
        <v>0</v>
      </c>
      <c r="G510" s="1">
        <v>0.1</v>
      </c>
      <c r="H510" s="1">
        <v>0.1</v>
      </c>
    </row>
    <row r="511" spans="1:8" x14ac:dyDescent="0.3">
      <c r="A511" s="1">
        <v>510</v>
      </c>
      <c r="B511" s="1" t="s">
        <v>3179</v>
      </c>
      <c r="C511" s="1" t="s">
        <v>234</v>
      </c>
      <c r="D511" s="1"/>
      <c r="E511" s="1">
        <v>13</v>
      </c>
      <c r="F511" s="1">
        <v>0</v>
      </c>
      <c r="G511" s="1">
        <v>0.1</v>
      </c>
      <c r="H511" s="1">
        <v>0.1</v>
      </c>
    </row>
    <row r="512" spans="1:8" x14ac:dyDescent="0.3">
      <c r="A512" s="1">
        <v>511</v>
      </c>
      <c r="B512" s="1" t="s">
        <v>873</v>
      </c>
      <c r="C512" s="1" t="s">
        <v>221</v>
      </c>
      <c r="D512" s="1">
        <v>79</v>
      </c>
      <c r="E512" s="1"/>
      <c r="F512" s="1">
        <v>0.1</v>
      </c>
      <c r="H512" s="1">
        <v>0.1</v>
      </c>
    </row>
    <row r="513" spans="1:8" x14ac:dyDescent="0.3">
      <c r="A513" s="1">
        <v>512</v>
      </c>
      <c r="B513" s="1" t="s">
        <v>3332</v>
      </c>
      <c r="C513" s="1" t="s">
        <v>224</v>
      </c>
      <c r="D513" s="1">
        <v>16</v>
      </c>
      <c r="E513" s="1"/>
      <c r="F513" s="1">
        <v>0.1</v>
      </c>
      <c r="H513" s="1">
        <v>0.1</v>
      </c>
    </row>
    <row r="514" spans="1:8" x14ac:dyDescent="0.3">
      <c r="A514" s="1">
        <v>513</v>
      </c>
      <c r="B514" s="1" t="s">
        <v>428</v>
      </c>
      <c r="C514" s="1" t="s">
        <v>241</v>
      </c>
      <c r="D514" s="1">
        <v>119</v>
      </c>
      <c r="E514" s="1"/>
      <c r="F514" s="1">
        <v>0.1</v>
      </c>
      <c r="H514" s="1">
        <v>0.1</v>
      </c>
    </row>
    <row r="515" spans="1:8" x14ac:dyDescent="0.3">
      <c r="A515" s="1">
        <v>514</v>
      </c>
      <c r="B515" s="1" t="s">
        <v>3087</v>
      </c>
      <c r="C515" s="1" t="s">
        <v>248</v>
      </c>
      <c r="D515" s="1"/>
      <c r="E515" s="1">
        <v>8</v>
      </c>
      <c r="F515" s="1">
        <v>0</v>
      </c>
      <c r="G515" s="1">
        <v>0.1</v>
      </c>
      <c r="H515" s="1">
        <v>0.1</v>
      </c>
    </row>
    <row r="516" spans="1:8" x14ac:dyDescent="0.3">
      <c r="A516" s="1">
        <v>515</v>
      </c>
      <c r="B516" s="1" t="s">
        <v>811</v>
      </c>
      <c r="C516" s="1" t="s">
        <v>255</v>
      </c>
      <c r="D516" s="1">
        <v>74</v>
      </c>
      <c r="E516" s="1"/>
      <c r="F516" s="1">
        <v>0.1</v>
      </c>
      <c r="H516" s="1">
        <v>0.1</v>
      </c>
    </row>
    <row r="517" spans="1:8" x14ac:dyDescent="0.3">
      <c r="A517" s="1">
        <v>516</v>
      </c>
      <c r="B517" s="1" t="s">
        <v>340</v>
      </c>
      <c r="C517" s="1" t="s">
        <v>266</v>
      </c>
      <c r="D517" s="1"/>
      <c r="E517" s="1">
        <v>20</v>
      </c>
      <c r="F517" s="1">
        <v>0</v>
      </c>
      <c r="G517" s="1">
        <v>0.1</v>
      </c>
      <c r="H517" s="1">
        <v>0.1</v>
      </c>
    </row>
    <row r="518" spans="1:8" x14ac:dyDescent="0.3">
      <c r="A518" s="1">
        <v>517</v>
      </c>
      <c r="B518" s="1" t="s">
        <v>770</v>
      </c>
      <c r="C518" s="1" t="s">
        <v>392</v>
      </c>
      <c r="D518" s="1">
        <v>33</v>
      </c>
      <c r="E518" s="1"/>
      <c r="F518" s="1">
        <v>0.1</v>
      </c>
      <c r="H518" s="1">
        <v>0.1</v>
      </c>
    </row>
    <row r="519" spans="1:8" x14ac:dyDescent="0.3">
      <c r="A519" s="1">
        <v>518</v>
      </c>
      <c r="B519" s="1" t="s">
        <v>590</v>
      </c>
      <c r="C519" s="1" t="s">
        <v>222</v>
      </c>
      <c r="D519" s="1">
        <v>78</v>
      </c>
      <c r="E519" s="1"/>
      <c r="F519" s="1">
        <v>0.1</v>
      </c>
      <c r="H519" s="1">
        <v>0.1</v>
      </c>
    </row>
    <row r="520" spans="1:8" x14ac:dyDescent="0.3">
      <c r="A520" s="1">
        <v>519</v>
      </c>
      <c r="B520" s="1" t="s">
        <v>457</v>
      </c>
      <c r="C520" s="1" t="s">
        <v>287</v>
      </c>
      <c r="D520" s="1">
        <v>148</v>
      </c>
      <c r="E520" s="1"/>
      <c r="F520" s="1">
        <v>0.1</v>
      </c>
      <c r="H520" s="1">
        <v>0.1</v>
      </c>
    </row>
    <row r="521" spans="1:8" x14ac:dyDescent="0.3">
      <c r="A521" s="1">
        <v>520</v>
      </c>
      <c r="B521" s="1" t="s">
        <v>676</v>
      </c>
      <c r="C521" s="1" t="s">
        <v>268</v>
      </c>
      <c r="D521" s="1">
        <v>84</v>
      </c>
      <c r="E521" s="1"/>
      <c r="F521" s="1">
        <v>0.1</v>
      </c>
      <c r="H521" s="1">
        <v>0.1</v>
      </c>
    </row>
    <row r="522" spans="1:8" x14ac:dyDescent="0.3">
      <c r="A522" s="1">
        <v>521</v>
      </c>
      <c r="B522" s="1" t="s">
        <v>398</v>
      </c>
      <c r="C522" s="1" t="s">
        <v>226</v>
      </c>
      <c r="D522" s="1"/>
      <c r="E522" s="1">
        <v>16</v>
      </c>
      <c r="F522" s="1">
        <v>0</v>
      </c>
      <c r="G522" s="1">
        <v>0.1</v>
      </c>
      <c r="H522" s="1">
        <v>0.1</v>
      </c>
    </row>
    <row r="523" spans="1:8" x14ac:dyDescent="0.3">
      <c r="A523" s="1">
        <v>522</v>
      </c>
      <c r="B523" s="1" t="s">
        <v>308</v>
      </c>
      <c r="C523" s="1" t="s">
        <v>251</v>
      </c>
      <c r="D523" s="1">
        <v>107</v>
      </c>
      <c r="E523" s="1"/>
      <c r="F523" s="1">
        <v>0.1</v>
      </c>
      <c r="H523" s="1">
        <v>0.1</v>
      </c>
    </row>
    <row r="524" spans="1:8" x14ac:dyDescent="0.3">
      <c r="A524" s="1">
        <v>523</v>
      </c>
      <c r="B524" s="1" t="s">
        <v>382</v>
      </c>
      <c r="C524" s="1" t="s">
        <v>274</v>
      </c>
      <c r="D524" s="1"/>
      <c r="E524" s="1">
        <v>16</v>
      </c>
      <c r="F524" s="1">
        <v>0</v>
      </c>
      <c r="G524" s="1">
        <v>0.1</v>
      </c>
      <c r="H524" s="1">
        <v>0.1</v>
      </c>
    </row>
    <row r="525" spans="1:8" x14ac:dyDescent="0.3">
      <c r="A525" s="1">
        <v>524</v>
      </c>
      <c r="B525" s="1" t="s">
        <v>389</v>
      </c>
      <c r="C525" s="1" t="s">
        <v>250</v>
      </c>
      <c r="D525" s="1">
        <v>57</v>
      </c>
      <c r="E525" s="1"/>
      <c r="F525" s="1">
        <v>0.1</v>
      </c>
      <c r="H525" s="1">
        <v>0.1</v>
      </c>
    </row>
    <row r="526" spans="1:8" x14ac:dyDescent="0.3">
      <c r="A526" s="1">
        <v>525</v>
      </c>
      <c r="B526" s="1" t="s">
        <v>3022</v>
      </c>
      <c r="C526" s="1" t="s">
        <v>221</v>
      </c>
      <c r="D526" s="1"/>
      <c r="E526" s="1">
        <v>35.1</v>
      </c>
      <c r="F526" s="1">
        <v>0</v>
      </c>
      <c r="G526" s="1">
        <v>0.1</v>
      </c>
      <c r="H526" s="1">
        <v>0.1</v>
      </c>
    </row>
    <row r="527" spans="1:8" x14ac:dyDescent="0.3">
      <c r="A527" s="1">
        <v>526</v>
      </c>
      <c r="B527" s="1" t="s">
        <v>893</v>
      </c>
      <c r="C527" s="1" t="s">
        <v>266</v>
      </c>
      <c r="D527" s="1">
        <v>167</v>
      </c>
      <c r="E527" s="1"/>
      <c r="F527" s="1">
        <v>0.1</v>
      </c>
      <c r="H527" s="1">
        <v>0.1</v>
      </c>
    </row>
    <row r="528" spans="1:8" x14ac:dyDescent="0.3">
      <c r="A528" s="1">
        <v>527</v>
      </c>
      <c r="B528" s="1" t="s">
        <v>1737</v>
      </c>
      <c r="C528" s="1" t="s">
        <v>250</v>
      </c>
      <c r="D528" s="1"/>
      <c r="E528" s="1">
        <v>18.2</v>
      </c>
      <c r="F528" s="1">
        <v>0</v>
      </c>
      <c r="G528" s="1">
        <v>0.1</v>
      </c>
      <c r="H528" s="1">
        <v>0.1</v>
      </c>
    </row>
    <row r="529" spans="1:8" x14ac:dyDescent="0.3">
      <c r="A529" s="1">
        <v>528</v>
      </c>
      <c r="B529" s="1" t="s">
        <v>3237</v>
      </c>
      <c r="C529" s="1" t="s">
        <v>234</v>
      </c>
      <c r="D529" s="1"/>
      <c r="E529" s="1">
        <v>22.2</v>
      </c>
      <c r="F529" s="1">
        <v>0</v>
      </c>
      <c r="G529" s="1">
        <v>0.1</v>
      </c>
      <c r="H529" s="1">
        <v>0.1</v>
      </c>
    </row>
    <row r="530" spans="1:8" x14ac:dyDescent="0.3">
      <c r="A530" s="1">
        <v>529</v>
      </c>
      <c r="B530" s="1" t="s">
        <v>387</v>
      </c>
      <c r="C530" s="1" t="s">
        <v>235</v>
      </c>
      <c r="D530" s="1">
        <v>175</v>
      </c>
      <c r="E530" s="1"/>
      <c r="F530" s="1">
        <v>0.1</v>
      </c>
      <c r="H530" s="1">
        <v>0.1</v>
      </c>
    </row>
    <row r="531" spans="1:8" x14ac:dyDescent="0.3">
      <c r="A531" s="1">
        <v>530</v>
      </c>
      <c r="B531" s="1" t="s">
        <v>3321</v>
      </c>
      <c r="C531" s="1" t="s">
        <v>243</v>
      </c>
      <c r="D531" s="1">
        <v>13</v>
      </c>
      <c r="E531" s="1"/>
      <c r="F531" s="1">
        <v>0.1</v>
      </c>
      <c r="H531" s="1">
        <v>0.1</v>
      </c>
    </row>
    <row r="532" spans="1:8" x14ac:dyDescent="0.3">
      <c r="A532" s="1">
        <v>531</v>
      </c>
      <c r="B532" s="1" t="s">
        <v>3176</v>
      </c>
      <c r="C532" s="1" t="s">
        <v>235</v>
      </c>
      <c r="D532" s="1"/>
      <c r="E532" s="1">
        <v>13.2</v>
      </c>
      <c r="F532" s="1">
        <v>0</v>
      </c>
      <c r="G532" s="1">
        <v>0.1</v>
      </c>
      <c r="H532" s="1">
        <v>0.1</v>
      </c>
    </row>
    <row r="533" spans="1:8" x14ac:dyDescent="0.3">
      <c r="A533" s="1">
        <v>532</v>
      </c>
      <c r="B533" s="1" t="s">
        <v>561</v>
      </c>
      <c r="C533" s="1" t="s">
        <v>248</v>
      </c>
      <c r="D533" s="1"/>
      <c r="E533" s="1">
        <v>18.100000000000001</v>
      </c>
      <c r="F533" s="1">
        <v>0</v>
      </c>
      <c r="G533" s="1">
        <v>0.1</v>
      </c>
      <c r="H533" s="1">
        <v>0.1</v>
      </c>
    </row>
    <row r="534" spans="1:8" x14ac:dyDescent="0.3">
      <c r="A534" s="1">
        <v>533</v>
      </c>
      <c r="B534" s="1" t="s">
        <v>3342</v>
      </c>
      <c r="C534" s="1" t="s">
        <v>255</v>
      </c>
      <c r="D534" s="1"/>
      <c r="E534" s="1">
        <v>6</v>
      </c>
      <c r="F534" s="1">
        <v>0</v>
      </c>
      <c r="G534" s="1">
        <v>0.1</v>
      </c>
      <c r="H534" s="1">
        <v>0.1</v>
      </c>
    </row>
    <row r="535" spans="1:8" x14ac:dyDescent="0.3">
      <c r="A535" s="1">
        <v>534</v>
      </c>
      <c r="B535" s="1" t="s">
        <v>3350</v>
      </c>
      <c r="C535" s="1" t="s">
        <v>231</v>
      </c>
      <c r="D535" s="1"/>
      <c r="E535" s="1">
        <v>15.2</v>
      </c>
      <c r="F535" s="1">
        <v>0</v>
      </c>
      <c r="G535" s="1">
        <v>0.1</v>
      </c>
      <c r="H535" s="1">
        <v>0.1</v>
      </c>
    </row>
    <row r="536" spans="1:8" x14ac:dyDescent="0.3">
      <c r="A536" s="1">
        <v>535</v>
      </c>
      <c r="B536" s="1" t="s">
        <v>661</v>
      </c>
      <c r="C536" s="1" t="s">
        <v>246</v>
      </c>
      <c r="D536" s="1"/>
      <c r="E536" s="1">
        <v>20.100000000000001</v>
      </c>
      <c r="F536" s="1">
        <v>0</v>
      </c>
      <c r="G536" s="1">
        <v>0.1</v>
      </c>
      <c r="H536" s="1">
        <v>0.1</v>
      </c>
    </row>
    <row r="537" spans="1:8" x14ac:dyDescent="0.3">
      <c r="A537" s="1">
        <v>536</v>
      </c>
      <c r="B537" s="1" t="s">
        <v>478</v>
      </c>
      <c r="C537" s="1" t="s">
        <v>270</v>
      </c>
      <c r="D537" s="1"/>
      <c r="E537" s="1">
        <v>26</v>
      </c>
      <c r="F537" s="1">
        <v>0</v>
      </c>
      <c r="G537" s="1">
        <v>0.1</v>
      </c>
      <c r="H537" s="1">
        <v>0.1</v>
      </c>
    </row>
    <row r="538" spans="1:8" x14ac:dyDescent="0.3">
      <c r="A538" s="1">
        <v>537</v>
      </c>
      <c r="B538" s="1" t="s">
        <v>176</v>
      </c>
      <c r="C538" s="1" t="s">
        <v>235</v>
      </c>
      <c r="D538" s="1"/>
      <c r="E538" s="1">
        <v>48.2</v>
      </c>
      <c r="F538" s="1">
        <v>0</v>
      </c>
      <c r="G538" s="1">
        <v>0.1</v>
      </c>
      <c r="H538" s="1">
        <v>0.1</v>
      </c>
    </row>
    <row r="539" spans="1:8" x14ac:dyDescent="0.3">
      <c r="A539" s="1">
        <v>538</v>
      </c>
      <c r="B539" s="1" t="s">
        <v>414</v>
      </c>
      <c r="C539" s="1" t="s">
        <v>278</v>
      </c>
      <c r="D539" s="1"/>
      <c r="E539" s="1">
        <v>10.199999999999999</v>
      </c>
      <c r="F539" s="1">
        <v>0</v>
      </c>
      <c r="G539" s="1">
        <v>0.1</v>
      </c>
      <c r="H539" s="1">
        <v>0.1</v>
      </c>
    </row>
    <row r="540" spans="1:8" x14ac:dyDescent="0.3">
      <c r="A540" s="1">
        <v>539</v>
      </c>
      <c r="B540" s="1" t="s">
        <v>3323</v>
      </c>
      <c r="C540" s="1" t="s">
        <v>222</v>
      </c>
      <c r="D540" s="1">
        <v>1</v>
      </c>
      <c r="E540" s="1"/>
      <c r="F540" s="1">
        <v>0.1</v>
      </c>
      <c r="H540" s="1">
        <v>0.1</v>
      </c>
    </row>
    <row r="541" spans="1:8" x14ac:dyDescent="0.3">
      <c r="A541" s="1">
        <v>540</v>
      </c>
      <c r="B541" s="1" t="s">
        <v>3347</v>
      </c>
      <c r="C541" s="1" t="s">
        <v>287</v>
      </c>
      <c r="D541" s="1"/>
      <c r="E541" s="1">
        <v>7.1</v>
      </c>
      <c r="F541" s="1">
        <v>0</v>
      </c>
      <c r="G541" s="1">
        <v>0.1</v>
      </c>
      <c r="H541" s="1">
        <v>0.1</v>
      </c>
    </row>
    <row r="542" spans="1:8" x14ac:dyDescent="0.3">
      <c r="A542" s="1">
        <v>541</v>
      </c>
      <c r="B542" s="1" t="s">
        <v>3055</v>
      </c>
      <c r="C542" s="1" t="s">
        <v>325</v>
      </c>
      <c r="D542" s="1">
        <v>72</v>
      </c>
      <c r="E542" s="1"/>
      <c r="F542" s="1">
        <v>0.1</v>
      </c>
      <c r="H542" s="1">
        <v>0.1</v>
      </c>
    </row>
    <row r="543" spans="1:8" x14ac:dyDescent="0.3">
      <c r="A543" s="1">
        <v>542</v>
      </c>
      <c r="B543" s="1" t="s">
        <v>1603</v>
      </c>
      <c r="C543" s="1" t="s">
        <v>1748</v>
      </c>
      <c r="D543" s="1">
        <v>31</v>
      </c>
      <c r="E543" s="1"/>
      <c r="F543" s="1">
        <v>0.1</v>
      </c>
      <c r="H543" s="1">
        <v>0.1</v>
      </c>
    </row>
    <row r="544" spans="1:8" x14ac:dyDescent="0.3">
      <c r="A544" s="1">
        <v>543</v>
      </c>
      <c r="B544" s="1" t="s">
        <v>1241</v>
      </c>
      <c r="C544" s="1" t="s">
        <v>250</v>
      </c>
      <c r="D544" s="1"/>
      <c r="E544" s="1">
        <v>8.1</v>
      </c>
      <c r="F544" s="1">
        <v>0</v>
      </c>
      <c r="G544" s="1">
        <v>0.1</v>
      </c>
      <c r="H544" s="1">
        <v>0.1</v>
      </c>
    </row>
    <row r="545" spans="1:8" x14ac:dyDescent="0.3">
      <c r="A545" s="1">
        <v>544</v>
      </c>
      <c r="B545" s="1" t="s">
        <v>947</v>
      </c>
      <c r="C545" s="1" t="s">
        <v>392</v>
      </c>
      <c r="D545" s="1">
        <v>167</v>
      </c>
      <c r="E545" s="1"/>
      <c r="F545" s="1">
        <v>0.1</v>
      </c>
      <c r="H545" s="1">
        <v>0.1</v>
      </c>
    </row>
    <row r="546" spans="1:8" x14ac:dyDescent="0.3">
      <c r="A546" s="1">
        <v>545</v>
      </c>
      <c r="B546" s="1" t="s">
        <v>938</v>
      </c>
      <c r="C546" s="1" t="s">
        <v>221</v>
      </c>
      <c r="D546" s="1"/>
      <c r="E546" s="1">
        <v>27.2</v>
      </c>
      <c r="F546" s="1">
        <v>0</v>
      </c>
      <c r="G546" s="1">
        <v>0.1</v>
      </c>
      <c r="H546" s="1">
        <v>0.1</v>
      </c>
    </row>
    <row r="547" spans="1:8" x14ac:dyDescent="0.3">
      <c r="A547" s="1">
        <v>546</v>
      </c>
      <c r="B547" s="1" t="s">
        <v>552</v>
      </c>
      <c r="C547" s="1" t="s">
        <v>264</v>
      </c>
      <c r="D547" s="1"/>
      <c r="E547" s="1">
        <v>10</v>
      </c>
      <c r="F547" s="1">
        <v>0</v>
      </c>
      <c r="G547" s="1">
        <v>0.1</v>
      </c>
      <c r="H547" s="1">
        <v>0.1</v>
      </c>
    </row>
    <row r="548" spans="1:8" x14ac:dyDescent="0.3">
      <c r="A548" s="1">
        <v>547</v>
      </c>
      <c r="B548" s="1" t="s">
        <v>721</v>
      </c>
      <c r="C548" s="1" t="s">
        <v>234</v>
      </c>
      <c r="D548" s="1">
        <v>12</v>
      </c>
      <c r="E548" s="1"/>
      <c r="F548" s="1">
        <v>0.1</v>
      </c>
      <c r="H548" s="1">
        <v>0.1</v>
      </c>
    </row>
    <row r="549" spans="1:8" x14ac:dyDescent="0.3">
      <c r="A549" s="1">
        <v>548</v>
      </c>
      <c r="B549" s="1" t="s">
        <v>3316</v>
      </c>
      <c r="C549" s="1" t="s">
        <v>268</v>
      </c>
      <c r="D549" s="1">
        <v>15</v>
      </c>
      <c r="E549" s="1"/>
      <c r="F549" s="1">
        <v>0.1</v>
      </c>
      <c r="H549" s="1">
        <v>0.1</v>
      </c>
    </row>
    <row r="550" spans="1:8" x14ac:dyDescent="0.3">
      <c r="A550" s="1">
        <v>549</v>
      </c>
      <c r="B550" s="1" t="s">
        <v>433</v>
      </c>
      <c r="C550" s="1" t="s">
        <v>255</v>
      </c>
      <c r="D550" s="1"/>
      <c r="E550" s="1">
        <v>11.2</v>
      </c>
      <c r="F550" s="1">
        <v>0</v>
      </c>
      <c r="G550" s="1">
        <v>0.1</v>
      </c>
      <c r="H550" s="1">
        <v>0.1</v>
      </c>
    </row>
    <row r="551" spans="1:8" x14ac:dyDescent="0.3">
      <c r="A551" s="1">
        <v>550</v>
      </c>
      <c r="B551" s="1" t="s">
        <v>781</v>
      </c>
      <c r="C551" s="1" t="s">
        <v>224</v>
      </c>
      <c r="D551" s="1"/>
      <c r="E551" s="1">
        <v>18.2</v>
      </c>
      <c r="F551" s="1">
        <v>0</v>
      </c>
      <c r="G551" s="1">
        <v>0.1</v>
      </c>
      <c r="H551" s="1">
        <v>0.1</v>
      </c>
    </row>
    <row r="552" spans="1:8" x14ac:dyDescent="0.3">
      <c r="A552" s="1">
        <v>551</v>
      </c>
      <c r="B552" s="1" t="s">
        <v>3352</v>
      </c>
      <c r="C552" s="1" t="s">
        <v>268</v>
      </c>
      <c r="D552" s="1"/>
      <c r="E552" s="1">
        <v>3</v>
      </c>
      <c r="F552" s="1">
        <v>0</v>
      </c>
      <c r="G552" s="1">
        <v>0.1</v>
      </c>
      <c r="H552" s="1">
        <v>0.1</v>
      </c>
    </row>
    <row r="553" spans="1:8" x14ac:dyDescent="0.3">
      <c r="A553" s="1">
        <v>552</v>
      </c>
      <c r="B553" s="1" t="s">
        <v>1757</v>
      </c>
      <c r="C553" s="1" t="s">
        <v>239</v>
      </c>
      <c r="D553" s="1"/>
      <c r="E553" s="1">
        <v>36.1</v>
      </c>
      <c r="F553" s="1">
        <v>0</v>
      </c>
      <c r="G553" s="1">
        <v>0.1</v>
      </c>
      <c r="H553" s="1">
        <v>0.1</v>
      </c>
    </row>
    <row r="554" spans="1:8" x14ac:dyDescent="0.3">
      <c r="A554" s="1">
        <v>553</v>
      </c>
      <c r="B554" s="1" t="s">
        <v>532</v>
      </c>
      <c r="C554" s="1" t="s">
        <v>346</v>
      </c>
      <c r="D554" s="1">
        <v>75</v>
      </c>
      <c r="E554" s="1"/>
      <c r="F554" s="1">
        <v>0.1</v>
      </c>
      <c r="H554" s="1">
        <v>0.1</v>
      </c>
    </row>
    <row r="555" spans="1:8" x14ac:dyDescent="0.3">
      <c r="A555" s="1">
        <v>554</v>
      </c>
      <c r="B555" s="1" t="s">
        <v>469</v>
      </c>
      <c r="C555" s="1" t="s">
        <v>270</v>
      </c>
      <c r="D555" s="1"/>
      <c r="E555" s="1">
        <v>22.1</v>
      </c>
      <c r="F555" s="1">
        <v>0</v>
      </c>
      <c r="G555" s="1">
        <v>0.1</v>
      </c>
      <c r="H555" s="1">
        <v>0.1</v>
      </c>
    </row>
    <row r="556" spans="1:8" x14ac:dyDescent="0.3">
      <c r="A556" s="1">
        <v>555</v>
      </c>
      <c r="B556" s="1" t="s">
        <v>332</v>
      </c>
      <c r="C556" s="1" t="s">
        <v>278</v>
      </c>
      <c r="D556" s="1">
        <v>216</v>
      </c>
      <c r="E556" s="1"/>
      <c r="F556" s="1">
        <v>0.1</v>
      </c>
      <c r="H556" s="1">
        <v>0.1</v>
      </c>
    </row>
    <row r="557" spans="1:8" x14ac:dyDescent="0.3">
      <c r="A557" s="1">
        <v>556</v>
      </c>
      <c r="B557" s="1" t="s">
        <v>3256</v>
      </c>
      <c r="C557" s="1" t="s">
        <v>392</v>
      </c>
      <c r="D557" s="1"/>
      <c r="E557" s="1">
        <v>18</v>
      </c>
      <c r="F557" s="1">
        <v>0</v>
      </c>
      <c r="G557" s="1">
        <v>0.1</v>
      </c>
      <c r="H557" s="1">
        <v>0.1</v>
      </c>
    </row>
    <row r="558" spans="1:8" x14ac:dyDescent="0.3">
      <c r="A558" s="1">
        <v>557</v>
      </c>
      <c r="B558" s="1" t="s">
        <v>3152</v>
      </c>
      <c r="C558" s="1" t="s">
        <v>244</v>
      </c>
      <c r="D558" s="1">
        <v>42</v>
      </c>
      <c r="E558" s="1"/>
      <c r="F558" s="1">
        <v>0.1</v>
      </c>
      <c r="H558" s="1">
        <v>0.1</v>
      </c>
    </row>
    <row r="559" spans="1:8" x14ac:dyDescent="0.3">
      <c r="A559" s="1">
        <v>558</v>
      </c>
      <c r="B559" s="1" t="s">
        <v>749</v>
      </c>
      <c r="C559" s="1" t="s">
        <v>243</v>
      </c>
      <c r="D559" s="1">
        <v>106</v>
      </c>
      <c r="E559" s="1"/>
      <c r="F559" s="1">
        <v>0.1</v>
      </c>
      <c r="H559" s="1">
        <v>0.1</v>
      </c>
    </row>
    <row r="560" spans="1:8" x14ac:dyDescent="0.3">
      <c r="A560" s="1">
        <v>559</v>
      </c>
      <c r="B560" s="1" t="s">
        <v>343</v>
      </c>
      <c r="C560" s="1" t="s">
        <v>268</v>
      </c>
      <c r="D560" s="1">
        <v>131</v>
      </c>
      <c r="E560" s="1"/>
      <c r="F560" s="1">
        <v>0.1</v>
      </c>
      <c r="H560" s="1">
        <v>0.1</v>
      </c>
    </row>
    <row r="561" spans="1:8" x14ac:dyDescent="0.3">
      <c r="A561" s="1">
        <v>560</v>
      </c>
      <c r="B561" s="1" t="s">
        <v>937</v>
      </c>
      <c r="C561" s="1" t="s">
        <v>222</v>
      </c>
      <c r="D561" s="1">
        <v>98</v>
      </c>
      <c r="E561" s="1">
        <v>1</v>
      </c>
      <c r="F561" s="1">
        <v>0.1</v>
      </c>
      <c r="G561" s="1">
        <v>0</v>
      </c>
      <c r="H561" s="1">
        <v>0.1</v>
      </c>
    </row>
    <row r="562" spans="1:8" x14ac:dyDescent="0.3">
      <c r="A562" s="1">
        <v>561</v>
      </c>
      <c r="B562" s="1" t="s">
        <v>806</v>
      </c>
      <c r="C562" s="1" t="s">
        <v>274</v>
      </c>
      <c r="D562" s="1"/>
      <c r="E562" s="1">
        <v>21.2</v>
      </c>
      <c r="F562" s="1">
        <v>0</v>
      </c>
      <c r="G562" s="1">
        <v>0.1</v>
      </c>
      <c r="H562" s="1">
        <v>0.1</v>
      </c>
    </row>
    <row r="563" spans="1:8" x14ac:dyDescent="0.3">
      <c r="A563" s="1">
        <v>562</v>
      </c>
      <c r="B563" s="1" t="s">
        <v>3081</v>
      </c>
      <c r="C563" s="1" t="s">
        <v>235</v>
      </c>
      <c r="D563" s="1">
        <v>51</v>
      </c>
      <c r="E563" s="1"/>
      <c r="F563" s="1">
        <v>0.1</v>
      </c>
      <c r="H563" s="1">
        <v>0.1</v>
      </c>
    </row>
    <row r="564" spans="1:8" x14ac:dyDescent="0.3">
      <c r="A564" s="1">
        <v>563</v>
      </c>
      <c r="B564" s="1" t="s">
        <v>3074</v>
      </c>
      <c r="C564" s="1" t="s">
        <v>286</v>
      </c>
      <c r="D564" s="1"/>
      <c r="E564" s="1">
        <v>7.2</v>
      </c>
      <c r="F564" s="1">
        <v>0</v>
      </c>
      <c r="G564" s="1">
        <v>0.1</v>
      </c>
      <c r="H564" s="1">
        <v>0.1</v>
      </c>
    </row>
    <row r="565" spans="1:8" x14ac:dyDescent="0.3">
      <c r="A565" s="1">
        <v>564</v>
      </c>
      <c r="B565" s="1" t="s">
        <v>450</v>
      </c>
      <c r="C565" s="1" t="s">
        <v>248</v>
      </c>
      <c r="D565" s="1"/>
      <c r="E565" s="1">
        <v>26.2</v>
      </c>
      <c r="F565" s="1">
        <v>0</v>
      </c>
      <c r="G565" s="1">
        <v>0.1</v>
      </c>
      <c r="H565" s="1">
        <v>0.1</v>
      </c>
    </row>
    <row r="566" spans="1:8" x14ac:dyDescent="0.3">
      <c r="A566" s="1">
        <v>565</v>
      </c>
      <c r="B566" s="1" t="s">
        <v>1243</v>
      </c>
      <c r="C566" s="1" t="s">
        <v>243</v>
      </c>
      <c r="D566" s="1"/>
      <c r="E566" s="1">
        <v>8</v>
      </c>
      <c r="F566" s="1">
        <v>0</v>
      </c>
      <c r="G566" s="1">
        <v>0.1</v>
      </c>
      <c r="H566" s="1">
        <v>0.1</v>
      </c>
    </row>
    <row r="567" spans="1:8" x14ac:dyDescent="0.3">
      <c r="A567" s="1">
        <v>566</v>
      </c>
      <c r="B567" s="1" t="s">
        <v>508</v>
      </c>
      <c r="C567" s="1" t="s">
        <v>248</v>
      </c>
      <c r="D567" s="1"/>
      <c r="E567" s="1">
        <v>20</v>
      </c>
      <c r="F567" s="1">
        <v>0</v>
      </c>
      <c r="G567" s="1">
        <v>0.1</v>
      </c>
      <c r="H567" s="1">
        <v>0.1</v>
      </c>
    </row>
    <row r="568" spans="1:8" x14ac:dyDescent="0.3">
      <c r="A568" s="1">
        <v>567</v>
      </c>
      <c r="B568" s="1" t="s">
        <v>3326</v>
      </c>
      <c r="C568" s="1" t="s">
        <v>231</v>
      </c>
      <c r="D568" s="1">
        <v>19</v>
      </c>
      <c r="E568" s="1"/>
      <c r="F568" s="1">
        <v>0.1</v>
      </c>
      <c r="H568" s="1">
        <v>0.1</v>
      </c>
    </row>
    <row r="569" spans="1:8" x14ac:dyDescent="0.3">
      <c r="A569" s="1">
        <v>568</v>
      </c>
      <c r="B569" s="1" t="s">
        <v>326</v>
      </c>
      <c r="C569" s="1" t="s">
        <v>241</v>
      </c>
      <c r="D569" s="1">
        <v>179</v>
      </c>
      <c r="E569" s="1"/>
      <c r="F569" s="1">
        <v>0.1</v>
      </c>
      <c r="H569" s="1">
        <v>0.1</v>
      </c>
    </row>
    <row r="570" spans="1:8" x14ac:dyDescent="0.3">
      <c r="A570" s="1">
        <v>569</v>
      </c>
      <c r="B570" s="1" t="s">
        <v>3274</v>
      </c>
      <c r="C570" s="1" t="s">
        <v>251</v>
      </c>
      <c r="D570" s="1"/>
      <c r="E570" s="1">
        <v>4</v>
      </c>
      <c r="F570" s="1">
        <v>0</v>
      </c>
      <c r="G570" s="1">
        <v>0.1</v>
      </c>
      <c r="H570" s="1">
        <v>0.1</v>
      </c>
    </row>
    <row r="571" spans="1:8" x14ac:dyDescent="0.3">
      <c r="A571" s="1">
        <v>570</v>
      </c>
      <c r="B571" s="1" t="s">
        <v>3174</v>
      </c>
      <c r="C571" s="1" t="s">
        <v>274</v>
      </c>
      <c r="D571" s="1"/>
      <c r="E571" s="1">
        <v>13</v>
      </c>
      <c r="F571" s="1">
        <v>0</v>
      </c>
      <c r="G571" s="1">
        <v>0.1</v>
      </c>
      <c r="H571" s="1">
        <v>0.1</v>
      </c>
    </row>
    <row r="572" spans="1:8" x14ac:dyDescent="0.3">
      <c r="A572" s="1">
        <v>571</v>
      </c>
      <c r="B572" s="1" t="s">
        <v>563</v>
      </c>
      <c r="C572" s="1" t="s">
        <v>244</v>
      </c>
      <c r="D572" s="1"/>
      <c r="E572" s="1">
        <v>3.1</v>
      </c>
      <c r="F572" s="1">
        <v>0</v>
      </c>
      <c r="G572" s="1">
        <v>0.1</v>
      </c>
      <c r="H572" s="1">
        <v>0.1</v>
      </c>
    </row>
    <row r="573" spans="1:8" x14ac:dyDescent="0.3">
      <c r="A573" s="1">
        <v>572</v>
      </c>
      <c r="B573" s="1" t="s">
        <v>881</v>
      </c>
      <c r="C573" s="1" t="s">
        <v>231</v>
      </c>
      <c r="D573" s="1">
        <v>89</v>
      </c>
      <c r="E573" s="1"/>
      <c r="F573" s="1">
        <v>0.1</v>
      </c>
      <c r="H573" s="1">
        <v>0.1</v>
      </c>
    </row>
    <row r="574" spans="1:8" x14ac:dyDescent="0.3">
      <c r="A574" s="1">
        <v>573</v>
      </c>
      <c r="B574" s="1" t="s">
        <v>631</v>
      </c>
      <c r="C574" s="1" t="s">
        <v>268</v>
      </c>
      <c r="D574" s="1"/>
      <c r="E574" s="1">
        <v>18.100000000000001</v>
      </c>
      <c r="F574" s="1">
        <v>0</v>
      </c>
      <c r="G574" s="1">
        <v>0.1</v>
      </c>
      <c r="H574" s="1">
        <v>0.1</v>
      </c>
    </row>
    <row r="575" spans="1:8" x14ac:dyDescent="0.3">
      <c r="A575" s="1">
        <v>574</v>
      </c>
      <c r="B575" s="1" t="s">
        <v>418</v>
      </c>
      <c r="C575" s="1" t="s">
        <v>231</v>
      </c>
      <c r="D575" s="1"/>
      <c r="E575" s="1">
        <v>7.2</v>
      </c>
      <c r="F575" s="1">
        <v>0</v>
      </c>
      <c r="G575" s="1">
        <v>0.1</v>
      </c>
      <c r="H575" s="1">
        <v>0.1</v>
      </c>
    </row>
    <row r="576" spans="1:8" x14ac:dyDescent="0.3">
      <c r="A576" s="1">
        <v>575</v>
      </c>
      <c r="B576" s="1" t="s">
        <v>501</v>
      </c>
      <c r="C576" s="1" t="s">
        <v>255</v>
      </c>
      <c r="D576" s="1">
        <v>22</v>
      </c>
      <c r="E576" s="1"/>
      <c r="F576" s="1">
        <v>0.1</v>
      </c>
      <c r="H576" s="1">
        <v>0.1</v>
      </c>
    </row>
    <row r="577" spans="1:8" x14ac:dyDescent="0.3">
      <c r="A577" s="1">
        <v>576</v>
      </c>
      <c r="B577" s="1" t="s">
        <v>1744</v>
      </c>
      <c r="C577" s="1" t="s">
        <v>1748</v>
      </c>
      <c r="D577" s="1">
        <v>41</v>
      </c>
      <c r="E577" s="1"/>
      <c r="F577" s="1">
        <v>0.1</v>
      </c>
      <c r="H577" s="1">
        <v>0.1</v>
      </c>
    </row>
    <row r="578" spans="1:8" x14ac:dyDescent="0.3">
      <c r="A578" s="1">
        <v>577</v>
      </c>
      <c r="B578" s="1" t="s">
        <v>3198</v>
      </c>
      <c r="C578" s="1" t="s">
        <v>325</v>
      </c>
      <c r="D578" s="1"/>
      <c r="E578" s="1">
        <v>15.1</v>
      </c>
      <c r="F578" s="1">
        <v>0</v>
      </c>
      <c r="G578" s="1">
        <v>0.1</v>
      </c>
      <c r="H578" s="1">
        <v>0.1</v>
      </c>
    </row>
    <row r="579" spans="1:8" x14ac:dyDescent="0.3">
      <c r="A579" s="1">
        <v>578</v>
      </c>
      <c r="B579" s="1" t="s">
        <v>3357</v>
      </c>
      <c r="C579" s="1" t="s">
        <v>241</v>
      </c>
      <c r="D579" s="1"/>
      <c r="E579" s="1">
        <v>3</v>
      </c>
      <c r="F579" s="1">
        <v>0</v>
      </c>
      <c r="G579" s="1">
        <v>0.1</v>
      </c>
      <c r="H579" s="1">
        <v>0.1</v>
      </c>
    </row>
    <row r="580" spans="1:8" x14ac:dyDescent="0.3">
      <c r="A580" s="1">
        <v>579</v>
      </c>
      <c r="B580" s="1" t="s">
        <v>863</v>
      </c>
      <c r="C580" s="1" t="s">
        <v>224</v>
      </c>
      <c r="D580" s="1"/>
      <c r="E580" s="1">
        <v>16.100000000000001</v>
      </c>
      <c r="F580" s="1">
        <v>0</v>
      </c>
      <c r="G580" s="1">
        <v>0.1</v>
      </c>
      <c r="H580" s="1">
        <v>0.1</v>
      </c>
    </row>
    <row r="581" spans="1:8" x14ac:dyDescent="0.3">
      <c r="A581" s="1">
        <v>580</v>
      </c>
      <c r="B581" s="1" t="s">
        <v>3194</v>
      </c>
      <c r="C581" s="1" t="s">
        <v>266</v>
      </c>
      <c r="D581" s="1"/>
      <c r="E581" s="1">
        <v>6</v>
      </c>
      <c r="F581" s="1">
        <v>0</v>
      </c>
      <c r="G581" s="1">
        <v>0.1</v>
      </c>
      <c r="H581" s="1">
        <v>0.1</v>
      </c>
    </row>
    <row r="582" spans="1:8" x14ac:dyDescent="0.3">
      <c r="A582" s="1">
        <v>581</v>
      </c>
      <c r="B582" s="1" t="s">
        <v>663</v>
      </c>
      <c r="C582" s="1" t="s">
        <v>278</v>
      </c>
      <c r="D582" s="1"/>
      <c r="E582" s="1">
        <v>26</v>
      </c>
      <c r="F582" s="1">
        <v>0</v>
      </c>
      <c r="G582" s="1">
        <v>0.1</v>
      </c>
      <c r="H582" s="1">
        <v>0.1</v>
      </c>
    </row>
    <row r="583" spans="1:8" x14ac:dyDescent="0.3">
      <c r="A583" s="1">
        <v>582</v>
      </c>
      <c r="B583" s="1" t="s">
        <v>1754</v>
      </c>
      <c r="C583" s="1" t="s">
        <v>274</v>
      </c>
      <c r="D583" s="1">
        <v>16</v>
      </c>
      <c r="E583" s="1"/>
      <c r="F583" s="1">
        <v>0.1</v>
      </c>
      <c r="H583" s="1">
        <v>0.1</v>
      </c>
    </row>
    <row r="584" spans="1:8" x14ac:dyDescent="0.3">
      <c r="A584" s="1">
        <v>583</v>
      </c>
      <c r="B584" s="1" t="s">
        <v>1756</v>
      </c>
      <c r="C584" s="1" t="s">
        <v>228</v>
      </c>
      <c r="D584" s="1"/>
      <c r="E584" s="1">
        <v>3</v>
      </c>
      <c r="F584" s="1">
        <v>0</v>
      </c>
      <c r="G584" s="1">
        <v>0.1</v>
      </c>
      <c r="H584" s="1">
        <v>0.1</v>
      </c>
    </row>
    <row r="585" spans="1:8" x14ac:dyDescent="0.3">
      <c r="A585" s="1">
        <v>584</v>
      </c>
      <c r="B585" s="1" t="s">
        <v>3012</v>
      </c>
      <c r="C585" s="1" t="s">
        <v>246</v>
      </c>
      <c r="D585" s="1"/>
      <c r="E585" s="1">
        <v>7</v>
      </c>
      <c r="F585" s="1">
        <v>0</v>
      </c>
      <c r="G585" s="1">
        <v>0.1</v>
      </c>
      <c r="H585" s="1">
        <v>0.1</v>
      </c>
    </row>
    <row r="586" spans="1:8" x14ac:dyDescent="0.3">
      <c r="A586" s="1">
        <v>585</v>
      </c>
      <c r="B586" s="1" t="s">
        <v>494</v>
      </c>
      <c r="C586" s="1" t="s">
        <v>255</v>
      </c>
      <c r="D586" s="1"/>
      <c r="E586" s="1">
        <v>5</v>
      </c>
      <c r="F586" s="1">
        <v>0</v>
      </c>
      <c r="G586" s="1">
        <v>0.1</v>
      </c>
      <c r="H586" s="1">
        <v>0.1</v>
      </c>
    </row>
    <row r="587" spans="1:8" x14ac:dyDescent="0.3">
      <c r="A587" s="1">
        <v>586</v>
      </c>
      <c r="B587" s="1" t="s">
        <v>522</v>
      </c>
      <c r="C587" s="1" t="s">
        <v>268</v>
      </c>
      <c r="D587" s="1"/>
      <c r="E587" s="1">
        <v>20</v>
      </c>
      <c r="F587" s="1">
        <v>0</v>
      </c>
      <c r="G587" s="1">
        <v>0.1</v>
      </c>
      <c r="H587" s="1">
        <v>0.1</v>
      </c>
    </row>
    <row r="588" spans="1:8" x14ac:dyDescent="0.3">
      <c r="A588" s="1">
        <v>587</v>
      </c>
      <c r="B588" s="1" t="s">
        <v>3319</v>
      </c>
      <c r="C588" s="1" t="s">
        <v>222</v>
      </c>
      <c r="D588" s="1">
        <v>5</v>
      </c>
      <c r="E588" s="1"/>
      <c r="F588" s="1">
        <v>0.1</v>
      </c>
      <c r="H588" s="1">
        <v>0.1</v>
      </c>
    </row>
    <row r="589" spans="1:8" x14ac:dyDescent="0.3">
      <c r="A589" s="1">
        <v>588</v>
      </c>
      <c r="B589" s="1" t="s">
        <v>3262</v>
      </c>
      <c r="C589" s="1" t="s">
        <v>244</v>
      </c>
      <c r="D589" s="1"/>
      <c r="E589" s="1">
        <v>7.1</v>
      </c>
      <c r="F589" s="1">
        <v>0</v>
      </c>
      <c r="G589" s="1">
        <v>0.1</v>
      </c>
      <c r="H589" s="1">
        <v>0.1</v>
      </c>
    </row>
    <row r="590" spans="1:8" x14ac:dyDescent="0.3">
      <c r="A590" s="1">
        <v>589</v>
      </c>
      <c r="B590" s="1" t="s">
        <v>1597</v>
      </c>
      <c r="C590" s="1" t="s">
        <v>248</v>
      </c>
      <c r="D590" s="1">
        <v>32</v>
      </c>
      <c r="E590" s="1"/>
      <c r="F590" s="1">
        <v>0.1</v>
      </c>
      <c r="H590" s="1">
        <v>0.1</v>
      </c>
    </row>
    <row r="591" spans="1:8" x14ac:dyDescent="0.3">
      <c r="A591" s="1">
        <v>590</v>
      </c>
      <c r="B591" s="1" t="s">
        <v>3195</v>
      </c>
      <c r="C591" s="1" t="s">
        <v>222</v>
      </c>
      <c r="D591" s="1"/>
      <c r="E591" s="1">
        <v>8.1999999999999993</v>
      </c>
      <c r="F591" s="1">
        <v>0</v>
      </c>
      <c r="G591" s="1">
        <v>0.1</v>
      </c>
      <c r="H591" s="1">
        <v>0.1</v>
      </c>
    </row>
    <row r="592" spans="1:8" x14ac:dyDescent="0.3">
      <c r="A592" s="1">
        <v>591</v>
      </c>
      <c r="B592" s="1" t="s">
        <v>438</v>
      </c>
      <c r="C592" s="1" t="s">
        <v>339</v>
      </c>
      <c r="D592" s="1"/>
      <c r="E592" s="1">
        <v>17.100000000000001</v>
      </c>
      <c r="F592" s="1">
        <v>0</v>
      </c>
      <c r="G592" s="1">
        <v>0.1</v>
      </c>
      <c r="H592" s="1">
        <v>0.1</v>
      </c>
    </row>
    <row r="593" spans="1:8" x14ac:dyDescent="0.3">
      <c r="A593" s="1">
        <v>592</v>
      </c>
      <c r="B593" s="1" t="s">
        <v>905</v>
      </c>
      <c r="C593" s="1" t="s">
        <v>325</v>
      </c>
      <c r="D593" s="1">
        <v>155</v>
      </c>
      <c r="E593" s="1">
        <v>1</v>
      </c>
      <c r="F593" s="1">
        <v>0.2</v>
      </c>
      <c r="G593" s="1">
        <v>-0.1</v>
      </c>
      <c r="H593" s="1">
        <v>0.1</v>
      </c>
    </row>
    <row r="594" spans="1:8" x14ac:dyDescent="0.3">
      <c r="A594" s="1">
        <v>593</v>
      </c>
      <c r="B594" s="1" t="s">
        <v>3019</v>
      </c>
      <c r="C594" s="1" t="s">
        <v>248</v>
      </c>
      <c r="D594" s="1"/>
      <c r="E594" s="1">
        <v>8.1</v>
      </c>
      <c r="F594" s="1">
        <v>0</v>
      </c>
      <c r="G594" s="1">
        <v>0.1</v>
      </c>
      <c r="H594" s="1">
        <v>0.1</v>
      </c>
    </row>
    <row r="595" spans="1:8" x14ac:dyDescent="0.3">
      <c r="A595" s="1">
        <v>594</v>
      </c>
      <c r="B595" s="1" t="s">
        <v>3103</v>
      </c>
      <c r="C595" s="1" t="s">
        <v>239</v>
      </c>
      <c r="D595" s="1"/>
      <c r="E595" s="1">
        <v>14</v>
      </c>
      <c r="F595" s="1">
        <v>0</v>
      </c>
      <c r="G595" s="1">
        <v>0.1</v>
      </c>
      <c r="H595" s="1">
        <v>0.1</v>
      </c>
    </row>
    <row r="596" spans="1:8" x14ac:dyDescent="0.3">
      <c r="A596" s="1">
        <v>595</v>
      </c>
      <c r="B596" s="1" t="s">
        <v>735</v>
      </c>
      <c r="C596" s="1" t="s">
        <v>248</v>
      </c>
      <c r="D596" s="1">
        <v>63</v>
      </c>
      <c r="E596" s="1"/>
      <c r="F596" s="1">
        <v>0.1</v>
      </c>
      <c r="H596" s="1">
        <v>0.1</v>
      </c>
    </row>
    <row r="597" spans="1:8" x14ac:dyDescent="0.3">
      <c r="A597" s="1">
        <v>596</v>
      </c>
      <c r="B597" s="1" t="s">
        <v>841</v>
      </c>
      <c r="C597" s="1" t="s">
        <v>311</v>
      </c>
      <c r="D597" s="1"/>
      <c r="E597" s="1">
        <v>18</v>
      </c>
      <c r="F597" s="1">
        <v>0</v>
      </c>
      <c r="G597" s="1">
        <v>0.1</v>
      </c>
      <c r="H597" s="1">
        <v>0.1</v>
      </c>
    </row>
    <row r="598" spans="1:8" x14ac:dyDescent="0.3">
      <c r="A598" s="1">
        <v>597</v>
      </c>
      <c r="B598" s="1" t="s">
        <v>3057</v>
      </c>
      <c r="C598" s="1" t="s">
        <v>274</v>
      </c>
      <c r="D598" s="1"/>
      <c r="E598" s="1">
        <v>8.1</v>
      </c>
      <c r="F598" s="1">
        <v>0</v>
      </c>
      <c r="G598" s="1">
        <v>0.1</v>
      </c>
      <c r="H598" s="1">
        <v>0.1</v>
      </c>
    </row>
    <row r="599" spans="1:8" x14ac:dyDescent="0.3">
      <c r="A599" s="1">
        <v>598</v>
      </c>
      <c r="B599" s="1" t="s">
        <v>384</v>
      </c>
      <c r="C599" s="1" t="s">
        <v>224</v>
      </c>
      <c r="D599" s="1"/>
      <c r="E599" s="1">
        <v>12</v>
      </c>
      <c r="F599" s="1">
        <v>0</v>
      </c>
      <c r="G599" s="1">
        <v>0.1</v>
      </c>
      <c r="H599" s="1">
        <v>0.1</v>
      </c>
    </row>
    <row r="600" spans="1:8" x14ac:dyDescent="0.3">
      <c r="A600" s="1">
        <v>599</v>
      </c>
      <c r="B600" s="1" t="s">
        <v>510</v>
      </c>
      <c r="C600" s="1" t="s">
        <v>251</v>
      </c>
      <c r="D600" s="1"/>
      <c r="E600" s="1">
        <v>17.100000000000001</v>
      </c>
      <c r="F600" s="1">
        <v>0</v>
      </c>
      <c r="G600" s="1">
        <v>0.1</v>
      </c>
      <c r="H600" s="1">
        <v>0.1</v>
      </c>
    </row>
    <row r="601" spans="1:8" x14ac:dyDescent="0.3">
      <c r="A601" s="1">
        <v>600</v>
      </c>
      <c r="B601" s="1" t="s">
        <v>357</v>
      </c>
      <c r="C601" s="1" t="s">
        <v>251</v>
      </c>
      <c r="D601" s="1"/>
      <c r="E601" s="1">
        <v>20.2</v>
      </c>
      <c r="F601" s="1">
        <v>0</v>
      </c>
      <c r="G601" s="1">
        <v>0.1</v>
      </c>
      <c r="H601" s="1">
        <v>0.1</v>
      </c>
    </row>
    <row r="602" spans="1:8" x14ac:dyDescent="0.3">
      <c r="A602" s="1">
        <v>601</v>
      </c>
      <c r="B602" s="1" t="s">
        <v>3353</v>
      </c>
      <c r="C602" s="1" t="s">
        <v>221</v>
      </c>
      <c r="D602" s="1"/>
      <c r="E602" s="1">
        <v>4.2</v>
      </c>
      <c r="F602" s="1">
        <v>0</v>
      </c>
      <c r="G602" s="1">
        <v>0.1</v>
      </c>
      <c r="H602" s="1">
        <v>0.1</v>
      </c>
    </row>
    <row r="603" spans="1:8" x14ac:dyDescent="0.3">
      <c r="A603" s="1">
        <v>602</v>
      </c>
      <c r="B603" s="1" t="s">
        <v>3364</v>
      </c>
      <c r="C603" s="1" t="s">
        <v>239</v>
      </c>
      <c r="D603" s="1"/>
      <c r="E603" s="1">
        <v>3.1</v>
      </c>
      <c r="F603" s="1">
        <v>0</v>
      </c>
      <c r="G603" s="1">
        <v>0.1</v>
      </c>
      <c r="H603" s="1">
        <v>0.1</v>
      </c>
    </row>
    <row r="604" spans="1:8" x14ac:dyDescent="0.3">
      <c r="A604" s="1">
        <v>603</v>
      </c>
      <c r="B604" s="1" t="s">
        <v>932</v>
      </c>
      <c r="C604" s="1" t="s">
        <v>250</v>
      </c>
      <c r="D604" s="1">
        <v>139</v>
      </c>
      <c r="E604" s="1"/>
      <c r="F604" s="1">
        <v>0.1</v>
      </c>
      <c r="H604" s="1">
        <v>0.1</v>
      </c>
    </row>
    <row r="605" spans="1:8" x14ac:dyDescent="0.3">
      <c r="A605" s="1">
        <v>604</v>
      </c>
      <c r="B605" s="1" t="s">
        <v>625</v>
      </c>
      <c r="C605" s="1" t="s">
        <v>231</v>
      </c>
      <c r="D605" s="1">
        <v>141</v>
      </c>
      <c r="E605" s="1"/>
      <c r="F605" s="1">
        <v>0.1</v>
      </c>
      <c r="H605" s="1">
        <v>0.1</v>
      </c>
    </row>
    <row r="606" spans="1:8" x14ac:dyDescent="0.3">
      <c r="A606" s="1">
        <v>605</v>
      </c>
      <c r="B606" s="1" t="s">
        <v>567</v>
      </c>
      <c r="C606" s="1" t="s">
        <v>235</v>
      </c>
      <c r="D606" s="1"/>
      <c r="E606" s="1">
        <v>10.1</v>
      </c>
      <c r="F606" s="1">
        <v>0</v>
      </c>
      <c r="G606" s="1">
        <v>0.1</v>
      </c>
      <c r="H606" s="1">
        <v>0.1</v>
      </c>
    </row>
    <row r="607" spans="1:8" x14ac:dyDescent="0.3">
      <c r="A607" s="1">
        <v>606</v>
      </c>
      <c r="B607" s="1" t="s">
        <v>630</v>
      </c>
      <c r="C607" s="1" t="s">
        <v>221</v>
      </c>
      <c r="D607" s="1">
        <v>79</v>
      </c>
      <c r="E607" s="1"/>
      <c r="F607" s="1">
        <v>0.1</v>
      </c>
      <c r="H607" s="1">
        <v>0.1</v>
      </c>
    </row>
    <row r="608" spans="1:8" x14ac:dyDescent="0.3">
      <c r="A608" s="1">
        <v>607</v>
      </c>
      <c r="B608" s="1" t="s">
        <v>3069</v>
      </c>
      <c r="C608" s="1" t="s">
        <v>231</v>
      </c>
      <c r="D608" s="1"/>
      <c r="E608" s="1">
        <v>16</v>
      </c>
      <c r="F608" s="1">
        <v>0</v>
      </c>
      <c r="G608" s="1">
        <v>0.1</v>
      </c>
      <c r="H608" s="1">
        <v>0.1</v>
      </c>
    </row>
    <row r="609" spans="1:8" x14ac:dyDescent="0.3">
      <c r="A609" s="1">
        <v>608</v>
      </c>
      <c r="B609" s="1" t="s">
        <v>3382</v>
      </c>
      <c r="C609" s="1" t="s">
        <v>270</v>
      </c>
      <c r="D609" s="1"/>
      <c r="E609" s="1">
        <v>3</v>
      </c>
      <c r="F609" s="1">
        <v>0</v>
      </c>
      <c r="G609" s="1">
        <v>0.1</v>
      </c>
      <c r="H609" s="1">
        <v>0.1</v>
      </c>
    </row>
    <row r="610" spans="1:8" x14ac:dyDescent="0.3">
      <c r="A610" s="1">
        <v>609</v>
      </c>
      <c r="B610" s="1" t="s">
        <v>191</v>
      </c>
      <c r="C610" s="1" t="s">
        <v>250</v>
      </c>
      <c r="D610" s="1"/>
      <c r="E610" s="1">
        <v>19.2</v>
      </c>
      <c r="F610" s="1">
        <v>0</v>
      </c>
      <c r="G610" s="1">
        <v>0.1</v>
      </c>
      <c r="H610" s="1">
        <v>0.1</v>
      </c>
    </row>
    <row r="611" spans="1:8" x14ac:dyDescent="0.3">
      <c r="A611" s="1">
        <v>610</v>
      </c>
      <c r="B611" s="1" t="s">
        <v>3361</v>
      </c>
      <c r="C611" s="1" t="s">
        <v>1748</v>
      </c>
      <c r="D611" s="1"/>
      <c r="E611" s="1">
        <v>9</v>
      </c>
      <c r="F611" s="1">
        <v>0</v>
      </c>
      <c r="G611" s="1">
        <v>0.1</v>
      </c>
      <c r="H611" s="1">
        <v>0.1</v>
      </c>
    </row>
    <row r="612" spans="1:8" x14ac:dyDescent="0.3">
      <c r="A612" s="1">
        <v>611</v>
      </c>
      <c r="B612" s="1" t="s">
        <v>416</v>
      </c>
      <c r="C612" s="1" t="s">
        <v>286</v>
      </c>
      <c r="D612" s="1">
        <v>88</v>
      </c>
      <c r="E612" s="1"/>
      <c r="F612" s="1">
        <v>0.1</v>
      </c>
      <c r="H612" s="1">
        <v>0.1</v>
      </c>
    </row>
    <row r="613" spans="1:8" x14ac:dyDescent="0.3">
      <c r="A613" s="1">
        <v>612</v>
      </c>
      <c r="B613" s="1" t="s">
        <v>3181</v>
      </c>
      <c r="C613" s="1" t="s">
        <v>228</v>
      </c>
      <c r="D613" s="1"/>
      <c r="E613" s="1">
        <v>4</v>
      </c>
      <c r="F613" s="1">
        <v>0</v>
      </c>
      <c r="G613" s="1">
        <v>0.1</v>
      </c>
      <c r="H613" s="1">
        <v>0.1</v>
      </c>
    </row>
    <row r="614" spans="1:8" x14ac:dyDescent="0.3">
      <c r="A614" s="1">
        <v>613</v>
      </c>
      <c r="B614" s="1" t="s">
        <v>912</v>
      </c>
      <c r="C614" s="1" t="s">
        <v>287</v>
      </c>
      <c r="D614" s="1">
        <v>148</v>
      </c>
      <c r="E614" s="1"/>
      <c r="F614" s="1">
        <v>0.1</v>
      </c>
      <c r="H614" s="1">
        <v>0.1</v>
      </c>
    </row>
    <row r="615" spans="1:8" x14ac:dyDescent="0.3">
      <c r="A615" s="1">
        <v>614</v>
      </c>
      <c r="B615" s="1" t="s">
        <v>3267</v>
      </c>
      <c r="C615" s="1" t="s">
        <v>287</v>
      </c>
      <c r="D615" s="1"/>
      <c r="E615" s="1">
        <v>2.2000000000000002</v>
      </c>
      <c r="F615" s="1">
        <v>0</v>
      </c>
      <c r="G615" s="1">
        <v>0.1</v>
      </c>
      <c r="H615" s="1">
        <v>0.1</v>
      </c>
    </row>
    <row r="616" spans="1:8" x14ac:dyDescent="0.3">
      <c r="A616" s="1">
        <v>615</v>
      </c>
      <c r="B616" s="1" t="s">
        <v>2023</v>
      </c>
      <c r="C616" s="1" t="s">
        <v>228</v>
      </c>
      <c r="D616" s="1"/>
      <c r="E616" s="1">
        <v>29</v>
      </c>
      <c r="F616" s="1">
        <v>0</v>
      </c>
      <c r="G616" s="1">
        <v>0.1</v>
      </c>
      <c r="H616" s="1">
        <v>0.1</v>
      </c>
    </row>
    <row r="617" spans="1:8" x14ac:dyDescent="0.3">
      <c r="A617" s="1">
        <v>616</v>
      </c>
      <c r="B617" s="1" t="s">
        <v>3343</v>
      </c>
      <c r="C617" s="1" t="s">
        <v>221</v>
      </c>
      <c r="D617" s="1"/>
      <c r="E617" s="1">
        <v>14</v>
      </c>
      <c r="F617" s="1">
        <v>0</v>
      </c>
      <c r="G617" s="1">
        <v>0.1</v>
      </c>
      <c r="H617" s="1">
        <v>0.1</v>
      </c>
    </row>
    <row r="618" spans="1:8" x14ac:dyDescent="0.3">
      <c r="A618" s="1">
        <v>617</v>
      </c>
      <c r="B618" s="1" t="s">
        <v>467</v>
      </c>
      <c r="C618" s="1" t="s">
        <v>274</v>
      </c>
      <c r="D618" s="1">
        <v>121</v>
      </c>
      <c r="E618" s="1"/>
      <c r="F618" s="1">
        <v>0.1</v>
      </c>
      <c r="H618" s="1">
        <v>0.1</v>
      </c>
    </row>
    <row r="619" spans="1:8" x14ac:dyDescent="0.3">
      <c r="A619" s="1">
        <v>618</v>
      </c>
      <c r="B619" s="1" t="s">
        <v>621</v>
      </c>
      <c r="C619" s="1" t="s">
        <v>339</v>
      </c>
      <c r="D619" s="1">
        <v>117</v>
      </c>
      <c r="E619" s="1"/>
      <c r="F619" s="1">
        <v>0.1</v>
      </c>
      <c r="H619" s="1">
        <v>0.1</v>
      </c>
    </row>
    <row r="620" spans="1:8" x14ac:dyDescent="0.3">
      <c r="A620" s="1">
        <v>619</v>
      </c>
      <c r="B620" s="1" t="s">
        <v>716</v>
      </c>
      <c r="C620" s="1" t="s">
        <v>311</v>
      </c>
      <c r="D620" s="1"/>
      <c r="E620" s="1">
        <v>25.2</v>
      </c>
      <c r="F620" s="1">
        <v>0</v>
      </c>
      <c r="G620" s="1">
        <v>0.1</v>
      </c>
      <c r="H620" s="1">
        <v>0.1</v>
      </c>
    </row>
    <row r="621" spans="1:8" x14ac:dyDescent="0.3">
      <c r="A621" s="1">
        <v>620</v>
      </c>
      <c r="B621" s="1" t="s">
        <v>818</v>
      </c>
      <c r="C621" s="1" t="s">
        <v>228</v>
      </c>
      <c r="D621" s="1"/>
      <c r="E621" s="1">
        <v>14</v>
      </c>
      <c r="F621" s="1">
        <v>0</v>
      </c>
      <c r="G621" s="1">
        <v>0.1</v>
      </c>
      <c r="H621" s="1">
        <v>0.1</v>
      </c>
    </row>
    <row r="622" spans="1:8" x14ac:dyDescent="0.3">
      <c r="A622" s="1">
        <v>621</v>
      </c>
      <c r="B622" s="1" t="s">
        <v>796</v>
      </c>
      <c r="C622" s="1" t="s">
        <v>255</v>
      </c>
      <c r="D622" s="1"/>
      <c r="E622" s="1">
        <v>20.2</v>
      </c>
      <c r="F622" s="1">
        <v>0</v>
      </c>
      <c r="G622" s="1">
        <v>0.1</v>
      </c>
      <c r="H622" s="1">
        <v>0.1</v>
      </c>
    </row>
    <row r="623" spans="1:8" x14ac:dyDescent="0.3">
      <c r="A623" s="1">
        <v>622</v>
      </c>
      <c r="B623" s="1" t="s">
        <v>3155</v>
      </c>
      <c r="C623" s="1" t="s">
        <v>278</v>
      </c>
      <c r="D623" s="1">
        <v>28</v>
      </c>
      <c r="E623" s="1"/>
      <c r="F623" s="1">
        <v>0.1</v>
      </c>
      <c r="H623" s="1">
        <v>0.1</v>
      </c>
    </row>
    <row r="624" spans="1:8" x14ac:dyDescent="0.3">
      <c r="A624" s="1">
        <v>623</v>
      </c>
      <c r="B624" s="1" t="s">
        <v>1741</v>
      </c>
      <c r="C624" s="1" t="s">
        <v>251</v>
      </c>
      <c r="D624" s="1"/>
      <c r="E624" s="1">
        <v>34.200000000000003</v>
      </c>
      <c r="F624" s="1">
        <v>0</v>
      </c>
      <c r="G624" s="1">
        <v>0.1</v>
      </c>
      <c r="H624" s="1">
        <v>0.1</v>
      </c>
    </row>
    <row r="625" spans="1:8" x14ac:dyDescent="0.3">
      <c r="A625" s="1">
        <v>624</v>
      </c>
      <c r="B625" s="1" t="s">
        <v>3268</v>
      </c>
      <c r="C625" s="1" t="s">
        <v>255</v>
      </c>
      <c r="D625" s="1"/>
      <c r="E625" s="1">
        <v>21.1</v>
      </c>
      <c r="F625" s="1">
        <v>0</v>
      </c>
      <c r="G625" s="1">
        <v>0.1</v>
      </c>
      <c r="H625" s="1">
        <v>0.1</v>
      </c>
    </row>
    <row r="626" spans="1:8" x14ac:dyDescent="0.3">
      <c r="A626" s="1">
        <v>625</v>
      </c>
      <c r="B626" s="1" t="s">
        <v>3056</v>
      </c>
      <c r="C626" s="1" t="s">
        <v>221</v>
      </c>
      <c r="D626" s="1">
        <v>71</v>
      </c>
      <c r="E626" s="1"/>
      <c r="F626" s="1">
        <v>0</v>
      </c>
      <c r="H626" s="1">
        <v>0</v>
      </c>
    </row>
    <row r="627" spans="1:8" x14ac:dyDescent="0.3">
      <c r="A627" s="1">
        <v>626</v>
      </c>
      <c r="B627" s="1" t="s">
        <v>3157</v>
      </c>
      <c r="C627" s="1" t="s">
        <v>231</v>
      </c>
      <c r="D627" s="1">
        <v>6</v>
      </c>
      <c r="E627" s="1"/>
      <c r="F627" s="1">
        <v>0</v>
      </c>
      <c r="H627" s="1">
        <v>0</v>
      </c>
    </row>
    <row r="628" spans="1:8" x14ac:dyDescent="0.3">
      <c r="A628" s="1">
        <v>627</v>
      </c>
      <c r="B628" s="1" t="s">
        <v>3084</v>
      </c>
      <c r="C628" s="1" t="s">
        <v>339</v>
      </c>
      <c r="D628" s="1"/>
      <c r="E628" s="1">
        <v>22.1</v>
      </c>
      <c r="F628" s="1">
        <v>0</v>
      </c>
      <c r="G628" s="1">
        <v>0</v>
      </c>
      <c r="H628" s="1">
        <v>0</v>
      </c>
    </row>
    <row r="629" spans="1:8" x14ac:dyDescent="0.3">
      <c r="A629" s="1">
        <v>628</v>
      </c>
      <c r="B629" s="1" t="s">
        <v>682</v>
      </c>
      <c r="C629" s="1" t="s">
        <v>311</v>
      </c>
      <c r="D629" s="1">
        <v>70</v>
      </c>
      <c r="E629" s="1"/>
      <c r="F629" s="1">
        <v>0</v>
      </c>
      <c r="H629" s="1">
        <v>0</v>
      </c>
    </row>
    <row r="630" spans="1:8" x14ac:dyDescent="0.3">
      <c r="A630" s="1">
        <v>629</v>
      </c>
      <c r="B630" s="1" t="s">
        <v>535</v>
      </c>
      <c r="C630" s="1" t="s">
        <v>346</v>
      </c>
      <c r="D630" s="1"/>
      <c r="E630" s="1">
        <v>18.100000000000001</v>
      </c>
      <c r="F630" s="1">
        <v>0</v>
      </c>
      <c r="G630" s="1">
        <v>0</v>
      </c>
      <c r="H630" s="1">
        <v>0</v>
      </c>
    </row>
    <row r="631" spans="1:8" x14ac:dyDescent="0.3">
      <c r="A631" s="1">
        <v>630</v>
      </c>
      <c r="B631" s="1" t="s">
        <v>3086</v>
      </c>
      <c r="C631" s="1" t="s">
        <v>241</v>
      </c>
      <c r="D631" s="1"/>
      <c r="E631" s="1">
        <v>1.1000000000000001</v>
      </c>
      <c r="F631" s="1">
        <v>0</v>
      </c>
      <c r="G631" s="1">
        <v>0</v>
      </c>
      <c r="H631" s="1">
        <v>0</v>
      </c>
    </row>
    <row r="632" spans="1:8" x14ac:dyDescent="0.3">
      <c r="A632" s="1">
        <v>631</v>
      </c>
      <c r="B632" s="1" t="s">
        <v>3377</v>
      </c>
      <c r="C632" s="1" t="s">
        <v>264</v>
      </c>
      <c r="D632" s="1"/>
      <c r="E632" s="1">
        <v>3.1</v>
      </c>
      <c r="F632" s="1">
        <v>0</v>
      </c>
      <c r="G632" s="1">
        <v>0</v>
      </c>
      <c r="H632" s="1">
        <v>0</v>
      </c>
    </row>
    <row r="633" spans="1:8" x14ac:dyDescent="0.3">
      <c r="A633" s="1">
        <v>632</v>
      </c>
      <c r="B633" s="1" t="s">
        <v>3348</v>
      </c>
      <c r="C633" s="1" t="s">
        <v>266</v>
      </c>
      <c r="D633" s="1"/>
      <c r="E633" s="1">
        <v>13</v>
      </c>
      <c r="F633" s="1">
        <v>0</v>
      </c>
      <c r="G633" s="1">
        <v>0</v>
      </c>
      <c r="H633" s="1">
        <v>0</v>
      </c>
    </row>
    <row r="634" spans="1:8" x14ac:dyDescent="0.3">
      <c r="A634" s="1">
        <v>633</v>
      </c>
      <c r="B634" s="1" t="s">
        <v>605</v>
      </c>
      <c r="C634" s="1" t="s">
        <v>224</v>
      </c>
      <c r="D634" s="1"/>
      <c r="E634" s="1">
        <v>19.2</v>
      </c>
      <c r="F634" s="1">
        <v>0</v>
      </c>
      <c r="G634" s="1">
        <v>0</v>
      </c>
      <c r="H634" s="1">
        <v>0</v>
      </c>
    </row>
    <row r="635" spans="1:8" x14ac:dyDescent="0.3">
      <c r="A635" s="1">
        <v>634</v>
      </c>
      <c r="B635" s="1" t="s">
        <v>521</v>
      </c>
      <c r="C635" s="1" t="s">
        <v>244</v>
      </c>
      <c r="D635" s="1"/>
      <c r="E635" s="1">
        <v>13</v>
      </c>
      <c r="F635" s="1">
        <v>0</v>
      </c>
      <c r="G635" s="1">
        <v>0</v>
      </c>
      <c r="H635" s="1">
        <v>0</v>
      </c>
    </row>
    <row r="636" spans="1:8" x14ac:dyDescent="0.3">
      <c r="A636" s="1">
        <v>635</v>
      </c>
      <c r="B636" s="1" t="s">
        <v>3363</v>
      </c>
      <c r="C636" s="1" t="s">
        <v>235</v>
      </c>
      <c r="D636" s="1"/>
      <c r="E636" s="1">
        <v>1</v>
      </c>
      <c r="F636" s="1">
        <v>0</v>
      </c>
      <c r="G636" s="1">
        <v>0</v>
      </c>
      <c r="H636" s="1">
        <v>0</v>
      </c>
    </row>
    <row r="637" spans="1:8" x14ac:dyDescent="0.3">
      <c r="A637" s="1">
        <v>636</v>
      </c>
      <c r="B637" s="1" t="s">
        <v>754</v>
      </c>
      <c r="C637" s="1" t="s">
        <v>311</v>
      </c>
      <c r="D637" s="1">
        <v>33</v>
      </c>
      <c r="E637" s="1"/>
      <c r="F637" s="1">
        <v>0</v>
      </c>
      <c r="H637" s="1">
        <v>0</v>
      </c>
    </row>
    <row r="638" spans="1:8" x14ac:dyDescent="0.3">
      <c r="A638" s="1">
        <v>637</v>
      </c>
      <c r="B638" s="1" t="s">
        <v>3362</v>
      </c>
      <c r="C638" s="1" t="s">
        <v>226</v>
      </c>
      <c r="D638" s="1"/>
      <c r="E638" s="1">
        <v>1.2</v>
      </c>
      <c r="F638" s="1">
        <v>0</v>
      </c>
      <c r="G638" s="1">
        <v>0</v>
      </c>
      <c r="H638" s="1">
        <v>0</v>
      </c>
    </row>
    <row r="639" spans="1:8" x14ac:dyDescent="0.3">
      <c r="A639" s="1">
        <v>638</v>
      </c>
      <c r="B639" s="1" t="s">
        <v>481</v>
      </c>
      <c r="C639" s="1" t="s">
        <v>248</v>
      </c>
      <c r="D639" s="1"/>
      <c r="E639" s="1">
        <v>21.1</v>
      </c>
      <c r="F639" s="1">
        <v>0</v>
      </c>
      <c r="G639" s="1">
        <v>0</v>
      </c>
      <c r="H639" s="1">
        <v>0</v>
      </c>
    </row>
    <row r="640" spans="1:8" x14ac:dyDescent="0.3">
      <c r="A640" s="1">
        <v>639</v>
      </c>
      <c r="B640" s="1" t="s">
        <v>970</v>
      </c>
      <c r="C640" s="1" t="s">
        <v>243</v>
      </c>
      <c r="D640" s="1"/>
      <c r="E640" s="1">
        <v>57.1</v>
      </c>
      <c r="F640" s="1">
        <v>0</v>
      </c>
      <c r="G640" s="1">
        <v>0</v>
      </c>
      <c r="H640" s="1">
        <v>0</v>
      </c>
    </row>
    <row r="641" spans="1:8" x14ac:dyDescent="0.3">
      <c r="A641" s="1">
        <v>640</v>
      </c>
      <c r="B641" s="1" t="s">
        <v>3371</v>
      </c>
      <c r="C641" s="1" t="s">
        <v>270</v>
      </c>
      <c r="D641" s="1"/>
      <c r="E641" s="1">
        <v>5.0999999999999996</v>
      </c>
      <c r="F641" s="1">
        <v>0</v>
      </c>
      <c r="G641" s="1">
        <v>0</v>
      </c>
      <c r="H641" s="1">
        <v>0</v>
      </c>
    </row>
    <row r="642" spans="1:8" x14ac:dyDescent="0.3">
      <c r="A642" s="1">
        <v>641</v>
      </c>
      <c r="B642" s="1" t="s">
        <v>3282</v>
      </c>
      <c r="C642" s="1" t="s">
        <v>325</v>
      </c>
      <c r="D642" s="1"/>
      <c r="E642" s="1">
        <v>11.2</v>
      </c>
      <c r="F642" s="1">
        <v>0</v>
      </c>
      <c r="G642" s="1">
        <v>0</v>
      </c>
      <c r="H642" s="1">
        <v>0</v>
      </c>
    </row>
    <row r="643" spans="1:8" x14ac:dyDescent="0.3">
      <c r="A643" s="1">
        <v>642</v>
      </c>
      <c r="B643" s="1" t="s">
        <v>847</v>
      </c>
      <c r="C643" s="1" t="s">
        <v>246</v>
      </c>
      <c r="D643" s="1">
        <v>76</v>
      </c>
      <c r="E643" s="1"/>
      <c r="F643" s="1">
        <v>0</v>
      </c>
      <c r="H643" s="1">
        <v>0</v>
      </c>
    </row>
    <row r="644" spans="1:8" x14ac:dyDescent="0.3">
      <c r="A644" s="1">
        <v>643</v>
      </c>
      <c r="B644" s="1" t="s">
        <v>3369</v>
      </c>
      <c r="C644" s="1" t="s">
        <v>286</v>
      </c>
      <c r="D644" s="1"/>
      <c r="E644" s="1">
        <v>1.1000000000000001</v>
      </c>
      <c r="F644" s="1">
        <v>0</v>
      </c>
      <c r="G644" s="1">
        <v>0</v>
      </c>
      <c r="H644" s="1">
        <v>0</v>
      </c>
    </row>
    <row r="645" spans="1:8" x14ac:dyDescent="0.3">
      <c r="A645" s="1">
        <v>644</v>
      </c>
      <c r="B645" s="1" t="s">
        <v>3587</v>
      </c>
      <c r="C645" s="1" t="s">
        <v>246</v>
      </c>
      <c r="D645" s="1"/>
      <c r="E645" s="1">
        <v>14</v>
      </c>
      <c r="F645" s="1">
        <v>0</v>
      </c>
      <c r="G645" s="1">
        <v>0</v>
      </c>
      <c r="H645" s="1">
        <v>0</v>
      </c>
    </row>
    <row r="646" spans="1:8" x14ac:dyDescent="0.3">
      <c r="A646" s="1">
        <v>645</v>
      </c>
      <c r="B646" s="1" t="s">
        <v>645</v>
      </c>
      <c r="C646" s="1" t="s">
        <v>392</v>
      </c>
      <c r="D646" s="1">
        <v>30</v>
      </c>
      <c r="E646" s="1"/>
      <c r="F646" s="1">
        <v>0</v>
      </c>
      <c r="H646" s="1">
        <v>0</v>
      </c>
    </row>
    <row r="647" spans="1:8" x14ac:dyDescent="0.3">
      <c r="A647" s="1">
        <v>646</v>
      </c>
      <c r="B647" s="1" t="s">
        <v>547</v>
      </c>
      <c r="C647" s="1" t="s">
        <v>392</v>
      </c>
      <c r="D647" s="1"/>
      <c r="E647" s="1">
        <v>24.1</v>
      </c>
      <c r="F647" s="1">
        <v>0</v>
      </c>
      <c r="G647" s="1">
        <v>0</v>
      </c>
      <c r="H647" s="1">
        <v>0</v>
      </c>
    </row>
    <row r="648" spans="1:8" x14ac:dyDescent="0.3">
      <c r="A648" s="1">
        <v>647</v>
      </c>
      <c r="B648" s="1" t="s">
        <v>3588</v>
      </c>
      <c r="C648" s="1" t="s">
        <v>255</v>
      </c>
      <c r="D648" s="1"/>
      <c r="E648" s="1">
        <v>1</v>
      </c>
      <c r="F648" s="1">
        <v>0</v>
      </c>
      <c r="G648" s="1">
        <v>0</v>
      </c>
      <c r="H648" s="1">
        <v>0</v>
      </c>
    </row>
    <row r="649" spans="1:8" x14ac:dyDescent="0.3">
      <c r="A649" s="1">
        <v>648</v>
      </c>
      <c r="B649" s="1" t="s">
        <v>742</v>
      </c>
      <c r="C649" s="1" t="s">
        <v>264</v>
      </c>
      <c r="D649" s="1"/>
      <c r="E649" s="1">
        <v>19.100000000000001</v>
      </c>
      <c r="F649" s="1">
        <v>0</v>
      </c>
      <c r="G649" s="1">
        <v>0</v>
      </c>
      <c r="H649" s="1">
        <v>0</v>
      </c>
    </row>
    <row r="650" spans="1:8" x14ac:dyDescent="0.3">
      <c r="A650" s="1">
        <v>649</v>
      </c>
      <c r="B650" s="1" t="s">
        <v>3072</v>
      </c>
      <c r="C650" s="1" t="s">
        <v>241</v>
      </c>
      <c r="D650" s="1">
        <v>41</v>
      </c>
      <c r="E650" s="1"/>
      <c r="F650" s="1">
        <v>0</v>
      </c>
      <c r="H650" s="1">
        <v>0</v>
      </c>
    </row>
    <row r="651" spans="1:8" x14ac:dyDescent="0.3">
      <c r="A651" s="1">
        <v>650</v>
      </c>
      <c r="B651" s="1" t="s">
        <v>760</v>
      </c>
      <c r="C651" s="1" t="s">
        <v>221</v>
      </c>
      <c r="D651" s="1"/>
      <c r="E651" s="1">
        <v>21</v>
      </c>
      <c r="F651" s="1">
        <v>0</v>
      </c>
      <c r="G651" s="1">
        <v>0</v>
      </c>
      <c r="H651" s="1">
        <v>0</v>
      </c>
    </row>
    <row r="652" spans="1:8" x14ac:dyDescent="0.3">
      <c r="A652" s="1">
        <v>651</v>
      </c>
      <c r="B652" s="1" t="s">
        <v>2024</v>
      </c>
      <c r="C652" s="1" t="s">
        <v>274</v>
      </c>
      <c r="D652" s="1"/>
      <c r="E652" s="1">
        <v>28</v>
      </c>
      <c r="F652" s="1">
        <v>0</v>
      </c>
      <c r="G652" s="1">
        <v>0</v>
      </c>
      <c r="H652" s="1">
        <v>0</v>
      </c>
    </row>
    <row r="653" spans="1:8" x14ac:dyDescent="0.3">
      <c r="A653" s="1">
        <v>652</v>
      </c>
      <c r="B653" s="1" t="s">
        <v>295</v>
      </c>
      <c r="C653" s="1" t="s">
        <v>235</v>
      </c>
      <c r="D653" s="1">
        <v>200</v>
      </c>
      <c r="E653" s="1"/>
      <c r="F653" s="1">
        <v>0</v>
      </c>
      <c r="H653" s="1">
        <v>0</v>
      </c>
    </row>
    <row r="654" spans="1:8" x14ac:dyDescent="0.3">
      <c r="A654" s="1">
        <v>653</v>
      </c>
      <c r="B654" s="1" t="s">
        <v>591</v>
      </c>
      <c r="C654" s="1" t="s">
        <v>234</v>
      </c>
      <c r="D654" s="1"/>
      <c r="E654" s="1">
        <v>16</v>
      </c>
      <c r="F654" s="1">
        <v>0</v>
      </c>
      <c r="G654" s="1">
        <v>0</v>
      </c>
      <c r="H654" s="1">
        <v>0</v>
      </c>
    </row>
    <row r="655" spans="1:8" x14ac:dyDescent="0.3">
      <c r="A655" s="1">
        <v>654</v>
      </c>
      <c r="B655" s="1" t="s">
        <v>2203</v>
      </c>
      <c r="C655" s="1" t="s">
        <v>325</v>
      </c>
      <c r="D655" s="1">
        <v>16</v>
      </c>
      <c r="E655" s="1"/>
      <c r="F655" s="1">
        <v>0</v>
      </c>
      <c r="H655" s="1">
        <v>0</v>
      </c>
    </row>
    <row r="656" spans="1:8" x14ac:dyDescent="0.3">
      <c r="A656" s="1">
        <v>655</v>
      </c>
      <c r="B656" s="1" t="s">
        <v>3360</v>
      </c>
      <c r="C656" s="1" t="s">
        <v>287</v>
      </c>
      <c r="D656" s="1"/>
      <c r="E656" s="1">
        <v>2.1</v>
      </c>
      <c r="F656" s="1">
        <v>0</v>
      </c>
      <c r="G656" s="1">
        <v>0</v>
      </c>
      <c r="H656" s="1">
        <v>0</v>
      </c>
    </row>
    <row r="657" spans="1:8" x14ac:dyDescent="0.3">
      <c r="A657" s="1">
        <v>656</v>
      </c>
      <c r="B657" s="1" t="s">
        <v>3059</v>
      </c>
      <c r="C657" s="1" t="s">
        <v>270</v>
      </c>
      <c r="D657" s="1"/>
      <c r="E657" s="1">
        <v>7</v>
      </c>
      <c r="F657" s="1">
        <v>0</v>
      </c>
      <c r="G657" s="1">
        <v>0</v>
      </c>
      <c r="H657" s="1">
        <v>0</v>
      </c>
    </row>
    <row r="658" spans="1:8" x14ac:dyDescent="0.3">
      <c r="A658" s="1">
        <v>657</v>
      </c>
      <c r="B658" s="1" t="s">
        <v>3367</v>
      </c>
      <c r="C658" s="1" t="s">
        <v>234</v>
      </c>
      <c r="D658" s="1"/>
      <c r="E658" s="1">
        <v>1.1000000000000001</v>
      </c>
      <c r="F658" s="1">
        <v>0</v>
      </c>
      <c r="G658" s="1">
        <v>0</v>
      </c>
      <c r="H658" s="1">
        <v>0</v>
      </c>
    </row>
    <row r="659" spans="1:8" x14ac:dyDescent="0.3">
      <c r="A659" s="1">
        <v>658</v>
      </c>
      <c r="B659" s="1" t="s">
        <v>541</v>
      </c>
      <c r="C659" s="1" t="s">
        <v>226</v>
      </c>
      <c r="D659" s="1">
        <v>1</v>
      </c>
      <c r="E659" s="1">
        <v>23</v>
      </c>
      <c r="F659" s="1">
        <v>0</v>
      </c>
      <c r="G659" s="1">
        <v>0</v>
      </c>
      <c r="H659" s="1">
        <v>0</v>
      </c>
    </row>
    <row r="660" spans="1:8" x14ac:dyDescent="0.3">
      <c r="A660" s="1">
        <v>659</v>
      </c>
      <c r="B660" s="1" t="s">
        <v>3014</v>
      </c>
      <c r="C660" s="1" t="s">
        <v>339</v>
      </c>
      <c r="D660" s="1"/>
      <c r="E660" s="1">
        <v>9</v>
      </c>
      <c r="F660" s="1">
        <v>0</v>
      </c>
      <c r="G660" s="1">
        <v>0</v>
      </c>
      <c r="H660" s="1">
        <v>0</v>
      </c>
    </row>
    <row r="661" spans="1:8" x14ac:dyDescent="0.3">
      <c r="A661" s="1">
        <v>660</v>
      </c>
      <c r="B661" s="1" t="s">
        <v>3370</v>
      </c>
      <c r="C661" s="1" t="s">
        <v>266</v>
      </c>
      <c r="D661" s="1"/>
      <c r="E661" s="1">
        <v>8.1999999999999993</v>
      </c>
      <c r="F661" s="1">
        <v>0</v>
      </c>
      <c r="G661" s="1">
        <v>0</v>
      </c>
      <c r="H661" s="1">
        <v>0</v>
      </c>
    </row>
    <row r="662" spans="1:8" x14ac:dyDescent="0.3">
      <c r="A662" s="1">
        <v>661</v>
      </c>
      <c r="B662" s="1" t="s">
        <v>3365</v>
      </c>
      <c r="C662" s="1" t="s">
        <v>221</v>
      </c>
      <c r="D662" s="1"/>
      <c r="E662" s="1">
        <v>2</v>
      </c>
      <c r="F662" s="1">
        <v>0</v>
      </c>
      <c r="G662" s="1">
        <v>0</v>
      </c>
      <c r="H662" s="1">
        <v>0</v>
      </c>
    </row>
    <row r="663" spans="1:8" x14ac:dyDescent="0.3">
      <c r="A663" s="1">
        <v>662</v>
      </c>
      <c r="B663" s="1" t="s">
        <v>3589</v>
      </c>
      <c r="C663" s="1" t="s">
        <v>246</v>
      </c>
      <c r="D663" s="1"/>
      <c r="E663" s="1">
        <v>2.2000000000000002</v>
      </c>
      <c r="F663" s="1">
        <v>0</v>
      </c>
      <c r="G663" s="1">
        <v>0</v>
      </c>
      <c r="H663" s="1">
        <v>0</v>
      </c>
    </row>
    <row r="664" spans="1:8" x14ac:dyDescent="0.3">
      <c r="A664" s="1">
        <v>663</v>
      </c>
      <c r="B664" s="1" t="s">
        <v>291</v>
      </c>
      <c r="C664" s="1" t="s">
        <v>239</v>
      </c>
      <c r="D664" s="1">
        <v>145</v>
      </c>
      <c r="E664" s="1"/>
      <c r="F664" s="1">
        <v>0</v>
      </c>
      <c r="H664" s="1">
        <v>0</v>
      </c>
    </row>
    <row r="665" spans="1:8" x14ac:dyDescent="0.3">
      <c r="A665" s="1">
        <v>664</v>
      </c>
      <c r="B665" s="1" t="s">
        <v>3161</v>
      </c>
      <c r="C665" s="1" t="s">
        <v>392</v>
      </c>
      <c r="D665" s="1">
        <v>2</v>
      </c>
      <c r="E665" s="1"/>
      <c r="F665" s="1">
        <v>0</v>
      </c>
      <c r="H665" s="1">
        <v>0</v>
      </c>
    </row>
    <row r="666" spans="1:8" x14ac:dyDescent="0.3">
      <c r="A666" s="1">
        <v>665</v>
      </c>
      <c r="B666" s="1" t="s">
        <v>355</v>
      </c>
      <c r="C666" s="1" t="s">
        <v>278</v>
      </c>
      <c r="D666" s="1"/>
      <c r="E666" s="1">
        <v>42</v>
      </c>
      <c r="F666" s="1">
        <v>0</v>
      </c>
      <c r="G666" s="1">
        <v>0</v>
      </c>
      <c r="H666" s="1">
        <v>0</v>
      </c>
    </row>
    <row r="667" spans="1:8" x14ac:dyDescent="0.3">
      <c r="A667" s="1">
        <v>666</v>
      </c>
      <c r="B667" s="1" t="s">
        <v>628</v>
      </c>
      <c r="C667" s="1" t="s">
        <v>346</v>
      </c>
      <c r="D667" s="1"/>
      <c r="E667" s="1">
        <v>4.0999999999999996</v>
      </c>
      <c r="F667" s="1">
        <v>0</v>
      </c>
      <c r="G667" s="1">
        <v>0</v>
      </c>
      <c r="H667" s="1">
        <v>0</v>
      </c>
    </row>
    <row r="668" spans="1:8" x14ac:dyDescent="0.3">
      <c r="A668" s="1">
        <v>667</v>
      </c>
      <c r="B668" s="1" t="s">
        <v>3201</v>
      </c>
      <c r="C668" s="1" t="s">
        <v>248</v>
      </c>
      <c r="D668" s="1"/>
      <c r="E668" s="1">
        <v>3.1</v>
      </c>
      <c r="F668" s="1">
        <v>0</v>
      </c>
      <c r="G668" s="1">
        <v>0</v>
      </c>
      <c r="H668" s="1">
        <v>0</v>
      </c>
    </row>
    <row r="669" spans="1:8" x14ac:dyDescent="0.3">
      <c r="A669" s="1">
        <v>668</v>
      </c>
      <c r="B669" s="1" t="s">
        <v>3331</v>
      </c>
      <c r="C669" s="1" t="s">
        <v>235</v>
      </c>
      <c r="D669" s="1">
        <v>2</v>
      </c>
      <c r="E669" s="1"/>
      <c r="F669" s="1">
        <v>0</v>
      </c>
      <c r="H669" s="1">
        <v>0</v>
      </c>
    </row>
    <row r="670" spans="1:8" x14ac:dyDescent="0.3">
      <c r="A670" s="1">
        <v>669</v>
      </c>
      <c r="B670" s="1" t="s">
        <v>3185</v>
      </c>
      <c r="C670" s="1" t="s">
        <v>392</v>
      </c>
      <c r="D670" s="1"/>
      <c r="E670" s="1">
        <v>2.1</v>
      </c>
      <c r="F670" s="1">
        <v>0</v>
      </c>
      <c r="G670" s="1">
        <v>0</v>
      </c>
      <c r="H670" s="1">
        <v>0</v>
      </c>
    </row>
    <row r="671" spans="1:8" x14ac:dyDescent="0.3">
      <c r="A671" s="1">
        <v>670</v>
      </c>
      <c r="B671" s="1" t="s">
        <v>862</v>
      </c>
      <c r="C671" s="1" t="s">
        <v>224</v>
      </c>
      <c r="D671" s="1"/>
      <c r="E671" s="1">
        <v>27.2</v>
      </c>
      <c r="F671" s="1">
        <v>0</v>
      </c>
      <c r="G671" s="1">
        <v>0</v>
      </c>
      <c r="H671" s="1">
        <v>0</v>
      </c>
    </row>
    <row r="672" spans="1:8" x14ac:dyDescent="0.3">
      <c r="A672" s="1">
        <v>671</v>
      </c>
      <c r="B672" s="1" t="s">
        <v>3177</v>
      </c>
      <c r="C672" s="1" t="s">
        <v>251</v>
      </c>
      <c r="D672" s="1"/>
      <c r="E672" s="1">
        <v>2</v>
      </c>
      <c r="F672" s="1">
        <v>0</v>
      </c>
      <c r="G672" s="1">
        <v>0</v>
      </c>
      <c r="H672" s="1">
        <v>0</v>
      </c>
    </row>
    <row r="673" spans="1:8" x14ac:dyDescent="0.3">
      <c r="A673" s="1">
        <v>672</v>
      </c>
      <c r="B673" s="1" t="s">
        <v>3191</v>
      </c>
      <c r="C673" s="1" t="s">
        <v>278</v>
      </c>
      <c r="D673" s="1"/>
      <c r="E673" s="1">
        <v>3</v>
      </c>
      <c r="F673" s="1">
        <v>0</v>
      </c>
      <c r="G673" s="1">
        <v>0</v>
      </c>
      <c r="H673" s="1">
        <v>0</v>
      </c>
    </row>
    <row r="674" spans="1:8" x14ac:dyDescent="0.3">
      <c r="A674" s="1">
        <v>673</v>
      </c>
      <c r="B674" s="1" t="s">
        <v>3368</v>
      </c>
      <c r="C674" s="1" t="s">
        <v>224</v>
      </c>
      <c r="D674" s="1"/>
      <c r="E674" s="1">
        <v>1</v>
      </c>
      <c r="F674" s="1">
        <v>0</v>
      </c>
      <c r="G674" s="1">
        <v>0</v>
      </c>
      <c r="H674" s="1">
        <v>0</v>
      </c>
    </row>
    <row r="675" spans="1:8" x14ac:dyDescent="0.3">
      <c r="A675" s="1">
        <v>674</v>
      </c>
      <c r="B675" s="1" t="s">
        <v>3186</v>
      </c>
      <c r="C675" s="1" t="s">
        <v>228</v>
      </c>
      <c r="D675" s="1"/>
      <c r="E675" s="1">
        <v>1.1000000000000001</v>
      </c>
      <c r="F675" s="1">
        <v>0</v>
      </c>
      <c r="G675" s="1">
        <v>0</v>
      </c>
      <c r="H675" s="1">
        <v>0</v>
      </c>
    </row>
    <row r="676" spans="1:8" x14ac:dyDescent="0.3">
      <c r="A676" s="1">
        <v>675</v>
      </c>
      <c r="B676" s="1" t="s">
        <v>3011</v>
      </c>
      <c r="C676" s="1" t="s">
        <v>287</v>
      </c>
      <c r="D676" s="1"/>
      <c r="E676" s="1">
        <v>17.2</v>
      </c>
      <c r="F676" s="1">
        <v>0</v>
      </c>
      <c r="G676" s="1">
        <v>0</v>
      </c>
      <c r="H676" s="1">
        <v>0</v>
      </c>
    </row>
    <row r="677" spans="1:8" x14ac:dyDescent="0.3">
      <c r="A677" s="1">
        <v>676</v>
      </c>
      <c r="B677" s="1" t="s">
        <v>759</v>
      </c>
      <c r="C677" s="1" t="s">
        <v>278</v>
      </c>
      <c r="D677" s="1"/>
      <c r="E677" s="1">
        <v>13</v>
      </c>
      <c r="F677" s="1">
        <v>0</v>
      </c>
      <c r="G677" s="1">
        <v>0</v>
      </c>
      <c r="H677" s="1">
        <v>0</v>
      </c>
    </row>
    <row r="678" spans="1:8" x14ac:dyDescent="0.3">
      <c r="A678" s="1">
        <v>677</v>
      </c>
      <c r="B678" s="1" t="s">
        <v>3236</v>
      </c>
      <c r="C678" s="1" t="s">
        <v>243</v>
      </c>
      <c r="D678" s="1">
        <v>2</v>
      </c>
      <c r="E678" s="1"/>
      <c r="F678" s="1">
        <v>0</v>
      </c>
      <c r="H678" s="1">
        <v>0</v>
      </c>
    </row>
    <row r="679" spans="1:8" x14ac:dyDescent="0.3">
      <c r="A679" s="1">
        <v>678</v>
      </c>
      <c r="B679" s="1" t="s">
        <v>1759</v>
      </c>
      <c r="C679" s="1" t="s">
        <v>244</v>
      </c>
      <c r="D679" s="1"/>
      <c r="E679" s="1">
        <v>3</v>
      </c>
      <c r="F679" s="1">
        <v>0</v>
      </c>
      <c r="G679" s="1">
        <v>0</v>
      </c>
      <c r="H679" s="1">
        <v>0</v>
      </c>
    </row>
    <row r="680" spans="1:8" x14ac:dyDescent="0.3">
      <c r="A680" s="1">
        <v>679</v>
      </c>
      <c r="B680" s="1" t="s">
        <v>3381</v>
      </c>
      <c r="C680" s="1" t="s">
        <v>248</v>
      </c>
      <c r="D680" s="1"/>
      <c r="E680" s="1">
        <v>3</v>
      </c>
      <c r="F680" s="1">
        <v>0</v>
      </c>
      <c r="G680" s="1">
        <v>0</v>
      </c>
      <c r="H680" s="1">
        <v>0</v>
      </c>
    </row>
    <row r="681" spans="1:8" x14ac:dyDescent="0.3">
      <c r="A681" s="1">
        <v>680</v>
      </c>
      <c r="B681" s="1" t="s">
        <v>725</v>
      </c>
      <c r="C681" s="1" t="s">
        <v>325</v>
      </c>
      <c r="D681" s="1"/>
      <c r="E681" s="1">
        <v>17.100000000000001</v>
      </c>
      <c r="F681" s="1">
        <v>0</v>
      </c>
      <c r="G681" s="1">
        <v>0</v>
      </c>
      <c r="H681" s="1">
        <v>0</v>
      </c>
    </row>
    <row r="682" spans="1:8" x14ac:dyDescent="0.3">
      <c r="A682" s="1">
        <v>681</v>
      </c>
      <c r="B682" s="1" t="s">
        <v>3590</v>
      </c>
      <c r="C682" s="1" t="s">
        <v>325</v>
      </c>
      <c r="D682" s="1"/>
      <c r="E682" s="1">
        <v>3</v>
      </c>
      <c r="F682" s="1">
        <v>0</v>
      </c>
      <c r="G682" s="1">
        <v>0</v>
      </c>
      <c r="H682" s="1">
        <v>0</v>
      </c>
    </row>
    <row r="683" spans="1:8" x14ac:dyDescent="0.3">
      <c r="A683" s="1">
        <v>682</v>
      </c>
      <c r="B683" s="1" t="s">
        <v>3260</v>
      </c>
      <c r="C683" s="1" t="s">
        <v>287</v>
      </c>
      <c r="D683" s="1"/>
      <c r="E683" s="1">
        <v>2</v>
      </c>
      <c r="F683" s="1">
        <v>0</v>
      </c>
      <c r="G683" s="1">
        <v>0</v>
      </c>
      <c r="H683" s="1">
        <v>0</v>
      </c>
    </row>
    <row r="684" spans="1:8" x14ac:dyDescent="0.3">
      <c r="A684" s="1">
        <v>683</v>
      </c>
      <c r="B684" s="1" t="s">
        <v>795</v>
      </c>
      <c r="C684" s="1" t="s">
        <v>246</v>
      </c>
      <c r="D684" s="1"/>
      <c r="E684" s="1">
        <v>22.1</v>
      </c>
      <c r="F684" s="1">
        <v>0</v>
      </c>
      <c r="G684" s="1">
        <v>0</v>
      </c>
      <c r="H684" s="1">
        <v>0</v>
      </c>
    </row>
    <row r="685" spans="1:8" x14ac:dyDescent="0.3">
      <c r="A685" s="1">
        <v>684</v>
      </c>
      <c r="B685" s="1" t="s">
        <v>3060</v>
      </c>
      <c r="C685" s="1" t="s">
        <v>286</v>
      </c>
      <c r="D685" s="1"/>
      <c r="E685" s="1">
        <v>8</v>
      </c>
      <c r="F685" s="1">
        <v>0</v>
      </c>
      <c r="G685" s="1">
        <v>0</v>
      </c>
      <c r="H685" s="1">
        <v>0</v>
      </c>
    </row>
    <row r="686" spans="1:8" x14ac:dyDescent="0.3">
      <c r="A686" s="1">
        <v>685</v>
      </c>
      <c r="B686" s="1" t="s">
        <v>3275</v>
      </c>
      <c r="C686" s="1" t="s">
        <v>339</v>
      </c>
      <c r="D686" s="1"/>
      <c r="E686" s="1">
        <v>3.2</v>
      </c>
      <c r="F686" s="1">
        <v>0</v>
      </c>
      <c r="G686" s="1">
        <v>0</v>
      </c>
      <c r="H686" s="1">
        <v>0</v>
      </c>
    </row>
    <row r="687" spans="1:8" x14ac:dyDescent="0.3">
      <c r="A687" s="1">
        <v>686</v>
      </c>
      <c r="B687" s="1" t="s">
        <v>3334</v>
      </c>
      <c r="C687" s="1" t="s">
        <v>234</v>
      </c>
      <c r="D687" s="1">
        <v>3</v>
      </c>
      <c r="E687" s="1"/>
      <c r="F687" s="1">
        <v>0</v>
      </c>
      <c r="H687" s="1">
        <v>0</v>
      </c>
    </row>
    <row r="688" spans="1:8" x14ac:dyDescent="0.3">
      <c r="A688" s="1">
        <v>687</v>
      </c>
      <c r="B688" s="1" t="s">
        <v>752</v>
      </c>
      <c r="C688" s="1" t="s">
        <v>251</v>
      </c>
      <c r="D688" s="1"/>
      <c r="E688" s="1">
        <v>18.100000000000001</v>
      </c>
      <c r="F688" s="1">
        <v>0</v>
      </c>
      <c r="G688" s="1">
        <v>0</v>
      </c>
      <c r="H688" s="1">
        <v>0</v>
      </c>
    </row>
    <row r="689" spans="1:8" x14ac:dyDescent="0.3">
      <c r="A689" s="1">
        <v>688</v>
      </c>
      <c r="B689" s="1" t="s">
        <v>460</v>
      </c>
      <c r="C689" s="1" t="s">
        <v>251</v>
      </c>
      <c r="D689" s="1">
        <v>115</v>
      </c>
      <c r="E689" s="1"/>
      <c r="F689" s="1">
        <v>0</v>
      </c>
      <c r="H689" s="1">
        <v>0</v>
      </c>
    </row>
    <row r="690" spans="1:8" x14ac:dyDescent="0.3">
      <c r="A690" s="1">
        <v>689</v>
      </c>
      <c r="B690" s="1" t="s">
        <v>3333</v>
      </c>
      <c r="C690" s="1" t="s">
        <v>392</v>
      </c>
      <c r="D690" s="1">
        <v>14</v>
      </c>
      <c r="E690" s="1"/>
      <c r="F690" s="1">
        <v>0</v>
      </c>
      <c r="H690" s="1">
        <v>0</v>
      </c>
    </row>
    <row r="691" spans="1:8" x14ac:dyDescent="0.3">
      <c r="A691" s="1">
        <v>690</v>
      </c>
      <c r="B691" s="1" t="s">
        <v>564</v>
      </c>
      <c r="C691" s="1" t="s">
        <v>287</v>
      </c>
      <c r="D691" s="1"/>
      <c r="E691" s="1">
        <v>26.1</v>
      </c>
      <c r="F691" s="1">
        <v>0</v>
      </c>
      <c r="G691" s="1">
        <v>0</v>
      </c>
      <c r="H691" s="1">
        <v>0</v>
      </c>
    </row>
    <row r="692" spans="1:8" x14ac:dyDescent="0.3">
      <c r="A692" s="1">
        <v>691</v>
      </c>
      <c r="B692" s="1" t="s">
        <v>3320</v>
      </c>
      <c r="C692" s="1" t="s">
        <v>221</v>
      </c>
      <c r="D692" s="1">
        <v>32</v>
      </c>
      <c r="E692" s="1">
        <v>1</v>
      </c>
      <c r="F692" s="1">
        <v>0</v>
      </c>
      <c r="G692" s="1">
        <v>0</v>
      </c>
      <c r="H692" s="1">
        <v>0</v>
      </c>
    </row>
    <row r="693" spans="1:8" x14ac:dyDescent="0.3">
      <c r="A693" s="1">
        <v>692</v>
      </c>
      <c r="B693" s="1" t="s">
        <v>626</v>
      </c>
      <c r="C693" s="1" t="s">
        <v>274</v>
      </c>
      <c r="D693" s="1"/>
      <c r="E693" s="1">
        <v>9</v>
      </c>
      <c r="F693" s="1">
        <v>0</v>
      </c>
      <c r="G693" s="1">
        <v>0</v>
      </c>
      <c r="H693" s="1">
        <v>0</v>
      </c>
    </row>
    <row r="694" spans="1:8" x14ac:dyDescent="0.3">
      <c r="A694" s="1">
        <v>693</v>
      </c>
      <c r="B694" s="1" t="s">
        <v>3131</v>
      </c>
      <c r="C694" s="1" t="s">
        <v>239</v>
      </c>
      <c r="D694" s="1"/>
      <c r="E694" s="1">
        <v>0.1</v>
      </c>
      <c r="F694" s="1">
        <v>0</v>
      </c>
      <c r="G694" s="1">
        <v>0</v>
      </c>
      <c r="H694" s="1">
        <v>0</v>
      </c>
    </row>
    <row r="695" spans="1:8" x14ac:dyDescent="0.3">
      <c r="A695" s="1">
        <v>694</v>
      </c>
      <c r="B695" s="1" t="s">
        <v>3068</v>
      </c>
      <c r="C695" s="1" t="s">
        <v>270</v>
      </c>
      <c r="D695" s="1"/>
      <c r="E695" s="1">
        <v>31.2</v>
      </c>
      <c r="F695" s="1">
        <v>0</v>
      </c>
      <c r="G695" s="1">
        <v>0</v>
      </c>
      <c r="H695" s="1">
        <v>0</v>
      </c>
    </row>
    <row r="696" spans="1:8" x14ac:dyDescent="0.3">
      <c r="A696" s="1">
        <v>695</v>
      </c>
      <c r="B696" s="1" t="s">
        <v>3257</v>
      </c>
      <c r="C696" s="1" t="s">
        <v>224</v>
      </c>
      <c r="D696" s="1"/>
      <c r="E696" s="1">
        <v>21</v>
      </c>
      <c r="F696" s="1">
        <v>0</v>
      </c>
      <c r="G696" s="1">
        <v>0</v>
      </c>
      <c r="H696" s="1">
        <v>0</v>
      </c>
    </row>
    <row r="697" spans="1:8" x14ac:dyDescent="0.3">
      <c r="A697" s="1">
        <v>696</v>
      </c>
      <c r="B697" s="1" t="s">
        <v>3351</v>
      </c>
      <c r="C697" s="1" t="s">
        <v>270</v>
      </c>
      <c r="D697" s="1"/>
      <c r="E697" s="1">
        <v>1</v>
      </c>
      <c r="F697" s="1">
        <v>0</v>
      </c>
      <c r="G697" s="1">
        <v>0</v>
      </c>
      <c r="H697" s="1">
        <v>0</v>
      </c>
    </row>
    <row r="698" spans="1:8" x14ac:dyDescent="0.3">
      <c r="A698" s="1">
        <v>697</v>
      </c>
      <c r="B698" s="1" t="s">
        <v>435</v>
      </c>
      <c r="C698" s="1" t="s">
        <v>339</v>
      </c>
      <c r="D698" s="1">
        <v>10</v>
      </c>
      <c r="E698" s="1"/>
      <c r="F698" s="1">
        <v>0</v>
      </c>
      <c r="H698" s="1">
        <v>0</v>
      </c>
    </row>
    <row r="699" spans="1:8" x14ac:dyDescent="0.3">
      <c r="A699" s="1">
        <v>698</v>
      </c>
      <c r="B699" s="1" t="s">
        <v>1246</v>
      </c>
      <c r="C699" s="1" t="s">
        <v>228</v>
      </c>
      <c r="D699" s="1">
        <v>21</v>
      </c>
      <c r="E699" s="1"/>
      <c r="F699" s="1">
        <v>0</v>
      </c>
      <c r="H699" s="1">
        <v>0</v>
      </c>
    </row>
    <row r="700" spans="1:8" x14ac:dyDescent="0.3">
      <c r="A700" s="1">
        <v>699</v>
      </c>
      <c r="B700" s="1" t="s">
        <v>822</v>
      </c>
      <c r="C700" s="1" t="s">
        <v>234</v>
      </c>
      <c r="D700" s="1"/>
      <c r="E700" s="1">
        <v>18</v>
      </c>
      <c r="F700" s="1">
        <v>0</v>
      </c>
      <c r="G700" s="1">
        <v>0</v>
      </c>
      <c r="H700" s="1">
        <v>0</v>
      </c>
    </row>
    <row r="701" spans="1:8" x14ac:dyDescent="0.3">
      <c r="A701" s="1">
        <v>700</v>
      </c>
      <c r="B701" s="1" t="s">
        <v>850</v>
      </c>
      <c r="C701" s="1" t="s">
        <v>228</v>
      </c>
      <c r="D701" s="1"/>
      <c r="E701" s="1">
        <v>25</v>
      </c>
      <c r="F701" s="1">
        <v>0</v>
      </c>
      <c r="G701" s="1">
        <v>0</v>
      </c>
      <c r="H701" s="1">
        <v>0</v>
      </c>
    </row>
    <row r="702" spans="1:8" x14ac:dyDescent="0.3">
      <c r="A702" s="1">
        <v>701</v>
      </c>
      <c r="B702" s="1" t="s">
        <v>408</v>
      </c>
      <c r="C702" s="1" t="s">
        <v>264</v>
      </c>
      <c r="D702" s="1"/>
      <c r="E702" s="1">
        <v>19.100000000000001</v>
      </c>
      <c r="F702" s="1">
        <v>0</v>
      </c>
      <c r="G702" s="1">
        <v>0</v>
      </c>
      <c r="H702" s="1">
        <v>0</v>
      </c>
    </row>
    <row r="703" spans="1:8" x14ac:dyDescent="0.3">
      <c r="A703" s="1">
        <v>702</v>
      </c>
      <c r="B703" s="1" t="s">
        <v>680</v>
      </c>
      <c r="C703" s="1" t="s">
        <v>222</v>
      </c>
      <c r="D703" s="1"/>
      <c r="E703" s="1"/>
      <c r="F703" s="1">
        <v>0</v>
      </c>
      <c r="H703" s="1">
        <v>0</v>
      </c>
    </row>
    <row r="704" spans="1:8" x14ac:dyDescent="0.3">
      <c r="A704" s="1">
        <v>703</v>
      </c>
      <c r="B704" s="1" t="s">
        <v>3020</v>
      </c>
      <c r="C704" s="1" t="s">
        <v>244</v>
      </c>
      <c r="D704" s="1"/>
      <c r="E704" s="1">
        <v>1</v>
      </c>
      <c r="F704" s="1">
        <v>0</v>
      </c>
      <c r="G704" s="1">
        <v>0</v>
      </c>
      <c r="H704" s="1">
        <v>0</v>
      </c>
    </row>
    <row r="705" spans="1:8" x14ac:dyDescent="0.3">
      <c r="A705" s="1">
        <v>704</v>
      </c>
      <c r="B705" s="1" t="s">
        <v>3102</v>
      </c>
      <c r="C705" s="1" t="s">
        <v>339</v>
      </c>
      <c r="D705" s="1"/>
      <c r="E705" s="1">
        <v>3</v>
      </c>
      <c r="F705" s="1">
        <v>0</v>
      </c>
      <c r="G705" s="1">
        <v>0</v>
      </c>
      <c r="H705" s="1">
        <v>0</v>
      </c>
    </row>
    <row r="706" spans="1:8" x14ac:dyDescent="0.3">
      <c r="A706" s="1">
        <v>705</v>
      </c>
      <c r="B706" s="1" t="s">
        <v>3281</v>
      </c>
      <c r="C706" s="1" t="s">
        <v>268</v>
      </c>
      <c r="D706" s="1"/>
      <c r="E706" s="1">
        <v>2.1</v>
      </c>
      <c r="F706" s="1">
        <v>0</v>
      </c>
      <c r="G706" s="1">
        <v>0</v>
      </c>
      <c r="H706" s="1">
        <v>0</v>
      </c>
    </row>
    <row r="707" spans="1:8" x14ac:dyDescent="0.3">
      <c r="A707" s="1">
        <v>706</v>
      </c>
      <c r="B707" s="1" t="s">
        <v>679</v>
      </c>
      <c r="C707" s="1" t="s">
        <v>270</v>
      </c>
      <c r="D707" s="1"/>
      <c r="E707" s="1">
        <v>2</v>
      </c>
      <c r="F707" s="1">
        <v>0</v>
      </c>
      <c r="G707" s="1">
        <v>0</v>
      </c>
      <c r="H707" s="1">
        <v>0</v>
      </c>
    </row>
    <row r="708" spans="1:8" x14ac:dyDescent="0.3">
      <c r="A708" s="1">
        <v>707</v>
      </c>
      <c r="B708" s="1" t="s">
        <v>3189</v>
      </c>
      <c r="C708" s="1" t="s">
        <v>274</v>
      </c>
      <c r="D708" s="1"/>
      <c r="E708" s="1">
        <v>0.2</v>
      </c>
      <c r="F708" s="1">
        <v>0</v>
      </c>
      <c r="G708" s="1">
        <v>0</v>
      </c>
      <c r="H708" s="1">
        <v>0</v>
      </c>
    </row>
    <row r="709" spans="1:8" x14ac:dyDescent="0.3">
      <c r="A709" s="1">
        <v>708</v>
      </c>
      <c r="B709" s="1" t="s">
        <v>851</v>
      </c>
      <c r="C709" s="1" t="s">
        <v>346</v>
      </c>
      <c r="D709" s="1">
        <v>79</v>
      </c>
      <c r="E709" s="1"/>
      <c r="F709" s="1">
        <v>0</v>
      </c>
      <c r="H709" s="1">
        <v>0</v>
      </c>
    </row>
    <row r="710" spans="1:8" x14ac:dyDescent="0.3">
      <c r="A710" s="1">
        <v>709</v>
      </c>
      <c r="B710" s="1" t="s">
        <v>681</v>
      </c>
      <c r="C710" s="1" t="s">
        <v>278</v>
      </c>
      <c r="D710" s="1">
        <v>3</v>
      </c>
      <c r="E710" s="1"/>
      <c r="F710" s="1">
        <v>0</v>
      </c>
      <c r="H710" s="1">
        <v>0</v>
      </c>
    </row>
    <row r="711" spans="1:8" x14ac:dyDescent="0.3">
      <c r="A711" s="1">
        <v>710</v>
      </c>
      <c r="B711" s="1" t="s">
        <v>921</v>
      </c>
      <c r="C711" s="1" t="s">
        <v>346</v>
      </c>
      <c r="D711" s="1">
        <v>131</v>
      </c>
      <c r="E711" s="1"/>
      <c r="F711" s="1">
        <v>0</v>
      </c>
      <c r="H711" s="1">
        <v>0</v>
      </c>
    </row>
    <row r="712" spans="1:8" x14ac:dyDescent="0.3">
      <c r="A712" s="1">
        <v>711</v>
      </c>
      <c r="B712" s="1" t="s">
        <v>1745</v>
      </c>
      <c r="C712" s="1" t="s">
        <v>274</v>
      </c>
      <c r="D712" s="1">
        <v>45</v>
      </c>
      <c r="E712" s="1"/>
      <c r="F712" s="1">
        <v>0</v>
      </c>
      <c r="H712" s="1">
        <v>0</v>
      </c>
    </row>
    <row r="713" spans="1:8" x14ac:dyDescent="0.3">
      <c r="A713" s="1">
        <v>712</v>
      </c>
      <c r="B713" s="1" t="s">
        <v>3053</v>
      </c>
      <c r="C713" s="1" t="s">
        <v>339</v>
      </c>
      <c r="D713" s="1"/>
      <c r="E713" s="1">
        <v>16.100000000000001</v>
      </c>
      <c r="F713" s="1">
        <v>0</v>
      </c>
      <c r="G713" s="1">
        <v>0</v>
      </c>
      <c r="H713" s="1">
        <v>0</v>
      </c>
    </row>
    <row r="714" spans="1:8" x14ac:dyDescent="0.3">
      <c r="A714" s="1">
        <v>713</v>
      </c>
      <c r="B714" s="1" t="s">
        <v>717</v>
      </c>
      <c r="C714" s="1" t="s">
        <v>339</v>
      </c>
      <c r="D714" s="1">
        <v>68</v>
      </c>
      <c r="E714" s="1">
        <v>1</v>
      </c>
      <c r="F714" s="1">
        <v>0</v>
      </c>
      <c r="G714" s="1">
        <v>0</v>
      </c>
      <c r="H714" s="1">
        <v>0</v>
      </c>
    </row>
    <row r="715" spans="1:8" x14ac:dyDescent="0.3">
      <c r="A715" s="1">
        <v>714</v>
      </c>
      <c r="B715" s="1" t="s">
        <v>488</v>
      </c>
      <c r="C715" s="1" t="s">
        <v>311</v>
      </c>
      <c r="D715" s="1"/>
      <c r="E715" s="1">
        <v>12.2</v>
      </c>
      <c r="F715" s="1">
        <v>0</v>
      </c>
      <c r="G715" s="1">
        <v>0</v>
      </c>
      <c r="H715" s="1">
        <v>0</v>
      </c>
    </row>
    <row r="716" spans="1:8" x14ac:dyDescent="0.3">
      <c r="A716" s="1">
        <v>715</v>
      </c>
      <c r="B716" s="1" t="s">
        <v>557</v>
      </c>
      <c r="C716" s="1" t="s">
        <v>264</v>
      </c>
      <c r="D716" s="1"/>
      <c r="E716" s="1">
        <v>7</v>
      </c>
      <c r="F716" s="1">
        <v>0</v>
      </c>
      <c r="G716" s="1">
        <v>0</v>
      </c>
      <c r="H716" s="1">
        <v>0</v>
      </c>
    </row>
    <row r="717" spans="1:8" x14ac:dyDescent="0.3">
      <c r="A717" s="1">
        <v>716</v>
      </c>
      <c r="B717" s="1" t="s">
        <v>3366</v>
      </c>
      <c r="C717" s="1" t="s">
        <v>266</v>
      </c>
      <c r="D717" s="1"/>
      <c r="E717" s="1">
        <v>2</v>
      </c>
      <c r="F717" s="1">
        <v>0</v>
      </c>
      <c r="G717" s="1">
        <v>0</v>
      </c>
      <c r="H717" s="1">
        <v>0</v>
      </c>
    </row>
    <row r="718" spans="1:8" x14ac:dyDescent="0.3">
      <c r="A718" s="1">
        <v>717</v>
      </c>
      <c r="B718" s="1" t="s">
        <v>184</v>
      </c>
      <c r="C718" s="1" t="s">
        <v>241</v>
      </c>
      <c r="D718" s="1"/>
      <c r="E718" s="1">
        <v>45</v>
      </c>
      <c r="F718" s="1">
        <v>0</v>
      </c>
      <c r="G718" s="1">
        <v>0</v>
      </c>
      <c r="H718" s="1">
        <v>0</v>
      </c>
    </row>
    <row r="719" spans="1:8" x14ac:dyDescent="0.3">
      <c r="A719" s="1">
        <v>718</v>
      </c>
      <c r="B719" s="1" t="s">
        <v>3162</v>
      </c>
      <c r="C719" s="1" t="s">
        <v>246</v>
      </c>
      <c r="D719" s="1">
        <v>16</v>
      </c>
      <c r="E719" s="1"/>
      <c r="F719" s="1">
        <v>0</v>
      </c>
      <c r="H719" s="1">
        <v>0</v>
      </c>
    </row>
    <row r="720" spans="1:8" x14ac:dyDescent="0.3">
      <c r="A720" s="1">
        <v>719</v>
      </c>
      <c r="B720" s="1" t="s">
        <v>3591</v>
      </c>
      <c r="C720" s="1" t="s">
        <v>274</v>
      </c>
      <c r="D720" s="1"/>
      <c r="E720" s="1">
        <v>0.2</v>
      </c>
      <c r="F720" s="1">
        <v>0</v>
      </c>
      <c r="G720" s="1">
        <v>0</v>
      </c>
      <c r="H720" s="1">
        <v>0</v>
      </c>
    </row>
    <row r="721" spans="1:8" x14ac:dyDescent="0.3">
      <c r="A721" s="1">
        <v>720</v>
      </c>
      <c r="B721" s="1" t="s">
        <v>1593</v>
      </c>
      <c r="C721" s="1" t="s">
        <v>274</v>
      </c>
      <c r="D721" s="1">
        <v>16</v>
      </c>
      <c r="E721" s="1"/>
      <c r="F721" s="1">
        <v>0</v>
      </c>
      <c r="H721" s="1">
        <v>0</v>
      </c>
    </row>
    <row r="722" spans="1:8" x14ac:dyDescent="0.3">
      <c r="A722" s="1">
        <v>721</v>
      </c>
      <c r="B722" s="1" t="s">
        <v>3284</v>
      </c>
      <c r="C722" s="1" t="s">
        <v>243</v>
      </c>
      <c r="D722" s="1"/>
      <c r="E722" s="1">
        <v>0.2</v>
      </c>
      <c r="F722" s="1">
        <v>0</v>
      </c>
      <c r="G722" s="1">
        <v>0</v>
      </c>
      <c r="H722" s="1">
        <v>0</v>
      </c>
    </row>
    <row r="723" spans="1:8" x14ac:dyDescent="0.3">
      <c r="A723" s="1">
        <v>722</v>
      </c>
      <c r="B723" s="1" t="s">
        <v>509</v>
      </c>
      <c r="C723" s="1" t="s">
        <v>234</v>
      </c>
      <c r="D723" s="1"/>
      <c r="E723" s="1">
        <v>23</v>
      </c>
      <c r="F723" s="1">
        <v>0</v>
      </c>
      <c r="G723" s="1">
        <v>0</v>
      </c>
      <c r="H723" s="1">
        <v>0</v>
      </c>
    </row>
    <row r="724" spans="1:8" x14ac:dyDescent="0.3">
      <c r="A724" s="1">
        <v>723</v>
      </c>
      <c r="B724" s="1" t="s">
        <v>3336</v>
      </c>
      <c r="C724" s="1" t="s">
        <v>243</v>
      </c>
      <c r="D724" s="1">
        <v>2</v>
      </c>
      <c r="E724" s="1"/>
      <c r="F724" s="1">
        <v>0</v>
      </c>
      <c r="H724" s="1">
        <v>0</v>
      </c>
    </row>
    <row r="725" spans="1:8" x14ac:dyDescent="0.3">
      <c r="A725" s="1">
        <v>724</v>
      </c>
      <c r="B725" s="1" t="s">
        <v>3173</v>
      </c>
      <c r="C725" s="1" t="s">
        <v>239</v>
      </c>
      <c r="D725" s="1"/>
      <c r="E725" s="1">
        <v>4.2</v>
      </c>
      <c r="F725" s="1">
        <v>0</v>
      </c>
      <c r="G725" s="1">
        <v>0</v>
      </c>
      <c r="H725" s="1">
        <v>0</v>
      </c>
    </row>
    <row r="726" spans="1:8" x14ac:dyDescent="0.3">
      <c r="A726" s="1">
        <v>725</v>
      </c>
      <c r="B726" s="1" t="s">
        <v>477</v>
      </c>
      <c r="C726" s="1" t="s">
        <v>251</v>
      </c>
      <c r="D726" s="1">
        <v>87</v>
      </c>
      <c r="E726" s="1"/>
      <c r="F726" s="1">
        <v>0</v>
      </c>
      <c r="H726" s="1">
        <v>0</v>
      </c>
    </row>
    <row r="727" spans="1:8" x14ac:dyDescent="0.3">
      <c r="A727" s="1">
        <v>726</v>
      </c>
      <c r="B727" s="1" t="s">
        <v>458</v>
      </c>
      <c r="C727" s="1" t="s">
        <v>268</v>
      </c>
      <c r="D727" s="1">
        <v>37</v>
      </c>
      <c r="E727" s="1"/>
      <c r="F727" s="1">
        <v>0</v>
      </c>
      <c r="H727" s="1">
        <v>0</v>
      </c>
    </row>
    <row r="728" spans="1:8" x14ac:dyDescent="0.3">
      <c r="A728" s="1">
        <v>727</v>
      </c>
      <c r="B728" s="1" t="s">
        <v>3278</v>
      </c>
      <c r="C728" s="1" t="s">
        <v>255</v>
      </c>
      <c r="D728" s="1"/>
      <c r="E728" s="1">
        <v>4.0999999999999996</v>
      </c>
      <c r="F728" s="1">
        <v>0</v>
      </c>
      <c r="G728" s="1">
        <v>0</v>
      </c>
      <c r="H728" s="1">
        <v>0</v>
      </c>
    </row>
    <row r="729" spans="1:8" x14ac:dyDescent="0.3">
      <c r="A729" s="1">
        <v>728</v>
      </c>
      <c r="B729" s="1" t="s">
        <v>345</v>
      </c>
      <c r="C729" s="1" t="s">
        <v>346</v>
      </c>
      <c r="D729" s="1">
        <v>161</v>
      </c>
      <c r="E729" s="1"/>
      <c r="F729" s="1">
        <v>0</v>
      </c>
      <c r="H729" s="1">
        <v>0</v>
      </c>
    </row>
    <row r="730" spans="1:8" x14ac:dyDescent="0.3">
      <c r="A730" s="1">
        <v>729</v>
      </c>
      <c r="B730" s="1" t="s">
        <v>3099</v>
      </c>
      <c r="C730" s="1" t="s">
        <v>241</v>
      </c>
      <c r="D730" s="1"/>
      <c r="E730" s="1">
        <v>24</v>
      </c>
      <c r="F730" s="1">
        <v>0</v>
      </c>
      <c r="G730" s="1">
        <v>0</v>
      </c>
      <c r="H730" s="1">
        <v>0</v>
      </c>
    </row>
    <row r="731" spans="1:8" x14ac:dyDescent="0.3">
      <c r="A731" s="1">
        <v>730</v>
      </c>
      <c r="B731" s="1" t="s">
        <v>678</v>
      </c>
      <c r="C731" s="1" t="s">
        <v>235</v>
      </c>
      <c r="D731" s="1">
        <v>54</v>
      </c>
      <c r="E731" s="1">
        <v>1</v>
      </c>
      <c r="F731" s="1">
        <v>0</v>
      </c>
      <c r="G731" s="1">
        <v>0</v>
      </c>
      <c r="H731" s="1">
        <v>0</v>
      </c>
    </row>
    <row r="732" spans="1:8" x14ac:dyDescent="0.3">
      <c r="A732" s="1">
        <v>731</v>
      </c>
      <c r="B732" s="1" t="s">
        <v>2206</v>
      </c>
      <c r="C732" s="1" t="s">
        <v>244</v>
      </c>
      <c r="D732" s="1"/>
      <c r="E732" s="1">
        <v>4.2</v>
      </c>
      <c r="F732" s="1">
        <v>0</v>
      </c>
      <c r="G732" s="1">
        <v>0</v>
      </c>
      <c r="H732" s="1">
        <v>0</v>
      </c>
    </row>
    <row r="733" spans="1:8" x14ac:dyDescent="0.3">
      <c r="A733" s="1">
        <v>732</v>
      </c>
      <c r="B733" s="1" t="s">
        <v>649</v>
      </c>
      <c r="C733" s="1" t="s">
        <v>228</v>
      </c>
      <c r="D733" s="1"/>
      <c r="E733" s="1">
        <v>10.199999999999999</v>
      </c>
      <c r="F733" s="1">
        <v>0</v>
      </c>
      <c r="G733" s="1">
        <v>0</v>
      </c>
      <c r="H733" s="1">
        <v>0</v>
      </c>
    </row>
    <row r="734" spans="1:8" x14ac:dyDescent="0.3">
      <c r="A734" s="1">
        <v>733</v>
      </c>
      <c r="B734" s="1" t="s">
        <v>639</v>
      </c>
      <c r="C734" s="1" t="s">
        <v>243</v>
      </c>
      <c r="D734" s="1"/>
      <c r="E734" s="1">
        <v>20.100000000000001</v>
      </c>
      <c r="F734" s="1">
        <v>0</v>
      </c>
      <c r="G734" s="1">
        <v>0</v>
      </c>
      <c r="H734" s="1">
        <v>0</v>
      </c>
    </row>
    <row r="735" spans="1:8" x14ac:dyDescent="0.3">
      <c r="A735" s="1">
        <v>734</v>
      </c>
      <c r="B735" s="1" t="s">
        <v>336</v>
      </c>
      <c r="C735" s="1" t="s">
        <v>270</v>
      </c>
      <c r="D735" s="1"/>
      <c r="E735" s="1">
        <v>21</v>
      </c>
      <c r="F735" s="1">
        <v>0</v>
      </c>
      <c r="G735" s="1">
        <v>0</v>
      </c>
      <c r="H735" s="1">
        <v>0</v>
      </c>
    </row>
    <row r="736" spans="1:8" x14ac:dyDescent="0.3">
      <c r="A736" s="1">
        <v>735</v>
      </c>
      <c r="B736" s="1" t="s">
        <v>3380</v>
      </c>
      <c r="C736" s="1" t="s">
        <v>311</v>
      </c>
      <c r="D736" s="1"/>
      <c r="E736" s="1">
        <v>1</v>
      </c>
      <c r="F736" s="1">
        <v>0</v>
      </c>
      <c r="G736" s="1">
        <v>0</v>
      </c>
      <c r="H736" s="1">
        <v>0</v>
      </c>
    </row>
    <row r="737" spans="1:8" x14ac:dyDescent="0.3">
      <c r="A737" s="1">
        <v>736</v>
      </c>
      <c r="B737" s="1" t="s">
        <v>335</v>
      </c>
      <c r="C737" s="1" t="s">
        <v>222</v>
      </c>
      <c r="D737" s="1"/>
      <c r="E737" s="1">
        <v>40.1</v>
      </c>
      <c r="F737" s="1">
        <v>0</v>
      </c>
      <c r="G737" s="1">
        <v>0</v>
      </c>
      <c r="H737" s="1">
        <v>0</v>
      </c>
    </row>
    <row r="738" spans="1:8" x14ac:dyDescent="0.3">
      <c r="A738" s="1">
        <v>737</v>
      </c>
      <c r="B738" s="1" t="s">
        <v>758</v>
      </c>
      <c r="C738" s="1" t="s">
        <v>251</v>
      </c>
      <c r="D738" s="1"/>
      <c r="E738" s="1">
        <v>9.1999999999999993</v>
      </c>
      <c r="F738" s="1">
        <v>0</v>
      </c>
      <c r="G738" s="1">
        <v>0</v>
      </c>
      <c r="H738" s="1">
        <v>0</v>
      </c>
    </row>
    <row r="739" spans="1:8" x14ac:dyDescent="0.3">
      <c r="A739" s="1">
        <v>738</v>
      </c>
      <c r="B739" s="1" t="s">
        <v>2207</v>
      </c>
      <c r="C739" s="1" t="s">
        <v>243</v>
      </c>
      <c r="D739" s="1"/>
      <c r="E739" s="1">
        <v>8</v>
      </c>
      <c r="F739" s="1">
        <v>0</v>
      </c>
      <c r="G739" s="1">
        <v>0</v>
      </c>
      <c r="H739" s="1">
        <v>0</v>
      </c>
    </row>
    <row r="740" spans="1:8" x14ac:dyDescent="0.3">
      <c r="A740" s="1">
        <v>739</v>
      </c>
      <c r="B740" s="1" t="s">
        <v>3070</v>
      </c>
      <c r="C740" s="1" t="s">
        <v>226</v>
      </c>
      <c r="D740" s="1">
        <v>1</v>
      </c>
      <c r="E740" s="1"/>
      <c r="F740" s="1">
        <v>0</v>
      </c>
      <c r="H740" s="1">
        <v>0</v>
      </c>
    </row>
    <row r="741" spans="1:8" x14ac:dyDescent="0.3">
      <c r="A741" s="1">
        <v>740</v>
      </c>
      <c r="B741" s="1" t="s">
        <v>658</v>
      </c>
      <c r="C741" s="1" t="s">
        <v>268</v>
      </c>
      <c r="D741" s="1"/>
      <c r="E741" s="1">
        <v>13.1</v>
      </c>
      <c r="F741" s="1">
        <v>0</v>
      </c>
      <c r="G741" s="1">
        <v>0</v>
      </c>
      <c r="H741" s="1">
        <v>0</v>
      </c>
    </row>
    <row r="742" spans="1:8" x14ac:dyDescent="0.3">
      <c r="A742" s="1">
        <v>741</v>
      </c>
      <c r="B742" s="1" t="s">
        <v>3345</v>
      </c>
      <c r="C742" s="1" t="s">
        <v>270</v>
      </c>
      <c r="D742" s="1"/>
      <c r="E742" s="1">
        <v>10</v>
      </c>
      <c r="F742" s="1">
        <v>0</v>
      </c>
      <c r="G742" s="1">
        <v>0</v>
      </c>
      <c r="H742" s="1">
        <v>0</v>
      </c>
    </row>
    <row r="743" spans="1:8" x14ac:dyDescent="0.3">
      <c r="A743" s="1">
        <v>742</v>
      </c>
      <c r="B743" s="1" t="s">
        <v>934</v>
      </c>
      <c r="C743" s="1" t="s">
        <v>244</v>
      </c>
      <c r="D743" s="1">
        <v>58</v>
      </c>
      <c r="E743" s="1"/>
      <c r="F743" s="1">
        <v>0</v>
      </c>
      <c r="H743" s="1">
        <v>0</v>
      </c>
    </row>
    <row r="744" spans="1:8" x14ac:dyDescent="0.3">
      <c r="A744" s="1">
        <v>743</v>
      </c>
      <c r="B744" s="1" t="s">
        <v>516</v>
      </c>
      <c r="C744" s="1" t="s">
        <v>222</v>
      </c>
      <c r="D744" s="1"/>
      <c r="E744" s="1">
        <v>19.2</v>
      </c>
      <c r="F744" s="1">
        <v>0</v>
      </c>
      <c r="G744" s="1">
        <v>0</v>
      </c>
      <c r="H744" s="1">
        <v>0</v>
      </c>
    </row>
    <row r="745" spans="1:8" x14ac:dyDescent="0.3">
      <c r="A745" s="1">
        <v>744</v>
      </c>
      <c r="B745" s="1" t="s">
        <v>598</v>
      </c>
      <c r="C745" s="1" t="s">
        <v>250</v>
      </c>
      <c r="D745" s="1"/>
      <c r="E745" s="1">
        <v>16.100000000000001</v>
      </c>
      <c r="F745" s="1">
        <v>0</v>
      </c>
      <c r="G745" s="1">
        <v>0</v>
      </c>
      <c r="H745" s="1">
        <v>0</v>
      </c>
    </row>
    <row r="746" spans="1:8" x14ac:dyDescent="0.3">
      <c r="A746" s="1">
        <v>745</v>
      </c>
      <c r="B746" s="1" t="s">
        <v>618</v>
      </c>
      <c r="C746" s="1" t="s">
        <v>235</v>
      </c>
      <c r="D746" s="1">
        <v>16</v>
      </c>
      <c r="E746" s="1">
        <v>0.1</v>
      </c>
      <c r="F746" s="1">
        <v>0</v>
      </c>
      <c r="G746" s="1">
        <v>0</v>
      </c>
      <c r="H746" s="1">
        <v>0</v>
      </c>
    </row>
    <row r="747" spans="1:8" x14ac:dyDescent="0.3">
      <c r="A747" s="1">
        <v>746</v>
      </c>
      <c r="B747" s="1" t="s">
        <v>734</v>
      </c>
      <c r="C747" s="1" t="s">
        <v>246</v>
      </c>
      <c r="D747" s="1"/>
      <c r="E747" s="1">
        <v>5</v>
      </c>
      <c r="F747" s="1">
        <v>0</v>
      </c>
      <c r="G747" s="1">
        <v>0</v>
      </c>
      <c r="H747" s="1">
        <v>0</v>
      </c>
    </row>
    <row r="748" spans="1:8" x14ac:dyDescent="0.3">
      <c r="A748" s="1">
        <v>747</v>
      </c>
      <c r="B748" s="1" t="s">
        <v>792</v>
      </c>
      <c r="C748" s="1" t="s">
        <v>392</v>
      </c>
      <c r="D748" s="1">
        <v>20</v>
      </c>
      <c r="E748" s="1"/>
      <c r="F748" s="1">
        <v>0</v>
      </c>
      <c r="H748" s="1">
        <v>0</v>
      </c>
    </row>
    <row r="749" spans="1:8" x14ac:dyDescent="0.3">
      <c r="A749" s="1">
        <v>748</v>
      </c>
      <c r="B749" s="1" t="s">
        <v>3285</v>
      </c>
      <c r="C749" s="1" t="s">
        <v>1748</v>
      </c>
      <c r="D749" s="1"/>
      <c r="E749" s="1">
        <v>6.1</v>
      </c>
      <c r="F749" s="1">
        <v>0</v>
      </c>
      <c r="G749" s="1">
        <v>0</v>
      </c>
      <c r="H749" s="1">
        <v>0</v>
      </c>
    </row>
    <row r="750" spans="1:8" x14ac:dyDescent="0.3">
      <c r="A750" s="1">
        <v>749</v>
      </c>
      <c r="B750" s="1" t="s">
        <v>3349</v>
      </c>
      <c r="C750" s="1" t="s">
        <v>339</v>
      </c>
      <c r="D750" s="1"/>
      <c r="E750" s="1">
        <v>1</v>
      </c>
      <c r="F750" s="1">
        <v>0</v>
      </c>
      <c r="G750" s="1">
        <v>0</v>
      </c>
      <c r="H750" s="1">
        <v>0</v>
      </c>
    </row>
    <row r="751" spans="1:8" x14ac:dyDescent="0.3">
      <c r="A751" s="1">
        <v>750</v>
      </c>
      <c r="B751" s="1" t="s">
        <v>3373</v>
      </c>
      <c r="C751" s="1" t="s">
        <v>243</v>
      </c>
      <c r="D751" s="1"/>
      <c r="E751" s="1">
        <v>2</v>
      </c>
      <c r="F751" s="1">
        <v>0</v>
      </c>
      <c r="G751" s="1">
        <v>0</v>
      </c>
      <c r="H751" s="1">
        <v>0</v>
      </c>
    </row>
    <row r="752" spans="1:8" x14ac:dyDescent="0.3">
      <c r="A752" s="1">
        <v>751</v>
      </c>
      <c r="B752" s="1" t="s">
        <v>744</v>
      </c>
      <c r="C752" s="1" t="s">
        <v>244</v>
      </c>
      <c r="D752" s="1"/>
      <c r="E752" s="1">
        <v>3.1</v>
      </c>
      <c r="F752" s="1">
        <v>0</v>
      </c>
      <c r="G752" s="1">
        <v>0</v>
      </c>
      <c r="H752" s="1">
        <v>0</v>
      </c>
    </row>
    <row r="753" spans="1:8" x14ac:dyDescent="0.3">
      <c r="A753" s="1">
        <v>752</v>
      </c>
      <c r="B753" s="1" t="s">
        <v>3015</v>
      </c>
      <c r="C753" s="1" t="s">
        <v>325</v>
      </c>
      <c r="D753" s="1"/>
      <c r="E753" s="1">
        <v>13.2</v>
      </c>
      <c r="F753" s="1">
        <v>0</v>
      </c>
      <c r="G753" s="1">
        <v>0</v>
      </c>
      <c r="H753" s="1">
        <v>0</v>
      </c>
    </row>
    <row r="754" spans="1:8" x14ac:dyDescent="0.3">
      <c r="A754" s="1">
        <v>753</v>
      </c>
      <c r="B754" s="1" t="s">
        <v>756</v>
      </c>
      <c r="C754" s="1" t="s">
        <v>224</v>
      </c>
      <c r="D754" s="1">
        <v>127</v>
      </c>
      <c r="E754" s="1"/>
      <c r="F754" s="1">
        <v>0</v>
      </c>
      <c r="H754" s="1">
        <v>0</v>
      </c>
    </row>
    <row r="755" spans="1:8" x14ac:dyDescent="0.3">
      <c r="A755" s="1">
        <v>754</v>
      </c>
      <c r="B755" s="1" t="s">
        <v>835</v>
      </c>
      <c r="C755" s="1" t="s">
        <v>235</v>
      </c>
      <c r="D755" s="1">
        <v>141</v>
      </c>
      <c r="E755" s="1"/>
      <c r="F755" s="1">
        <v>0</v>
      </c>
      <c r="H755" s="1">
        <v>0</v>
      </c>
    </row>
    <row r="756" spans="1:8" x14ac:dyDescent="0.3">
      <c r="A756" s="1">
        <v>755</v>
      </c>
      <c r="B756" s="1" t="s">
        <v>3190</v>
      </c>
      <c r="C756" s="1" t="s">
        <v>392</v>
      </c>
      <c r="D756" s="1"/>
      <c r="E756" s="1">
        <v>4</v>
      </c>
      <c r="F756" s="1">
        <v>0</v>
      </c>
      <c r="G756" s="1">
        <v>0</v>
      </c>
      <c r="H756" s="1">
        <v>0</v>
      </c>
    </row>
    <row r="757" spans="1:8" x14ac:dyDescent="0.3">
      <c r="A757" s="1">
        <v>756</v>
      </c>
      <c r="B757" s="1" t="s">
        <v>3327</v>
      </c>
      <c r="C757" s="1" t="s">
        <v>339</v>
      </c>
      <c r="D757" s="1">
        <v>14</v>
      </c>
      <c r="E757" s="1"/>
      <c r="F757" s="1">
        <v>0</v>
      </c>
      <c r="H757" s="1">
        <v>0</v>
      </c>
    </row>
    <row r="758" spans="1:8" x14ac:dyDescent="0.3">
      <c r="A758" s="1">
        <v>757</v>
      </c>
      <c r="B758" s="1" t="s">
        <v>697</v>
      </c>
      <c r="C758" s="1" t="s">
        <v>250</v>
      </c>
      <c r="D758" s="1"/>
      <c r="E758" s="1">
        <v>26.1</v>
      </c>
      <c r="F758" s="1">
        <v>0</v>
      </c>
      <c r="G758" s="1">
        <v>0</v>
      </c>
      <c r="H758" s="1">
        <v>0</v>
      </c>
    </row>
    <row r="759" spans="1:8" x14ac:dyDescent="0.3">
      <c r="A759" s="1">
        <v>758</v>
      </c>
      <c r="B759" s="1" t="s">
        <v>305</v>
      </c>
      <c r="C759" s="1" t="s">
        <v>270</v>
      </c>
      <c r="D759" s="1"/>
      <c r="E759" s="1">
        <v>34.1</v>
      </c>
      <c r="F759" s="1">
        <v>0</v>
      </c>
      <c r="G759" s="1">
        <v>0</v>
      </c>
      <c r="H759" s="1">
        <v>0</v>
      </c>
    </row>
    <row r="760" spans="1:8" x14ac:dyDescent="0.3">
      <c r="A760" s="1">
        <v>759</v>
      </c>
      <c r="B760" s="1" t="s">
        <v>3378</v>
      </c>
      <c r="C760" s="1" t="s">
        <v>243</v>
      </c>
      <c r="D760" s="1"/>
      <c r="E760" s="1">
        <v>2</v>
      </c>
      <c r="F760" s="1">
        <v>0</v>
      </c>
      <c r="G760" s="1">
        <v>0</v>
      </c>
      <c r="H760" s="1">
        <v>0</v>
      </c>
    </row>
    <row r="761" spans="1:8" x14ac:dyDescent="0.3">
      <c r="A761" s="1">
        <v>760</v>
      </c>
      <c r="B761" s="1" t="s">
        <v>3104</v>
      </c>
      <c r="C761" s="1" t="s">
        <v>274</v>
      </c>
      <c r="D761" s="1"/>
      <c r="E761" s="1">
        <v>4.2</v>
      </c>
      <c r="F761" s="1">
        <v>0</v>
      </c>
      <c r="G761" s="1">
        <v>0</v>
      </c>
      <c r="H761" s="1">
        <v>0</v>
      </c>
    </row>
    <row r="762" spans="1:8" x14ac:dyDescent="0.3">
      <c r="A762" s="1">
        <v>761</v>
      </c>
      <c r="B762" s="1" t="s">
        <v>739</v>
      </c>
      <c r="C762" s="1" t="s">
        <v>221</v>
      </c>
      <c r="D762" s="1"/>
      <c r="E762" s="1">
        <v>7.1</v>
      </c>
      <c r="F762" s="1">
        <v>0</v>
      </c>
      <c r="G762" s="1">
        <v>0</v>
      </c>
      <c r="H762" s="1">
        <v>0</v>
      </c>
    </row>
    <row r="763" spans="1:8" x14ac:dyDescent="0.3">
      <c r="A763" s="1">
        <v>762</v>
      </c>
      <c r="B763" s="1" t="s">
        <v>3330</v>
      </c>
      <c r="C763" s="1" t="s">
        <v>255</v>
      </c>
      <c r="D763" s="1">
        <v>2</v>
      </c>
      <c r="E763" s="1"/>
      <c r="F763" s="1">
        <v>0</v>
      </c>
      <c r="H763" s="1">
        <v>0</v>
      </c>
    </row>
    <row r="764" spans="1:8" x14ac:dyDescent="0.3">
      <c r="A764" s="1">
        <v>763</v>
      </c>
      <c r="B764" s="1" t="s">
        <v>379</v>
      </c>
      <c r="C764" s="1" t="s">
        <v>243</v>
      </c>
      <c r="D764" s="1">
        <v>81</v>
      </c>
      <c r="E764" s="1"/>
      <c r="F764" s="1">
        <v>0</v>
      </c>
      <c r="H764" s="1">
        <v>0</v>
      </c>
    </row>
    <row r="765" spans="1:8" x14ac:dyDescent="0.3">
      <c r="A765" s="1">
        <v>764</v>
      </c>
      <c r="B765" s="1" t="s">
        <v>3328</v>
      </c>
      <c r="C765" s="1" t="s">
        <v>235</v>
      </c>
      <c r="D765" s="1">
        <v>2</v>
      </c>
      <c r="E765" s="1"/>
      <c r="F765" s="1">
        <v>0</v>
      </c>
      <c r="H765" s="1">
        <v>0</v>
      </c>
    </row>
    <row r="766" spans="1:8" x14ac:dyDescent="0.3">
      <c r="A766" s="1">
        <v>765</v>
      </c>
      <c r="B766" s="1" t="s">
        <v>845</v>
      </c>
      <c r="C766" s="1" t="s">
        <v>246</v>
      </c>
      <c r="D766" s="1">
        <v>54</v>
      </c>
      <c r="E766" s="1"/>
      <c r="F766" s="1">
        <v>0</v>
      </c>
      <c r="H766" s="1">
        <v>0</v>
      </c>
    </row>
    <row r="767" spans="1:8" x14ac:dyDescent="0.3">
      <c r="A767" s="1">
        <v>766</v>
      </c>
      <c r="B767" s="1" t="s">
        <v>1735</v>
      </c>
      <c r="C767" s="1" t="s">
        <v>221</v>
      </c>
      <c r="D767" s="1"/>
      <c r="E767" s="1">
        <v>16</v>
      </c>
      <c r="F767" s="1">
        <v>0</v>
      </c>
      <c r="G767" s="1">
        <v>0</v>
      </c>
      <c r="H767" s="1">
        <v>0</v>
      </c>
    </row>
    <row r="768" spans="1:8" x14ac:dyDescent="0.3">
      <c r="A768" s="1">
        <v>767</v>
      </c>
      <c r="B768" s="1" t="s">
        <v>1591</v>
      </c>
      <c r="C768" s="1" t="s">
        <v>221</v>
      </c>
      <c r="D768" s="1">
        <v>13</v>
      </c>
      <c r="E768" s="1"/>
      <c r="F768" s="1">
        <v>0</v>
      </c>
      <c r="H768" s="1">
        <v>0</v>
      </c>
    </row>
    <row r="769" spans="1:8" x14ac:dyDescent="0.3">
      <c r="A769" s="1">
        <v>768</v>
      </c>
      <c r="B769" s="1" t="s">
        <v>1746</v>
      </c>
      <c r="C769" s="1" t="s">
        <v>239</v>
      </c>
      <c r="D769" s="1"/>
      <c r="E769" s="1">
        <v>4.2</v>
      </c>
      <c r="F769" s="1">
        <v>0</v>
      </c>
      <c r="G769" s="1">
        <v>0</v>
      </c>
      <c r="H769" s="1">
        <v>0</v>
      </c>
    </row>
    <row r="770" spans="1:8" x14ac:dyDescent="0.3">
      <c r="A770" s="1">
        <v>769</v>
      </c>
      <c r="B770" s="1" t="s">
        <v>871</v>
      </c>
      <c r="C770" s="1" t="s">
        <v>241</v>
      </c>
      <c r="D770" s="1">
        <v>104</v>
      </c>
      <c r="E770" s="1"/>
      <c r="F770" s="1">
        <v>0</v>
      </c>
      <c r="H770" s="1">
        <v>0</v>
      </c>
    </row>
    <row r="771" spans="1:8" x14ac:dyDescent="0.3">
      <c r="A771" s="1">
        <v>770</v>
      </c>
      <c r="B771" s="1" t="s">
        <v>834</v>
      </c>
      <c r="C771" s="1" t="s">
        <v>287</v>
      </c>
      <c r="D771" s="1"/>
      <c r="E771" s="1">
        <v>19</v>
      </c>
      <c r="F771" s="1">
        <v>0</v>
      </c>
      <c r="G771" s="1">
        <v>0</v>
      </c>
      <c r="H771" s="1">
        <v>0</v>
      </c>
    </row>
    <row r="772" spans="1:8" x14ac:dyDescent="0.3">
      <c r="A772" s="1">
        <v>771</v>
      </c>
      <c r="B772" s="1" t="s">
        <v>3358</v>
      </c>
      <c r="C772" s="1" t="s">
        <v>325</v>
      </c>
      <c r="D772" s="1"/>
      <c r="E772" s="1">
        <v>4.0999999999999996</v>
      </c>
      <c r="F772" s="1">
        <v>0</v>
      </c>
      <c r="G772" s="1">
        <v>0</v>
      </c>
      <c r="H772" s="1">
        <v>0</v>
      </c>
    </row>
    <row r="773" spans="1:8" x14ac:dyDescent="0.3">
      <c r="A773" s="1">
        <v>772</v>
      </c>
      <c r="B773" s="1" t="s">
        <v>3130</v>
      </c>
      <c r="C773" s="1" t="s">
        <v>221</v>
      </c>
      <c r="D773" s="1"/>
      <c r="E773" s="1">
        <v>12.1</v>
      </c>
      <c r="F773" s="1">
        <v>0</v>
      </c>
      <c r="G773" s="1">
        <v>0</v>
      </c>
      <c r="H773" s="1">
        <v>0</v>
      </c>
    </row>
    <row r="774" spans="1:8" x14ac:dyDescent="0.3">
      <c r="A774" s="1">
        <v>773</v>
      </c>
      <c r="B774" s="1" t="s">
        <v>3329</v>
      </c>
      <c r="C774" s="1" t="s">
        <v>251</v>
      </c>
      <c r="D774" s="1">
        <v>2</v>
      </c>
      <c r="E774" s="1"/>
      <c r="F774" s="1">
        <v>0</v>
      </c>
      <c r="H774" s="1">
        <v>0</v>
      </c>
    </row>
    <row r="775" spans="1:8" x14ac:dyDescent="0.3">
      <c r="A775" s="1">
        <v>774</v>
      </c>
      <c r="B775" s="1" t="s">
        <v>3061</v>
      </c>
      <c r="C775" s="1" t="s">
        <v>266</v>
      </c>
      <c r="D775" s="1"/>
      <c r="E775" s="1">
        <v>11</v>
      </c>
      <c r="F775" s="1">
        <v>0</v>
      </c>
      <c r="G775" s="1">
        <v>0</v>
      </c>
      <c r="H775" s="1">
        <v>0</v>
      </c>
    </row>
    <row r="776" spans="1:8" x14ac:dyDescent="0.3">
      <c r="A776" s="1">
        <v>775</v>
      </c>
      <c r="B776" s="1" t="s">
        <v>3280</v>
      </c>
      <c r="C776" s="1" t="s">
        <v>239</v>
      </c>
      <c r="D776" s="1"/>
      <c r="E776" s="1">
        <v>1.2</v>
      </c>
      <c r="F776" s="1">
        <v>0</v>
      </c>
      <c r="G776" s="1">
        <v>0</v>
      </c>
      <c r="H776" s="1">
        <v>0</v>
      </c>
    </row>
    <row r="777" spans="1:8" x14ac:dyDescent="0.3">
      <c r="A777" s="1">
        <v>776</v>
      </c>
      <c r="B777" s="1" t="s">
        <v>706</v>
      </c>
      <c r="C777" s="1" t="s">
        <v>266</v>
      </c>
      <c r="D777" s="1"/>
      <c r="E777" s="1">
        <v>50</v>
      </c>
      <c r="F777" s="1">
        <v>0</v>
      </c>
      <c r="G777" s="1">
        <v>0</v>
      </c>
      <c r="H777" s="1">
        <v>0</v>
      </c>
    </row>
    <row r="778" spans="1:8" x14ac:dyDescent="0.3">
      <c r="A778" s="1">
        <v>777</v>
      </c>
      <c r="B778" s="1" t="s">
        <v>3383</v>
      </c>
      <c r="C778" s="1" t="s">
        <v>266</v>
      </c>
      <c r="D778" s="1"/>
      <c r="E778" s="1">
        <v>0.1</v>
      </c>
      <c r="F778" s="1">
        <v>0</v>
      </c>
      <c r="G778" s="1">
        <v>0</v>
      </c>
      <c r="H778" s="1">
        <v>0</v>
      </c>
    </row>
    <row r="779" spans="1:8" x14ac:dyDescent="0.3">
      <c r="A779" s="1">
        <v>778</v>
      </c>
      <c r="B779" s="1" t="s">
        <v>322</v>
      </c>
      <c r="C779" s="1" t="s">
        <v>226</v>
      </c>
      <c r="D779" s="1">
        <v>78</v>
      </c>
      <c r="E779" s="1"/>
      <c r="F779" s="1">
        <v>0</v>
      </c>
      <c r="H779" s="1">
        <v>0</v>
      </c>
    </row>
    <row r="780" spans="1:8" x14ac:dyDescent="0.3">
      <c r="A780" s="1">
        <v>779</v>
      </c>
      <c r="B780" s="1" t="s">
        <v>3188</v>
      </c>
      <c r="C780" s="1" t="s">
        <v>224</v>
      </c>
      <c r="D780" s="1"/>
      <c r="E780" s="1">
        <v>4</v>
      </c>
      <c r="F780" s="1">
        <v>0</v>
      </c>
      <c r="G780" s="1">
        <v>0</v>
      </c>
      <c r="H780" s="1">
        <v>0</v>
      </c>
    </row>
    <row r="781" spans="1:8" x14ac:dyDescent="0.3">
      <c r="A781" s="1">
        <v>780</v>
      </c>
      <c r="B781" s="1" t="s">
        <v>3592</v>
      </c>
      <c r="C781" s="1" t="s">
        <v>222</v>
      </c>
      <c r="D781" s="1"/>
      <c r="E781" s="1">
        <v>3</v>
      </c>
      <c r="F781" s="1">
        <v>0</v>
      </c>
      <c r="G781" s="1">
        <v>0</v>
      </c>
      <c r="H781" s="1">
        <v>0</v>
      </c>
    </row>
    <row r="782" spans="1:8" x14ac:dyDescent="0.3">
      <c r="A782" s="1">
        <v>781</v>
      </c>
      <c r="B782" s="1" t="s">
        <v>769</v>
      </c>
      <c r="C782" s="1" t="s">
        <v>339</v>
      </c>
      <c r="D782" s="1">
        <v>160</v>
      </c>
      <c r="E782" s="1"/>
      <c r="F782" s="1">
        <v>0</v>
      </c>
      <c r="H782" s="1">
        <v>0</v>
      </c>
    </row>
    <row r="783" spans="1:8" x14ac:dyDescent="0.3">
      <c r="A783" s="1">
        <v>782</v>
      </c>
      <c r="B783" s="1" t="s">
        <v>515</v>
      </c>
      <c r="C783" s="1" t="s">
        <v>231</v>
      </c>
      <c r="D783" s="1">
        <v>10</v>
      </c>
      <c r="E783" s="1"/>
      <c r="F783" s="1">
        <v>0</v>
      </c>
      <c r="H783" s="1">
        <v>0</v>
      </c>
    </row>
    <row r="784" spans="1:8" x14ac:dyDescent="0.3">
      <c r="A784" s="1">
        <v>783</v>
      </c>
      <c r="B784" s="1" t="s">
        <v>318</v>
      </c>
      <c r="C784" s="1" t="s">
        <v>250</v>
      </c>
      <c r="D784" s="1"/>
      <c r="E784" s="1">
        <v>15.1</v>
      </c>
      <c r="F784" s="1">
        <v>0</v>
      </c>
      <c r="G784" s="1">
        <v>-0.1</v>
      </c>
      <c r="H784" s="1">
        <v>-0.1</v>
      </c>
    </row>
    <row r="785" spans="1:8" x14ac:dyDescent="0.3">
      <c r="A785" s="1">
        <v>784</v>
      </c>
      <c r="B785" s="1" t="s">
        <v>3385</v>
      </c>
      <c r="C785" s="1" t="s">
        <v>287</v>
      </c>
      <c r="D785" s="1"/>
      <c r="E785" s="1">
        <v>2</v>
      </c>
      <c r="F785" s="1">
        <v>0</v>
      </c>
      <c r="G785" s="1">
        <v>-0.1</v>
      </c>
      <c r="H785" s="1">
        <v>-0.1</v>
      </c>
    </row>
    <row r="786" spans="1:8" x14ac:dyDescent="0.3">
      <c r="A786" s="1">
        <v>785</v>
      </c>
      <c r="B786" s="1" t="s">
        <v>719</v>
      </c>
      <c r="C786" s="1" t="s">
        <v>392</v>
      </c>
      <c r="D786" s="1">
        <v>193</v>
      </c>
      <c r="E786" s="1"/>
      <c r="F786" s="1">
        <v>-0.1</v>
      </c>
      <c r="H786" s="1">
        <v>-0.1</v>
      </c>
    </row>
    <row r="787" spans="1:8" x14ac:dyDescent="0.3">
      <c r="A787" s="1">
        <v>786</v>
      </c>
      <c r="B787" s="1" t="s">
        <v>341</v>
      </c>
      <c r="C787" s="1" t="s">
        <v>255</v>
      </c>
      <c r="D787" s="1">
        <v>108</v>
      </c>
      <c r="E787" s="1"/>
      <c r="F787" s="1">
        <v>-0.1</v>
      </c>
      <c r="H787" s="1">
        <v>-0.1</v>
      </c>
    </row>
    <row r="788" spans="1:8" x14ac:dyDescent="0.3">
      <c r="A788" s="1">
        <v>787</v>
      </c>
      <c r="B788" s="1" t="s">
        <v>580</v>
      </c>
      <c r="C788" s="1" t="s">
        <v>339</v>
      </c>
      <c r="D788" s="1">
        <v>17</v>
      </c>
      <c r="E788" s="1"/>
      <c r="F788" s="1">
        <v>-0.1</v>
      </c>
      <c r="H788" s="1">
        <v>-0.1</v>
      </c>
    </row>
    <row r="789" spans="1:8" x14ac:dyDescent="0.3">
      <c r="A789" s="1">
        <v>788</v>
      </c>
      <c r="B789" s="1" t="s">
        <v>650</v>
      </c>
      <c r="C789" s="1" t="s">
        <v>266</v>
      </c>
      <c r="D789" s="1"/>
      <c r="E789" s="1">
        <v>11</v>
      </c>
      <c r="F789" s="1">
        <v>0</v>
      </c>
      <c r="G789" s="1">
        <v>-0.1</v>
      </c>
      <c r="H789" s="1">
        <v>-0.1</v>
      </c>
    </row>
    <row r="790" spans="1:8" x14ac:dyDescent="0.3">
      <c r="A790" s="1">
        <v>789</v>
      </c>
      <c r="B790" s="1" t="s">
        <v>3175</v>
      </c>
      <c r="C790" s="1" t="s">
        <v>231</v>
      </c>
      <c r="D790" s="1"/>
      <c r="E790" s="1">
        <v>6</v>
      </c>
      <c r="F790" s="1">
        <v>0</v>
      </c>
      <c r="G790" s="1">
        <v>-0.1</v>
      </c>
      <c r="H790" s="1">
        <v>-0.1</v>
      </c>
    </row>
    <row r="791" spans="1:8" x14ac:dyDescent="0.3">
      <c r="A791" s="1">
        <v>790</v>
      </c>
      <c r="B791" s="1" t="s">
        <v>683</v>
      </c>
      <c r="C791" s="1" t="s">
        <v>268</v>
      </c>
      <c r="D791" s="1">
        <v>65</v>
      </c>
      <c r="E791" s="1"/>
      <c r="F791" s="1">
        <v>-0.1</v>
      </c>
      <c r="H791" s="1">
        <v>-0.1</v>
      </c>
    </row>
    <row r="792" spans="1:8" x14ac:dyDescent="0.3">
      <c r="A792" s="1">
        <v>791</v>
      </c>
      <c r="B792" s="1" t="s">
        <v>657</v>
      </c>
      <c r="C792" s="1" t="s">
        <v>325</v>
      </c>
      <c r="D792" s="1"/>
      <c r="E792" s="1">
        <v>22</v>
      </c>
      <c r="F792" s="1">
        <v>0</v>
      </c>
      <c r="G792" s="1">
        <v>-0.1</v>
      </c>
      <c r="H792" s="1">
        <v>-0.1</v>
      </c>
    </row>
    <row r="793" spans="1:8" x14ac:dyDescent="0.3">
      <c r="A793" s="1">
        <v>792</v>
      </c>
      <c r="B793" s="1" t="s">
        <v>730</v>
      </c>
      <c r="C793" s="1" t="s">
        <v>286</v>
      </c>
      <c r="D793" s="1">
        <v>56</v>
      </c>
      <c r="E793" s="1">
        <v>1</v>
      </c>
      <c r="F793" s="1">
        <v>-0.1</v>
      </c>
      <c r="G793" s="1">
        <v>0</v>
      </c>
      <c r="H793" s="1">
        <v>-0.1</v>
      </c>
    </row>
    <row r="794" spans="1:8" x14ac:dyDescent="0.3">
      <c r="A794" s="1">
        <v>793</v>
      </c>
      <c r="B794" s="1" t="s">
        <v>883</v>
      </c>
      <c r="C794" s="1" t="s">
        <v>325</v>
      </c>
      <c r="D794" s="1">
        <v>171</v>
      </c>
      <c r="E794" s="1"/>
      <c r="F794" s="1">
        <v>-0.1</v>
      </c>
      <c r="H794" s="1">
        <v>-0.1</v>
      </c>
    </row>
    <row r="795" spans="1:8" x14ac:dyDescent="0.3">
      <c r="A795" s="1">
        <v>794</v>
      </c>
      <c r="B795" s="1" t="s">
        <v>3239</v>
      </c>
      <c r="C795" s="1" t="s">
        <v>264</v>
      </c>
      <c r="D795" s="1"/>
      <c r="E795" s="1">
        <v>4</v>
      </c>
      <c r="F795" s="1">
        <v>0</v>
      </c>
      <c r="G795" s="1">
        <v>-0.1</v>
      </c>
      <c r="H795" s="1">
        <v>-0.1</v>
      </c>
    </row>
    <row r="796" spans="1:8" x14ac:dyDescent="0.3">
      <c r="A796" s="1">
        <v>795</v>
      </c>
      <c r="B796" s="1" t="s">
        <v>771</v>
      </c>
      <c r="C796" s="1" t="s">
        <v>246</v>
      </c>
      <c r="D796" s="1">
        <v>98</v>
      </c>
      <c r="E796" s="1"/>
      <c r="F796" s="1">
        <v>-0.1</v>
      </c>
      <c r="H796" s="1">
        <v>-0.1</v>
      </c>
    </row>
    <row r="797" spans="1:8" x14ac:dyDescent="0.3">
      <c r="A797" s="1">
        <v>796</v>
      </c>
      <c r="B797" s="1" t="s">
        <v>785</v>
      </c>
      <c r="C797" s="1" t="s">
        <v>222</v>
      </c>
      <c r="D797" s="1">
        <v>17</v>
      </c>
      <c r="E797" s="1"/>
      <c r="F797" s="1">
        <v>-0.1</v>
      </c>
      <c r="H797" s="1">
        <v>-0.1</v>
      </c>
    </row>
    <row r="798" spans="1:8" x14ac:dyDescent="0.3">
      <c r="A798" s="1">
        <v>797</v>
      </c>
      <c r="B798" s="1" t="s">
        <v>3593</v>
      </c>
      <c r="C798" s="1" t="s">
        <v>339</v>
      </c>
      <c r="D798" s="1">
        <v>7</v>
      </c>
      <c r="E798" s="1"/>
      <c r="F798" s="1">
        <v>-0.1</v>
      </c>
      <c r="H798" s="1">
        <v>-0.1</v>
      </c>
    </row>
    <row r="799" spans="1:8" x14ac:dyDescent="0.3">
      <c r="A799" s="1">
        <v>798</v>
      </c>
      <c r="B799" s="1" t="s">
        <v>583</v>
      </c>
      <c r="C799" s="1" t="s">
        <v>248</v>
      </c>
      <c r="D799" s="1"/>
      <c r="E799" s="1">
        <v>17.2</v>
      </c>
      <c r="F799" s="1">
        <v>0</v>
      </c>
      <c r="G799" s="1">
        <v>-0.1</v>
      </c>
      <c r="H799" s="1">
        <v>-0.1</v>
      </c>
    </row>
    <row r="800" spans="1:8" x14ac:dyDescent="0.3">
      <c r="A800" s="1">
        <v>799</v>
      </c>
      <c r="B800" s="1" t="s">
        <v>3252</v>
      </c>
      <c r="C800" s="1" t="s">
        <v>248</v>
      </c>
      <c r="D800" s="1">
        <v>17</v>
      </c>
      <c r="E800" s="1"/>
      <c r="F800" s="1">
        <v>-0.1</v>
      </c>
      <c r="H800" s="1">
        <v>-0.1</v>
      </c>
    </row>
    <row r="801" spans="1:8" x14ac:dyDescent="0.3">
      <c r="A801" s="1">
        <v>800</v>
      </c>
      <c r="B801" s="1" t="s">
        <v>3062</v>
      </c>
      <c r="C801" s="1" t="s">
        <v>255</v>
      </c>
      <c r="D801" s="1"/>
      <c r="E801" s="1">
        <v>7.2</v>
      </c>
      <c r="F801" s="1">
        <v>0</v>
      </c>
      <c r="G801" s="1">
        <v>-0.1</v>
      </c>
      <c r="H801" s="1">
        <v>-0.1</v>
      </c>
    </row>
    <row r="802" spans="1:8" x14ac:dyDescent="0.3">
      <c r="A802" s="1">
        <v>801</v>
      </c>
      <c r="B802" s="1" t="s">
        <v>3264</v>
      </c>
      <c r="C802" s="1" t="s">
        <v>287</v>
      </c>
      <c r="D802" s="1"/>
      <c r="E802" s="1">
        <v>14</v>
      </c>
      <c r="F802" s="1">
        <v>0</v>
      </c>
      <c r="G802" s="1">
        <v>-0.1</v>
      </c>
      <c r="H802" s="1">
        <v>-0.1</v>
      </c>
    </row>
    <row r="803" spans="1:8" x14ac:dyDescent="0.3">
      <c r="A803" s="1">
        <v>802</v>
      </c>
      <c r="B803" s="1" t="s">
        <v>694</v>
      </c>
      <c r="C803" s="1" t="s">
        <v>248</v>
      </c>
      <c r="D803" s="1">
        <v>22</v>
      </c>
      <c r="E803" s="1"/>
      <c r="F803" s="1">
        <v>-0.1</v>
      </c>
      <c r="H803" s="1">
        <v>-0.1</v>
      </c>
    </row>
    <row r="804" spans="1:8" x14ac:dyDescent="0.3">
      <c r="A804" s="1">
        <v>803</v>
      </c>
      <c r="B804" s="1" t="s">
        <v>804</v>
      </c>
      <c r="C804" s="1" t="s">
        <v>311</v>
      </c>
      <c r="D804" s="1">
        <v>19</v>
      </c>
      <c r="E804" s="1"/>
      <c r="F804" s="1">
        <v>-0.1</v>
      </c>
      <c r="H804" s="1">
        <v>-0.1</v>
      </c>
    </row>
    <row r="805" spans="1:8" x14ac:dyDescent="0.3">
      <c r="A805" s="1">
        <v>804</v>
      </c>
      <c r="B805" s="1" t="s">
        <v>715</v>
      </c>
      <c r="C805" s="1" t="s">
        <v>251</v>
      </c>
      <c r="D805" s="1">
        <v>4</v>
      </c>
      <c r="E805" s="1"/>
      <c r="F805" s="1">
        <v>-0.1</v>
      </c>
      <c r="H805" s="1">
        <v>-0.1</v>
      </c>
    </row>
    <row r="806" spans="1:8" x14ac:dyDescent="0.3">
      <c r="A806" s="1">
        <v>805</v>
      </c>
      <c r="B806" s="1" t="s">
        <v>440</v>
      </c>
      <c r="C806" s="1" t="s">
        <v>339</v>
      </c>
      <c r="D806" s="1">
        <v>173</v>
      </c>
      <c r="E806" s="1"/>
      <c r="F806" s="1">
        <v>-0.1</v>
      </c>
      <c r="H806" s="1">
        <v>-0.1</v>
      </c>
    </row>
    <row r="807" spans="1:8" x14ac:dyDescent="0.3">
      <c r="A807" s="1">
        <v>806</v>
      </c>
      <c r="B807" s="1" t="s">
        <v>565</v>
      </c>
      <c r="C807" s="1" t="s">
        <v>392</v>
      </c>
      <c r="D807" s="1"/>
      <c r="E807" s="1">
        <v>7</v>
      </c>
      <c r="F807" s="1">
        <v>0</v>
      </c>
      <c r="G807" s="1">
        <v>-0.1</v>
      </c>
      <c r="H807" s="1">
        <v>-0.1</v>
      </c>
    </row>
    <row r="808" spans="1:8" x14ac:dyDescent="0.3">
      <c r="A808" s="1">
        <v>807</v>
      </c>
      <c r="B808" s="1" t="s">
        <v>1605</v>
      </c>
      <c r="C808" s="1" t="s">
        <v>244</v>
      </c>
      <c r="D808" s="1"/>
      <c r="E808" s="1">
        <v>1</v>
      </c>
      <c r="F808" s="1">
        <v>0</v>
      </c>
      <c r="G808" s="1">
        <v>-0.1</v>
      </c>
      <c r="H808" s="1">
        <v>-0.1</v>
      </c>
    </row>
    <row r="809" spans="1:8" x14ac:dyDescent="0.3">
      <c r="A809" s="1">
        <v>808</v>
      </c>
      <c r="B809" s="1" t="s">
        <v>3054</v>
      </c>
      <c r="C809" s="1" t="s">
        <v>222</v>
      </c>
      <c r="D809" s="1">
        <v>38</v>
      </c>
      <c r="E809" s="1"/>
      <c r="F809" s="1">
        <v>-0.1</v>
      </c>
      <c r="H809" s="1">
        <v>-0.1</v>
      </c>
    </row>
    <row r="810" spans="1:8" x14ac:dyDescent="0.3">
      <c r="A810" s="1">
        <v>809</v>
      </c>
      <c r="B810" s="1" t="s">
        <v>3064</v>
      </c>
      <c r="C810" s="1" t="s">
        <v>243</v>
      </c>
      <c r="D810" s="1">
        <v>39</v>
      </c>
      <c r="E810" s="1"/>
      <c r="F810" s="1">
        <v>-0.1</v>
      </c>
      <c r="H810" s="1">
        <v>-0.1</v>
      </c>
    </row>
    <row r="811" spans="1:8" x14ac:dyDescent="0.3">
      <c r="A811" s="1">
        <v>810</v>
      </c>
      <c r="B811" s="1" t="s">
        <v>519</v>
      </c>
      <c r="C811" s="1" t="s">
        <v>235</v>
      </c>
      <c r="D811" s="1"/>
      <c r="E811" s="1">
        <v>12.1</v>
      </c>
      <c r="F811" s="1">
        <v>0</v>
      </c>
      <c r="G811" s="1">
        <v>-0.1</v>
      </c>
      <c r="H811" s="1">
        <v>-0.1</v>
      </c>
    </row>
    <row r="812" spans="1:8" x14ac:dyDescent="0.3">
      <c r="A812" s="1">
        <v>811</v>
      </c>
      <c r="B812" s="1" t="s">
        <v>2201</v>
      </c>
      <c r="C812" s="1" t="s">
        <v>270</v>
      </c>
      <c r="D812" s="1"/>
      <c r="E812" s="1">
        <v>10.1</v>
      </c>
      <c r="F812" s="1">
        <v>0</v>
      </c>
      <c r="G812" s="1">
        <v>-0.1</v>
      </c>
      <c r="H812" s="1">
        <v>-0.1</v>
      </c>
    </row>
    <row r="813" spans="1:8" x14ac:dyDescent="0.3">
      <c r="A813" s="1">
        <v>812</v>
      </c>
      <c r="B813" s="1" t="s">
        <v>866</v>
      </c>
      <c r="C813" s="1" t="s">
        <v>339</v>
      </c>
      <c r="D813" s="1"/>
      <c r="E813" s="1">
        <v>18.100000000000001</v>
      </c>
      <c r="F813" s="1">
        <v>0</v>
      </c>
      <c r="G813" s="1">
        <v>-0.1</v>
      </c>
      <c r="H813" s="1">
        <v>-0.1</v>
      </c>
    </row>
    <row r="814" spans="1:8" x14ac:dyDescent="0.3">
      <c r="A814" s="1">
        <v>813</v>
      </c>
      <c r="B814" s="1" t="s">
        <v>615</v>
      </c>
      <c r="C814" s="1" t="s">
        <v>268</v>
      </c>
      <c r="D814" s="1">
        <v>5</v>
      </c>
      <c r="E814" s="1">
        <v>1</v>
      </c>
      <c r="F814" s="1">
        <v>-0.1</v>
      </c>
      <c r="G814" s="1">
        <v>0</v>
      </c>
      <c r="H814" s="1">
        <v>-0.1</v>
      </c>
    </row>
    <row r="815" spans="1:8" x14ac:dyDescent="0.3">
      <c r="A815" s="1">
        <v>814</v>
      </c>
      <c r="B815" s="1" t="s">
        <v>3159</v>
      </c>
      <c r="C815" s="1" t="s">
        <v>270</v>
      </c>
      <c r="D815" s="1">
        <v>5</v>
      </c>
      <c r="E815" s="1"/>
      <c r="F815" s="1">
        <v>-0.1</v>
      </c>
      <c r="H815" s="1">
        <v>-0.1</v>
      </c>
    </row>
    <row r="816" spans="1:8" x14ac:dyDescent="0.3">
      <c r="A816" s="1">
        <v>815</v>
      </c>
      <c r="B816" s="1" t="s">
        <v>3165</v>
      </c>
      <c r="C816" s="1" t="s">
        <v>239</v>
      </c>
      <c r="D816" s="1">
        <v>59</v>
      </c>
      <c r="E816" s="1"/>
      <c r="F816" s="1">
        <v>-0.1</v>
      </c>
      <c r="H816" s="1">
        <v>-0.1</v>
      </c>
    </row>
    <row r="817" spans="1:8" x14ac:dyDescent="0.3">
      <c r="A817" s="1">
        <v>816</v>
      </c>
      <c r="B817" s="1" t="s">
        <v>736</v>
      </c>
      <c r="C817" s="1" t="s">
        <v>228</v>
      </c>
      <c r="D817" s="1"/>
      <c r="E817" s="1">
        <v>20</v>
      </c>
      <c r="F817" s="1">
        <v>0</v>
      </c>
      <c r="G817" s="1">
        <v>-0.1</v>
      </c>
      <c r="H817" s="1">
        <v>-0.1</v>
      </c>
    </row>
    <row r="818" spans="1:8" x14ac:dyDescent="0.3">
      <c r="A818" s="1">
        <v>817</v>
      </c>
      <c r="B818" s="1" t="s">
        <v>3017</v>
      </c>
      <c r="C818" s="1" t="s">
        <v>241</v>
      </c>
      <c r="D818" s="1"/>
      <c r="E818" s="1">
        <v>3.2</v>
      </c>
      <c r="F818" s="1">
        <v>0</v>
      </c>
      <c r="G818" s="1">
        <v>-0.1</v>
      </c>
      <c r="H818" s="1">
        <v>-0.1</v>
      </c>
    </row>
    <row r="819" spans="1:8" x14ac:dyDescent="0.3">
      <c r="A819" s="1">
        <v>818</v>
      </c>
      <c r="B819" s="1" t="s">
        <v>815</v>
      </c>
      <c r="C819" s="1" t="s">
        <v>339</v>
      </c>
      <c r="D819" s="1"/>
      <c r="E819" s="1">
        <v>18.2</v>
      </c>
      <c r="F819" s="1">
        <v>0</v>
      </c>
      <c r="G819" s="1">
        <v>-0.1</v>
      </c>
      <c r="H819" s="1">
        <v>-0.1</v>
      </c>
    </row>
    <row r="820" spans="1:8" x14ac:dyDescent="0.3">
      <c r="A820" s="1">
        <v>819</v>
      </c>
      <c r="B820" s="1" t="s">
        <v>879</v>
      </c>
      <c r="C820" s="1" t="s">
        <v>241</v>
      </c>
      <c r="D820" s="1">
        <v>22</v>
      </c>
      <c r="E820" s="1"/>
      <c r="F820" s="1">
        <v>-0.1</v>
      </c>
      <c r="H820" s="1">
        <v>-0.1</v>
      </c>
    </row>
    <row r="821" spans="1:8" x14ac:dyDescent="0.3">
      <c r="A821" s="1">
        <v>820</v>
      </c>
      <c r="B821" s="1" t="s">
        <v>699</v>
      </c>
      <c r="C821" s="1" t="s">
        <v>266</v>
      </c>
      <c r="D821" s="1"/>
      <c r="E821" s="1">
        <v>31.2</v>
      </c>
      <c r="F821" s="1">
        <v>0</v>
      </c>
      <c r="G821" s="1">
        <v>-0.1</v>
      </c>
      <c r="H821" s="1">
        <v>-0.1</v>
      </c>
    </row>
    <row r="822" spans="1:8" x14ac:dyDescent="0.3">
      <c r="A822" s="1">
        <v>821</v>
      </c>
      <c r="B822" s="1" t="s">
        <v>3375</v>
      </c>
      <c r="C822" s="1" t="s">
        <v>264</v>
      </c>
      <c r="D822" s="1"/>
      <c r="E822" s="1">
        <v>2.2000000000000002</v>
      </c>
      <c r="F822" s="1">
        <v>0</v>
      </c>
      <c r="G822" s="1">
        <v>-0.1</v>
      </c>
      <c r="H822" s="1">
        <v>-0.1</v>
      </c>
    </row>
    <row r="823" spans="1:8" x14ac:dyDescent="0.3">
      <c r="A823" s="1">
        <v>822</v>
      </c>
      <c r="B823" s="1" t="s">
        <v>3594</v>
      </c>
      <c r="C823" s="1" t="s">
        <v>221</v>
      </c>
      <c r="D823" s="1"/>
      <c r="E823" s="1">
        <v>2.1</v>
      </c>
      <c r="F823" s="1">
        <v>0</v>
      </c>
      <c r="G823" s="1">
        <v>-0.1</v>
      </c>
      <c r="H823" s="1">
        <v>-0.1</v>
      </c>
    </row>
    <row r="824" spans="1:8" x14ac:dyDescent="0.3">
      <c r="A824" s="1">
        <v>823</v>
      </c>
      <c r="B824" s="1" t="s">
        <v>3235</v>
      </c>
      <c r="C824" s="1" t="s">
        <v>392</v>
      </c>
      <c r="D824" s="1"/>
      <c r="E824" s="1">
        <v>13</v>
      </c>
      <c r="F824" s="1">
        <v>0</v>
      </c>
      <c r="G824" s="1">
        <v>-0.1</v>
      </c>
      <c r="H824" s="1">
        <v>-0.1</v>
      </c>
    </row>
    <row r="825" spans="1:8" x14ac:dyDescent="0.3">
      <c r="A825" s="1">
        <v>824</v>
      </c>
      <c r="B825" s="1" t="s">
        <v>3088</v>
      </c>
      <c r="C825" s="1" t="s">
        <v>226</v>
      </c>
      <c r="D825" s="1"/>
      <c r="E825" s="1">
        <v>0.2</v>
      </c>
      <c r="F825" s="1">
        <v>0</v>
      </c>
      <c r="G825" s="1">
        <v>-0.1</v>
      </c>
      <c r="H825" s="1">
        <v>-0.1</v>
      </c>
    </row>
    <row r="826" spans="1:8" x14ac:dyDescent="0.3">
      <c r="A826" s="1">
        <v>825</v>
      </c>
      <c r="B826" s="1" t="s">
        <v>543</v>
      </c>
      <c r="C826" s="1" t="s">
        <v>243</v>
      </c>
      <c r="D826" s="1">
        <v>4</v>
      </c>
      <c r="E826" s="1"/>
      <c r="F826" s="1">
        <v>-0.1</v>
      </c>
      <c r="H826" s="1">
        <v>-0.1</v>
      </c>
    </row>
    <row r="827" spans="1:8" x14ac:dyDescent="0.3">
      <c r="A827" s="1">
        <v>826</v>
      </c>
      <c r="B827" s="1" t="s">
        <v>767</v>
      </c>
      <c r="C827" s="1" t="s">
        <v>346</v>
      </c>
      <c r="D827" s="1"/>
      <c r="E827" s="1">
        <v>21</v>
      </c>
      <c r="F827" s="1">
        <v>0</v>
      </c>
      <c r="G827" s="1">
        <v>-0.1</v>
      </c>
      <c r="H827" s="1">
        <v>-0.1</v>
      </c>
    </row>
    <row r="828" spans="1:8" x14ac:dyDescent="0.3">
      <c r="A828" s="1">
        <v>827</v>
      </c>
      <c r="B828" s="1" t="s">
        <v>3276</v>
      </c>
      <c r="C828" s="1" t="s">
        <v>234</v>
      </c>
      <c r="D828" s="1"/>
      <c r="E828" s="1">
        <v>3</v>
      </c>
      <c r="F828" s="1">
        <v>0</v>
      </c>
      <c r="G828" s="1">
        <v>-0.1</v>
      </c>
      <c r="H828" s="1">
        <v>-0.1</v>
      </c>
    </row>
    <row r="829" spans="1:8" x14ac:dyDescent="0.3">
      <c r="A829" s="1">
        <v>828</v>
      </c>
      <c r="B829" s="1" t="s">
        <v>1742</v>
      </c>
      <c r="C829" s="1" t="s">
        <v>325</v>
      </c>
      <c r="D829" s="1"/>
      <c r="E829" s="1">
        <v>10</v>
      </c>
      <c r="F829" s="1">
        <v>0</v>
      </c>
      <c r="G829" s="1">
        <v>-0.1</v>
      </c>
      <c r="H829" s="1">
        <v>-0.1</v>
      </c>
    </row>
    <row r="830" spans="1:8" x14ac:dyDescent="0.3">
      <c r="A830" s="1">
        <v>829</v>
      </c>
      <c r="B830" s="1" t="s">
        <v>3283</v>
      </c>
      <c r="C830" s="1" t="s">
        <v>226</v>
      </c>
      <c r="D830" s="1"/>
      <c r="E830" s="1">
        <v>6.2</v>
      </c>
      <c r="F830" s="1">
        <v>0</v>
      </c>
      <c r="G830" s="1">
        <v>-0.1</v>
      </c>
      <c r="H830" s="1">
        <v>-0.1</v>
      </c>
    </row>
    <row r="831" spans="1:8" x14ac:dyDescent="0.3">
      <c r="A831" s="1">
        <v>830</v>
      </c>
      <c r="B831" s="1" t="s">
        <v>666</v>
      </c>
      <c r="C831" s="1" t="s">
        <v>339</v>
      </c>
      <c r="D831" s="1"/>
      <c r="E831" s="1">
        <v>7.1</v>
      </c>
      <c r="F831" s="1">
        <v>0</v>
      </c>
      <c r="G831" s="1">
        <v>-0.1</v>
      </c>
      <c r="H831" s="1">
        <v>-0.1</v>
      </c>
    </row>
    <row r="832" spans="1:8" x14ac:dyDescent="0.3">
      <c r="A832" s="1">
        <v>831</v>
      </c>
      <c r="B832" s="1" t="s">
        <v>3354</v>
      </c>
      <c r="C832" s="1" t="s">
        <v>222</v>
      </c>
      <c r="D832" s="1"/>
      <c r="E832" s="1">
        <v>7.1</v>
      </c>
      <c r="F832" s="1">
        <v>0</v>
      </c>
      <c r="G832" s="1">
        <v>-0.1</v>
      </c>
      <c r="H832" s="1">
        <v>-0.1</v>
      </c>
    </row>
    <row r="833" spans="1:8" x14ac:dyDescent="0.3">
      <c r="A833" s="1">
        <v>832</v>
      </c>
      <c r="B833" s="1" t="s">
        <v>961</v>
      </c>
      <c r="C833" s="1" t="s">
        <v>251</v>
      </c>
      <c r="D833" s="1">
        <v>194</v>
      </c>
      <c r="E833" s="1"/>
      <c r="F833" s="1">
        <v>-0.1</v>
      </c>
      <c r="H833" s="1">
        <v>-0.1</v>
      </c>
    </row>
    <row r="834" spans="1:8" x14ac:dyDescent="0.3">
      <c r="A834" s="1">
        <v>833</v>
      </c>
      <c r="B834" s="1" t="s">
        <v>3200</v>
      </c>
      <c r="C834" s="1" t="s">
        <v>246</v>
      </c>
      <c r="D834" s="1"/>
      <c r="E834" s="1">
        <v>0.2</v>
      </c>
      <c r="F834" s="1">
        <v>0</v>
      </c>
      <c r="G834" s="1">
        <v>-0.1</v>
      </c>
      <c r="H834" s="1">
        <v>-0.1</v>
      </c>
    </row>
    <row r="835" spans="1:8" x14ac:dyDescent="0.3">
      <c r="A835" s="1">
        <v>834</v>
      </c>
      <c r="B835" s="1" t="s">
        <v>466</v>
      </c>
      <c r="C835" s="1" t="s">
        <v>228</v>
      </c>
      <c r="D835" s="1"/>
      <c r="E835" s="1">
        <v>42.2</v>
      </c>
      <c r="F835" s="1">
        <v>0</v>
      </c>
      <c r="G835" s="1">
        <v>-0.1</v>
      </c>
      <c r="H835" s="1">
        <v>-0.1</v>
      </c>
    </row>
    <row r="836" spans="1:8" x14ac:dyDescent="0.3">
      <c r="A836" s="1">
        <v>835</v>
      </c>
      <c r="B836" s="1" t="s">
        <v>1627</v>
      </c>
      <c r="C836" s="1" t="s">
        <v>241</v>
      </c>
      <c r="D836" s="1"/>
      <c r="E836" s="1">
        <v>25.2</v>
      </c>
      <c r="F836" s="1">
        <v>0</v>
      </c>
      <c r="G836" s="1">
        <v>-0.1</v>
      </c>
      <c r="H836" s="1">
        <v>-0.1</v>
      </c>
    </row>
    <row r="837" spans="1:8" x14ac:dyDescent="0.3">
      <c r="A837" s="1">
        <v>836</v>
      </c>
      <c r="B837" s="1" t="s">
        <v>536</v>
      </c>
      <c r="C837" s="1" t="s">
        <v>222</v>
      </c>
      <c r="D837" s="1"/>
      <c r="E837" s="1">
        <v>24.2</v>
      </c>
      <c r="F837" s="1">
        <v>0</v>
      </c>
      <c r="G837" s="1">
        <v>-0.1</v>
      </c>
      <c r="H837" s="1">
        <v>-0.1</v>
      </c>
    </row>
    <row r="838" spans="1:8" x14ac:dyDescent="0.3">
      <c r="A838" s="1">
        <v>837</v>
      </c>
      <c r="B838" s="1" t="s">
        <v>3100</v>
      </c>
      <c r="C838" s="1" t="s">
        <v>235</v>
      </c>
      <c r="D838" s="1"/>
      <c r="E838" s="1">
        <v>1.2</v>
      </c>
      <c r="F838" s="1">
        <v>0</v>
      </c>
      <c r="G838" s="1">
        <v>-0.1</v>
      </c>
      <c r="H838" s="1">
        <v>-0.1</v>
      </c>
    </row>
    <row r="839" spans="1:8" x14ac:dyDescent="0.3">
      <c r="A839" s="1">
        <v>838</v>
      </c>
      <c r="B839" s="1" t="s">
        <v>690</v>
      </c>
      <c r="C839" s="1" t="s">
        <v>270</v>
      </c>
      <c r="D839" s="1"/>
      <c r="E839" s="1">
        <v>14</v>
      </c>
      <c r="F839" s="1">
        <v>0</v>
      </c>
      <c r="G839" s="1">
        <v>-0.1</v>
      </c>
      <c r="H839" s="1">
        <v>-0.1</v>
      </c>
    </row>
    <row r="840" spans="1:8" x14ac:dyDescent="0.3">
      <c r="A840" s="1">
        <v>839</v>
      </c>
      <c r="B840" s="1" t="s">
        <v>1247</v>
      </c>
      <c r="C840" s="1" t="s">
        <v>234</v>
      </c>
      <c r="D840" s="1">
        <v>7</v>
      </c>
      <c r="E840" s="1"/>
      <c r="F840" s="1">
        <v>-0.1</v>
      </c>
      <c r="H840" s="1">
        <v>-0.1</v>
      </c>
    </row>
    <row r="841" spans="1:8" x14ac:dyDescent="0.3">
      <c r="A841" s="1">
        <v>840</v>
      </c>
      <c r="B841" s="1" t="s">
        <v>794</v>
      </c>
      <c r="C841" s="1" t="s">
        <v>248</v>
      </c>
      <c r="D841" s="1">
        <v>98</v>
      </c>
      <c r="E841" s="1"/>
      <c r="F841" s="1">
        <v>-0.1</v>
      </c>
      <c r="H841" s="1">
        <v>-0.1</v>
      </c>
    </row>
    <row r="842" spans="1:8" x14ac:dyDescent="0.3">
      <c r="A842" s="1">
        <v>841</v>
      </c>
      <c r="B842" s="1" t="s">
        <v>3279</v>
      </c>
      <c r="C842" s="1" t="s">
        <v>339</v>
      </c>
      <c r="D842" s="1"/>
      <c r="E842" s="1">
        <v>9</v>
      </c>
      <c r="F842" s="1">
        <v>0</v>
      </c>
      <c r="G842" s="1">
        <v>-0.1</v>
      </c>
      <c r="H842" s="1">
        <v>-0.1</v>
      </c>
    </row>
    <row r="843" spans="1:8" x14ac:dyDescent="0.3">
      <c r="A843" s="1">
        <v>842</v>
      </c>
      <c r="B843" s="1" t="s">
        <v>783</v>
      </c>
      <c r="C843" s="1" t="s">
        <v>243</v>
      </c>
      <c r="D843" s="1">
        <v>151</v>
      </c>
      <c r="E843" s="1"/>
      <c r="F843" s="1">
        <v>-0.1</v>
      </c>
      <c r="H843" s="1">
        <v>-0.1</v>
      </c>
    </row>
    <row r="844" spans="1:8" x14ac:dyDescent="0.3">
      <c r="A844" s="1">
        <v>843</v>
      </c>
      <c r="B844" s="1" t="s">
        <v>3125</v>
      </c>
      <c r="C844" s="1" t="s">
        <v>270</v>
      </c>
      <c r="D844" s="1">
        <v>73</v>
      </c>
      <c r="E844" s="1"/>
      <c r="F844" s="1">
        <v>-0.1</v>
      </c>
      <c r="H844" s="1">
        <v>-0.1</v>
      </c>
    </row>
    <row r="845" spans="1:8" x14ac:dyDescent="0.3">
      <c r="A845" s="1">
        <v>844</v>
      </c>
      <c r="B845" s="1" t="s">
        <v>691</v>
      </c>
      <c r="C845" s="1" t="s">
        <v>339</v>
      </c>
      <c r="D845" s="1"/>
      <c r="E845" s="1">
        <v>13</v>
      </c>
      <c r="F845" s="1">
        <v>0</v>
      </c>
      <c r="G845" s="1">
        <v>-0.1</v>
      </c>
      <c r="H845" s="1">
        <v>-0.1</v>
      </c>
    </row>
    <row r="846" spans="1:8" x14ac:dyDescent="0.3">
      <c r="A846" s="1">
        <v>845</v>
      </c>
      <c r="B846" s="1" t="s">
        <v>2027</v>
      </c>
      <c r="C846" s="1" t="s">
        <v>231</v>
      </c>
      <c r="D846" s="1"/>
      <c r="E846" s="1">
        <v>12.1</v>
      </c>
      <c r="F846" s="1">
        <v>0</v>
      </c>
      <c r="G846" s="1">
        <v>-0.1</v>
      </c>
      <c r="H846" s="1">
        <v>-0.1</v>
      </c>
    </row>
    <row r="847" spans="1:8" x14ac:dyDescent="0.3">
      <c r="A847" s="1">
        <v>846</v>
      </c>
      <c r="B847" s="1" t="s">
        <v>380</v>
      </c>
      <c r="C847" s="1" t="s">
        <v>251</v>
      </c>
      <c r="D847" s="1">
        <v>161</v>
      </c>
      <c r="E847" s="1"/>
      <c r="F847" s="1">
        <v>-0.1</v>
      </c>
      <c r="H847" s="1">
        <v>-0.1</v>
      </c>
    </row>
    <row r="848" spans="1:8" x14ac:dyDescent="0.3">
      <c r="A848" s="1">
        <v>847</v>
      </c>
      <c r="B848" s="1" t="s">
        <v>3238</v>
      </c>
      <c r="C848" s="1" t="s">
        <v>251</v>
      </c>
      <c r="D848" s="1">
        <v>13</v>
      </c>
      <c r="E848" s="1"/>
      <c r="F848" s="1">
        <v>-0.1</v>
      </c>
      <c r="H848" s="1">
        <v>-0.1</v>
      </c>
    </row>
    <row r="849" spans="1:8" x14ac:dyDescent="0.3">
      <c r="A849" s="1">
        <v>848</v>
      </c>
      <c r="B849" s="1" t="s">
        <v>262</v>
      </c>
      <c r="C849" s="1" t="s">
        <v>251</v>
      </c>
      <c r="D849" s="1">
        <v>173</v>
      </c>
      <c r="E849" s="1"/>
      <c r="F849" s="1">
        <v>-0.1</v>
      </c>
      <c r="H849" s="1">
        <v>-0.1</v>
      </c>
    </row>
    <row r="850" spans="1:8" x14ac:dyDescent="0.3">
      <c r="A850" s="1">
        <v>849</v>
      </c>
      <c r="B850" s="1" t="s">
        <v>200</v>
      </c>
      <c r="C850" s="1" t="s">
        <v>346</v>
      </c>
      <c r="D850" s="1"/>
      <c r="E850" s="1">
        <v>31</v>
      </c>
      <c r="F850" s="1">
        <v>0</v>
      </c>
      <c r="G850" s="1">
        <v>-0.1</v>
      </c>
      <c r="H850" s="1">
        <v>-0.1</v>
      </c>
    </row>
    <row r="851" spans="1:8" x14ac:dyDescent="0.3">
      <c r="A851" s="1">
        <v>850</v>
      </c>
      <c r="B851" s="1" t="s">
        <v>3164</v>
      </c>
      <c r="C851" s="1" t="s">
        <v>268</v>
      </c>
      <c r="D851" s="1">
        <v>12</v>
      </c>
      <c r="E851" s="1"/>
      <c r="F851" s="1">
        <v>-0.1</v>
      </c>
      <c r="H851" s="1">
        <v>-0.1</v>
      </c>
    </row>
    <row r="852" spans="1:8" x14ac:dyDescent="0.3">
      <c r="A852" s="1">
        <v>851</v>
      </c>
      <c r="B852" s="1" t="s">
        <v>780</v>
      </c>
      <c r="C852" s="1" t="s">
        <v>287</v>
      </c>
      <c r="D852" s="1"/>
      <c r="E852" s="1">
        <v>5</v>
      </c>
      <c r="F852" s="1">
        <v>0</v>
      </c>
      <c r="G852" s="1">
        <v>-0.1</v>
      </c>
      <c r="H852" s="1">
        <v>-0.1</v>
      </c>
    </row>
    <row r="853" spans="1:8" x14ac:dyDescent="0.3">
      <c r="A853" s="1">
        <v>852</v>
      </c>
      <c r="B853" s="1" t="s">
        <v>617</v>
      </c>
      <c r="C853" s="1" t="s">
        <v>228</v>
      </c>
      <c r="D853" s="1"/>
      <c r="E853" s="1">
        <v>12</v>
      </c>
      <c r="F853" s="1">
        <v>0</v>
      </c>
      <c r="G853" s="1">
        <v>-0.1</v>
      </c>
      <c r="H853" s="1">
        <v>-0.1</v>
      </c>
    </row>
    <row r="854" spans="1:8" x14ac:dyDescent="0.3">
      <c r="A854" s="1">
        <v>853</v>
      </c>
      <c r="B854" s="1" t="s">
        <v>949</v>
      </c>
      <c r="C854" s="1" t="s">
        <v>241</v>
      </c>
      <c r="D854" s="1"/>
      <c r="E854" s="1">
        <v>11.1</v>
      </c>
      <c r="F854" s="1">
        <v>0</v>
      </c>
      <c r="G854" s="1">
        <v>-0.1</v>
      </c>
      <c r="H854" s="1">
        <v>-0.1</v>
      </c>
    </row>
    <row r="855" spans="1:8" x14ac:dyDescent="0.3">
      <c r="A855" s="1">
        <v>854</v>
      </c>
      <c r="B855" s="1" t="s">
        <v>684</v>
      </c>
      <c r="C855" s="1" t="s">
        <v>286</v>
      </c>
      <c r="D855" s="1"/>
      <c r="E855" s="1">
        <v>9.1</v>
      </c>
      <c r="F855" s="1">
        <v>0</v>
      </c>
      <c r="G855" s="1">
        <v>-0.1</v>
      </c>
      <c r="H855" s="1">
        <v>-0.1</v>
      </c>
    </row>
    <row r="856" spans="1:8" x14ac:dyDescent="0.3">
      <c r="A856" s="1">
        <v>855</v>
      </c>
      <c r="B856" s="1" t="s">
        <v>453</v>
      </c>
      <c r="C856" s="1" t="s">
        <v>268</v>
      </c>
      <c r="D856" s="1">
        <v>103</v>
      </c>
      <c r="E856" s="1"/>
      <c r="F856" s="1">
        <v>-0.1</v>
      </c>
      <c r="H856" s="1">
        <v>-0.1</v>
      </c>
    </row>
    <row r="857" spans="1:8" x14ac:dyDescent="0.3">
      <c r="A857" s="1">
        <v>856</v>
      </c>
      <c r="B857" s="1" t="s">
        <v>763</v>
      </c>
      <c r="C857" s="1" t="s">
        <v>228</v>
      </c>
      <c r="D857" s="1">
        <v>82</v>
      </c>
      <c r="E857" s="1"/>
      <c r="F857" s="1">
        <v>-0.1</v>
      </c>
      <c r="H857" s="1">
        <v>-0.1</v>
      </c>
    </row>
    <row r="858" spans="1:8" x14ac:dyDescent="0.3">
      <c r="A858" s="1">
        <v>857</v>
      </c>
      <c r="B858" s="1" t="s">
        <v>911</v>
      </c>
      <c r="C858" s="1" t="s">
        <v>270</v>
      </c>
      <c r="D858" s="1">
        <v>122</v>
      </c>
      <c r="E858" s="1"/>
      <c r="F858" s="1">
        <v>-0.1</v>
      </c>
      <c r="H858" s="1">
        <v>-0.1</v>
      </c>
    </row>
    <row r="859" spans="1:8" x14ac:dyDescent="0.3">
      <c r="A859" s="1">
        <v>858</v>
      </c>
      <c r="B859" s="1" t="s">
        <v>861</v>
      </c>
      <c r="C859" s="1" t="s">
        <v>222</v>
      </c>
      <c r="D859" s="1"/>
      <c r="E859" s="1">
        <v>3.1</v>
      </c>
      <c r="F859" s="1">
        <v>0</v>
      </c>
      <c r="G859" s="1">
        <v>-0.1</v>
      </c>
      <c r="H859" s="1">
        <v>-0.1</v>
      </c>
    </row>
    <row r="860" spans="1:8" x14ac:dyDescent="0.3">
      <c r="A860" s="1">
        <v>859</v>
      </c>
      <c r="B860" s="1" t="s">
        <v>3129</v>
      </c>
      <c r="C860" s="1" t="s">
        <v>239</v>
      </c>
      <c r="D860" s="1"/>
      <c r="E860" s="1">
        <v>8.1</v>
      </c>
      <c r="F860" s="1">
        <v>0</v>
      </c>
      <c r="G860" s="1">
        <v>-0.1</v>
      </c>
      <c r="H860" s="1">
        <v>-0.1</v>
      </c>
    </row>
    <row r="861" spans="1:8" x14ac:dyDescent="0.3">
      <c r="A861" s="1">
        <v>860</v>
      </c>
      <c r="B861" s="1" t="s">
        <v>3325</v>
      </c>
      <c r="C861" s="1" t="s">
        <v>264</v>
      </c>
      <c r="D861" s="1">
        <v>11</v>
      </c>
      <c r="E861" s="1"/>
      <c r="F861" s="1">
        <v>-0.1</v>
      </c>
      <c r="H861" s="1">
        <v>-0.1</v>
      </c>
    </row>
    <row r="862" spans="1:8" x14ac:dyDescent="0.3">
      <c r="A862" s="1">
        <v>861</v>
      </c>
      <c r="B862" s="1" t="s">
        <v>525</v>
      </c>
      <c r="C862" s="1" t="s">
        <v>339</v>
      </c>
      <c r="D862" s="1"/>
      <c r="E862" s="1">
        <v>8.1999999999999993</v>
      </c>
      <c r="F862" s="1">
        <v>0</v>
      </c>
      <c r="G862" s="1">
        <v>-0.1</v>
      </c>
      <c r="H862" s="1">
        <v>-0.1</v>
      </c>
    </row>
    <row r="863" spans="1:8" x14ac:dyDescent="0.3">
      <c r="A863" s="1">
        <v>862</v>
      </c>
      <c r="B863" s="1" t="s">
        <v>901</v>
      </c>
      <c r="C863" s="1" t="s">
        <v>250</v>
      </c>
      <c r="D863" s="1"/>
      <c r="E863" s="1">
        <v>8.1999999999999993</v>
      </c>
      <c r="F863" s="1">
        <v>0</v>
      </c>
      <c r="G863" s="1">
        <v>-0.1</v>
      </c>
      <c r="H863" s="1">
        <v>-0.1</v>
      </c>
    </row>
    <row r="864" spans="1:8" x14ac:dyDescent="0.3">
      <c r="A864" s="1">
        <v>863</v>
      </c>
      <c r="B864" s="1" t="s">
        <v>3187</v>
      </c>
      <c r="C864" s="1" t="s">
        <v>224</v>
      </c>
      <c r="D864" s="1"/>
      <c r="E864" s="1">
        <v>25.1</v>
      </c>
      <c r="F864" s="1">
        <v>0</v>
      </c>
      <c r="G864" s="1">
        <v>-0.1</v>
      </c>
      <c r="H864" s="1">
        <v>-0.1</v>
      </c>
    </row>
    <row r="865" spans="1:8" x14ac:dyDescent="0.3">
      <c r="A865" s="1">
        <v>864</v>
      </c>
      <c r="B865" s="1" t="s">
        <v>3356</v>
      </c>
      <c r="C865" s="1" t="s">
        <v>235</v>
      </c>
      <c r="D865" s="1"/>
      <c r="E865" s="1">
        <v>1.2</v>
      </c>
      <c r="F865" s="1">
        <v>0</v>
      </c>
      <c r="G865" s="1">
        <v>-0.1</v>
      </c>
      <c r="H865" s="1">
        <v>-0.1</v>
      </c>
    </row>
    <row r="866" spans="1:8" x14ac:dyDescent="0.3">
      <c r="A866" s="1">
        <v>865</v>
      </c>
      <c r="B866" s="1" t="s">
        <v>3261</v>
      </c>
      <c r="C866" s="1" t="s">
        <v>346</v>
      </c>
      <c r="D866" s="1"/>
      <c r="E866" s="1">
        <v>15.2</v>
      </c>
      <c r="F866" s="1">
        <v>0</v>
      </c>
      <c r="G866" s="1">
        <v>-0.1</v>
      </c>
      <c r="H866" s="1">
        <v>-0.1</v>
      </c>
    </row>
    <row r="867" spans="1:8" x14ac:dyDescent="0.3">
      <c r="A867" s="1">
        <v>866</v>
      </c>
      <c r="B867" s="1" t="s">
        <v>964</v>
      </c>
      <c r="C867" s="1" t="s">
        <v>346</v>
      </c>
      <c r="D867" s="1"/>
      <c r="E867" s="1">
        <v>18</v>
      </c>
      <c r="F867" s="1">
        <v>0</v>
      </c>
      <c r="G867" s="1">
        <v>-0.1</v>
      </c>
      <c r="H867" s="1">
        <v>-0.1</v>
      </c>
    </row>
    <row r="868" spans="1:8" x14ac:dyDescent="0.3">
      <c r="A868" s="1">
        <v>867</v>
      </c>
      <c r="B868" s="1" t="s">
        <v>3374</v>
      </c>
      <c r="C868" s="1" t="s">
        <v>325</v>
      </c>
      <c r="D868" s="1"/>
      <c r="E868" s="1">
        <v>3.1</v>
      </c>
      <c r="F868" s="1">
        <v>0</v>
      </c>
      <c r="G868" s="1">
        <v>-0.1</v>
      </c>
      <c r="H868" s="1">
        <v>-0.1</v>
      </c>
    </row>
    <row r="869" spans="1:8" x14ac:dyDescent="0.3">
      <c r="A869" s="1">
        <v>868</v>
      </c>
      <c r="B869" s="1" t="s">
        <v>3379</v>
      </c>
      <c r="C869" s="1" t="s">
        <v>278</v>
      </c>
      <c r="D869" s="1"/>
      <c r="E869" s="1">
        <v>2.1</v>
      </c>
      <c r="F869" s="1">
        <v>0</v>
      </c>
      <c r="G869" s="1">
        <v>-0.1</v>
      </c>
      <c r="H869" s="1">
        <v>-0.1</v>
      </c>
    </row>
    <row r="870" spans="1:8" x14ac:dyDescent="0.3">
      <c r="A870" s="1">
        <v>869</v>
      </c>
      <c r="B870" s="1" t="s">
        <v>3355</v>
      </c>
      <c r="C870" s="1" t="s">
        <v>264</v>
      </c>
      <c r="D870" s="1"/>
      <c r="E870" s="1">
        <v>5</v>
      </c>
      <c r="F870" s="1">
        <v>0</v>
      </c>
      <c r="G870" s="1">
        <v>-0.1</v>
      </c>
      <c r="H870" s="1">
        <v>-0.1</v>
      </c>
    </row>
    <row r="871" spans="1:8" x14ac:dyDescent="0.3">
      <c r="A871" s="1">
        <v>870</v>
      </c>
      <c r="B871" s="1" t="s">
        <v>178</v>
      </c>
      <c r="C871" s="1" t="s">
        <v>339</v>
      </c>
      <c r="D871" s="1"/>
      <c r="E871" s="1">
        <v>50</v>
      </c>
      <c r="F871" s="1">
        <v>0</v>
      </c>
      <c r="G871" s="1">
        <v>-0.1</v>
      </c>
      <c r="H871" s="1">
        <v>-0.1</v>
      </c>
    </row>
    <row r="872" spans="1:8" x14ac:dyDescent="0.3">
      <c r="A872" s="1">
        <v>871</v>
      </c>
      <c r="B872" s="1" t="s">
        <v>280</v>
      </c>
      <c r="C872" s="1" t="s">
        <v>268</v>
      </c>
      <c r="D872" s="1">
        <v>100</v>
      </c>
      <c r="E872" s="1"/>
      <c r="F872" s="1">
        <v>-0.1</v>
      </c>
      <c r="H872" s="1">
        <v>-0.1</v>
      </c>
    </row>
    <row r="873" spans="1:8" x14ac:dyDescent="0.3">
      <c r="A873" s="1">
        <v>872</v>
      </c>
      <c r="B873" s="1" t="s">
        <v>553</v>
      </c>
      <c r="C873" s="1" t="s">
        <v>250</v>
      </c>
      <c r="D873" s="1">
        <v>150</v>
      </c>
      <c r="E873" s="1"/>
      <c r="F873" s="1">
        <v>-0.1</v>
      </c>
      <c r="H873" s="1">
        <v>-0.1</v>
      </c>
    </row>
    <row r="874" spans="1:8" x14ac:dyDescent="0.3">
      <c r="A874" s="1">
        <v>873</v>
      </c>
      <c r="B874" s="1" t="s">
        <v>724</v>
      </c>
      <c r="C874" s="1" t="s">
        <v>234</v>
      </c>
      <c r="D874" s="1"/>
      <c r="E874" s="1">
        <v>51.1</v>
      </c>
      <c r="F874" s="1">
        <v>0</v>
      </c>
      <c r="G874" s="1">
        <v>-0.1</v>
      </c>
      <c r="H874" s="1">
        <v>-0.1</v>
      </c>
    </row>
    <row r="875" spans="1:8" x14ac:dyDescent="0.3">
      <c r="A875" s="1">
        <v>874</v>
      </c>
      <c r="B875" s="1" t="s">
        <v>869</v>
      </c>
      <c r="C875" s="1" t="s">
        <v>286</v>
      </c>
      <c r="D875" s="1">
        <v>18</v>
      </c>
      <c r="E875" s="1"/>
      <c r="F875" s="1">
        <v>-0.1</v>
      </c>
      <c r="H875" s="1">
        <v>-0.1</v>
      </c>
    </row>
    <row r="876" spans="1:8" x14ac:dyDescent="0.3">
      <c r="A876" s="1">
        <v>875</v>
      </c>
      <c r="B876" s="1" t="s">
        <v>459</v>
      </c>
      <c r="C876" s="1" t="s">
        <v>325</v>
      </c>
      <c r="D876" s="1">
        <v>75</v>
      </c>
      <c r="E876" s="1"/>
      <c r="F876" s="1">
        <v>-0.1</v>
      </c>
      <c r="H876" s="1">
        <v>-0.1</v>
      </c>
    </row>
    <row r="877" spans="1:8" x14ac:dyDescent="0.3">
      <c r="A877" s="1">
        <v>876</v>
      </c>
      <c r="B877" s="1" t="s">
        <v>874</v>
      </c>
      <c r="C877" s="1" t="s">
        <v>224</v>
      </c>
      <c r="D877" s="1">
        <v>61</v>
      </c>
      <c r="E877" s="1"/>
      <c r="F877" s="1">
        <v>-0.1</v>
      </c>
      <c r="H877" s="1">
        <v>-0.1</v>
      </c>
    </row>
    <row r="878" spans="1:8" x14ac:dyDescent="0.3">
      <c r="A878" s="1">
        <v>877</v>
      </c>
      <c r="B878" s="1" t="s">
        <v>2212</v>
      </c>
      <c r="C878" s="1" t="s">
        <v>325</v>
      </c>
      <c r="D878" s="1"/>
      <c r="E878" s="1">
        <v>0.1</v>
      </c>
      <c r="F878" s="1">
        <v>0</v>
      </c>
      <c r="G878" s="1">
        <v>-0.1</v>
      </c>
      <c r="H878" s="1">
        <v>-0.1</v>
      </c>
    </row>
    <row r="879" spans="1:8" x14ac:dyDescent="0.3">
      <c r="A879" s="1">
        <v>878</v>
      </c>
      <c r="B879" s="1" t="s">
        <v>456</v>
      </c>
      <c r="C879" s="1" t="s">
        <v>325</v>
      </c>
      <c r="D879" s="1"/>
      <c r="E879" s="1">
        <v>9.1</v>
      </c>
      <c r="F879" s="1">
        <v>0</v>
      </c>
      <c r="G879" s="1">
        <v>-0.1</v>
      </c>
      <c r="H879" s="1">
        <v>-0.1</v>
      </c>
    </row>
    <row r="880" spans="1:8" x14ac:dyDescent="0.3">
      <c r="A880" s="1">
        <v>879</v>
      </c>
      <c r="B880" s="1" t="s">
        <v>1594</v>
      </c>
      <c r="C880" s="1" t="s">
        <v>255</v>
      </c>
      <c r="D880" s="1"/>
      <c r="E880" s="1">
        <v>19.100000000000001</v>
      </c>
      <c r="F880" s="1">
        <v>0</v>
      </c>
      <c r="G880" s="1">
        <v>-0.1</v>
      </c>
      <c r="H880" s="1">
        <v>-0.1</v>
      </c>
    </row>
    <row r="881" spans="1:8" x14ac:dyDescent="0.3">
      <c r="A881" s="1">
        <v>880</v>
      </c>
      <c r="B881" s="1" t="s">
        <v>967</v>
      </c>
      <c r="C881" s="1" t="s">
        <v>392</v>
      </c>
      <c r="D881" s="1">
        <v>202</v>
      </c>
      <c r="E881" s="1"/>
      <c r="F881" s="1">
        <v>-0.1</v>
      </c>
      <c r="H881" s="1">
        <v>-0.1</v>
      </c>
    </row>
    <row r="882" spans="1:8" x14ac:dyDescent="0.3">
      <c r="A882" s="1">
        <v>881</v>
      </c>
      <c r="B882" s="1" t="s">
        <v>1590</v>
      </c>
      <c r="C882" s="1" t="s">
        <v>286</v>
      </c>
      <c r="D882" s="1">
        <v>116</v>
      </c>
      <c r="E882" s="1"/>
      <c r="F882" s="1">
        <v>-0.1</v>
      </c>
      <c r="H882" s="1">
        <v>-0.1</v>
      </c>
    </row>
    <row r="883" spans="1:8" x14ac:dyDescent="0.3">
      <c r="A883" s="1">
        <v>882</v>
      </c>
      <c r="B883" s="1" t="s">
        <v>1248</v>
      </c>
      <c r="C883" s="1" t="s">
        <v>246</v>
      </c>
      <c r="D883" s="1"/>
      <c r="E883" s="1">
        <v>1</v>
      </c>
      <c r="F883" s="1">
        <v>0</v>
      </c>
      <c r="G883" s="1">
        <v>-0.1</v>
      </c>
      <c r="H883" s="1">
        <v>-0.1</v>
      </c>
    </row>
    <row r="884" spans="1:8" x14ac:dyDescent="0.3">
      <c r="A884" s="1">
        <v>883</v>
      </c>
      <c r="B884" s="1" t="s">
        <v>692</v>
      </c>
      <c r="C884" s="1" t="s">
        <v>278</v>
      </c>
      <c r="D884" s="1"/>
      <c r="E884" s="1">
        <v>6.2</v>
      </c>
      <c r="F884" s="1">
        <v>0</v>
      </c>
      <c r="G884" s="1">
        <v>-0.1</v>
      </c>
      <c r="H884" s="1">
        <v>-0.1</v>
      </c>
    </row>
    <row r="885" spans="1:8" x14ac:dyDescent="0.3">
      <c r="A885" s="1">
        <v>884</v>
      </c>
      <c r="B885" s="1" t="s">
        <v>3270</v>
      </c>
      <c r="C885" s="1" t="s">
        <v>226</v>
      </c>
      <c r="D885" s="1"/>
      <c r="E885" s="1">
        <v>8</v>
      </c>
      <c r="F885" s="1">
        <v>0</v>
      </c>
      <c r="G885" s="1">
        <v>-0.1</v>
      </c>
      <c r="H885" s="1">
        <v>-0.1</v>
      </c>
    </row>
    <row r="886" spans="1:8" x14ac:dyDescent="0.3">
      <c r="A886" s="1">
        <v>885</v>
      </c>
      <c r="B886" s="1" t="s">
        <v>790</v>
      </c>
      <c r="C886" s="1" t="s">
        <v>286</v>
      </c>
      <c r="D886" s="1"/>
      <c r="E886" s="1">
        <v>4.2</v>
      </c>
      <c r="F886" s="1">
        <v>0</v>
      </c>
      <c r="G886" s="1">
        <v>-0.1</v>
      </c>
      <c r="H886" s="1">
        <v>-0.1</v>
      </c>
    </row>
    <row r="887" spans="1:8" x14ac:dyDescent="0.3">
      <c r="A887" s="1">
        <v>886</v>
      </c>
      <c r="B887" s="1" t="s">
        <v>3132</v>
      </c>
      <c r="C887" s="1" t="s">
        <v>246</v>
      </c>
      <c r="D887" s="1"/>
      <c r="E887" s="1">
        <v>3</v>
      </c>
      <c r="F887" s="1">
        <v>0</v>
      </c>
      <c r="G887" s="1">
        <v>-0.1</v>
      </c>
      <c r="H887" s="1">
        <v>-0.1</v>
      </c>
    </row>
    <row r="888" spans="1:8" x14ac:dyDescent="0.3">
      <c r="A888" s="1">
        <v>887</v>
      </c>
      <c r="B888" s="1" t="s">
        <v>852</v>
      </c>
      <c r="C888" s="1" t="s">
        <v>248</v>
      </c>
      <c r="D888" s="1">
        <v>26</v>
      </c>
      <c r="E888" s="1"/>
      <c r="F888" s="1">
        <v>-0.1</v>
      </c>
      <c r="H888" s="1">
        <v>-0.1</v>
      </c>
    </row>
    <row r="889" spans="1:8" x14ac:dyDescent="0.3">
      <c r="A889" s="1">
        <v>888</v>
      </c>
      <c r="B889" s="1" t="s">
        <v>455</v>
      </c>
      <c r="C889" s="1" t="s">
        <v>287</v>
      </c>
      <c r="D889" s="1"/>
      <c r="E889" s="1">
        <v>21.2</v>
      </c>
      <c r="F889" s="1">
        <v>0</v>
      </c>
      <c r="G889" s="1">
        <v>-0.1</v>
      </c>
      <c r="H889" s="1">
        <v>-0.1</v>
      </c>
    </row>
    <row r="890" spans="1:8" x14ac:dyDescent="0.3">
      <c r="A890" s="1">
        <v>889</v>
      </c>
      <c r="B890" s="1" t="s">
        <v>737</v>
      </c>
      <c r="C890" s="1" t="s">
        <v>224</v>
      </c>
      <c r="D890" s="1">
        <v>12</v>
      </c>
      <c r="E890" s="1"/>
      <c r="F890" s="1">
        <v>-0.1</v>
      </c>
      <c r="H890" s="1">
        <v>-0.1</v>
      </c>
    </row>
    <row r="891" spans="1:8" x14ac:dyDescent="0.3">
      <c r="A891" s="1">
        <v>890</v>
      </c>
      <c r="B891" s="1" t="s">
        <v>930</v>
      </c>
      <c r="C891" s="1" t="s">
        <v>339</v>
      </c>
      <c r="D891" s="1"/>
      <c r="E891" s="1">
        <v>16.100000000000001</v>
      </c>
      <c r="F891" s="1">
        <v>0</v>
      </c>
      <c r="G891" s="1">
        <v>-0.1</v>
      </c>
      <c r="H891" s="1">
        <v>-0.1</v>
      </c>
    </row>
    <row r="892" spans="1:8" x14ac:dyDescent="0.3">
      <c r="A892" s="1">
        <v>891</v>
      </c>
      <c r="B892" s="1" t="s">
        <v>3149</v>
      </c>
      <c r="C892" s="1" t="s">
        <v>231</v>
      </c>
      <c r="D892" s="1">
        <v>33</v>
      </c>
      <c r="E892" s="1"/>
      <c r="F892" s="1">
        <v>-0.1</v>
      </c>
      <c r="H892" s="1">
        <v>-0.1</v>
      </c>
    </row>
    <row r="893" spans="1:8" x14ac:dyDescent="0.3">
      <c r="A893" s="1">
        <v>892</v>
      </c>
      <c r="B893" s="1" t="s">
        <v>578</v>
      </c>
      <c r="C893" s="1" t="s">
        <v>264</v>
      </c>
      <c r="D893" s="1"/>
      <c r="E893" s="1">
        <v>14.1</v>
      </c>
      <c r="F893" s="1">
        <v>0</v>
      </c>
      <c r="G893" s="1">
        <v>-0.1</v>
      </c>
      <c r="H893" s="1">
        <v>-0.1</v>
      </c>
    </row>
    <row r="894" spans="1:8" x14ac:dyDescent="0.3">
      <c r="A894" s="1">
        <v>893</v>
      </c>
      <c r="B894" s="1" t="s">
        <v>888</v>
      </c>
      <c r="C894" s="1" t="s">
        <v>239</v>
      </c>
      <c r="D894" s="1">
        <v>4</v>
      </c>
      <c r="E894" s="1"/>
      <c r="F894" s="1">
        <v>-0.1</v>
      </c>
      <c r="H894" s="1">
        <v>-0.1</v>
      </c>
    </row>
    <row r="895" spans="1:8" x14ac:dyDescent="0.3">
      <c r="A895" s="1">
        <v>894</v>
      </c>
      <c r="B895" s="1" t="s">
        <v>635</v>
      </c>
      <c r="C895" s="1" t="s">
        <v>392</v>
      </c>
      <c r="D895" s="1"/>
      <c r="E895" s="1">
        <v>18.100000000000001</v>
      </c>
      <c r="F895" s="1">
        <v>0</v>
      </c>
      <c r="G895" s="1">
        <v>-0.1</v>
      </c>
      <c r="H895" s="1">
        <v>-0.1</v>
      </c>
    </row>
    <row r="896" spans="1:8" x14ac:dyDescent="0.3">
      <c r="A896" s="1">
        <v>895</v>
      </c>
      <c r="B896" s="1" t="s">
        <v>1734</v>
      </c>
      <c r="C896" s="1" t="s">
        <v>241</v>
      </c>
      <c r="D896" s="1">
        <v>21</v>
      </c>
      <c r="E896" s="1">
        <v>1</v>
      </c>
      <c r="F896" s="1">
        <v>-0.1</v>
      </c>
      <c r="G896" s="1">
        <v>0</v>
      </c>
      <c r="H896" s="1">
        <v>-0.1</v>
      </c>
    </row>
    <row r="897" spans="1:8" x14ac:dyDescent="0.3">
      <c r="A897" s="1">
        <v>896</v>
      </c>
      <c r="B897" s="1" t="s">
        <v>670</v>
      </c>
      <c r="C897" s="1" t="s">
        <v>339</v>
      </c>
      <c r="D897" s="1"/>
      <c r="E897" s="1">
        <v>20.100000000000001</v>
      </c>
      <c r="F897" s="1">
        <v>0</v>
      </c>
      <c r="G897" s="1">
        <v>-0.1</v>
      </c>
      <c r="H897" s="1">
        <v>-0.1</v>
      </c>
    </row>
    <row r="898" spans="1:8" x14ac:dyDescent="0.3">
      <c r="A898" s="1">
        <v>897</v>
      </c>
      <c r="B898" s="1" t="s">
        <v>3128</v>
      </c>
      <c r="C898" s="1" t="s">
        <v>286</v>
      </c>
      <c r="D898" s="1"/>
      <c r="E898" s="1">
        <v>32.200000000000003</v>
      </c>
      <c r="F898" s="1">
        <v>0</v>
      </c>
      <c r="G898" s="1">
        <v>-0.1</v>
      </c>
      <c r="H898" s="1">
        <v>-0.1</v>
      </c>
    </row>
    <row r="899" spans="1:8" x14ac:dyDescent="0.3">
      <c r="A899" s="1">
        <v>898</v>
      </c>
      <c r="B899" s="1" t="s">
        <v>654</v>
      </c>
      <c r="C899" s="1" t="s">
        <v>250</v>
      </c>
      <c r="D899" s="1">
        <v>98</v>
      </c>
      <c r="E899" s="1"/>
      <c r="F899" s="1">
        <v>-0.1</v>
      </c>
      <c r="H899" s="1">
        <v>-0.1</v>
      </c>
    </row>
    <row r="900" spans="1:8" x14ac:dyDescent="0.3">
      <c r="A900" s="1">
        <v>899</v>
      </c>
      <c r="B900" s="1" t="s">
        <v>860</v>
      </c>
      <c r="C900" s="1" t="s">
        <v>346</v>
      </c>
      <c r="D900" s="1">
        <v>18</v>
      </c>
      <c r="E900" s="1"/>
      <c r="F900" s="1">
        <v>-0.1</v>
      </c>
      <c r="H900" s="1">
        <v>-0.1</v>
      </c>
    </row>
    <row r="901" spans="1:8" x14ac:dyDescent="0.3">
      <c r="A901" s="1">
        <v>900</v>
      </c>
      <c r="B901" s="1" t="s">
        <v>775</v>
      </c>
      <c r="C901" s="1" t="s">
        <v>266</v>
      </c>
      <c r="D901" s="1">
        <v>87</v>
      </c>
      <c r="E901" s="1"/>
      <c r="F901" s="1">
        <v>-0.1</v>
      </c>
      <c r="H901" s="1">
        <v>-0.1</v>
      </c>
    </row>
    <row r="902" spans="1:8" x14ac:dyDescent="0.3">
      <c r="A902" s="1">
        <v>901</v>
      </c>
      <c r="B902" s="1" t="s">
        <v>3384</v>
      </c>
      <c r="C902" s="1" t="s">
        <v>235</v>
      </c>
      <c r="D902" s="1"/>
      <c r="E902" s="1">
        <v>1.1000000000000001</v>
      </c>
      <c r="F902" s="1">
        <v>0</v>
      </c>
      <c r="G902" s="1">
        <v>-0.1</v>
      </c>
      <c r="H902" s="1">
        <v>-0.1</v>
      </c>
    </row>
    <row r="903" spans="1:8" x14ac:dyDescent="0.3">
      <c r="A903" s="1">
        <v>902</v>
      </c>
      <c r="B903" s="1" t="s">
        <v>3013</v>
      </c>
      <c r="C903" s="1" t="s">
        <v>339</v>
      </c>
      <c r="D903" s="1"/>
      <c r="E903" s="1">
        <v>12</v>
      </c>
      <c r="F903" s="1">
        <v>0</v>
      </c>
      <c r="G903" s="1">
        <v>-0.1</v>
      </c>
      <c r="H903" s="1">
        <v>-0.1</v>
      </c>
    </row>
    <row r="904" spans="1:8" x14ac:dyDescent="0.3">
      <c r="A904" s="1">
        <v>903</v>
      </c>
      <c r="B904" s="1" t="s">
        <v>3250</v>
      </c>
      <c r="C904" s="1" t="s">
        <v>231</v>
      </c>
      <c r="D904" s="1">
        <v>18</v>
      </c>
      <c r="E904" s="1"/>
      <c r="F904" s="1">
        <v>-0.1</v>
      </c>
      <c r="H904" s="1">
        <v>-0.1</v>
      </c>
    </row>
    <row r="905" spans="1:8" x14ac:dyDescent="0.3">
      <c r="A905" s="1">
        <v>904</v>
      </c>
      <c r="B905" s="1" t="s">
        <v>1609</v>
      </c>
      <c r="C905" s="1" t="s">
        <v>311</v>
      </c>
      <c r="D905" s="1"/>
      <c r="E905" s="1">
        <v>3.1</v>
      </c>
      <c r="F905" s="1">
        <v>0</v>
      </c>
      <c r="G905" s="1">
        <v>-0.1</v>
      </c>
      <c r="H905" s="1">
        <v>-0.1</v>
      </c>
    </row>
    <row r="906" spans="1:8" x14ac:dyDescent="0.3">
      <c r="A906">
        <v>905</v>
      </c>
      <c r="B906" t="s">
        <v>3253</v>
      </c>
      <c r="C906" t="s">
        <v>246</v>
      </c>
      <c r="D906">
        <v>37</v>
      </c>
      <c r="F906" s="1">
        <v>-0.1</v>
      </c>
      <c r="H906" s="1">
        <v>-0.1</v>
      </c>
    </row>
    <row r="907" spans="1:8" x14ac:dyDescent="0.3">
      <c r="A907">
        <v>906</v>
      </c>
      <c r="B907" t="s">
        <v>3163</v>
      </c>
      <c r="C907" t="s">
        <v>311</v>
      </c>
      <c r="D907">
        <v>17</v>
      </c>
      <c r="F907" s="1">
        <v>-0.1</v>
      </c>
      <c r="H907" s="1">
        <v>-0.1</v>
      </c>
    </row>
    <row r="908" spans="1:8" x14ac:dyDescent="0.3">
      <c r="A908">
        <v>907</v>
      </c>
      <c r="B908" t="s">
        <v>3167</v>
      </c>
      <c r="C908" t="s">
        <v>224</v>
      </c>
      <c r="D908">
        <v>6</v>
      </c>
      <c r="F908" s="1">
        <v>-0.1</v>
      </c>
      <c r="H908" s="1">
        <v>-0.1</v>
      </c>
    </row>
    <row r="909" spans="1:8" x14ac:dyDescent="0.3">
      <c r="A909">
        <v>908</v>
      </c>
      <c r="B909" t="s">
        <v>581</v>
      </c>
      <c r="C909" t="s">
        <v>270</v>
      </c>
      <c r="E909">
        <v>11</v>
      </c>
      <c r="F909" s="1">
        <v>0</v>
      </c>
      <c r="G909" s="1">
        <v>-0.1</v>
      </c>
      <c r="H909" s="1">
        <v>-0.1</v>
      </c>
    </row>
    <row r="910" spans="1:8" x14ac:dyDescent="0.3">
      <c r="A910">
        <v>909</v>
      </c>
      <c r="B910" t="s">
        <v>884</v>
      </c>
      <c r="C910" t="s">
        <v>250</v>
      </c>
      <c r="E910">
        <v>16.2</v>
      </c>
      <c r="F910" s="1">
        <v>0</v>
      </c>
      <c r="G910" s="1">
        <v>-0.1</v>
      </c>
      <c r="H910" s="1">
        <v>-0.1</v>
      </c>
    </row>
    <row r="911" spans="1:8" x14ac:dyDescent="0.3">
      <c r="A911">
        <v>910</v>
      </c>
      <c r="B911" t="s">
        <v>3126</v>
      </c>
      <c r="C911" t="s">
        <v>268</v>
      </c>
      <c r="D911">
        <v>89</v>
      </c>
      <c r="F911" s="1">
        <v>-0.1</v>
      </c>
      <c r="H911" s="1">
        <v>-0.1</v>
      </c>
    </row>
    <row r="912" spans="1:8" x14ac:dyDescent="0.3">
      <c r="A912">
        <v>911</v>
      </c>
      <c r="B912" t="s">
        <v>880</v>
      </c>
      <c r="C912" t="s">
        <v>346</v>
      </c>
      <c r="D912">
        <v>21</v>
      </c>
      <c r="F912" s="1">
        <v>-0.1</v>
      </c>
      <c r="H912" s="1">
        <v>-0.1</v>
      </c>
    </row>
    <row r="913" spans="1:8" x14ac:dyDescent="0.3">
      <c r="A913">
        <v>912</v>
      </c>
      <c r="B913" t="s">
        <v>3071</v>
      </c>
      <c r="C913" t="s">
        <v>226</v>
      </c>
      <c r="D913">
        <v>10</v>
      </c>
      <c r="E913">
        <v>1</v>
      </c>
      <c r="F913" s="1">
        <v>-0.2</v>
      </c>
      <c r="G913" s="1">
        <v>0</v>
      </c>
      <c r="H913" s="1">
        <v>-0.1</v>
      </c>
    </row>
    <row r="914" spans="1:8" x14ac:dyDescent="0.3">
      <c r="A914">
        <v>913</v>
      </c>
      <c r="B914" t="s">
        <v>886</v>
      </c>
      <c r="C914" t="s">
        <v>221</v>
      </c>
      <c r="E914">
        <v>45.1</v>
      </c>
      <c r="F914" s="1">
        <v>0</v>
      </c>
      <c r="G914" s="1">
        <v>-0.2</v>
      </c>
      <c r="H914" s="1">
        <v>-0.2</v>
      </c>
    </row>
    <row r="915" spans="1:8" x14ac:dyDescent="0.3">
      <c r="A915">
        <v>914</v>
      </c>
      <c r="B915" t="s">
        <v>3154</v>
      </c>
      <c r="C915" t="s">
        <v>226</v>
      </c>
      <c r="D915">
        <v>23</v>
      </c>
      <c r="F915" s="1">
        <v>-0.2</v>
      </c>
      <c r="H915" s="1">
        <v>-0.2</v>
      </c>
    </row>
    <row r="916" spans="1:8" x14ac:dyDescent="0.3">
      <c r="A916">
        <v>915</v>
      </c>
      <c r="B916" t="s">
        <v>1604</v>
      </c>
      <c r="C916" t="s">
        <v>278</v>
      </c>
      <c r="D916">
        <v>68</v>
      </c>
      <c r="F916" s="1">
        <v>-0.2</v>
      </c>
      <c r="H916" s="1">
        <v>-0.2</v>
      </c>
    </row>
    <row r="917" spans="1:8" x14ac:dyDescent="0.3">
      <c r="A917">
        <v>916</v>
      </c>
      <c r="B917" t="s">
        <v>837</v>
      </c>
      <c r="C917" t="s">
        <v>244</v>
      </c>
      <c r="D917">
        <v>24</v>
      </c>
      <c r="F917" s="1">
        <v>-0.2</v>
      </c>
      <c r="H917" s="1">
        <v>-0.2</v>
      </c>
    </row>
    <row r="918" spans="1:8" x14ac:dyDescent="0.3">
      <c r="A918">
        <v>917</v>
      </c>
      <c r="B918" t="s">
        <v>3255</v>
      </c>
      <c r="C918" t="s">
        <v>250</v>
      </c>
      <c r="D918">
        <v>4</v>
      </c>
      <c r="F918" s="1">
        <v>-0.2</v>
      </c>
      <c r="H918" s="1">
        <v>-0.2</v>
      </c>
    </row>
    <row r="919" spans="1:8" x14ac:dyDescent="0.3">
      <c r="A919">
        <v>918</v>
      </c>
      <c r="B919" t="s">
        <v>688</v>
      </c>
      <c r="C919" t="s">
        <v>231</v>
      </c>
      <c r="E919">
        <v>9.1999999999999993</v>
      </c>
      <c r="F919" s="1">
        <v>0</v>
      </c>
      <c r="G919" s="1">
        <v>-0.2</v>
      </c>
      <c r="H919" s="1">
        <v>-0.2</v>
      </c>
    </row>
    <row r="920" spans="1:8" x14ac:dyDescent="0.3">
      <c r="A920">
        <v>919</v>
      </c>
      <c r="B920" t="s">
        <v>718</v>
      </c>
      <c r="C920" t="s">
        <v>268</v>
      </c>
      <c r="D920">
        <v>17</v>
      </c>
      <c r="F920" s="1">
        <v>-0.2</v>
      </c>
      <c r="H920" s="1">
        <v>-0.2</v>
      </c>
    </row>
    <row r="921" spans="1:8" x14ac:dyDescent="0.3">
      <c r="A921">
        <v>920</v>
      </c>
      <c r="B921" t="s">
        <v>755</v>
      </c>
      <c r="C921" t="s">
        <v>235</v>
      </c>
      <c r="E921">
        <v>8.1999999999999993</v>
      </c>
      <c r="F921" s="1">
        <v>0</v>
      </c>
      <c r="G921" s="1">
        <v>-0.2</v>
      </c>
      <c r="H921" s="1">
        <v>-0.2</v>
      </c>
    </row>
    <row r="922" spans="1:8" x14ac:dyDescent="0.3">
      <c r="A922">
        <v>921</v>
      </c>
      <c r="B922" t="s">
        <v>762</v>
      </c>
      <c r="C922" t="s">
        <v>278</v>
      </c>
      <c r="D922">
        <v>49</v>
      </c>
      <c r="F922" s="1">
        <v>-0.2</v>
      </c>
      <c r="H922" s="1">
        <v>-0.2</v>
      </c>
    </row>
    <row r="923" spans="1:8" x14ac:dyDescent="0.3">
      <c r="A923">
        <v>922</v>
      </c>
      <c r="B923" t="s">
        <v>1608</v>
      </c>
      <c r="C923" t="s">
        <v>250</v>
      </c>
      <c r="D923">
        <v>17</v>
      </c>
      <c r="F923" s="1">
        <v>-0.2</v>
      </c>
      <c r="H923" s="1">
        <v>-0.2</v>
      </c>
    </row>
    <row r="924" spans="1:8" x14ac:dyDescent="0.3">
      <c r="A924">
        <v>923</v>
      </c>
      <c r="B924" t="s">
        <v>936</v>
      </c>
      <c r="C924" t="s">
        <v>278</v>
      </c>
      <c r="E924">
        <v>22.2</v>
      </c>
      <c r="F924" s="1">
        <v>0</v>
      </c>
      <c r="G924" s="1">
        <v>-0.2</v>
      </c>
      <c r="H924" s="1">
        <v>-0.2</v>
      </c>
    </row>
    <row r="925" spans="1:8" x14ac:dyDescent="0.3">
      <c r="A925">
        <v>924</v>
      </c>
      <c r="B925" t="s">
        <v>3249</v>
      </c>
      <c r="C925" t="s">
        <v>248</v>
      </c>
      <c r="D925">
        <v>59</v>
      </c>
      <c r="F925" s="1">
        <v>-0.2</v>
      </c>
      <c r="H925" s="1">
        <v>-0.2</v>
      </c>
    </row>
    <row r="926" spans="1:8" x14ac:dyDescent="0.3">
      <c r="A926">
        <v>925</v>
      </c>
      <c r="B926" t="s">
        <v>616</v>
      </c>
      <c r="C926" t="s">
        <v>270</v>
      </c>
      <c r="D926">
        <v>117</v>
      </c>
      <c r="F926" s="1">
        <v>-0.2</v>
      </c>
      <c r="H926" s="1">
        <v>-0.2</v>
      </c>
    </row>
    <row r="927" spans="1:8" x14ac:dyDescent="0.3">
      <c r="A927">
        <v>926</v>
      </c>
      <c r="B927" t="s">
        <v>3023</v>
      </c>
      <c r="C927" t="s">
        <v>250</v>
      </c>
      <c r="D927">
        <v>16</v>
      </c>
      <c r="F927" s="1">
        <v>-0.2</v>
      </c>
      <c r="H927" s="1">
        <v>-0.2</v>
      </c>
    </row>
    <row r="928" spans="1:8" x14ac:dyDescent="0.3">
      <c r="A928">
        <v>927</v>
      </c>
      <c r="B928" t="s">
        <v>928</v>
      </c>
      <c r="C928" t="s">
        <v>248</v>
      </c>
      <c r="D928">
        <v>42</v>
      </c>
      <c r="E928">
        <v>0.1</v>
      </c>
      <c r="F928" s="1">
        <v>-0.1</v>
      </c>
      <c r="G928" s="1">
        <v>-0.1</v>
      </c>
      <c r="H928" s="1">
        <v>-0.2</v>
      </c>
    </row>
    <row r="929" spans="1:8" x14ac:dyDescent="0.3">
      <c r="A929">
        <v>928</v>
      </c>
      <c r="B929" t="s">
        <v>3258</v>
      </c>
      <c r="C929" t="s">
        <v>266</v>
      </c>
      <c r="E929">
        <v>7.2</v>
      </c>
      <c r="F929" s="1">
        <v>0</v>
      </c>
      <c r="G929" s="1">
        <v>-0.2</v>
      </c>
      <c r="H929" s="1">
        <v>-0.2</v>
      </c>
    </row>
    <row r="930" spans="1:8" x14ac:dyDescent="0.3">
      <c r="A930">
        <v>929</v>
      </c>
      <c r="B930" t="s">
        <v>923</v>
      </c>
      <c r="C930" t="s">
        <v>235</v>
      </c>
      <c r="D930">
        <v>16</v>
      </c>
      <c r="F930" s="1">
        <v>-0.2</v>
      </c>
      <c r="H930" s="1">
        <v>-0.2</v>
      </c>
    </row>
    <row r="931" spans="1:8" x14ac:dyDescent="0.3">
      <c r="A931">
        <v>930</v>
      </c>
      <c r="B931" t="s">
        <v>442</v>
      </c>
      <c r="C931" t="s">
        <v>221</v>
      </c>
      <c r="E931">
        <v>12.1</v>
      </c>
      <c r="F931" s="1">
        <v>0</v>
      </c>
      <c r="G931" s="1">
        <v>-0.2</v>
      </c>
      <c r="H931" s="1">
        <v>-0.2</v>
      </c>
    </row>
    <row r="932" spans="1:8" x14ac:dyDescent="0.3">
      <c r="A932">
        <v>931</v>
      </c>
      <c r="B932" t="s">
        <v>550</v>
      </c>
      <c r="C932" t="s">
        <v>239</v>
      </c>
      <c r="E932">
        <v>19</v>
      </c>
      <c r="F932" s="1">
        <v>0</v>
      </c>
      <c r="G932" s="1">
        <v>-0.2</v>
      </c>
      <c r="H932" s="1">
        <v>-0.2</v>
      </c>
    </row>
    <row r="933" spans="1:8" x14ac:dyDescent="0.3">
      <c r="A933">
        <v>932</v>
      </c>
      <c r="B933" t="s">
        <v>643</v>
      </c>
      <c r="C933" t="s">
        <v>346</v>
      </c>
      <c r="E933">
        <v>38.200000000000003</v>
      </c>
      <c r="F933" s="1">
        <v>0</v>
      </c>
      <c r="G933" s="1">
        <v>-0.2</v>
      </c>
      <c r="H933" s="1">
        <v>-0.2</v>
      </c>
    </row>
    <row r="934" spans="1:8" x14ac:dyDescent="0.3">
      <c r="A934">
        <v>933</v>
      </c>
      <c r="B934" t="s">
        <v>2209</v>
      </c>
      <c r="C934" t="s">
        <v>228</v>
      </c>
      <c r="E934">
        <v>8</v>
      </c>
      <c r="F934" s="1">
        <v>0</v>
      </c>
      <c r="G934" s="1">
        <v>-0.2</v>
      </c>
      <c r="H934" s="1">
        <v>-0.2</v>
      </c>
    </row>
    <row r="935" spans="1:8" x14ac:dyDescent="0.3">
      <c r="A935">
        <v>934</v>
      </c>
      <c r="B935" t="s">
        <v>3240</v>
      </c>
      <c r="C935" t="s">
        <v>243</v>
      </c>
      <c r="E935">
        <v>3</v>
      </c>
      <c r="F935" s="1">
        <v>0</v>
      </c>
      <c r="G935" s="1">
        <v>-0.2</v>
      </c>
      <c r="H935" s="1">
        <v>-0.2</v>
      </c>
    </row>
    <row r="936" spans="1:8" x14ac:dyDescent="0.3">
      <c r="A936">
        <v>935</v>
      </c>
      <c r="B936" t="s">
        <v>592</v>
      </c>
      <c r="C936" t="s">
        <v>255</v>
      </c>
      <c r="E936">
        <v>18</v>
      </c>
      <c r="F936" s="1">
        <v>0</v>
      </c>
      <c r="G936" s="1">
        <v>-0.2</v>
      </c>
      <c r="H936" s="1">
        <v>-0.2</v>
      </c>
    </row>
    <row r="937" spans="1:8" x14ac:dyDescent="0.3">
      <c r="A937">
        <v>936</v>
      </c>
      <c r="B937" t="s">
        <v>566</v>
      </c>
      <c r="C937" t="s">
        <v>226</v>
      </c>
      <c r="E937">
        <v>14.2</v>
      </c>
      <c r="F937" s="1">
        <v>0</v>
      </c>
      <c r="G937" s="1">
        <v>-0.2</v>
      </c>
      <c r="H937" s="1">
        <v>-0.2</v>
      </c>
    </row>
    <row r="938" spans="1:8" x14ac:dyDescent="0.3">
      <c r="A938">
        <v>937</v>
      </c>
      <c r="B938" t="s">
        <v>805</v>
      </c>
      <c r="C938" t="s">
        <v>270</v>
      </c>
      <c r="D938">
        <v>51</v>
      </c>
      <c r="F938" s="1">
        <v>-0.2</v>
      </c>
      <c r="H938" s="1">
        <v>-0.2</v>
      </c>
    </row>
    <row r="939" spans="1:8" x14ac:dyDescent="0.3">
      <c r="A939">
        <v>938</v>
      </c>
      <c r="B939" t="s">
        <v>919</v>
      </c>
      <c r="C939" t="s">
        <v>286</v>
      </c>
      <c r="E939">
        <v>4.0999999999999996</v>
      </c>
      <c r="F939" s="1">
        <v>0</v>
      </c>
      <c r="G939" s="1">
        <v>-0.2</v>
      </c>
      <c r="H939" s="1">
        <v>-0.2</v>
      </c>
    </row>
    <row r="940" spans="1:8" x14ac:dyDescent="0.3">
      <c r="A940">
        <v>939</v>
      </c>
      <c r="B940" t="s">
        <v>652</v>
      </c>
      <c r="C940" t="s">
        <v>266</v>
      </c>
      <c r="E940">
        <v>10.199999999999999</v>
      </c>
      <c r="F940" s="1">
        <v>0</v>
      </c>
      <c r="G940" s="1">
        <v>-0.2</v>
      </c>
      <c r="H940" s="1">
        <v>-0.2</v>
      </c>
    </row>
    <row r="941" spans="1:8" x14ac:dyDescent="0.3">
      <c r="A941">
        <v>940</v>
      </c>
      <c r="B941" t="s">
        <v>859</v>
      </c>
      <c r="C941" t="s">
        <v>248</v>
      </c>
      <c r="E941">
        <v>39.1</v>
      </c>
      <c r="F941" s="1">
        <v>0</v>
      </c>
      <c r="G941" s="1">
        <v>-0.2</v>
      </c>
      <c r="H941" s="1">
        <v>-0.2</v>
      </c>
    </row>
    <row r="942" spans="1:8" x14ac:dyDescent="0.3">
      <c r="A942">
        <v>941</v>
      </c>
      <c r="B942" t="s">
        <v>882</v>
      </c>
      <c r="C942" t="s">
        <v>244</v>
      </c>
      <c r="E942">
        <v>3.1</v>
      </c>
      <c r="F942" s="1">
        <v>0</v>
      </c>
      <c r="G942" s="1">
        <v>-0.2</v>
      </c>
      <c r="H942" s="1">
        <v>-0.2</v>
      </c>
    </row>
    <row r="943" spans="1:8" x14ac:dyDescent="0.3">
      <c r="A943">
        <v>942</v>
      </c>
      <c r="B943" t="s">
        <v>3387</v>
      </c>
      <c r="C943" t="s">
        <v>266</v>
      </c>
      <c r="E943">
        <v>2.2000000000000002</v>
      </c>
      <c r="F943" s="1">
        <v>0</v>
      </c>
      <c r="G943" s="1">
        <v>-0.2</v>
      </c>
      <c r="H943" s="1">
        <v>-0.2</v>
      </c>
    </row>
    <row r="944" spans="1:8" x14ac:dyDescent="0.3">
      <c r="A944">
        <v>943</v>
      </c>
      <c r="B944" t="s">
        <v>537</v>
      </c>
      <c r="C944" t="s">
        <v>221</v>
      </c>
      <c r="E944">
        <v>20</v>
      </c>
      <c r="F944" s="1">
        <v>0</v>
      </c>
      <c r="G944" s="1">
        <v>-0.2</v>
      </c>
      <c r="H944" s="1">
        <v>-0.2</v>
      </c>
    </row>
    <row r="945" spans="1:8" x14ac:dyDescent="0.3">
      <c r="A945">
        <v>944</v>
      </c>
      <c r="B945" t="s">
        <v>636</v>
      </c>
      <c r="C945" t="s">
        <v>228</v>
      </c>
      <c r="E945">
        <v>15</v>
      </c>
      <c r="F945" s="1">
        <v>0</v>
      </c>
      <c r="G945" s="1">
        <v>-0.2</v>
      </c>
      <c r="H945" s="1">
        <v>-0.2</v>
      </c>
    </row>
    <row r="946" spans="1:8" x14ac:dyDescent="0.3">
      <c r="A946">
        <v>945</v>
      </c>
      <c r="B946" t="s">
        <v>182</v>
      </c>
      <c r="C946" t="s">
        <v>287</v>
      </c>
      <c r="E946">
        <v>43.1</v>
      </c>
      <c r="F946" s="1">
        <v>0</v>
      </c>
      <c r="G946" s="1">
        <v>-0.2</v>
      </c>
      <c r="H946" s="1">
        <v>-0.2</v>
      </c>
    </row>
    <row r="947" spans="1:8" x14ac:dyDescent="0.3">
      <c r="A947">
        <v>946</v>
      </c>
      <c r="B947" t="s">
        <v>703</v>
      </c>
      <c r="C947" t="s">
        <v>264</v>
      </c>
      <c r="D947">
        <v>56</v>
      </c>
      <c r="F947" s="1">
        <v>-0.2</v>
      </c>
      <c r="H947" s="1">
        <v>-0.2</v>
      </c>
    </row>
    <row r="948" spans="1:8" x14ac:dyDescent="0.3">
      <c r="A948">
        <v>947</v>
      </c>
      <c r="B948" t="s">
        <v>839</v>
      </c>
      <c r="C948" t="s">
        <v>221</v>
      </c>
      <c r="D948">
        <v>178</v>
      </c>
      <c r="F948" s="1">
        <v>-0.2</v>
      </c>
      <c r="H948" s="1">
        <v>-0.2</v>
      </c>
    </row>
    <row r="949" spans="1:8" x14ac:dyDescent="0.3">
      <c r="A949">
        <v>948</v>
      </c>
      <c r="B949" t="s">
        <v>944</v>
      </c>
      <c r="C949" t="s">
        <v>248</v>
      </c>
      <c r="D949">
        <v>154</v>
      </c>
      <c r="F949" s="1">
        <v>-0.2</v>
      </c>
      <c r="H949" s="1">
        <v>-0.2</v>
      </c>
    </row>
    <row r="950" spans="1:8" x14ac:dyDescent="0.3">
      <c r="A950">
        <v>949</v>
      </c>
      <c r="B950" t="s">
        <v>584</v>
      </c>
      <c r="C950" t="s">
        <v>392</v>
      </c>
      <c r="E950">
        <v>24</v>
      </c>
      <c r="F950" s="1">
        <v>0</v>
      </c>
      <c r="G950" s="1">
        <v>-0.2</v>
      </c>
      <c r="H950" s="1">
        <v>-0.2</v>
      </c>
    </row>
    <row r="951" spans="1:8" x14ac:dyDescent="0.3">
      <c r="A951">
        <v>950</v>
      </c>
      <c r="B951" t="s">
        <v>1601</v>
      </c>
      <c r="C951" t="s">
        <v>268</v>
      </c>
      <c r="D951">
        <v>27</v>
      </c>
      <c r="F951" s="1">
        <v>-0.2</v>
      </c>
      <c r="H951" s="1">
        <v>-0.2</v>
      </c>
    </row>
    <row r="952" spans="1:8" x14ac:dyDescent="0.3">
      <c r="A952">
        <v>951</v>
      </c>
      <c r="B952" t="s">
        <v>192</v>
      </c>
      <c r="C952" t="s">
        <v>244</v>
      </c>
      <c r="E952">
        <v>29.1</v>
      </c>
      <c r="F952" s="1">
        <v>0</v>
      </c>
      <c r="G952" s="1">
        <v>-0.2</v>
      </c>
      <c r="H952" s="1">
        <v>-0.2</v>
      </c>
    </row>
    <row r="953" spans="1:8" x14ac:dyDescent="0.3">
      <c r="A953">
        <v>952</v>
      </c>
      <c r="B953" t="s">
        <v>1242</v>
      </c>
      <c r="C953" t="s">
        <v>286</v>
      </c>
      <c r="E953">
        <v>4.0999999999999996</v>
      </c>
      <c r="F953" s="1">
        <v>0</v>
      </c>
      <c r="G953" s="1">
        <v>-0.2</v>
      </c>
      <c r="H953" s="1">
        <v>-0.2</v>
      </c>
    </row>
    <row r="954" spans="1:8" x14ac:dyDescent="0.3">
      <c r="A954">
        <v>953</v>
      </c>
      <c r="B954" t="s">
        <v>424</v>
      </c>
      <c r="C954" t="s">
        <v>241</v>
      </c>
      <c r="D954">
        <v>48</v>
      </c>
      <c r="F954" s="1">
        <v>-0.2</v>
      </c>
      <c r="H954" s="1">
        <v>-0.2</v>
      </c>
    </row>
    <row r="955" spans="1:8" x14ac:dyDescent="0.3">
      <c r="A955">
        <v>954</v>
      </c>
      <c r="B955" t="s">
        <v>587</v>
      </c>
      <c r="C955" t="s">
        <v>325</v>
      </c>
      <c r="E955">
        <v>27.2</v>
      </c>
      <c r="F955" s="1">
        <v>0</v>
      </c>
      <c r="G955" s="1">
        <v>-0.2</v>
      </c>
      <c r="H955" s="1">
        <v>-0.2</v>
      </c>
    </row>
    <row r="956" spans="1:8" x14ac:dyDescent="0.3">
      <c r="A956">
        <v>955</v>
      </c>
      <c r="B956" t="s">
        <v>743</v>
      </c>
      <c r="C956" t="s">
        <v>239</v>
      </c>
      <c r="D956">
        <v>66</v>
      </c>
      <c r="E956">
        <v>1.1000000000000001</v>
      </c>
      <c r="F956" s="1">
        <v>-0.1</v>
      </c>
      <c r="G956" s="1">
        <v>-0.1</v>
      </c>
      <c r="H956" s="1">
        <v>-0.2</v>
      </c>
    </row>
    <row r="957" spans="1:8" x14ac:dyDescent="0.3">
      <c r="A957">
        <v>956</v>
      </c>
      <c r="B957" t="s">
        <v>975</v>
      </c>
      <c r="C957" t="s">
        <v>286</v>
      </c>
      <c r="E957">
        <v>25.2</v>
      </c>
      <c r="F957" s="1">
        <v>0</v>
      </c>
      <c r="G957" s="1">
        <v>-0.2</v>
      </c>
      <c r="H957" s="1">
        <v>-0.2</v>
      </c>
    </row>
    <row r="958" spans="1:8" x14ac:dyDescent="0.3">
      <c r="A958">
        <v>957</v>
      </c>
      <c r="B958" t="s">
        <v>3338</v>
      </c>
      <c r="C958" t="s">
        <v>235</v>
      </c>
      <c r="D958">
        <v>17</v>
      </c>
      <c r="F958" s="1">
        <v>-0.2</v>
      </c>
      <c r="H958" s="1">
        <v>-0.2</v>
      </c>
    </row>
    <row r="959" spans="1:8" x14ac:dyDescent="0.3">
      <c r="A959">
        <v>958</v>
      </c>
      <c r="B959" t="s">
        <v>317</v>
      </c>
      <c r="C959" t="s">
        <v>311</v>
      </c>
      <c r="D959">
        <v>200</v>
      </c>
      <c r="F959" s="1">
        <v>-0.2</v>
      </c>
      <c r="H959" s="1">
        <v>-0.2</v>
      </c>
    </row>
    <row r="960" spans="1:8" x14ac:dyDescent="0.3">
      <c r="A960">
        <v>959</v>
      </c>
      <c r="B960" t="s">
        <v>3063</v>
      </c>
      <c r="C960" t="s">
        <v>222</v>
      </c>
      <c r="E960">
        <v>5.0999999999999996</v>
      </c>
      <c r="F960" s="1">
        <v>0</v>
      </c>
      <c r="G960" s="1">
        <v>-0.2</v>
      </c>
      <c r="H960" s="1">
        <v>-0.2</v>
      </c>
    </row>
    <row r="961" spans="1:8" x14ac:dyDescent="0.3">
      <c r="A961">
        <v>960</v>
      </c>
      <c r="B961" t="s">
        <v>1607</v>
      </c>
      <c r="C961" t="s">
        <v>325</v>
      </c>
      <c r="D961">
        <v>82</v>
      </c>
      <c r="F961" s="1">
        <v>-0.2</v>
      </c>
      <c r="H961" s="1">
        <v>-0.2</v>
      </c>
    </row>
    <row r="962" spans="1:8" x14ac:dyDescent="0.3">
      <c r="A962">
        <v>961</v>
      </c>
      <c r="B962" t="s">
        <v>929</v>
      </c>
      <c r="C962" t="s">
        <v>241</v>
      </c>
      <c r="D962">
        <v>9</v>
      </c>
      <c r="F962" s="1">
        <v>-0.2</v>
      </c>
      <c r="H962" s="1">
        <v>-0.2</v>
      </c>
    </row>
    <row r="963" spans="1:8" x14ac:dyDescent="0.3">
      <c r="A963">
        <v>962</v>
      </c>
      <c r="B963" t="s">
        <v>941</v>
      </c>
      <c r="C963" t="s">
        <v>286</v>
      </c>
      <c r="D963">
        <v>123</v>
      </c>
      <c r="F963" s="1">
        <v>-0.2</v>
      </c>
      <c r="H963" s="1">
        <v>-0.2</v>
      </c>
    </row>
    <row r="964" spans="1:8" x14ac:dyDescent="0.3">
      <c r="A964">
        <v>963</v>
      </c>
      <c r="B964" t="s">
        <v>787</v>
      </c>
      <c r="C964" t="s">
        <v>255</v>
      </c>
      <c r="D964">
        <v>78</v>
      </c>
      <c r="F964" s="1">
        <v>-0.2</v>
      </c>
      <c r="H964" s="1">
        <v>-0.2</v>
      </c>
    </row>
    <row r="965" spans="1:8" x14ac:dyDescent="0.3">
      <c r="A965">
        <v>964</v>
      </c>
      <c r="B965" t="s">
        <v>946</v>
      </c>
      <c r="C965" t="s">
        <v>286</v>
      </c>
      <c r="E965">
        <v>17</v>
      </c>
      <c r="F965" s="1">
        <v>0</v>
      </c>
      <c r="G965" s="1">
        <v>-0.2</v>
      </c>
      <c r="H965" s="1">
        <v>-0.2</v>
      </c>
    </row>
    <row r="966" spans="1:8" x14ac:dyDescent="0.3">
      <c r="A966">
        <v>965</v>
      </c>
      <c r="B966" t="s">
        <v>186</v>
      </c>
      <c r="C966" t="s">
        <v>287</v>
      </c>
      <c r="E966">
        <v>56.2</v>
      </c>
      <c r="F966" s="1">
        <v>0</v>
      </c>
      <c r="G966" s="1">
        <v>-0.2</v>
      </c>
      <c r="H966" s="1">
        <v>-0.2</v>
      </c>
    </row>
    <row r="967" spans="1:8" x14ac:dyDescent="0.3">
      <c r="A967">
        <v>966</v>
      </c>
      <c r="B967" t="s">
        <v>954</v>
      </c>
      <c r="C967" t="s">
        <v>311</v>
      </c>
      <c r="E967">
        <v>8</v>
      </c>
      <c r="F967" s="1">
        <v>0</v>
      </c>
      <c r="G967" s="1">
        <v>-0.2</v>
      </c>
      <c r="H967" s="1">
        <v>-0.2</v>
      </c>
    </row>
    <row r="968" spans="1:8" x14ac:dyDescent="0.3">
      <c r="A968">
        <v>967</v>
      </c>
      <c r="B968" t="s">
        <v>1600</v>
      </c>
      <c r="C968" t="s">
        <v>286</v>
      </c>
      <c r="E968">
        <v>13.1</v>
      </c>
      <c r="F968" s="1">
        <v>0</v>
      </c>
      <c r="G968" s="1">
        <v>-0.2</v>
      </c>
      <c r="H968" s="1">
        <v>-0.2</v>
      </c>
    </row>
    <row r="969" spans="1:8" x14ac:dyDescent="0.3">
      <c r="A969">
        <v>968</v>
      </c>
      <c r="B969" t="s">
        <v>902</v>
      </c>
      <c r="C969" t="s">
        <v>244</v>
      </c>
      <c r="E969">
        <v>8.1999999999999993</v>
      </c>
      <c r="F969" s="1">
        <v>0</v>
      </c>
      <c r="G969" s="1">
        <v>-0.2</v>
      </c>
      <c r="H969" s="1">
        <v>-0.2</v>
      </c>
    </row>
    <row r="970" spans="1:8" x14ac:dyDescent="0.3">
      <c r="A970">
        <v>969</v>
      </c>
      <c r="B970" t="s">
        <v>848</v>
      </c>
      <c r="C970" t="s">
        <v>244</v>
      </c>
      <c r="D970">
        <v>42</v>
      </c>
      <c r="F970" s="1">
        <v>-0.2</v>
      </c>
      <c r="H970" s="1">
        <v>-0.2</v>
      </c>
    </row>
    <row r="971" spans="1:8" x14ac:dyDescent="0.3">
      <c r="A971">
        <v>970</v>
      </c>
      <c r="B971" t="s">
        <v>908</v>
      </c>
      <c r="C971" t="s">
        <v>325</v>
      </c>
      <c r="D971">
        <v>41</v>
      </c>
      <c r="F971" s="1">
        <v>-0.2</v>
      </c>
      <c r="H971" s="1">
        <v>-0.2</v>
      </c>
    </row>
    <row r="972" spans="1:8" x14ac:dyDescent="0.3">
      <c r="A972">
        <v>971</v>
      </c>
      <c r="B972" t="s">
        <v>298</v>
      </c>
      <c r="C972" t="s">
        <v>270</v>
      </c>
      <c r="D972">
        <v>65</v>
      </c>
      <c r="E972">
        <v>2</v>
      </c>
      <c r="F972" s="1">
        <v>-0.2</v>
      </c>
      <c r="G972" s="1">
        <v>0</v>
      </c>
      <c r="H972" s="1">
        <v>-0.2</v>
      </c>
    </row>
    <row r="973" spans="1:8" x14ac:dyDescent="0.3">
      <c r="A973">
        <v>972</v>
      </c>
      <c r="B973" t="s">
        <v>3272</v>
      </c>
      <c r="C973" t="s">
        <v>325</v>
      </c>
      <c r="E973">
        <v>5.0999999999999996</v>
      </c>
      <c r="F973" s="1">
        <v>0</v>
      </c>
      <c r="G973" s="1">
        <v>-0.2</v>
      </c>
      <c r="H973" s="1">
        <v>-0.2</v>
      </c>
    </row>
    <row r="974" spans="1:8" x14ac:dyDescent="0.3">
      <c r="A974">
        <v>973</v>
      </c>
      <c r="B974" t="s">
        <v>797</v>
      </c>
      <c r="C974" t="s">
        <v>234</v>
      </c>
      <c r="D974">
        <v>80</v>
      </c>
      <c r="F974" s="1">
        <v>-0.2</v>
      </c>
      <c r="H974" s="1">
        <v>-0.2</v>
      </c>
    </row>
    <row r="975" spans="1:8" x14ac:dyDescent="0.3">
      <c r="A975">
        <v>974</v>
      </c>
      <c r="B975" t="s">
        <v>723</v>
      </c>
      <c r="C975" t="s">
        <v>392</v>
      </c>
      <c r="E975">
        <v>16.2</v>
      </c>
      <c r="F975" s="1">
        <v>0</v>
      </c>
      <c r="G975" s="1">
        <v>-0.2</v>
      </c>
      <c r="H975" s="1">
        <v>-0.2</v>
      </c>
    </row>
    <row r="976" spans="1:8" x14ac:dyDescent="0.3">
      <c r="A976">
        <v>975</v>
      </c>
      <c r="B976" t="s">
        <v>761</v>
      </c>
      <c r="C976" t="s">
        <v>243</v>
      </c>
      <c r="D976">
        <v>81</v>
      </c>
      <c r="E976">
        <v>1.2</v>
      </c>
      <c r="F976" s="1">
        <v>-0.2</v>
      </c>
      <c r="G976" s="1">
        <v>-0.1</v>
      </c>
      <c r="H976" s="1">
        <v>-0.2</v>
      </c>
    </row>
    <row r="977" spans="1:8" x14ac:dyDescent="0.3">
      <c r="A977">
        <v>976</v>
      </c>
      <c r="B977" t="s">
        <v>602</v>
      </c>
      <c r="C977" t="s">
        <v>246</v>
      </c>
      <c r="D977">
        <v>142</v>
      </c>
      <c r="F977" s="1">
        <v>-0.2</v>
      </c>
      <c r="H977" s="1">
        <v>-0.2</v>
      </c>
    </row>
    <row r="978" spans="1:8" x14ac:dyDescent="0.3">
      <c r="A978">
        <v>977</v>
      </c>
      <c r="B978" t="s">
        <v>415</v>
      </c>
      <c r="C978" t="s">
        <v>231</v>
      </c>
      <c r="E978">
        <v>23.1</v>
      </c>
      <c r="F978" s="1">
        <v>0</v>
      </c>
      <c r="G978" s="1">
        <v>-0.2</v>
      </c>
      <c r="H978" s="1">
        <v>-0.2</v>
      </c>
    </row>
    <row r="979" spans="1:8" x14ac:dyDescent="0.3">
      <c r="A979">
        <v>978</v>
      </c>
      <c r="B979" t="s">
        <v>551</v>
      </c>
      <c r="C979" t="s">
        <v>325</v>
      </c>
      <c r="D979">
        <v>112</v>
      </c>
      <c r="F979" s="1">
        <v>-0.2</v>
      </c>
      <c r="H979" s="1">
        <v>-0.2</v>
      </c>
    </row>
    <row r="980" spans="1:8" x14ac:dyDescent="0.3">
      <c r="A980">
        <v>979</v>
      </c>
      <c r="B980" t="s">
        <v>1753</v>
      </c>
      <c r="C980" t="s">
        <v>346</v>
      </c>
      <c r="D980">
        <v>27</v>
      </c>
      <c r="F980" s="1">
        <v>-0.2</v>
      </c>
      <c r="H980" s="1">
        <v>-0.2</v>
      </c>
    </row>
    <row r="981" spans="1:8" x14ac:dyDescent="0.3">
      <c r="A981">
        <v>980</v>
      </c>
      <c r="B981" t="s">
        <v>622</v>
      </c>
      <c r="C981" t="s">
        <v>325</v>
      </c>
      <c r="E981">
        <v>28</v>
      </c>
      <c r="F981" s="1">
        <v>0</v>
      </c>
      <c r="G981" s="1">
        <v>-0.2</v>
      </c>
      <c r="H981" s="1">
        <v>-0.2</v>
      </c>
    </row>
    <row r="982" spans="1:8" x14ac:dyDescent="0.3">
      <c r="A982">
        <v>981</v>
      </c>
      <c r="B982" t="s">
        <v>3234</v>
      </c>
      <c r="C982" t="s">
        <v>222</v>
      </c>
      <c r="D982">
        <v>52</v>
      </c>
      <c r="F982" s="1">
        <v>-0.2</v>
      </c>
      <c r="H982" s="1">
        <v>-0.2</v>
      </c>
    </row>
    <row r="983" spans="1:8" x14ac:dyDescent="0.3">
      <c r="A983">
        <v>982</v>
      </c>
      <c r="B983" t="s">
        <v>504</v>
      </c>
      <c r="C983" t="s">
        <v>264</v>
      </c>
      <c r="D983">
        <v>55</v>
      </c>
      <c r="F983" s="1">
        <v>-0.2</v>
      </c>
      <c r="H983" s="1">
        <v>-0.2</v>
      </c>
    </row>
    <row r="984" spans="1:8" x14ac:dyDescent="0.3">
      <c r="A984">
        <v>983</v>
      </c>
      <c r="B984" t="s">
        <v>864</v>
      </c>
      <c r="C984" t="s">
        <v>226</v>
      </c>
      <c r="D984">
        <v>98</v>
      </c>
      <c r="F984" s="1">
        <v>-0.2</v>
      </c>
      <c r="H984" s="1">
        <v>-0.2</v>
      </c>
    </row>
    <row r="985" spans="1:8" x14ac:dyDescent="0.3">
      <c r="A985">
        <v>984</v>
      </c>
      <c r="B985" t="s">
        <v>3254</v>
      </c>
      <c r="C985" t="s">
        <v>241</v>
      </c>
      <c r="D985">
        <v>6</v>
      </c>
      <c r="F985" s="1">
        <v>-0.2</v>
      </c>
      <c r="H985" s="1">
        <v>-0.2</v>
      </c>
    </row>
    <row r="986" spans="1:8" x14ac:dyDescent="0.3">
      <c r="A986">
        <v>985</v>
      </c>
      <c r="B986" t="s">
        <v>3065</v>
      </c>
      <c r="C986" t="s">
        <v>239</v>
      </c>
      <c r="D986">
        <v>14</v>
      </c>
      <c r="F986" s="1">
        <v>-0.2</v>
      </c>
      <c r="H986" s="1">
        <v>-0.2</v>
      </c>
    </row>
    <row r="987" spans="1:8" x14ac:dyDescent="0.3">
      <c r="A987">
        <v>986</v>
      </c>
      <c r="B987" t="s">
        <v>939</v>
      </c>
      <c r="C987" t="s">
        <v>246</v>
      </c>
      <c r="E987">
        <v>1</v>
      </c>
      <c r="F987" s="1">
        <v>0</v>
      </c>
      <c r="G987" s="1">
        <v>-0.2</v>
      </c>
      <c r="H987" s="1">
        <v>-0.2</v>
      </c>
    </row>
    <row r="988" spans="1:8" x14ac:dyDescent="0.3">
      <c r="A988">
        <v>987</v>
      </c>
      <c r="B988" t="s">
        <v>576</v>
      </c>
      <c r="C988" t="s">
        <v>270</v>
      </c>
      <c r="D988">
        <v>189</v>
      </c>
      <c r="F988" s="1">
        <v>-0.2</v>
      </c>
      <c r="H988" s="1">
        <v>-0.2</v>
      </c>
    </row>
    <row r="989" spans="1:8" x14ac:dyDescent="0.3">
      <c r="A989">
        <v>988</v>
      </c>
      <c r="B989" t="s">
        <v>745</v>
      </c>
      <c r="C989" t="s">
        <v>255</v>
      </c>
      <c r="D989">
        <v>34</v>
      </c>
      <c r="F989" s="1">
        <v>-0.2</v>
      </c>
      <c r="H989" s="1">
        <v>-0.2</v>
      </c>
    </row>
    <row r="990" spans="1:8" x14ac:dyDescent="0.3">
      <c r="A990">
        <v>989</v>
      </c>
      <c r="B990" t="s">
        <v>1602</v>
      </c>
      <c r="C990" t="s">
        <v>250</v>
      </c>
      <c r="D990">
        <v>11</v>
      </c>
      <c r="F990" s="1">
        <v>-0.2</v>
      </c>
      <c r="H990" s="1">
        <v>-0.2</v>
      </c>
    </row>
    <row r="991" spans="1:8" x14ac:dyDescent="0.3">
      <c r="A991">
        <v>990</v>
      </c>
      <c r="B991" t="s">
        <v>412</v>
      </c>
      <c r="C991" t="s">
        <v>392</v>
      </c>
      <c r="D991">
        <v>173</v>
      </c>
      <c r="F991" s="1">
        <v>-0.2</v>
      </c>
      <c r="H991" s="1">
        <v>-0.2</v>
      </c>
    </row>
    <row r="992" spans="1:8" x14ac:dyDescent="0.3">
      <c r="A992">
        <v>991</v>
      </c>
      <c r="B992" t="s">
        <v>546</v>
      </c>
      <c r="C992" t="s">
        <v>1748</v>
      </c>
      <c r="E992">
        <v>15</v>
      </c>
      <c r="F992" s="1">
        <v>0</v>
      </c>
      <c r="G992" s="1">
        <v>-0.2</v>
      </c>
      <c r="H992" s="1">
        <v>-0.2</v>
      </c>
    </row>
    <row r="993" spans="1:8" x14ac:dyDescent="0.3">
      <c r="A993">
        <v>992</v>
      </c>
      <c r="B993" t="s">
        <v>3337</v>
      </c>
      <c r="C993" t="s">
        <v>251</v>
      </c>
      <c r="D993">
        <v>10</v>
      </c>
      <c r="F993" s="1">
        <v>-0.2</v>
      </c>
      <c r="H993" s="1">
        <v>-0.2</v>
      </c>
    </row>
    <row r="994" spans="1:8" x14ac:dyDescent="0.3">
      <c r="A994">
        <v>993</v>
      </c>
      <c r="B994" t="s">
        <v>585</v>
      </c>
      <c r="C994" t="s">
        <v>243</v>
      </c>
      <c r="E994">
        <v>19.100000000000001</v>
      </c>
      <c r="F994" s="1">
        <v>0</v>
      </c>
      <c r="G994" s="1">
        <v>-0.2</v>
      </c>
      <c r="H994" s="1">
        <v>-0.2</v>
      </c>
    </row>
    <row r="995" spans="1:8" x14ac:dyDescent="0.3">
      <c r="A995">
        <v>994</v>
      </c>
      <c r="B995" t="s">
        <v>708</v>
      </c>
      <c r="C995" t="s">
        <v>346</v>
      </c>
      <c r="E995">
        <v>11.2</v>
      </c>
      <c r="F995" s="1">
        <v>0</v>
      </c>
      <c r="G995" s="1">
        <v>-0.2</v>
      </c>
      <c r="H995" s="1">
        <v>-0.2</v>
      </c>
    </row>
    <row r="996" spans="1:8" x14ac:dyDescent="0.3">
      <c r="A996">
        <v>995</v>
      </c>
      <c r="B996" t="s">
        <v>413</v>
      </c>
      <c r="C996" t="s">
        <v>244</v>
      </c>
      <c r="D996">
        <v>94</v>
      </c>
      <c r="F996" s="1">
        <v>-0.2</v>
      </c>
      <c r="H996" s="1">
        <v>-0.2</v>
      </c>
    </row>
    <row r="997" spans="1:8" x14ac:dyDescent="0.3">
      <c r="A997">
        <v>996</v>
      </c>
      <c r="B997" t="s">
        <v>3335</v>
      </c>
      <c r="C997" t="s">
        <v>266</v>
      </c>
      <c r="D997">
        <v>21</v>
      </c>
      <c r="F997" s="1">
        <v>-0.3</v>
      </c>
      <c r="H997" s="1">
        <v>-0.3</v>
      </c>
    </row>
    <row r="998" spans="1:8" x14ac:dyDescent="0.3">
      <c r="A998">
        <v>997</v>
      </c>
      <c r="B998" t="s">
        <v>613</v>
      </c>
      <c r="C998" t="s">
        <v>241</v>
      </c>
      <c r="E998">
        <v>21.2</v>
      </c>
      <c r="F998" s="1">
        <v>0</v>
      </c>
      <c r="G998" s="1">
        <v>-0.3</v>
      </c>
      <c r="H998" s="1">
        <v>-0.3</v>
      </c>
    </row>
    <row r="999" spans="1:8" x14ac:dyDescent="0.3">
      <c r="A999">
        <v>998</v>
      </c>
      <c r="B999" t="s">
        <v>3009</v>
      </c>
      <c r="C999" t="s">
        <v>228</v>
      </c>
      <c r="E999">
        <v>11.1</v>
      </c>
      <c r="F999" s="1">
        <v>0</v>
      </c>
      <c r="G999" s="1">
        <v>-0.3</v>
      </c>
      <c r="H999" s="1">
        <v>-0.3</v>
      </c>
    </row>
    <row r="1000" spans="1:8" x14ac:dyDescent="0.3">
      <c r="A1000">
        <v>999</v>
      </c>
      <c r="B1000" t="s">
        <v>514</v>
      </c>
      <c r="C1000" t="s">
        <v>243</v>
      </c>
      <c r="D1000">
        <v>210</v>
      </c>
      <c r="F1000" s="1">
        <v>-0.3</v>
      </c>
      <c r="H1000" s="1">
        <v>-0.3</v>
      </c>
    </row>
    <row r="1001" spans="1:8" x14ac:dyDescent="0.3">
      <c r="A1001">
        <v>1000</v>
      </c>
      <c r="B1001" t="s">
        <v>917</v>
      </c>
      <c r="C1001" t="s">
        <v>346</v>
      </c>
      <c r="D1001">
        <v>148</v>
      </c>
      <c r="F1001" s="1">
        <v>-0.3</v>
      </c>
      <c r="H1001" s="1">
        <v>-0.3</v>
      </c>
    </row>
    <row r="1002" spans="1:8" x14ac:dyDescent="0.3">
      <c r="A1002">
        <v>1001</v>
      </c>
      <c r="B1002" t="s">
        <v>897</v>
      </c>
      <c r="C1002" t="s">
        <v>226</v>
      </c>
      <c r="D1002">
        <v>124</v>
      </c>
      <c r="F1002" s="1">
        <v>-0.3</v>
      </c>
      <c r="H1002" s="1">
        <v>-0.3</v>
      </c>
    </row>
    <row r="1003" spans="1:8" x14ac:dyDescent="0.3">
      <c r="A1003">
        <v>1002</v>
      </c>
      <c r="B1003" t="s">
        <v>544</v>
      </c>
      <c r="C1003" t="s">
        <v>226</v>
      </c>
      <c r="E1003">
        <v>21</v>
      </c>
      <c r="F1003" s="1">
        <v>0</v>
      </c>
      <c r="G1003" s="1">
        <v>-0.3</v>
      </c>
      <c r="H1003" s="1">
        <v>-0.3</v>
      </c>
    </row>
    <row r="1004" spans="1:8" x14ac:dyDescent="0.3">
      <c r="A1004">
        <v>1003</v>
      </c>
      <c r="B1004" t="s">
        <v>693</v>
      </c>
      <c r="C1004" t="s">
        <v>1748</v>
      </c>
      <c r="E1004">
        <v>13.1</v>
      </c>
      <c r="F1004" s="1">
        <v>0</v>
      </c>
      <c r="G1004" s="1">
        <v>-0.3</v>
      </c>
      <c r="H1004" s="1">
        <v>-0.3</v>
      </c>
    </row>
    <row r="1005" spans="1:8" x14ac:dyDescent="0.3">
      <c r="A1005">
        <v>1004</v>
      </c>
      <c r="B1005" t="s">
        <v>965</v>
      </c>
      <c r="C1005" t="s">
        <v>287</v>
      </c>
      <c r="D1005">
        <v>91</v>
      </c>
      <c r="F1005" s="1">
        <v>-0.3</v>
      </c>
      <c r="H1005" s="1">
        <v>-0.3</v>
      </c>
    </row>
    <row r="1006" spans="1:8" x14ac:dyDescent="0.3">
      <c r="A1006">
        <v>1005</v>
      </c>
      <c r="B1006" t="s">
        <v>829</v>
      </c>
      <c r="C1006" t="s">
        <v>231</v>
      </c>
      <c r="E1006">
        <v>9.1</v>
      </c>
      <c r="F1006" s="1">
        <v>0</v>
      </c>
      <c r="G1006" s="1">
        <v>-0.3</v>
      </c>
      <c r="H1006" s="1">
        <v>-0.3</v>
      </c>
    </row>
    <row r="1007" spans="1:8" x14ac:dyDescent="0.3">
      <c r="A1007">
        <v>1006</v>
      </c>
      <c r="B1007" t="s">
        <v>1595</v>
      </c>
      <c r="C1007" t="s">
        <v>222</v>
      </c>
      <c r="D1007">
        <v>91</v>
      </c>
      <c r="F1007" s="1">
        <v>-0.3</v>
      </c>
      <c r="H1007" s="1">
        <v>-0.3</v>
      </c>
    </row>
    <row r="1008" spans="1:8" x14ac:dyDescent="0.3">
      <c r="A1008">
        <v>1007</v>
      </c>
      <c r="B1008" t="s">
        <v>505</v>
      </c>
      <c r="C1008" t="s">
        <v>266</v>
      </c>
      <c r="D1008">
        <v>190</v>
      </c>
      <c r="F1008" s="1">
        <v>-0.3</v>
      </c>
      <c r="H1008" s="1">
        <v>-0.3</v>
      </c>
    </row>
    <row r="1009" spans="1:8" x14ac:dyDescent="0.3">
      <c r="A1009">
        <v>1008</v>
      </c>
      <c r="B1009" t="s">
        <v>3067</v>
      </c>
      <c r="C1009" t="s">
        <v>268</v>
      </c>
      <c r="E1009">
        <v>20</v>
      </c>
      <c r="F1009" s="1">
        <v>0</v>
      </c>
      <c r="G1009" s="1">
        <v>-0.3</v>
      </c>
      <c r="H1009" s="1">
        <v>-0.3</v>
      </c>
    </row>
    <row r="1010" spans="1:8" x14ac:dyDescent="0.3">
      <c r="A1010">
        <v>1009</v>
      </c>
      <c r="B1010" t="s">
        <v>924</v>
      </c>
      <c r="C1010" t="s">
        <v>243</v>
      </c>
      <c r="E1010">
        <v>20.100000000000001</v>
      </c>
      <c r="F1010" s="1">
        <v>0</v>
      </c>
      <c r="G1010" s="1">
        <v>-0.3</v>
      </c>
      <c r="H1010" s="1">
        <v>-0.3</v>
      </c>
    </row>
    <row r="1011" spans="1:8" x14ac:dyDescent="0.3">
      <c r="A1011">
        <v>1010</v>
      </c>
      <c r="B1011" t="s">
        <v>904</v>
      </c>
      <c r="C1011" t="s">
        <v>325</v>
      </c>
      <c r="D1011">
        <v>80</v>
      </c>
      <c r="F1011" s="1">
        <v>-0.3</v>
      </c>
      <c r="H1011" s="1">
        <v>-0.3</v>
      </c>
    </row>
    <row r="1012" spans="1:8" x14ac:dyDescent="0.3">
      <c r="A1012">
        <v>1011</v>
      </c>
      <c r="B1012" t="s">
        <v>3273</v>
      </c>
      <c r="C1012" t="s">
        <v>325</v>
      </c>
      <c r="E1012">
        <v>3</v>
      </c>
      <c r="F1012" s="1">
        <v>0</v>
      </c>
      <c r="G1012" s="1">
        <v>-0.3</v>
      </c>
      <c r="H1012" s="1">
        <v>-0.3</v>
      </c>
    </row>
    <row r="1013" spans="1:8" x14ac:dyDescent="0.3">
      <c r="A1013">
        <v>1012</v>
      </c>
      <c r="B1013" t="s">
        <v>1714</v>
      </c>
      <c r="C1013" t="s">
        <v>231</v>
      </c>
      <c r="D1013">
        <v>32</v>
      </c>
      <c r="F1013" s="1">
        <v>-0.3</v>
      </c>
      <c r="H1013" s="1">
        <v>-0.3</v>
      </c>
    </row>
    <row r="1014" spans="1:8" x14ac:dyDescent="0.3">
      <c r="A1014">
        <v>1013</v>
      </c>
      <c r="B1014" t="s">
        <v>475</v>
      </c>
      <c r="C1014" t="s">
        <v>346</v>
      </c>
      <c r="E1014">
        <v>7</v>
      </c>
      <c r="F1014" s="1">
        <v>0</v>
      </c>
      <c r="G1014" s="1">
        <v>-0.3</v>
      </c>
      <c r="H1014" s="1">
        <v>-0.3</v>
      </c>
    </row>
    <row r="1015" spans="1:8" x14ac:dyDescent="0.3">
      <c r="A1015">
        <v>1014</v>
      </c>
      <c r="B1015" t="s">
        <v>472</v>
      </c>
      <c r="C1015" t="s">
        <v>222</v>
      </c>
      <c r="D1015">
        <v>55</v>
      </c>
      <c r="F1015" s="1">
        <v>-0.3</v>
      </c>
      <c r="H1015" s="1">
        <v>-0.3</v>
      </c>
    </row>
    <row r="1016" spans="1:8" x14ac:dyDescent="0.3">
      <c r="A1016">
        <v>1015</v>
      </c>
      <c r="B1016" t="s">
        <v>417</v>
      </c>
      <c r="C1016" t="s">
        <v>234</v>
      </c>
      <c r="D1016">
        <v>71</v>
      </c>
      <c r="F1016" s="1">
        <v>-0.3</v>
      </c>
      <c r="H1016" s="1">
        <v>-0.3</v>
      </c>
    </row>
    <row r="1017" spans="1:8" x14ac:dyDescent="0.3">
      <c r="A1017">
        <v>1016</v>
      </c>
      <c r="B1017" t="s">
        <v>973</v>
      </c>
      <c r="C1017" t="s">
        <v>392</v>
      </c>
      <c r="E1017">
        <v>19</v>
      </c>
      <c r="F1017" s="1">
        <v>0</v>
      </c>
      <c r="G1017" s="1">
        <v>-0.3</v>
      </c>
      <c r="H1017" s="1">
        <v>-0.3</v>
      </c>
    </row>
    <row r="1018" spans="1:8" x14ac:dyDescent="0.3">
      <c r="A1018">
        <v>1017</v>
      </c>
      <c r="B1018" t="s">
        <v>506</v>
      </c>
      <c r="C1018" t="s">
        <v>287</v>
      </c>
      <c r="D1018">
        <v>103</v>
      </c>
      <c r="F1018" s="1">
        <v>-0.3</v>
      </c>
      <c r="H1018" s="1">
        <v>-0.3</v>
      </c>
    </row>
    <row r="1019" spans="1:8" x14ac:dyDescent="0.3">
      <c r="A1019">
        <v>1018</v>
      </c>
      <c r="B1019" t="s">
        <v>707</v>
      </c>
      <c r="C1019" t="s">
        <v>222</v>
      </c>
      <c r="E1019">
        <v>8.1</v>
      </c>
      <c r="F1019" s="1">
        <v>0</v>
      </c>
      <c r="G1019" s="1">
        <v>-0.3</v>
      </c>
      <c r="H1019" s="1">
        <v>-0.3</v>
      </c>
    </row>
    <row r="1020" spans="1:8" x14ac:dyDescent="0.3">
      <c r="A1020">
        <v>1019</v>
      </c>
      <c r="B1020" t="s">
        <v>788</v>
      </c>
      <c r="C1020" t="s">
        <v>234</v>
      </c>
      <c r="E1020">
        <v>13.2</v>
      </c>
      <c r="F1020" s="1">
        <v>0</v>
      </c>
      <c r="G1020" s="1">
        <v>-0.3</v>
      </c>
      <c r="H1020" s="1">
        <v>-0.3</v>
      </c>
    </row>
    <row r="1021" spans="1:8" x14ac:dyDescent="0.3">
      <c r="A1021">
        <v>1020</v>
      </c>
      <c r="B1021" t="s">
        <v>358</v>
      </c>
      <c r="C1021" t="s">
        <v>268</v>
      </c>
      <c r="E1021">
        <v>26</v>
      </c>
      <c r="F1021" s="1">
        <v>0</v>
      </c>
      <c r="G1021" s="1">
        <v>-0.3</v>
      </c>
      <c r="H1021" s="1">
        <v>-0.3</v>
      </c>
    </row>
    <row r="1022" spans="1:8" x14ac:dyDescent="0.3">
      <c r="A1022">
        <v>1021</v>
      </c>
      <c r="B1022" t="s">
        <v>403</v>
      </c>
      <c r="C1022" t="s">
        <v>339</v>
      </c>
      <c r="D1022">
        <v>94</v>
      </c>
      <c r="F1022" s="1">
        <v>-0.3</v>
      </c>
      <c r="H1022" s="1">
        <v>-0.3</v>
      </c>
    </row>
    <row r="1023" spans="1:8" x14ac:dyDescent="0.3">
      <c r="A1023">
        <v>1022</v>
      </c>
      <c r="B1023" t="s">
        <v>167</v>
      </c>
      <c r="C1023" t="s">
        <v>325</v>
      </c>
      <c r="E1023">
        <v>47</v>
      </c>
      <c r="F1023" s="1">
        <v>0</v>
      </c>
      <c r="G1023" s="1">
        <v>-0.3</v>
      </c>
      <c r="H1023" s="1">
        <v>-0.3</v>
      </c>
    </row>
    <row r="1024" spans="1:8" x14ac:dyDescent="0.3">
      <c r="A1024">
        <v>1023</v>
      </c>
      <c r="B1024" t="s">
        <v>620</v>
      </c>
      <c r="C1024" t="s">
        <v>239</v>
      </c>
      <c r="E1024">
        <v>8.1999999999999993</v>
      </c>
      <c r="F1024" s="1">
        <v>0</v>
      </c>
      <c r="G1024" s="1">
        <v>-0.3</v>
      </c>
      <c r="H1024" s="1">
        <v>-0.3</v>
      </c>
    </row>
    <row r="1025" spans="1:8" x14ac:dyDescent="0.3">
      <c r="A1025">
        <v>1024</v>
      </c>
      <c r="B1025" t="s">
        <v>556</v>
      </c>
      <c r="C1025" t="s">
        <v>255</v>
      </c>
      <c r="D1025">
        <v>99</v>
      </c>
      <c r="F1025" s="1">
        <v>-0.3</v>
      </c>
      <c r="H1025" s="1">
        <v>-0.3</v>
      </c>
    </row>
    <row r="1026" spans="1:8" x14ac:dyDescent="0.3">
      <c r="A1026">
        <v>1025</v>
      </c>
      <c r="B1026" t="s">
        <v>668</v>
      </c>
      <c r="C1026" t="s">
        <v>248</v>
      </c>
      <c r="E1026">
        <v>14.2</v>
      </c>
      <c r="F1026" s="1">
        <v>0</v>
      </c>
      <c r="G1026" s="1">
        <v>-0.3</v>
      </c>
      <c r="H1026" s="1">
        <v>-0.3</v>
      </c>
    </row>
    <row r="1027" spans="1:8" x14ac:dyDescent="0.3">
      <c r="A1027">
        <v>1026</v>
      </c>
      <c r="B1027" t="s">
        <v>363</v>
      </c>
      <c r="C1027" t="s">
        <v>255</v>
      </c>
      <c r="D1027">
        <v>125</v>
      </c>
      <c r="F1027" s="1">
        <v>-0.3</v>
      </c>
      <c r="H1027" s="1">
        <v>-0.3</v>
      </c>
    </row>
    <row r="1028" spans="1:8" x14ac:dyDescent="0.3">
      <c r="A1028">
        <v>1027</v>
      </c>
      <c r="B1028" t="s">
        <v>969</v>
      </c>
      <c r="C1028" t="s">
        <v>266</v>
      </c>
      <c r="D1028">
        <v>80</v>
      </c>
      <c r="F1028" s="1">
        <v>-0.3</v>
      </c>
      <c r="H1028" s="1">
        <v>-0.3</v>
      </c>
    </row>
    <row r="1029" spans="1:8" x14ac:dyDescent="0.3">
      <c r="A1029">
        <v>1028</v>
      </c>
      <c r="B1029" t="s">
        <v>876</v>
      </c>
      <c r="C1029" t="s">
        <v>311</v>
      </c>
      <c r="D1029">
        <v>208</v>
      </c>
      <c r="F1029" s="1">
        <v>-0.3</v>
      </c>
      <c r="H1029" s="1">
        <v>-0.3</v>
      </c>
    </row>
    <row r="1030" spans="1:8" x14ac:dyDescent="0.3">
      <c r="A1030">
        <v>1029</v>
      </c>
      <c r="B1030" t="s">
        <v>907</v>
      </c>
      <c r="C1030" t="s">
        <v>346</v>
      </c>
      <c r="D1030">
        <v>195</v>
      </c>
      <c r="F1030" s="1">
        <v>-0.3</v>
      </c>
      <c r="H1030" s="1">
        <v>-0.3</v>
      </c>
    </row>
    <row r="1031" spans="1:8" x14ac:dyDescent="0.3">
      <c r="A1031">
        <v>1030</v>
      </c>
      <c r="B1031" t="s">
        <v>3199</v>
      </c>
      <c r="C1031" t="s">
        <v>325</v>
      </c>
      <c r="E1031">
        <v>22.1</v>
      </c>
      <c r="F1031" s="1">
        <v>0</v>
      </c>
      <c r="G1031" s="1">
        <v>-0.3</v>
      </c>
      <c r="H1031" s="1">
        <v>-0.3</v>
      </c>
    </row>
    <row r="1032" spans="1:8" x14ac:dyDescent="0.3">
      <c r="A1032">
        <v>1031</v>
      </c>
      <c r="B1032" t="s">
        <v>646</v>
      </c>
      <c r="C1032" t="s">
        <v>234</v>
      </c>
      <c r="E1032">
        <v>11</v>
      </c>
      <c r="F1032" s="1">
        <v>0</v>
      </c>
      <c r="G1032" s="1">
        <v>-0.3</v>
      </c>
      <c r="H1032" s="1">
        <v>-0.3</v>
      </c>
    </row>
    <row r="1033" spans="1:8" x14ac:dyDescent="0.3">
      <c r="A1033">
        <v>1032</v>
      </c>
      <c r="B1033" t="s">
        <v>889</v>
      </c>
      <c r="C1033" t="s">
        <v>241</v>
      </c>
      <c r="E1033">
        <v>10</v>
      </c>
      <c r="F1033" s="1">
        <v>0</v>
      </c>
      <c r="G1033" s="1">
        <v>-0.3</v>
      </c>
      <c r="H1033" s="1">
        <v>-0.3</v>
      </c>
    </row>
    <row r="1034" spans="1:8" x14ac:dyDescent="0.3">
      <c r="A1034">
        <v>1033</v>
      </c>
      <c r="B1034" t="s">
        <v>611</v>
      </c>
      <c r="C1034" t="s">
        <v>266</v>
      </c>
      <c r="D1034">
        <v>23</v>
      </c>
      <c r="F1034" s="1">
        <v>-0.3</v>
      </c>
      <c r="H1034" s="1">
        <v>-0.3</v>
      </c>
    </row>
    <row r="1035" spans="1:8" x14ac:dyDescent="0.3">
      <c r="A1035">
        <v>1034</v>
      </c>
      <c r="B1035" t="s">
        <v>539</v>
      </c>
      <c r="C1035" t="s">
        <v>274</v>
      </c>
      <c r="E1035">
        <v>15.1</v>
      </c>
      <c r="F1035" s="1">
        <v>0</v>
      </c>
      <c r="G1035" s="1">
        <v>-0.3</v>
      </c>
      <c r="H1035" s="1">
        <v>-0.3</v>
      </c>
    </row>
    <row r="1036" spans="1:8" x14ac:dyDescent="0.3">
      <c r="A1036">
        <v>1035</v>
      </c>
      <c r="B1036" t="s">
        <v>1606</v>
      </c>
      <c r="C1036" t="s">
        <v>231</v>
      </c>
      <c r="D1036">
        <v>46</v>
      </c>
      <c r="F1036" s="1">
        <v>-0.3</v>
      </c>
      <c r="H1036" s="1">
        <v>-0.3</v>
      </c>
    </row>
    <row r="1037" spans="1:8" x14ac:dyDescent="0.3">
      <c r="A1037">
        <v>1036</v>
      </c>
      <c r="B1037" t="s">
        <v>809</v>
      </c>
      <c r="C1037" t="s">
        <v>339</v>
      </c>
      <c r="E1037">
        <v>18.2</v>
      </c>
      <c r="F1037" s="1">
        <v>0</v>
      </c>
      <c r="G1037" s="1">
        <v>-0.3</v>
      </c>
      <c r="H1037" s="1">
        <v>-0.3</v>
      </c>
    </row>
    <row r="1038" spans="1:8" x14ac:dyDescent="0.3">
      <c r="A1038">
        <v>1037</v>
      </c>
      <c r="B1038" t="s">
        <v>1596</v>
      </c>
      <c r="C1038" t="s">
        <v>264</v>
      </c>
      <c r="D1038">
        <v>32</v>
      </c>
      <c r="E1038">
        <v>1</v>
      </c>
      <c r="F1038" s="1">
        <v>-0.3</v>
      </c>
      <c r="G1038" s="1">
        <v>-0.1</v>
      </c>
      <c r="H1038" s="1">
        <v>-0.3</v>
      </c>
    </row>
    <row r="1039" spans="1:8" x14ac:dyDescent="0.3">
      <c r="A1039">
        <v>1038</v>
      </c>
      <c r="B1039" t="s">
        <v>887</v>
      </c>
      <c r="C1039" t="s">
        <v>244</v>
      </c>
      <c r="D1039">
        <v>26</v>
      </c>
      <c r="F1039" s="1">
        <v>-0.3</v>
      </c>
      <c r="H1039" s="1">
        <v>-0.3</v>
      </c>
    </row>
    <row r="1040" spans="1:8" x14ac:dyDescent="0.3">
      <c r="A1040">
        <v>1039</v>
      </c>
      <c r="B1040" t="s">
        <v>826</v>
      </c>
      <c r="C1040" t="s">
        <v>268</v>
      </c>
      <c r="E1040">
        <v>31.1</v>
      </c>
      <c r="F1040" s="1">
        <v>0</v>
      </c>
      <c r="G1040" s="1">
        <v>-0.3</v>
      </c>
      <c r="H1040" s="1">
        <v>-0.3</v>
      </c>
    </row>
    <row r="1041" spans="1:8" x14ac:dyDescent="0.3">
      <c r="A1041">
        <v>1040</v>
      </c>
      <c r="B1041" t="s">
        <v>436</v>
      </c>
      <c r="C1041" t="s">
        <v>325</v>
      </c>
      <c r="E1041">
        <v>6.2</v>
      </c>
      <c r="F1041" s="1">
        <v>0</v>
      </c>
      <c r="G1041" s="1">
        <v>-0.4</v>
      </c>
      <c r="H1041" s="1">
        <v>-0.4</v>
      </c>
    </row>
    <row r="1042" spans="1:8" x14ac:dyDescent="0.3">
      <c r="A1042">
        <v>1041</v>
      </c>
      <c r="B1042" t="s">
        <v>199</v>
      </c>
      <c r="C1042" t="s">
        <v>234</v>
      </c>
      <c r="E1042">
        <v>50.2</v>
      </c>
      <c r="F1042" s="1">
        <v>0</v>
      </c>
      <c r="G1042" s="1">
        <v>-0.4</v>
      </c>
      <c r="H1042" s="1">
        <v>-0.4</v>
      </c>
    </row>
    <row r="1043" spans="1:8" x14ac:dyDescent="0.3">
      <c r="A1043">
        <v>1042</v>
      </c>
      <c r="B1043" t="s">
        <v>473</v>
      </c>
      <c r="C1043" t="s">
        <v>266</v>
      </c>
      <c r="D1043">
        <v>54</v>
      </c>
      <c r="F1043" s="1">
        <v>-0.4</v>
      </c>
      <c r="H1043" s="1">
        <v>-0.4</v>
      </c>
    </row>
    <row r="1044" spans="1:8" x14ac:dyDescent="0.3">
      <c r="A1044">
        <v>1043</v>
      </c>
      <c r="B1044" t="s">
        <v>953</v>
      </c>
      <c r="C1044" t="s">
        <v>255</v>
      </c>
      <c r="E1044">
        <v>30</v>
      </c>
      <c r="F1044" s="1">
        <v>0</v>
      </c>
      <c r="G1044" s="1">
        <v>-0.4</v>
      </c>
      <c r="H1044" s="1">
        <v>-0.4</v>
      </c>
    </row>
    <row r="1045" spans="1:8" x14ac:dyDescent="0.3">
      <c r="A1045">
        <v>1044</v>
      </c>
      <c r="B1045" t="s">
        <v>1743</v>
      </c>
      <c r="C1045" t="s">
        <v>243</v>
      </c>
      <c r="D1045">
        <v>70</v>
      </c>
      <c r="F1045" s="1">
        <v>-0.4</v>
      </c>
      <c r="H1045" s="1">
        <v>-0.4</v>
      </c>
    </row>
    <row r="1046" spans="1:8" x14ac:dyDescent="0.3">
      <c r="A1046">
        <v>1045</v>
      </c>
      <c r="B1046" t="s">
        <v>892</v>
      </c>
      <c r="C1046" t="s">
        <v>268</v>
      </c>
      <c r="E1046">
        <v>15</v>
      </c>
      <c r="F1046" s="1">
        <v>0</v>
      </c>
      <c r="G1046" s="1">
        <v>-0.4</v>
      </c>
      <c r="H1046" s="1">
        <v>-0.4</v>
      </c>
    </row>
    <row r="1047" spans="1:8" x14ac:dyDescent="0.3">
      <c r="A1047">
        <v>1046</v>
      </c>
      <c r="B1047" t="s">
        <v>3242</v>
      </c>
      <c r="C1047" t="s">
        <v>243</v>
      </c>
      <c r="D1047">
        <v>52</v>
      </c>
      <c r="F1047" s="1">
        <v>-0.4</v>
      </c>
      <c r="H1047" s="1">
        <v>-0.4</v>
      </c>
    </row>
    <row r="1048" spans="1:8" x14ac:dyDescent="0.3">
      <c r="A1048">
        <v>1047</v>
      </c>
      <c r="B1048" t="s">
        <v>448</v>
      </c>
      <c r="C1048" t="s">
        <v>264</v>
      </c>
      <c r="E1048">
        <v>17.2</v>
      </c>
      <c r="F1048" s="1">
        <v>0</v>
      </c>
      <c r="G1048" s="1">
        <v>-0.4</v>
      </c>
      <c r="H1048" s="1">
        <v>-0.4</v>
      </c>
    </row>
    <row r="1049" spans="1:8" x14ac:dyDescent="0.3">
      <c r="A1049">
        <v>1048</v>
      </c>
      <c r="B1049" t="s">
        <v>3241</v>
      </c>
      <c r="C1049" t="s">
        <v>346</v>
      </c>
      <c r="D1049">
        <v>75</v>
      </c>
      <c r="F1049" s="1">
        <v>-0.4</v>
      </c>
      <c r="H1049" s="1">
        <v>-0.4</v>
      </c>
    </row>
    <row r="1050" spans="1:8" x14ac:dyDescent="0.3">
      <c r="A1050">
        <v>1049</v>
      </c>
      <c r="B1050" t="s">
        <v>940</v>
      </c>
      <c r="C1050" t="s">
        <v>274</v>
      </c>
      <c r="D1050">
        <v>93</v>
      </c>
      <c r="F1050" s="1">
        <v>-0.4</v>
      </c>
      <c r="H1050" s="1">
        <v>-0.4</v>
      </c>
    </row>
    <row r="1051" spans="1:8" x14ac:dyDescent="0.3">
      <c r="A1051">
        <v>1050</v>
      </c>
      <c r="B1051" t="s">
        <v>963</v>
      </c>
      <c r="C1051" t="s">
        <v>266</v>
      </c>
      <c r="D1051">
        <v>192</v>
      </c>
      <c r="F1051" s="1">
        <v>-0.4</v>
      </c>
      <c r="H1051" s="1">
        <v>-0.4</v>
      </c>
    </row>
    <row r="1052" spans="1:8" x14ac:dyDescent="0.3">
      <c r="A1052">
        <v>1051</v>
      </c>
      <c r="B1052" t="s">
        <v>922</v>
      </c>
      <c r="C1052" t="s">
        <v>221</v>
      </c>
      <c r="D1052">
        <v>154</v>
      </c>
      <c r="F1052" s="1">
        <v>-0.4</v>
      </c>
      <c r="H1052" s="1">
        <v>-0.4</v>
      </c>
    </row>
    <row r="1053" spans="1:8" x14ac:dyDescent="0.3">
      <c r="A1053">
        <v>1052</v>
      </c>
      <c r="B1053" t="s">
        <v>894</v>
      </c>
      <c r="C1053" t="s">
        <v>286</v>
      </c>
      <c r="E1053">
        <v>16.2</v>
      </c>
      <c r="F1053" s="1">
        <v>0</v>
      </c>
      <c r="G1053" s="1">
        <v>-0.4</v>
      </c>
      <c r="H1053" s="1">
        <v>-0.4</v>
      </c>
    </row>
    <row r="1054" spans="1:8" x14ac:dyDescent="0.3">
      <c r="A1054">
        <v>1053</v>
      </c>
      <c r="B1054" t="s">
        <v>2022</v>
      </c>
      <c r="C1054" t="s">
        <v>250</v>
      </c>
      <c r="D1054">
        <v>70</v>
      </c>
      <c r="F1054" s="1">
        <v>-0.4</v>
      </c>
      <c r="H1054" s="1">
        <v>-0.4</v>
      </c>
    </row>
    <row r="1055" spans="1:8" x14ac:dyDescent="0.3">
      <c r="A1055">
        <v>1054</v>
      </c>
      <c r="B1055" t="s">
        <v>444</v>
      </c>
      <c r="C1055" t="s">
        <v>248</v>
      </c>
      <c r="D1055">
        <v>100</v>
      </c>
      <c r="F1055" s="1">
        <v>-0.4</v>
      </c>
      <c r="H1055" s="1">
        <v>-0.4</v>
      </c>
    </row>
    <row r="1056" spans="1:8" x14ac:dyDescent="0.3">
      <c r="A1056">
        <v>1055</v>
      </c>
      <c r="B1056" t="s">
        <v>634</v>
      </c>
      <c r="C1056" t="s">
        <v>325</v>
      </c>
      <c r="E1056">
        <v>12.2</v>
      </c>
      <c r="F1056" s="1">
        <v>0</v>
      </c>
      <c r="G1056" s="1">
        <v>-0.4</v>
      </c>
      <c r="H1056" s="1">
        <v>-0.4</v>
      </c>
    </row>
    <row r="1057" spans="1:8" x14ac:dyDescent="0.3">
      <c r="A1057">
        <v>1056</v>
      </c>
      <c r="B1057" t="s">
        <v>3271</v>
      </c>
      <c r="C1057" t="s">
        <v>286</v>
      </c>
      <c r="E1057">
        <v>20</v>
      </c>
      <c r="F1057" s="1">
        <v>0</v>
      </c>
      <c r="G1057" s="1">
        <v>-0.4</v>
      </c>
      <c r="H1057" s="1">
        <v>-0.4</v>
      </c>
    </row>
    <row r="1058" spans="1:8" x14ac:dyDescent="0.3">
      <c r="A1058">
        <v>1057</v>
      </c>
      <c r="B1058" t="s">
        <v>920</v>
      </c>
      <c r="C1058" t="s">
        <v>266</v>
      </c>
      <c r="D1058">
        <v>93</v>
      </c>
      <c r="E1058">
        <v>1</v>
      </c>
      <c r="F1058" s="1">
        <v>-0.4</v>
      </c>
      <c r="G1058" s="1">
        <v>0</v>
      </c>
      <c r="H1058" s="1">
        <v>-0.4</v>
      </c>
    </row>
    <row r="1059" spans="1:8" x14ac:dyDescent="0.3">
      <c r="A1059">
        <v>1058</v>
      </c>
      <c r="B1059" t="s">
        <v>865</v>
      </c>
      <c r="C1059" t="s">
        <v>222</v>
      </c>
      <c r="D1059">
        <v>76</v>
      </c>
      <c r="F1059" s="1">
        <v>-0.4</v>
      </c>
      <c r="H1059" s="1">
        <v>-0.4</v>
      </c>
    </row>
    <row r="1060" spans="1:8" x14ac:dyDescent="0.3">
      <c r="A1060">
        <v>1059</v>
      </c>
      <c r="B1060" t="s">
        <v>909</v>
      </c>
      <c r="C1060" t="s">
        <v>251</v>
      </c>
      <c r="E1060">
        <v>21.2</v>
      </c>
      <c r="F1060" s="1">
        <v>0</v>
      </c>
      <c r="G1060" s="1">
        <v>-0.4</v>
      </c>
      <c r="H1060" s="1">
        <v>-0.4</v>
      </c>
    </row>
    <row r="1061" spans="1:8" x14ac:dyDescent="0.3">
      <c r="A1061">
        <v>1060</v>
      </c>
      <c r="B1061" t="s">
        <v>812</v>
      </c>
      <c r="C1061" t="s">
        <v>239</v>
      </c>
      <c r="D1061">
        <v>74</v>
      </c>
      <c r="F1061" s="1">
        <v>-0.4</v>
      </c>
      <c r="H1061" s="1">
        <v>-0.4</v>
      </c>
    </row>
    <row r="1062" spans="1:8" x14ac:dyDescent="0.3">
      <c r="A1062">
        <v>1061</v>
      </c>
      <c r="B1062" t="s">
        <v>899</v>
      </c>
      <c r="C1062" t="s">
        <v>231</v>
      </c>
      <c r="D1062">
        <v>37</v>
      </c>
      <c r="F1062" s="1">
        <v>-0.4</v>
      </c>
      <c r="H1062" s="1">
        <v>-0.4</v>
      </c>
    </row>
    <row r="1063" spans="1:8" x14ac:dyDescent="0.3">
      <c r="A1063">
        <v>1062</v>
      </c>
      <c r="B1063" t="s">
        <v>753</v>
      </c>
      <c r="C1063" t="s">
        <v>222</v>
      </c>
      <c r="D1063">
        <v>157</v>
      </c>
      <c r="F1063" s="1">
        <v>-0.4</v>
      </c>
      <c r="H1063" s="1">
        <v>-0.4</v>
      </c>
    </row>
    <row r="1064" spans="1:8" x14ac:dyDescent="0.3">
      <c r="A1064">
        <v>1063</v>
      </c>
      <c r="B1064" t="s">
        <v>1610</v>
      </c>
      <c r="C1064" t="s">
        <v>246</v>
      </c>
      <c r="E1064">
        <v>15.2</v>
      </c>
      <c r="F1064" s="1">
        <v>0</v>
      </c>
      <c r="G1064" s="1">
        <v>-0.4</v>
      </c>
      <c r="H1064" s="1">
        <v>-0.4</v>
      </c>
    </row>
    <row r="1065" spans="1:8" x14ac:dyDescent="0.3">
      <c r="A1065">
        <v>1064</v>
      </c>
      <c r="B1065" t="s">
        <v>206</v>
      </c>
      <c r="C1065" t="s">
        <v>221</v>
      </c>
      <c r="E1065">
        <v>41.2</v>
      </c>
      <c r="F1065" s="1">
        <v>0</v>
      </c>
      <c r="G1065" s="1">
        <v>-0.4</v>
      </c>
      <c r="H1065" s="1">
        <v>-0.4</v>
      </c>
    </row>
    <row r="1066" spans="1:8" x14ac:dyDescent="0.3">
      <c r="A1066">
        <v>1065</v>
      </c>
      <c r="B1066" t="s">
        <v>599</v>
      </c>
      <c r="C1066" t="s">
        <v>251</v>
      </c>
      <c r="D1066">
        <v>54</v>
      </c>
      <c r="F1066" s="1">
        <v>-0.4</v>
      </c>
      <c r="H1066" s="1">
        <v>-0.4</v>
      </c>
    </row>
    <row r="1067" spans="1:8" x14ac:dyDescent="0.3">
      <c r="A1067">
        <v>1066</v>
      </c>
      <c r="B1067" t="s">
        <v>827</v>
      </c>
      <c r="C1067" t="s">
        <v>278</v>
      </c>
      <c r="D1067">
        <v>33</v>
      </c>
      <c r="F1067" s="1">
        <v>-0.4</v>
      </c>
      <c r="H1067" s="1">
        <v>-0.4</v>
      </c>
    </row>
    <row r="1068" spans="1:8" x14ac:dyDescent="0.3">
      <c r="A1068">
        <v>1067</v>
      </c>
      <c r="B1068" t="s">
        <v>704</v>
      </c>
      <c r="C1068" t="s">
        <v>243</v>
      </c>
      <c r="D1068">
        <v>84</v>
      </c>
      <c r="F1068" s="1">
        <v>-0.4</v>
      </c>
      <c r="H1068" s="1">
        <v>-0.4</v>
      </c>
    </row>
    <row r="1069" spans="1:8" x14ac:dyDescent="0.3">
      <c r="A1069">
        <v>1068</v>
      </c>
      <c r="B1069" t="s">
        <v>612</v>
      </c>
      <c r="C1069" t="s">
        <v>239</v>
      </c>
      <c r="D1069">
        <v>118</v>
      </c>
      <c r="F1069" s="1">
        <v>-0.4</v>
      </c>
      <c r="H1069" s="1">
        <v>-0.4</v>
      </c>
    </row>
    <row r="1070" spans="1:8" x14ac:dyDescent="0.3">
      <c r="A1070">
        <v>1069</v>
      </c>
      <c r="B1070" t="s">
        <v>660</v>
      </c>
      <c r="C1070" t="s">
        <v>264</v>
      </c>
      <c r="D1070">
        <v>174</v>
      </c>
      <c r="F1070" s="1">
        <v>-0.4</v>
      </c>
      <c r="H1070" s="1">
        <v>-0.4</v>
      </c>
    </row>
    <row r="1071" spans="1:8" x14ac:dyDescent="0.3">
      <c r="A1071">
        <v>1070</v>
      </c>
      <c r="B1071" t="s">
        <v>470</v>
      </c>
      <c r="C1071" t="s">
        <v>243</v>
      </c>
      <c r="D1071">
        <v>138</v>
      </c>
      <c r="F1071" s="1">
        <v>-0.4</v>
      </c>
      <c r="H1071" s="1">
        <v>-0.4</v>
      </c>
    </row>
    <row r="1072" spans="1:8" x14ac:dyDescent="0.3">
      <c r="A1072">
        <v>1071</v>
      </c>
      <c r="B1072" t="s">
        <v>974</v>
      </c>
      <c r="C1072" t="s">
        <v>251</v>
      </c>
      <c r="D1072">
        <v>189</v>
      </c>
      <c r="F1072" s="1">
        <v>-0.5</v>
      </c>
      <c r="H1072" s="1">
        <v>-0.5</v>
      </c>
    </row>
    <row r="1073" spans="1:8" x14ac:dyDescent="0.3">
      <c r="A1073">
        <v>1072</v>
      </c>
      <c r="B1073" t="s">
        <v>955</v>
      </c>
      <c r="C1073" t="s">
        <v>311</v>
      </c>
      <c r="D1073">
        <v>59</v>
      </c>
      <c r="E1073">
        <v>1.2</v>
      </c>
      <c r="F1073" s="1">
        <v>-0.4</v>
      </c>
      <c r="G1073" s="1">
        <v>0</v>
      </c>
      <c r="H1073" s="1">
        <v>-0.5</v>
      </c>
    </row>
    <row r="1074" spans="1:8" x14ac:dyDescent="0.3">
      <c r="A1074">
        <v>1073</v>
      </c>
      <c r="B1074" t="s">
        <v>198</v>
      </c>
      <c r="C1074" t="s">
        <v>325</v>
      </c>
      <c r="E1074">
        <v>19.2</v>
      </c>
      <c r="F1074" s="1">
        <v>0</v>
      </c>
      <c r="G1074" s="1">
        <v>-0.5</v>
      </c>
      <c r="H1074" s="1">
        <v>-0.5</v>
      </c>
    </row>
    <row r="1075" spans="1:8" x14ac:dyDescent="0.3">
      <c r="A1075">
        <v>1074</v>
      </c>
      <c r="B1075" t="s">
        <v>971</v>
      </c>
      <c r="C1075" t="s">
        <v>1748</v>
      </c>
      <c r="E1075">
        <v>22.2</v>
      </c>
      <c r="F1075" s="1">
        <v>0</v>
      </c>
      <c r="G1075" s="1">
        <v>-0.5</v>
      </c>
      <c r="H1075" s="1">
        <v>-0.5</v>
      </c>
    </row>
    <row r="1076" spans="1:8" x14ac:dyDescent="0.3">
      <c r="A1076">
        <v>1075</v>
      </c>
      <c r="B1076" t="s">
        <v>607</v>
      </c>
      <c r="C1076" t="s">
        <v>325</v>
      </c>
      <c r="E1076">
        <v>7</v>
      </c>
      <c r="F1076" s="1">
        <v>0</v>
      </c>
      <c r="G1076" s="1">
        <v>-0.5</v>
      </c>
      <c r="H1076" s="1">
        <v>-0.5</v>
      </c>
    </row>
    <row r="1077" spans="1:8" x14ac:dyDescent="0.3">
      <c r="A1077">
        <v>1076</v>
      </c>
      <c r="B1077" t="s">
        <v>498</v>
      </c>
      <c r="C1077" t="s">
        <v>286</v>
      </c>
      <c r="D1077">
        <v>70</v>
      </c>
      <c r="F1077" s="1">
        <v>-0.5</v>
      </c>
      <c r="H1077" s="1">
        <v>-0.5</v>
      </c>
    </row>
    <row r="1078" spans="1:8" x14ac:dyDescent="0.3">
      <c r="A1078">
        <v>1077</v>
      </c>
      <c r="B1078" t="s">
        <v>732</v>
      </c>
      <c r="C1078" t="s">
        <v>287</v>
      </c>
      <c r="D1078">
        <v>190</v>
      </c>
      <c r="F1078" s="1">
        <v>-0.5</v>
      </c>
      <c r="H1078" s="1">
        <v>-0.5</v>
      </c>
    </row>
    <row r="1079" spans="1:8" x14ac:dyDescent="0.3">
      <c r="A1079">
        <v>1078</v>
      </c>
      <c r="B1079" t="s">
        <v>828</v>
      </c>
      <c r="C1079" t="s">
        <v>235</v>
      </c>
      <c r="E1079">
        <v>24.1</v>
      </c>
      <c r="F1079" s="1">
        <v>0</v>
      </c>
      <c r="G1079" s="1">
        <v>-0.5</v>
      </c>
      <c r="H1079" s="1">
        <v>-0.5</v>
      </c>
    </row>
    <row r="1080" spans="1:8" x14ac:dyDescent="0.3">
      <c r="A1080">
        <v>1079</v>
      </c>
      <c r="B1080" t="s">
        <v>441</v>
      </c>
      <c r="C1080" t="s">
        <v>266</v>
      </c>
      <c r="D1080">
        <v>148</v>
      </c>
      <c r="F1080" s="1">
        <v>-0.5</v>
      </c>
      <c r="H1080" s="1">
        <v>-0.5</v>
      </c>
    </row>
    <row r="1081" spans="1:8" x14ac:dyDescent="0.3">
      <c r="A1081">
        <v>1080</v>
      </c>
      <c r="B1081" t="s">
        <v>952</v>
      </c>
      <c r="C1081" t="s">
        <v>268</v>
      </c>
      <c r="E1081">
        <v>32.1</v>
      </c>
      <c r="F1081" s="1">
        <v>0</v>
      </c>
      <c r="G1081" s="1">
        <v>-0.5</v>
      </c>
      <c r="H1081" s="1">
        <v>-0.5</v>
      </c>
    </row>
    <row r="1082" spans="1:8" x14ac:dyDescent="0.3">
      <c r="A1082">
        <v>1081</v>
      </c>
      <c r="B1082" t="s">
        <v>555</v>
      </c>
      <c r="C1082" t="s">
        <v>239</v>
      </c>
      <c r="E1082">
        <v>42.2</v>
      </c>
      <c r="F1082" s="1">
        <v>0</v>
      </c>
      <c r="G1082" s="1">
        <v>-0.5</v>
      </c>
      <c r="H1082" s="1">
        <v>-0.5</v>
      </c>
    </row>
    <row r="1083" spans="1:8" x14ac:dyDescent="0.3">
      <c r="A1083">
        <v>1082</v>
      </c>
      <c r="B1083" t="s">
        <v>925</v>
      </c>
      <c r="C1083" t="s">
        <v>339</v>
      </c>
      <c r="D1083">
        <v>55</v>
      </c>
      <c r="F1083" s="1">
        <v>-0.6</v>
      </c>
      <c r="H1083" s="1">
        <v>-0.6</v>
      </c>
    </row>
    <row r="1084" spans="1:8" x14ac:dyDescent="0.3">
      <c r="A1084">
        <v>1083</v>
      </c>
      <c r="B1084" t="s">
        <v>801</v>
      </c>
      <c r="C1084" t="s">
        <v>287</v>
      </c>
      <c r="D1084">
        <v>65</v>
      </c>
      <c r="F1084" s="1">
        <v>-0.6</v>
      </c>
      <c r="H1084" s="1">
        <v>-0.6</v>
      </c>
    </row>
    <row r="1085" spans="1:8" x14ac:dyDescent="0.3">
      <c r="A1085">
        <v>1084</v>
      </c>
      <c r="B1085" t="s">
        <v>3193</v>
      </c>
      <c r="C1085" t="s">
        <v>325</v>
      </c>
      <c r="E1085">
        <v>18</v>
      </c>
      <c r="F1085" s="1">
        <v>0</v>
      </c>
      <c r="G1085" s="1">
        <v>-0.6</v>
      </c>
      <c r="H1085" s="1">
        <v>-0.6</v>
      </c>
    </row>
    <row r="1086" spans="1:8" x14ac:dyDescent="0.3">
      <c r="A1086">
        <v>1085</v>
      </c>
      <c r="B1086" t="s">
        <v>808</v>
      </c>
      <c r="C1086" t="s">
        <v>274</v>
      </c>
      <c r="D1086">
        <v>142</v>
      </c>
      <c r="F1086" s="1">
        <v>-0.6</v>
      </c>
      <c r="H1086" s="1">
        <v>-0.6</v>
      </c>
    </row>
    <row r="1087" spans="1:8" x14ac:dyDescent="0.3">
      <c r="A1087">
        <v>1086</v>
      </c>
      <c r="B1087" t="s">
        <v>943</v>
      </c>
      <c r="C1087" t="s">
        <v>251</v>
      </c>
      <c r="D1087">
        <v>75</v>
      </c>
      <c r="F1087" s="1">
        <v>-0.6</v>
      </c>
      <c r="H1087" s="1">
        <v>-0.6</v>
      </c>
    </row>
    <row r="1088" spans="1:8" x14ac:dyDescent="0.3">
      <c r="A1088">
        <v>1087</v>
      </c>
      <c r="B1088" t="s">
        <v>945</v>
      </c>
      <c r="C1088" t="s">
        <v>270</v>
      </c>
      <c r="D1088">
        <v>26</v>
      </c>
      <c r="F1088" s="1">
        <v>-0.6</v>
      </c>
      <c r="H1088" s="1">
        <v>-0.6</v>
      </c>
    </row>
    <row r="1089" spans="1:8" x14ac:dyDescent="0.3">
      <c r="A1089">
        <v>1088</v>
      </c>
      <c r="B1089" t="s">
        <v>778</v>
      </c>
      <c r="C1089" t="s">
        <v>241</v>
      </c>
      <c r="D1089">
        <v>111</v>
      </c>
      <c r="F1089" s="1">
        <v>-0.6</v>
      </c>
      <c r="H1089" s="1">
        <v>-0.6</v>
      </c>
    </row>
    <row r="1090" spans="1:8" x14ac:dyDescent="0.3">
      <c r="A1090">
        <v>1089</v>
      </c>
      <c r="B1090" t="s">
        <v>603</v>
      </c>
      <c r="C1090" t="s">
        <v>224</v>
      </c>
      <c r="D1090">
        <v>86</v>
      </c>
      <c r="F1090" s="1">
        <v>-0.6</v>
      </c>
      <c r="H1090" s="1">
        <v>-0.6</v>
      </c>
    </row>
    <row r="1091" spans="1:8" x14ac:dyDescent="0.3">
      <c r="A1091">
        <v>1090</v>
      </c>
      <c r="B1091" t="s">
        <v>490</v>
      </c>
      <c r="C1091" t="s">
        <v>325</v>
      </c>
      <c r="D1091">
        <v>152</v>
      </c>
      <c r="F1091" s="1">
        <v>-0.6</v>
      </c>
      <c r="H1091" s="1">
        <v>-0.6</v>
      </c>
    </row>
    <row r="1092" spans="1:8" x14ac:dyDescent="0.3">
      <c r="A1092">
        <v>1091</v>
      </c>
      <c r="B1092" t="s">
        <v>210</v>
      </c>
      <c r="C1092" t="s">
        <v>325</v>
      </c>
      <c r="E1092">
        <v>48.2</v>
      </c>
      <c r="F1092" s="1">
        <v>0</v>
      </c>
      <c r="G1092" s="1">
        <v>-0.7</v>
      </c>
      <c r="H1092" s="1">
        <v>-0.7</v>
      </c>
    </row>
    <row r="1093" spans="1:8" x14ac:dyDescent="0.3">
      <c r="A1093">
        <v>1092</v>
      </c>
      <c r="B1093" t="s">
        <v>823</v>
      </c>
      <c r="C1093" t="s">
        <v>346</v>
      </c>
      <c r="E1093">
        <v>26.2</v>
      </c>
      <c r="F1093" s="1">
        <v>0</v>
      </c>
      <c r="G1093" s="1">
        <v>-0.7</v>
      </c>
      <c r="H1093" s="1">
        <v>-0.7</v>
      </c>
    </row>
    <row r="1094" spans="1:8" x14ac:dyDescent="0.3">
      <c r="A1094">
        <v>1093</v>
      </c>
      <c r="B1094" t="s">
        <v>695</v>
      </c>
      <c r="C1094" t="s">
        <v>266</v>
      </c>
      <c r="D1094">
        <v>94</v>
      </c>
      <c r="E1094">
        <v>2</v>
      </c>
      <c r="F1094" s="1">
        <v>-0.6</v>
      </c>
      <c r="G1094" s="1">
        <v>-0.1</v>
      </c>
      <c r="H1094" s="1">
        <v>-0.7</v>
      </c>
    </row>
    <row r="1095" spans="1:8" x14ac:dyDescent="0.3">
      <c r="A1095">
        <v>1094</v>
      </c>
      <c r="B1095" t="s">
        <v>624</v>
      </c>
      <c r="C1095" t="s">
        <v>239</v>
      </c>
      <c r="E1095">
        <v>7.2</v>
      </c>
      <c r="F1095" s="1">
        <v>0</v>
      </c>
      <c r="G1095" s="1">
        <v>-0.7</v>
      </c>
      <c r="H1095" s="1">
        <v>-0.7</v>
      </c>
    </row>
    <row r="1096" spans="1:8" x14ac:dyDescent="0.3">
      <c r="A1096">
        <v>1095</v>
      </c>
      <c r="B1096" t="s">
        <v>906</v>
      </c>
      <c r="C1096" t="s">
        <v>246</v>
      </c>
      <c r="D1096">
        <v>83</v>
      </c>
      <c r="E1096">
        <v>2</v>
      </c>
      <c r="F1096" s="1">
        <v>-0.7</v>
      </c>
      <c r="G1096" s="1">
        <v>-0.1</v>
      </c>
      <c r="H1096" s="1">
        <v>-0.7</v>
      </c>
    </row>
    <row r="1097" spans="1:8" x14ac:dyDescent="0.3">
      <c r="A1097">
        <v>1096</v>
      </c>
      <c r="B1097" t="s">
        <v>853</v>
      </c>
      <c r="C1097" t="s">
        <v>325</v>
      </c>
      <c r="D1097">
        <v>119</v>
      </c>
      <c r="F1097" s="1">
        <v>-0.7</v>
      </c>
      <c r="H1097" s="1">
        <v>-0.7</v>
      </c>
    </row>
    <row r="1098" spans="1:8" x14ac:dyDescent="0.3">
      <c r="A1098">
        <v>1097</v>
      </c>
      <c r="B1098" t="s">
        <v>830</v>
      </c>
      <c r="C1098" t="s">
        <v>244</v>
      </c>
      <c r="D1098">
        <v>112</v>
      </c>
      <c r="F1098" s="1">
        <v>-0.8</v>
      </c>
      <c r="H1098" s="1">
        <v>-0.8</v>
      </c>
    </row>
    <row r="1099" spans="1:8" x14ac:dyDescent="0.3">
      <c r="A1099">
        <v>1098</v>
      </c>
      <c r="B1099" t="s">
        <v>913</v>
      </c>
      <c r="C1099" t="s">
        <v>346</v>
      </c>
      <c r="D1099">
        <v>90</v>
      </c>
      <c r="F1099" s="1">
        <v>-0.8</v>
      </c>
      <c r="H1099" s="1">
        <v>-0.8</v>
      </c>
    </row>
    <row r="1100" spans="1:8" x14ac:dyDescent="0.3">
      <c r="A1100">
        <v>1099</v>
      </c>
      <c r="B1100" t="s">
        <v>773</v>
      </c>
      <c r="C1100" t="s">
        <v>270</v>
      </c>
      <c r="D1100">
        <v>141</v>
      </c>
      <c r="F1100" s="1">
        <v>-0.8</v>
      </c>
      <c r="H1100" s="1">
        <v>-0.8</v>
      </c>
    </row>
    <row r="1101" spans="1:8" x14ac:dyDescent="0.3">
      <c r="A1101">
        <v>1100</v>
      </c>
      <c r="B1101" t="s">
        <v>918</v>
      </c>
      <c r="C1101" t="s">
        <v>266</v>
      </c>
      <c r="E1101">
        <v>18.100000000000001</v>
      </c>
      <c r="F1101" s="1">
        <v>0</v>
      </c>
      <c r="G1101" s="1">
        <v>-0.8</v>
      </c>
      <c r="H1101" s="1">
        <v>-0.8</v>
      </c>
    </row>
    <row r="1102" spans="1:8" x14ac:dyDescent="0.3">
      <c r="A1102">
        <v>1101</v>
      </c>
      <c r="B1102" t="s">
        <v>956</v>
      </c>
      <c r="C1102" t="s">
        <v>287</v>
      </c>
      <c r="D1102">
        <v>55</v>
      </c>
      <c r="E1102">
        <v>1</v>
      </c>
      <c r="F1102" s="1">
        <v>-0.9</v>
      </c>
      <c r="G1102" s="1">
        <v>0</v>
      </c>
      <c r="H1102" s="1">
        <v>-0.8</v>
      </c>
    </row>
    <row r="1103" spans="1:8" x14ac:dyDescent="0.3">
      <c r="A1103">
        <v>1102</v>
      </c>
      <c r="B1103" t="s">
        <v>844</v>
      </c>
      <c r="C1103" t="s">
        <v>226</v>
      </c>
      <c r="D1103">
        <v>74</v>
      </c>
      <c r="F1103" s="1">
        <v>-0.9</v>
      </c>
      <c r="H1103" s="1">
        <v>-0.9</v>
      </c>
    </row>
    <row r="1104" spans="1:8" x14ac:dyDescent="0.3">
      <c r="A1104">
        <v>1103</v>
      </c>
      <c r="B1104" t="s">
        <v>933</v>
      </c>
      <c r="C1104" t="s">
        <v>246</v>
      </c>
      <c r="D1104">
        <v>158</v>
      </c>
      <c r="F1104" s="1">
        <v>-1</v>
      </c>
      <c r="H1104" s="1">
        <v>-1</v>
      </c>
    </row>
    <row r="1105" spans="1:8" x14ac:dyDescent="0.3">
      <c r="A1105">
        <v>1104</v>
      </c>
      <c r="B1105" t="s">
        <v>479</v>
      </c>
      <c r="C1105" t="s">
        <v>224</v>
      </c>
      <c r="D1105">
        <v>200</v>
      </c>
      <c r="F1105" s="1">
        <v>-1</v>
      </c>
      <c r="H1105" s="1">
        <v>-1</v>
      </c>
    </row>
    <row r="1106" spans="1:8" x14ac:dyDescent="0.3">
      <c r="A1106">
        <v>1105</v>
      </c>
      <c r="B1106" t="s">
        <v>3243</v>
      </c>
      <c r="C1106" t="s">
        <v>250</v>
      </c>
      <c r="F1106" s="1">
        <v>0</v>
      </c>
      <c r="H1106" s="1">
        <v>0</v>
      </c>
    </row>
  </sheetData>
  <conditionalFormatting sqref="U2">
    <cfRule type="cellIs" dxfId="1012" priority="5" operator="greaterThanOrEqual">
      <formula>0.5</formula>
    </cfRule>
  </conditionalFormatting>
  <conditionalFormatting pivot="1" sqref="M3:M32">
    <cfRule type="colorScale" priority="4">
      <colorScale>
        <cfvo type="min"/>
        <cfvo type="percentile" val="50"/>
        <cfvo type="max"/>
        <color rgb="FFF8696B"/>
        <color rgb="FFFFEB84"/>
        <color rgb="FF63BE7B"/>
      </colorScale>
    </cfRule>
  </conditionalFormatting>
  <conditionalFormatting sqref="Q3:Q32">
    <cfRule type="colorScale" priority="2">
      <colorScale>
        <cfvo type="min"/>
        <cfvo type="percentile" val="50"/>
        <cfvo type="max"/>
        <color rgb="FFF8696B"/>
        <color rgb="FFFCFCFF"/>
        <color rgb="FF63BE7B"/>
      </colorScale>
    </cfRule>
  </conditionalFormatting>
  <conditionalFormatting sqref="R3:R32">
    <cfRule type="colorScale" priority="1">
      <colorScale>
        <cfvo type="min"/>
        <cfvo type="percentile" val="50"/>
        <cfvo type="max"/>
        <color rgb="FFF8696B"/>
        <color rgb="FFFCFCFF"/>
        <color rgb="FF63BE7B"/>
      </colorScale>
    </cfRule>
  </conditionalFormatting>
  <hyperlinks>
    <hyperlink ref="K1" r:id="rId2" xr:uid="{DB577D73-409F-43F2-A9E7-00885B814E76}"/>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E1221-9561-48C6-99D0-A2A1CCB647D3}">
  <sheetPr codeName="Sheet16">
    <tabColor rgb="FFFF0000"/>
  </sheetPr>
  <dimension ref="A1:AP64"/>
  <sheetViews>
    <sheetView topLeftCell="F1" workbookViewId="0">
      <selection activeCell="AL10" sqref="AL10"/>
    </sheetView>
  </sheetViews>
  <sheetFormatPr defaultRowHeight="14.4" x14ac:dyDescent="0.3"/>
  <cols>
    <col min="1" max="1" width="20.77734375" bestFit="1" customWidth="1"/>
    <col min="2" max="2" width="8.44140625" bestFit="1" customWidth="1"/>
    <col min="3" max="3" width="3" bestFit="1" customWidth="1"/>
    <col min="4" max="5" width="6" bestFit="1" customWidth="1"/>
    <col min="6" max="6" width="3.44140625" bestFit="1" customWidth="1"/>
    <col min="7" max="7" width="2.5546875" bestFit="1" customWidth="1"/>
    <col min="8" max="8" width="4" customWidth="1"/>
    <col min="9" max="10" width="3" bestFit="1" customWidth="1"/>
    <col min="11" max="12" width="3.77734375" bestFit="1" customWidth="1"/>
    <col min="13" max="13" width="4" customWidth="1"/>
    <col min="14" max="14" width="4.44140625" bestFit="1" customWidth="1"/>
    <col min="15" max="15" width="3.77734375" bestFit="1" customWidth="1"/>
    <col min="16" max="16" width="3.44140625" bestFit="1" customWidth="1"/>
    <col min="17" max="17" width="3.6640625" bestFit="1" customWidth="1"/>
    <col min="18" max="18" width="3.5546875" bestFit="1" customWidth="1"/>
    <col min="19" max="19" width="3.88671875" bestFit="1" customWidth="1"/>
    <col min="20" max="20" width="4.44140625" bestFit="1" customWidth="1"/>
    <col min="21" max="21" width="5.109375" bestFit="1" customWidth="1"/>
    <col min="22" max="22" width="3.88671875" bestFit="1" customWidth="1"/>
    <col min="23" max="23" width="5.77734375" bestFit="1" customWidth="1"/>
    <col min="24" max="25" width="4" customWidth="1"/>
    <col min="26" max="26" width="5.109375" bestFit="1" customWidth="1"/>
    <col min="27" max="30" width="6" bestFit="1" customWidth="1"/>
    <col min="31" max="32" width="4" customWidth="1"/>
    <col min="33" max="33" width="19.6640625" bestFit="1" customWidth="1"/>
    <col min="34" max="34" width="5.109375" bestFit="1" customWidth="1"/>
    <col min="35" max="35" width="6.33203125" bestFit="1" customWidth="1"/>
    <col min="36" max="36" width="6.88671875" bestFit="1" customWidth="1"/>
    <col min="37" max="37" width="6.33203125" bestFit="1" customWidth="1"/>
    <col min="38" max="38" width="19.6640625" bestFit="1" customWidth="1"/>
    <col min="39" max="39" width="5.109375" bestFit="1" customWidth="1"/>
    <col min="40" max="40" width="6.33203125" bestFit="1" customWidth="1"/>
    <col min="41" max="41" width="6.88671875" bestFit="1" customWidth="1"/>
    <col min="42" max="42" width="5.6640625" customWidth="1"/>
    <col min="43" max="50" width="3.6640625" bestFit="1" customWidth="1"/>
    <col min="51" max="51" width="11" bestFit="1" customWidth="1"/>
  </cols>
  <sheetData>
    <row r="1" spans="1:42" x14ac:dyDescent="0.3">
      <c r="A1" s="191" t="s">
        <v>981</v>
      </c>
      <c r="B1" s="191" t="s">
        <v>1840</v>
      </c>
      <c r="C1" s="191" t="s">
        <v>1546</v>
      </c>
      <c r="D1" s="191" t="s">
        <v>1841</v>
      </c>
      <c r="E1" s="191" t="s">
        <v>1842</v>
      </c>
      <c r="F1" s="191" t="s">
        <v>110</v>
      </c>
      <c r="G1" s="191" t="s">
        <v>111</v>
      </c>
      <c r="H1" s="191" t="s">
        <v>76</v>
      </c>
      <c r="I1" s="191" t="s">
        <v>77</v>
      </c>
      <c r="J1" s="191" t="s">
        <v>78</v>
      </c>
      <c r="K1" s="191" t="s">
        <v>79</v>
      </c>
      <c r="L1" s="191" t="s">
        <v>80</v>
      </c>
      <c r="M1" s="191" t="s">
        <v>81</v>
      </c>
      <c r="N1" s="191" t="s">
        <v>82</v>
      </c>
      <c r="O1" s="191" t="s">
        <v>1843</v>
      </c>
      <c r="P1" s="191" t="s">
        <v>1521</v>
      </c>
      <c r="Q1" s="191" t="s">
        <v>85</v>
      </c>
      <c r="R1" s="191" t="s">
        <v>86</v>
      </c>
      <c r="S1" s="191" t="s">
        <v>83</v>
      </c>
      <c r="T1" s="191" t="s">
        <v>1844</v>
      </c>
      <c r="U1" s="191" t="s">
        <v>1845</v>
      </c>
      <c r="V1" s="191" t="s">
        <v>84</v>
      </c>
      <c r="W1" s="191" t="s">
        <v>1846</v>
      </c>
      <c r="X1" s="191" t="s">
        <v>215</v>
      </c>
      <c r="Y1" s="191" t="s">
        <v>1522</v>
      </c>
      <c r="Z1" s="191" t="s">
        <v>1847</v>
      </c>
      <c r="AA1" s="191" t="s">
        <v>87</v>
      </c>
      <c r="AB1" s="191" t="s">
        <v>88</v>
      </c>
      <c r="AC1" s="191" t="s">
        <v>89</v>
      </c>
      <c r="AD1" s="191" t="s">
        <v>90</v>
      </c>
      <c r="AE1" s="191"/>
      <c r="AF1" s="191"/>
      <c r="AG1" s="300" t="s">
        <v>1848</v>
      </c>
      <c r="AH1" s="300"/>
      <c r="AI1" s="300"/>
      <c r="AJ1" s="300"/>
      <c r="AK1" s="214"/>
      <c r="AL1" s="299" t="s">
        <v>1857</v>
      </c>
      <c r="AM1" s="299"/>
      <c r="AN1" s="299"/>
      <c r="AO1" s="299"/>
    </row>
    <row r="2" spans="1:42" x14ac:dyDescent="0.3">
      <c r="A2" s="1" t="s">
        <v>29</v>
      </c>
      <c r="B2" s="1">
        <v>2023</v>
      </c>
      <c r="C2" s="1">
        <v>24</v>
      </c>
      <c r="D2" s="211" t="s">
        <v>3595</v>
      </c>
      <c r="E2" s="1">
        <v>0.58299999999999996</v>
      </c>
      <c r="F2" s="1">
        <v>14</v>
      </c>
      <c r="G2" s="1">
        <v>10</v>
      </c>
      <c r="H2" s="1">
        <v>806</v>
      </c>
      <c r="I2" s="1">
        <v>123</v>
      </c>
      <c r="J2" s="1">
        <v>229</v>
      </c>
      <c r="K2" s="1">
        <v>50</v>
      </c>
      <c r="L2" s="1">
        <v>9</v>
      </c>
      <c r="M2" s="1">
        <v>22</v>
      </c>
      <c r="N2" s="1">
        <v>114</v>
      </c>
      <c r="O2" s="1">
        <v>6</v>
      </c>
      <c r="P2" s="1">
        <v>5</v>
      </c>
      <c r="Q2" s="1">
        <v>20</v>
      </c>
      <c r="R2" s="1">
        <v>4</v>
      </c>
      <c r="S2" s="1">
        <v>79</v>
      </c>
      <c r="T2" s="1">
        <v>2</v>
      </c>
      <c r="U2" s="1">
        <v>7</v>
      </c>
      <c r="V2" s="1">
        <v>175</v>
      </c>
      <c r="W2" s="1">
        <v>16</v>
      </c>
      <c r="X2" s="1">
        <v>903</v>
      </c>
      <c r="Y2" s="1">
        <v>363</v>
      </c>
      <c r="Z2" s="1">
        <v>81</v>
      </c>
      <c r="AA2" s="1">
        <v>0.28399999999999997</v>
      </c>
      <c r="AB2" s="1">
        <v>0.35099999999999998</v>
      </c>
      <c r="AC2" s="1">
        <v>0.45</v>
      </c>
      <c r="AD2" s="1">
        <v>0.80200000000000005</v>
      </c>
      <c r="AE2" s="5"/>
      <c r="AG2" s="88" t="s">
        <v>32</v>
      </c>
      <c r="AH2" t="s">
        <v>1852</v>
      </c>
      <c r="AI2" t="s">
        <v>1853</v>
      </c>
      <c r="AJ2" s="170" t="s">
        <v>1856</v>
      </c>
      <c r="AK2" s="170" t="s">
        <v>34</v>
      </c>
      <c r="AL2" s="88" t="s">
        <v>32</v>
      </c>
      <c r="AM2" t="s">
        <v>1852</v>
      </c>
      <c r="AN2" t="s">
        <v>1853</v>
      </c>
      <c r="AO2" s="170" t="s">
        <v>1856</v>
      </c>
      <c r="AP2" s="170" t="s">
        <v>34</v>
      </c>
    </row>
    <row r="3" spans="1:42" x14ac:dyDescent="0.3">
      <c r="A3" s="1" t="s">
        <v>7</v>
      </c>
      <c r="B3" s="1">
        <v>2023</v>
      </c>
      <c r="C3" s="1">
        <v>25</v>
      </c>
      <c r="D3" s="211" t="s">
        <v>3596</v>
      </c>
      <c r="E3" s="1">
        <v>0.52</v>
      </c>
      <c r="F3" s="1">
        <v>13</v>
      </c>
      <c r="G3" s="1">
        <v>12</v>
      </c>
      <c r="H3" s="1">
        <v>834</v>
      </c>
      <c r="I3" s="1">
        <v>114</v>
      </c>
      <c r="J3" s="1">
        <v>205</v>
      </c>
      <c r="K3" s="1">
        <v>45</v>
      </c>
      <c r="L3" s="1">
        <v>2</v>
      </c>
      <c r="M3" s="1">
        <v>31</v>
      </c>
      <c r="N3" s="1">
        <v>109</v>
      </c>
      <c r="O3" s="1">
        <v>0</v>
      </c>
      <c r="P3" s="1">
        <v>3</v>
      </c>
      <c r="Q3" s="1">
        <v>18</v>
      </c>
      <c r="R3" s="1">
        <v>2</v>
      </c>
      <c r="S3" s="1">
        <v>89</v>
      </c>
      <c r="T3" s="1">
        <v>5</v>
      </c>
      <c r="U3" s="1">
        <v>8</v>
      </c>
      <c r="V3" s="1">
        <v>232</v>
      </c>
      <c r="W3" s="1">
        <v>20</v>
      </c>
      <c r="X3" s="1">
        <v>934</v>
      </c>
      <c r="Y3" s="1">
        <v>347</v>
      </c>
      <c r="Z3" s="1">
        <v>78</v>
      </c>
      <c r="AA3" s="1">
        <v>0.246</v>
      </c>
      <c r="AB3" s="1">
        <v>0.32300000000000001</v>
      </c>
      <c r="AC3" s="1">
        <v>0.41599999999999998</v>
      </c>
      <c r="AD3" s="1">
        <v>0.73899999999999999</v>
      </c>
      <c r="AE3" s="5"/>
      <c r="AG3" s="89" t="s">
        <v>29</v>
      </c>
      <c r="AH3" s="90">
        <v>14</v>
      </c>
      <c r="AI3" s="90">
        <v>10</v>
      </c>
      <c r="AJ3" s="1" t="str">
        <f t="shared" ref="AJ3:AJ34" si="0">_xlfn.CONCAT(AH3,"-",AI3)</f>
        <v>14-10</v>
      </c>
      <c r="AK3" s="25">
        <f>AH3/(AI3+AH3)</f>
        <v>0.58333333333333337</v>
      </c>
      <c r="AL3" s="89" t="s">
        <v>29</v>
      </c>
      <c r="AM3" s="90">
        <v>15</v>
      </c>
      <c r="AN3" s="90">
        <v>11</v>
      </c>
      <c r="AO3" s="1" t="str">
        <f>_xlfn.CONCAT(AM3,"-",AN3)</f>
        <v>15-11</v>
      </c>
      <c r="AP3" s="25">
        <f>AM3/(AN3+AM3)</f>
        <v>0.57692307692307687</v>
      </c>
    </row>
    <row r="4" spans="1:42" x14ac:dyDescent="0.3">
      <c r="A4" s="1" t="s">
        <v>17</v>
      </c>
      <c r="B4" s="1">
        <v>2023</v>
      </c>
      <c r="C4" s="1">
        <v>24</v>
      </c>
      <c r="D4" s="211" t="s">
        <v>3597</v>
      </c>
      <c r="E4" s="1">
        <v>0.54200000000000004</v>
      </c>
      <c r="F4" s="1">
        <v>13</v>
      </c>
      <c r="G4" s="1">
        <v>11</v>
      </c>
      <c r="H4" s="1">
        <v>811</v>
      </c>
      <c r="I4" s="1">
        <v>117</v>
      </c>
      <c r="J4" s="1">
        <v>209</v>
      </c>
      <c r="K4" s="1">
        <v>36</v>
      </c>
      <c r="L4" s="1">
        <v>2</v>
      </c>
      <c r="M4" s="1">
        <v>30</v>
      </c>
      <c r="N4" s="1">
        <v>114</v>
      </c>
      <c r="O4" s="1">
        <v>2</v>
      </c>
      <c r="P4" s="1">
        <v>2</v>
      </c>
      <c r="Q4" s="1">
        <v>17</v>
      </c>
      <c r="R4" s="1">
        <v>6</v>
      </c>
      <c r="S4" s="1">
        <v>88</v>
      </c>
      <c r="T4" s="1">
        <v>2</v>
      </c>
      <c r="U4" s="1">
        <v>9</v>
      </c>
      <c r="V4" s="1">
        <v>204</v>
      </c>
      <c r="W4" s="1">
        <v>17</v>
      </c>
      <c r="X4" s="1">
        <v>912</v>
      </c>
      <c r="Y4" s="1">
        <v>339</v>
      </c>
      <c r="Z4" s="1">
        <v>68</v>
      </c>
      <c r="AA4" s="1">
        <v>0.25800000000000001</v>
      </c>
      <c r="AB4" s="1">
        <v>0.33600000000000002</v>
      </c>
      <c r="AC4" s="1">
        <v>0.41799999999999998</v>
      </c>
      <c r="AD4" s="1">
        <v>0.754</v>
      </c>
      <c r="AE4" s="5"/>
      <c r="AG4" s="89" t="s">
        <v>7</v>
      </c>
      <c r="AH4" s="90">
        <v>13</v>
      </c>
      <c r="AI4" s="90">
        <v>12</v>
      </c>
      <c r="AJ4" s="1" t="str">
        <f t="shared" si="0"/>
        <v>13-12</v>
      </c>
      <c r="AK4" s="25">
        <f t="shared" ref="AK4:AK33" si="1">AH4/(AI4+AH4)</f>
        <v>0.52</v>
      </c>
      <c r="AL4" s="89" t="s">
        <v>7</v>
      </c>
      <c r="AM4" s="90">
        <v>17</v>
      </c>
      <c r="AN4" s="90">
        <v>7</v>
      </c>
      <c r="AO4" s="1" t="str">
        <f t="shared" ref="AO4:AO34" si="2">_xlfn.CONCAT(AM4,"-",AN4)</f>
        <v>17-7</v>
      </c>
      <c r="AP4" s="25">
        <f t="shared" ref="AP4:AP33" si="3">AM4/(AN4+AM4)</f>
        <v>0.70833333333333337</v>
      </c>
    </row>
    <row r="5" spans="1:42" x14ac:dyDescent="0.3">
      <c r="A5" s="1" t="s">
        <v>10</v>
      </c>
      <c r="B5" s="1">
        <v>2023</v>
      </c>
      <c r="C5" s="1">
        <v>28</v>
      </c>
      <c r="D5" s="211" t="s">
        <v>3598</v>
      </c>
      <c r="E5" s="1">
        <v>0.5</v>
      </c>
      <c r="F5" s="1">
        <v>14</v>
      </c>
      <c r="G5" s="1">
        <v>14</v>
      </c>
      <c r="H5" s="1">
        <v>915</v>
      </c>
      <c r="I5" s="1">
        <v>132</v>
      </c>
      <c r="J5" s="1">
        <v>228</v>
      </c>
      <c r="K5" s="1">
        <v>48</v>
      </c>
      <c r="L5" s="1">
        <v>6</v>
      </c>
      <c r="M5" s="1">
        <v>25</v>
      </c>
      <c r="N5" s="1">
        <v>128</v>
      </c>
      <c r="O5" s="1">
        <v>4</v>
      </c>
      <c r="P5" s="1">
        <v>8</v>
      </c>
      <c r="Q5" s="1">
        <v>20</v>
      </c>
      <c r="R5" s="1">
        <v>10</v>
      </c>
      <c r="S5" s="1">
        <v>94</v>
      </c>
      <c r="T5" s="1">
        <v>1</v>
      </c>
      <c r="U5" s="1">
        <v>15</v>
      </c>
      <c r="V5" s="1">
        <v>250</v>
      </c>
      <c r="W5" s="1">
        <v>15</v>
      </c>
      <c r="X5" s="308">
        <v>1036</v>
      </c>
      <c r="Y5" s="1">
        <v>363</v>
      </c>
      <c r="Z5" s="1">
        <v>79</v>
      </c>
      <c r="AA5" s="1">
        <v>0.249</v>
      </c>
      <c r="AB5" s="1">
        <v>0.32700000000000001</v>
      </c>
      <c r="AC5" s="1">
        <v>0.39700000000000002</v>
      </c>
      <c r="AD5" s="1">
        <v>0.72299999999999998</v>
      </c>
      <c r="AE5" s="5"/>
      <c r="AG5" s="89" t="s">
        <v>6</v>
      </c>
      <c r="AH5" s="90">
        <v>15</v>
      </c>
      <c r="AI5" s="90">
        <v>8</v>
      </c>
      <c r="AJ5" s="1" t="str">
        <f t="shared" si="0"/>
        <v>15-8</v>
      </c>
      <c r="AK5" s="25">
        <f t="shared" si="1"/>
        <v>0.65217391304347827</v>
      </c>
      <c r="AL5" s="89" t="s">
        <v>6</v>
      </c>
      <c r="AM5" s="90">
        <v>17</v>
      </c>
      <c r="AN5" s="90">
        <v>9</v>
      </c>
      <c r="AO5" s="1" t="str">
        <f t="shared" si="2"/>
        <v>17-9</v>
      </c>
      <c r="AP5" s="25">
        <f t="shared" si="3"/>
        <v>0.65384615384615385</v>
      </c>
    </row>
    <row r="6" spans="1:42" x14ac:dyDescent="0.3">
      <c r="A6" s="1" t="s">
        <v>21</v>
      </c>
      <c r="B6" s="1">
        <v>2023</v>
      </c>
      <c r="C6" s="1">
        <v>25</v>
      </c>
      <c r="D6" s="211" t="s">
        <v>3599</v>
      </c>
      <c r="E6" s="1">
        <v>0.48</v>
      </c>
      <c r="F6" s="1">
        <v>12</v>
      </c>
      <c r="G6" s="1">
        <v>13</v>
      </c>
      <c r="H6" s="1">
        <v>836</v>
      </c>
      <c r="I6" s="1">
        <v>125</v>
      </c>
      <c r="J6" s="1">
        <v>229</v>
      </c>
      <c r="K6" s="1">
        <v>64</v>
      </c>
      <c r="L6" s="1">
        <v>4</v>
      </c>
      <c r="M6" s="1">
        <v>22</v>
      </c>
      <c r="N6" s="1">
        <v>120</v>
      </c>
      <c r="O6" s="1">
        <v>1</v>
      </c>
      <c r="P6" s="1">
        <v>11</v>
      </c>
      <c r="Q6" s="1">
        <v>6</v>
      </c>
      <c r="R6" s="1">
        <v>4</v>
      </c>
      <c r="S6" s="1">
        <v>68</v>
      </c>
      <c r="T6" s="1">
        <v>2</v>
      </c>
      <c r="U6" s="1">
        <v>6</v>
      </c>
      <c r="V6" s="1">
        <v>197</v>
      </c>
      <c r="W6" s="1">
        <v>23</v>
      </c>
      <c r="X6" s="1">
        <v>922</v>
      </c>
      <c r="Y6" s="1">
        <v>367</v>
      </c>
      <c r="Z6" s="1">
        <v>90</v>
      </c>
      <c r="AA6" s="1">
        <v>0.27400000000000002</v>
      </c>
      <c r="AB6" s="1">
        <v>0.32900000000000001</v>
      </c>
      <c r="AC6" s="1">
        <v>0.439</v>
      </c>
      <c r="AD6" s="1">
        <v>0.76800000000000002</v>
      </c>
      <c r="AE6" s="5"/>
      <c r="AG6" s="89" t="s">
        <v>12</v>
      </c>
      <c r="AH6" s="90">
        <v>15</v>
      </c>
      <c r="AI6" s="90">
        <v>11</v>
      </c>
      <c r="AJ6" s="1" t="str">
        <f t="shared" si="0"/>
        <v>15-11</v>
      </c>
      <c r="AK6" s="25">
        <f t="shared" si="1"/>
        <v>0.57692307692307687</v>
      </c>
      <c r="AL6" s="89" t="s">
        <v>12</v>
      </c>
      <c r="AM6" s="90">
        <v>11</v>
      </c>
      <c r="AN6" s="90">
        <v>13</v>
      </c>
      <c r="AO6" s="1" t="str">
        <f t="shared" si="2"/>
        <v>11-13</v>
      </c>
      <c r="AP6" s="25">
        <f t="shared" si="3"/>
        <v>0.45833333333333331</v>
      </c>
    </row>
    <row r="7" spans="1:42" x14ac:dyDescent="0.3">
      <c r="A7" s="1" t="s">
        <v>2</v>
      </c>
      <c r="B7" s="1">
        <v>2023</v>
      </c>
      <c r="C7" s="1">
        <v>24</v>
      </c>
      <c r="D7" s="211" t="s">
        <v>3600</v>
      </c>
      <c r="E7" s="1">
        <v>0.70799999999999996</v>
      </c>
      <c r="F7" s="1">
        <v>17</v>
      </c>
      <c r="G7" s="1">
        <v>7</v>
      </c>
      <c r="H7" s="1">
        <v>787</v>
      </c>
      <c r="I7" s="1">
        <v>137</v>
      </c>
      <c r="J7" s="1">
        <v>198</v>
      </c>
      <c r="K7" s="1">
        <v>48</v>
      </c>
      <c r="L7" s="1">
        <v>4</v>
      </c>
      <c r="M7" s="1">
        <v>39</v>
      </c>
      <c r="N7" s="1">
        <v>134</v>
      </c>
      <c r="O7" s="1">
        <v>0</v>
      </c>
      <c r="P7" s="1">
        <v>9</v>
      </c>
      <c r="Q7" s="1">
        <v>15</v>
      </c>
      <c r="R7" s="1">
        <v>6</v>
      </c>
      <c r="S7" s="1">
        <v>110</v>
      </c>
      <c r="T7" s="1">
        <v>6</v>
      </c>
      <c r="U7" s="1">
        <v>7</v>
      </c>
      <c r="V7" s="1">
        <v>217</v>
      </c>
      <c r="W7" s="1">
        <v>8</v>
      </c>
      <c r="X7" s="1">
        <v>913</v>
      </c>
      <c r="Y7" s="1">
        <v>371</v>
      </c>
      <c r="Z7" s="1">
        <v>91</v>
      </c>
      <c r="AA7" s="1">
        <v>0.252</v>
      </c>
      <c r="AB7" s="1">
        <v>0.34499999999999997</v>
      </c>
      <c r="AC7" s="1">
        <v>0.47099999999999997</v>
      </c>
      <c r="AD7" s="1">
        <v>0.81599999999999995</v>
      </c>
      <c r="AE7" s="5"/>
      <c r="AG7" s="89" t="s">
        <v>17</v>
      </c>
      <c r="AH7" s="90">
        <v>13</v>
      </c>
      <c r="AI7" s="90">
        <v>11</v>
      </c>
      <c r="AJ7" s="1" t="str">
        <f t="shared" si="0"/>
        <v>13-11</v>
      </c>
      <c r="AK7" s="25">
        <f t="shared" si="1"/>
        <v>0.54166666666666663</v>
      </c>
      <c r="AL7" s="89" t="s">
        <v>17</v>
      </c>
      <c r="AM7" s="90">
        <v>9</v>
      </c>
      <c r="AN7" s="90">
        <v>15</v>
      </c>
      <c r="AO7" s="1" t="str">
        <f t="shared" si="2"/>
        <v>9-15</v>
      </c>
      <c r="AP7" s="25">
        <f t="shared" si="3"/>
        <v>0.375</v>
      </c>
    </row>
    <row r="8" spans="1:42" x14ac:dyDescent="0.3">
      <c r="A8" s="1" t="s">
        <v>28</v>
      </c>
      <c r="B8" s="1">
        <v>2023</v>
      </c>
      <c r="C8" s="1">
        <v>25</v>
      </c>
      <c r="D8" s="211" t="s">
        <v>3601</v>
      </c>
      <c r="E8" s="1">
        <v>0.56000000000000005</v>
      </c>
      <c r="F8" s="1">
        <v>14</v>
      </c>
      <c r="G8" s="1">
        <v>11</v>
      </c>
      <c r="H8" s="1">
        <v>814</v>
      </c>
      <c r="I8" s="1">
        <v>82</v>
      </c>
      <c r="J8" s="1">
        <v>213</v>
      </c>
      <c r="K8" s="1">
        <v>38</v>
      </c>
      <c r="L8" s="1">
        <v>3</v>
      </c>
      <c r="M8" s="1">
        <v>19</v>
      </c>
      <c r="N8" s="1">
        <v>76</v>
      </c>
      <c r="O8" s="1">
        <v>1</v>
      </c>
      <c r="P8" s="1">
        <v>3</v>
      </c>
      <c r="Q8" s="1">
        <v>21</v>
      </c>
      <c r="R8" s="1">
        <v>6</v>
      </c>
      <c r="S8" s="1">
        <v>56</v>
      </c>
      <c r="T8" s="1">
        <v>6</v>
      </c>
      <c r="U8" s="1">
        <v>10</v>
      </c>
      <c r="V8" s="1">
        <v>211</v>
      </c>
      <c r="W8" s="1">
        <v>25</v>
      </c>
      <c r="X8" s="1">
        <v>884</v>
      </c>
      <c r="Y8" s="1">
        <v>314</v>
      </c>
      <c r="Z8" s="1">
        <v>60</v>
      </c>
      <c r="AA8" s="1">
        <v>0.26200000000000001</v>
      </c>
      <c r="AB8" s="1">
        <v>0.316</v>
      </c>
      <c r="AC8" s="1">
        <v>0.38600000000000001</v>
      </c>
      <c r="AD8" s="1">
        <v>0.70199999999999996</v>
      </c>
      <c r="AE8" s="5"/>
      <c r="AG8" s="89" t="s">
        <v>9</v>
      </c>
      <c r="AH8" s="90">
        <v>12</v>
      </c>
      <c r="AI8" s="90">
        <v>13</v>
      </c>
      <c r="AJ8" s="1" t="str">
        <f t="shared" si="0"/>
        <v>12-13</v>
      </c>
      <c r="AK8" s="25">
        <f t="shared" si="1"/>
        <v>0.48</v>
      </c>
      <c r="AL8" s="89" t="s">
        <v>9</v>
      </c>
      <c r="AM8" s="90">
        <v>9</v>
      </c>
      <c r="AN8" s="90">
        <v>17</v>
      </c>
      <c r="AO8" s="1" t="str">
        <f t="shared" si="2"/>
        <v>9-17</v>
      </c>
      <c r="AP8" s="25">
        <f t="shared" si="3"/>
        <v>0.34615384615384615</v>
      </c>
    </row>
    <row r="9" spans="1:42" x14ac:dyDescent="0.3">
      <c r="A9" s="1" t="s">
        <v>4</v>
      </c>
      <c r="B9" s="1">
        <v>2023</v>
      </c>
      <c r="C9" s="1">
        <v>24</v>
      </c>
      <c r="D9" s="211" t="s">
        <v>3602</v>
      </c>
      <c r="E9" s="1">
        <v>0.625</v>
      </c>
      <c r="F9" s="1">
        <v>15</v>
      </c>
      <c r="G9" s="1">
        <v>9</v>
      </c>
      <c r="H9" s="1">
        <v>757</v>
      </c>
      <c r="I9" s="1">
        <v>111</v>
      </c>
      <c r="J9" s="1">
        <v>177</v>
      </c>
      <c r="K9" s="1">
        <v>30</v>
      </c>
      <c r="L9" s="1">
        <v>0</v>
      </c>
      <c r="M9" s="1">
        <v>39</v>
      </c>
      <c r="N9" s="1">
        <v>106</v>
      </c>
      <c r="O9" s="1">
        <v>2</v>
      </c>
      <c r="P9" s="1">
        <v>3</v>
      </c>
      <c r="Q9" s="1">
        <v>16</v>
      </c>
      <c r="R9" s="1">
        <v>2</v>
      </c>
      <c r="S9" s="1">
        <v>78</v>
      </c>
      <c r="T9" s="1">
        <v>1</v>
      </c>
      <c r="U9" s="1">
        <v>7</v>
      </c>
      <c r="V9" s="1">
        <v>212</v>
      </c>
      <c r="W9" s="1">
        <v>17</v>
      </c>
      <c r="X9" s="1">
        <v>847</v>
      </c>
      <c r="Y9" s="1">
        <v>324</v>
      </c>
      <c r="Z9" s="1">
        <v>69</v>
      </c>
      <c r="AA9" s="1">
        <v>0.23400000000000001</v>
      </c>
      <c r="AB9" s="1">
        <v>0.31</v>
      </c>
      <c r="AC9" s="1">
        <v>0.42799999999999999</v>
      </c>
      <c r="AD9" s="1">
        <v>0.73799999999999999</v>
      </c>
      <c r="AE9" s="5"/>
      <c r="AG9" s="89" t="s">
        <v>10</v>
      </c>
      <c r="AH9" s="90">
        <v>14</v>
      </c>
      <c r="AI9" s="90">
        <v>14</v>
      </c>
      <c r="AJ9" s="1" t="str">
        <f t="shared" si="0"/>
        <v>14-14</v>
      </c>
      <c r="AK9" s="25">
        <f t="shared" si="1"/>
        <v>0.5</v>
      </c>
      <c r="AL9" s="89" t="s">
        <v>10</v>
      </c>
      <c r="AM9" s="90">
        <v>7</v>
      </c>
      <c r="AN9" s="90">
        <v>15</v>
      </c>
      <c r="AO9" s="1" t="str">
        <f t="shared" si="2"/>
        <v>7-15</v>
      </c>
      <c r="AP9" s="25">
        <f t="shared" si="3"/>
        <v>0.31818181818181818</v>
      </c>
    </row>
    <row r="10" spans="1:42" ht="15" thickBot="1" x14ac:dyDescent="0.35">
      <c r="A10" s="1" t="s">
        <v>24</v>
      </c>
      <c r="B10" s="1">
        <v>2023</v>
      </c>
      <c r="C10" s="1">
        <v>21</v>
      </c>
      <c r="D10" s="211" t="s">
        <v>3603</v>
      </c>
      <c r="E10" s="1">
        <v>0.57099999999999995</v>
      </c>
      <c r="F10" s="1">
        <v>12</v>
      </c>
      <c r="G10" s="1">
        <v>9</v>
      </c>
      <c r="H10" s="1">
        <v>671</v>
      </c>
      <c r="I10" s="1">
        <v>93</v>
      </c>
      <c r="J10" s="1">
        <v>162</v>
      </c>
      <c r="K10" s="1">
        <v>25</v>
      </c>
      <c r="L10" s="1">
        <v>3</v>
      </c>
      <c r="M10" s="1">
        <v>27</v>
      </c>
      <c r="N10" s="1">
        <v>92</v>
      </c>
      <c r="O10" s="1">
        <v>3</v>
      </c>
      <c r="P10" s="1">
        <v>6</v>
      </c>
      <c r="Q10" s="1">
        <v>16</v>
      </c>
      <c r="R10" s="1">
        <v>0</v>
      </c>
      <c r="S10" s="1">
        <v>76</v>
      </c>
      <c r="T10" s="1">
        <v>1</v>
      </c>
      <c r="U10" s="1">
        <v>11</v>
      </c>
      <c r="V10" s="1">
        <v>181</v>
      </c>
      <c r="W10" s="1">
        <v>10</v>
      </c>
      <c r="X10" s="1">
        <v>767</v>
      </c>
      <c r="Y10" s="1">
        <v>274</v>
      </c>
      <c r="Z10" s="1">
        <v>55</v>
      </c>
      <c r="AA10" s="1">
        <v>0.24099999999999999</v>
      </c>
      <c r="AB10" s="1">
        <v>0.32600000000000001</v>
      </c>
      <c r="AC10" s="1">
        <v>0.40799999999999997</v>
      </c>
      <c r="AD10" s="1">
        <v>0.73399999999999999</v>
      </c>
      <c r="AE10" s="5"/>
      <c r="AG10" s="89" t="s">
        <v>20</v>
      </c>
      <c r="AH10" s="90">
        <v>10</v>
      </c>
      <c r="AI10" s="90">
        <v>14</v>
      </c>
      <c r="AJ10" s="1" t="str">
        <f t="shared" si="0"/>
        <v>10-14</v>
      </c>
      <c r="AK10" s="25">
        <f t="shared" si="1"/>
        <v>0.41666666666666669</v>
      </c>
      <c r="AL10" s="89" t="s">
        <v>20</v>
      </c>
      <c r="AM10" s="90">
        <v>11</v>
      </c>
      <c r="AN10" s="90">
        <v>14</v>
      </c>
      <c r="AO10" s="1" t="str">
        <f t="shared" si="2"/>
        <v>11-14</v>
      </c>
      <c r="AP10" s="25">
        <f t="shared" si="3"/>
        <v>0.44</v>
      </c>
    </row>
    <row r="11" spans="1:42" x14ac:dyDescent="0.3">
      <c r="A11" s="1" t="s">
        <v>14</v>
      </c>
      <c r="B11" s="1">
        <v>2023</v>
      </c>
      <c r="C11" s="1">
        <v>24</v>
      </c>
      <c r="D11" s="211" t="s">
        <v>3595</v>
      </c>
      <c r="E11" s="1">
        <v>0.58299999999999996</v>
      </c>
      <c r="F11" s="1">
        <v>14</v>
      </c>
      <c r="G11" s="1">
        <v>10</v>
      </c>
      <c r="H11" s="1">
        <v>802</v>
      </c>
      <c r="I11" s="1">
        <v>110</v>
      </c>
      <c r="J11" s="1">
        <v>207</v>
      </c>
      <c r="K11" s="1">
        <v>39</v>
      </c>
      <c r="L11" s="1">
        <v>4</v>
      </c>
      <c r="M11" s="1">
        <v>27</v>
      </c>
      <c r="N11" s="1">
        <v>107</v>
      </c>
      <c r="O11" s="1">
        <v>2</v>
      </c>
      <c r="P11" s="1">
        <v>5</v>
      </c>
      <c r="Q11" s="1">
        <v>16</v>
      </c>
      <c r="R11" s="1">
        <v>6</v>
      </c>
      <c r="S11" s="1">
        <v>74</v>
      </c>
      <c r="T11" s="1">
        <v>6</v>
      </c>
      <c r="U11" s="1">
        <v>7</v>
      </c>
      <c r="V11" s="1">
        <v>206</v>
      </c>
      <c r="W11" s="1">
        <v>12</v>
      </c>
      <c r="X11" s="1">
        <v>890</v>
      </c>
      <c r="Y11" s="1">
        <v>335</v>
      </c>
      <c r="Z11" s="1">
        <v>70</v>
      </c>
      <c r="AA11" s="1">
        <v>0.25800000000000001</v>
      </c>
      <c r="AB11" s="1">
        <v>0.32400000000000001</v>
      </c>
      <c r="AC11" s="1">
        <v>0.41799999999999998</v>
      </c>
      <c r="AD11" s="1">
        <v>0.74199999999999999</v>
      </c>
      <c r="AE11" s="301" t="s">
        <v>78</v>
      </c>
      <c r="AG11" s="89" t="s">
        <v>21</v>
      </c>
      <c r="AH11" s="90">
        <v>12</v>
      </c>
      <c r="AI11" s="90">
        <v>13</v>
      </c>
      <c r="AJ11" s="1" t="str">
        <f t="shared" si="0"/>
        <v>12-13</v>
      </c>
      <c r="AK11" s="25">
        <f t="shared" si="1"/>
        <v>0.48</v>
      </c>
      <c r="AL11" s="89" t="s">
        <v>21</v>
      </c>
      <c r="AM11" s="90">
        <v>9</v>
      </c>
      <c r="AN11" s="90">
        <v>16</v>
      </c>
      <c r="AO11" s="1" t="str">
        <f t="shared" si="2"/>
        <v>9-16</v>
      </c>
      <c r="AP11" s="25">
        <f t="shared" si="3"/>
        <v>0.36</v>
      </c>
    </row>
    <row r="12" spans="1:42" ht="15" thickBot="1" x14ac:dyDescent="0.35">
      <c r="A12" s="1" t="s">
        <v>13</v>
      </c>
      <c r="B12" s="1">
        <v>2023</v>
      </c>
      <c r="C12" s="1">
        <v>25</v>
      </c>
      <c r="D12" s="211" t="s">
        <v>3599</v>
      </c>
      <c r="E12" s="1">
        <v>0.48</v>
      </c>
      <c r="F12" s="1">
        <v>12</v>
      </c>
      <c r="G12" s="1">
        <v>13</v>
      </c>
      <c r="H12" s="1">
        <v>788</v>
      </c>
      <c r="I12" s="1">
        <v>98</v>
      </c>
      <c r="J12" s="1">
        <v>189</v>
      </c>
      <c r="K12" s="1">
        <v>45</v>
      </c>
      <c r="L12" s="1">
        <v>4</v>
      </c>
      <c r="M12" s="1">
        <v>18</v>
      </c>
      <c r="N12" s="1">
        <v>94</v>
      </c>
      <c r="O12" s="1">
        <v>4</v>
      </c>
      <c r="P12" s="1">
        <v>6</v>
      </c>
      <c r="Q12" s="1">
        <v>30</v>
      </c>
      <c r="R12" s="1">
        <v>11</v>
      </c>
      <c r="S12" s="1">
        <v>90</v>
      </c>
      <c r="T12" s="1">
        <v>0</v>
      </c>
      <c r="U12" s="1">
        <v>8</v>
      </c>
      <c r="V12" s="1">
        <v>193</v>
      </c>
      <c r="W12" s="1">
        <v>15</v>
      </c>
      <c r="X12" s="1">
        <v>896</v>
      </c>
      <c r="Y12" s="1">
        <v>296</v>
      </c>
      <c r="Z12" s="1">
        <v>67</v>
      </c>
      <c r="AA12" s="1">
        <v>0.24</v>
      </c>
      <c r="AB12" s="1">
        <v>0.32200000000000001</v>
      </c>
      <c r="AC12" s="1">
        <v>0.376</v>
      </c>
      <c r="AD12" s="1">
        <v>0.69699999999999995</v>
      </c>
      <c r="AE12" s="302"/>
      <c r="AG12" s="89" t="s">
        <v>31</v>
      </c>
      <c r="AH12" s="90">
        <v>10</v>
      </c>
      <c r="AI12" s="90">
        <v>10</v>
      </c>
      <c r="AJ12" s="1" t="str">
        <f t="shared" si="0"/>
        <v>10-10</v>
      </c>
      <c r="AK12" s="25">
        <f t="shared" si="1"/>
        <v>0.5</v>
      </c>
      <c r="AL12" s="89" t="s">
        <v>31</v>
      </c>
      <c r="AM12" s="90">
        <v>12</v>
      </c>
      <c r="AN12" s="90">
        <v>15</v>
      </c>
      <c r="AO12" s="1" t="str">
        <f t="shared" si="2"/>
        <v>12-15</v>
      </c>
      <c r="AP12" s="25">
        <f t="shared" si="3"/>
        <v>0.44444444444444442</v>
      </c>
    </row>
    <row r="13" spans="1:42" x14ac:dyDescent="0.3">
      <c r="A13" s="1" t="s">
        <v>16</v>
      </c>
      <c r="B13" s="1">
        <v>2023</v>
      </c>
      <c r="C13" s="1">
        <v>27</v>
      </c>
      <c r="D13" s="211" t="s">
        <v>3604</v>
      </c>
      <c r="E13" s="1">
        <v>0.44400000000000001</v>
      </c>
      <c r="F13" s="1">
        <v>12</v>
      </c>
      <c r="G13" s="1">
        <v>15</v>
      </c>
      <c r="H13" s="1">
        <v>877</v>
      </c>
      <c r="I13" s="1">
        <v>109</v>
      </c>
      <c r="J13" s="1">
        <v>208</v>
      </c>
      <c r="K13" s="1">
        <v>48</v>
      </c>
      <c r="L13" s="1">
        <v>2</v>
      </c>
      <c r="M13" s="1">
        <v>31</v>
      </c>
      <c r="N13" s="1">
        <v>103</v>
      </c>
      <c r="O13" s="1">
        <v>2</v>
      </c>
      <c r="P13" s="1">
        <v>5</v>
      </c>
      <c r="Q13" s="1">
        <v>9</v>
      </c>
      <c r="R13" s="1">
        <v>5</v>
      </c>
      <c r="S13" s="1">
        <v>111</v>
      </c>
      <c r="T13" s="1">
        <v>3</v>
      </c>
      <c r="U13" s="1">
        <v>6</v>
      </c>
      <c r="V13" s="1">
        <v>228</v>
      </c>
      <c r="W13" s="1">
        <v>21</v>
      </c>
      <c r="X13" s="308">
        <v>1001</v>
      </c>
      <c r="Y13" s="1">
        <v>353</v>
      </c>
      <c r="Z13" s="1">
        <v>81</v>
      </c>
      <c r="AA13" s="1">
        <v>0.23699999999999999</v>
      </c>
      <c r="AB13" s="1">
        <v>0.32500000000000001</v>
      </c>
      <c r="AC13" s="1">
        <v>0.40300000000000002</v>
      </c>
      <c r="AD13" s="1">
        <v>0.72799999999999998</v>
      </c>
      <c r="AE13" s="301" t="s">
        <v>993</v>
      </c>
      <c r="AG13" s="89" t="s">
        <v>25</v>
      </c>
      <c r="AH13" s="90">
        <v>14</v>
      </c>
      <c r="AI13" s="90">
        <v>11</v>
      </c>
      <c r="AJ13" s="1" t="str">
        <f t="shared" si="0"/>
        <v>14-11</v>
      </c>
      <c r="AK13" s="25">
        <f t="shared" si="1"/>
        <v>0.56000000000000005</v>
      </c>
      <c r="AL13" s="89" t="s">
        <v>25</v>
      </c>
      <c r="AM13" s="90">
        <v>14</v>
      </c>
      <c r="AN13" s="90">
        <v>10</v>
      </c>
      <c r="AO13" s="1" t="str">
        <f t="shared" si="2"/>
        <v>14-10</v>
      </c>
      <c r="AP13" s="25">
        <f t="shared" si="3"/>
        <v>0.58333333333333337</v>
      </c>
    </row>
    <row r="14" spans="1:42" ht="15" thickBot="1" x14ac:dyDescent="0.35">
      <c r="A14" s="1" t="s">
        <v>5</v>
      </c>
      <c r="B14" s="1">
        <v>2023</v>
      </c>
      <c r="C14" s="1">
        <v>26</v>
      </c>
      <c r="D14" s="211" t="s">
        <v>3605</v>
      </c>
      <c r="E14" s="1">
        <v>0.57699999999999996</v>
      </c>
      <c r="F14" s="1">
        <v>15</v>
      </c>
      <c r="G14" s="1">
        <v>11</v>
      </c>
      <c r="H14" s="1">
        <v>842</v>
      </c>
      <c r="I14" s="1">
        <v>104</v>
      </c>
      <c r="J14" s="1">
        <v>205</v>
      </c>
      <c r="K14" s="1">
        <v>30</v>
      </c>
      <c r="L14" s="1">
        <v>3</v>
      </c>
      <c r="M14" s="1">
        <v>28</v>
      </c>
      <c r="N14" s="1">
        <v>101</v>
      </c>
      <c r="O14" s="1">
        <v>1</v>
      </c>
      <c r="P14" s="1">
        <v>7</v>
      </c>
      <c r="Q14" s="1">
        <v>18</v>
      </c>
      <c r="R14" s="1">
        <v>2</v>
      </c>
      <c r="S14" s="1">
        <v>74</v>
      </c>
      <c r="T14" s="1">
        <v>2</v>
      </c>
      <c r="U14" s="1">
        <v>9</v>
      </c>
      <c r="V14" s="1">
        <v>234</v>
      </c>
      <c r="W14" s="1">
        <v>16</v>
      </c>
      <c r="X14" s="1">
        <v>933</v>
      </c>
      <c r="Y14" s="1">
        <v>325</v>
      </c>
      <c r="Z14" s="1">
        <v>61</v>
      </c>
      <c r="AA14" s="1">
        <v>0.24299999999999999</v>
      </c>
      <c r="AB14" s="1">
        <v>0.309</v>
      </c>
      <c r="AC14" s="1">
        <v>0.38600000000000001</v>
      </c>
      <c r="AD14" s="1">
        <v>0.69499999999999995</v>
      </c>
      <c r="AE14" s="302"/>
      <c r="AG14" s="89" t="s">
        <v>30</v>
      </c>
      <c r="AH14" s="90">
        <v>7</v>
      </c>
      <c r="AI14" s="90">
        <v>19</v>
      </c>
      <c r="AJ14" s="1" t="str">
        <f t="shared" si="0"/>
        <v>7-19</v>
      </c>
      <c r="AK14" s="25">
        <f t="shared" si="1"/>
        <v>0.26923076923076922</v>
      </c>
      <c r="AL14" s="89" t="s">
        <v>30</v>
      </c>
      <c r="AM14" s="90">
        <v>8</v>
      </c>
      <c r="AN14" s="90">
        <v>17</v>
      </c>
      <c r="AO14" s="1" t="str">
        <f t="shared" si="2"/>
        <v>8-17</v>
      </c>
      <c r="AP14" s="25">
        <f t="shared" si="3"/>
        <v>0.32</v>
      </c>
    </row>
    <row r="15" spans="1:42" x14ac:dyDescent="0.3">
      <c r="A15" s="1" t="s">
        <v>8</v>
      </c>
      <c r="B15" s="1">
        <v>2023</v>
      </c>
      <c r="C15" s="1">
        <v>26</v>
      </c>
      <c r="D15" s="211" t="s">
        <v>3606</v>
      </c>
      <c r="E15" s="1">
        <v>0.42299999999999999</v>
      </c>
      <c r="F15" s="1">
        <v>11</v>
      </c>
      <c r="G15" s="1">
        <v>15</v>
      </c>
      <c r="H15" s="1">
        <v>904</v>
      </c>
      <c r="I15" s="1">
        <v>152</v>
      </c>
      <c r="J15" s="1">
        <v>248</v>
      </c>
      <c r="K15" s="1">
        <v>50</v>
      </c>
      <c r="L15" s="1">
        <v>1</v>
      </c>
      <c r="M15" s="1">
        <v>40</v>
      </c>
      <c r="N15" s="1">
        <v>148</v>
      </c>
      <c r="O15" s="1">
        <v>1</v>
      </c>
      <c r="P15" s="1">
        <v>5</v>
      </c>
      <c r="Q15" s="1">
        <v>26</v>
      </c>
      <c r="R15" s="1">
        <v>3</v>
      </c>
      <c r="S15" s="1">
        <v>99</v>
      </c>
      <c r="T15" s="1">
        <v>7</v>
      </c>
      <c r="U15" s="1">
        <v>9</v>
      </c>
      <c r="V15" s="1">
        <v>208</v>
      </c>
      <c r="W15" s="1">
        <v>17</v>
      </c>
      <c r="X15" s="308">
        <v>1018</v>
      </c>
      <c r="Y15" s="1">
        <v>420</v>
      </c>
      <c r="Z15" s="1">
        <v>91</v>
      </c>
      <c r="AA15" s="1">
        <v>0.27400000000000002</v>
      </c>
      <c r="AB15" s="1">
        <v>0.35</v>
      </c>
      <c r="AC15" s="1">
        <v>0.46500000000000002</v>
      </c>
      <c r="AD15" s="1">
        <v>0.81499999999999995</v>
      </c>
      <c r="AE15" s="301" t="s">
        <v>1849</v>
      </c>
      <c r="AG15" s="89" t="s">
        <v>22</v>
      </c>
      <c r="AH15" s="90">
        <v>15</v>
      </c>
      <c r="AI15" s="90">
        <v>10</v>
      </c>
      <c r="AJ15" s="1" t="str">
        <f t="shared" si="0"/>
        <v>15-10</v>
      </c>
      <c r="AK15" s="25">
        <f t="shared" si="1"/>
        <v>0.6</v>
      </c>
      <c r="AL15" s="89" t="s">
        <v>22</v>
      </c>
      <c r="AM15" s="90">
        <v>13</v>
      </c>
      <c r="AN15" s="90">
        <v>13</v>
      </c>
      <c r="AO15" s="1" t="str">
        <f t="shared" si="2"/>
        <v>13-13</v>
      </c>
      <c r="AP15" s="25">
        <f t="shared" si="3"/>
        <v>0.5</v>
      </c>
    </row>
    <row r="16" spans="1:42" ht="15" thickBot="1" x14ac:dyDescent="0.35">
      <c r="A16" s="1" t="s">
        <v>19</v>
      </c>
      <c r="B16" s="1">
        <v>2023</v>
      </c>
      <c r="C16" s="1">
        <v>27</v>
      </c>
      <c r="D16" s="211" t="s">
        <v>3607</v>
      </c>
      <c r="E16" s="1">
        <v>0.40699999999999997</v>
      </c>
      <c r="F16" s="1">
        <v>11</v>
      </c>
      <c r="G16" s="1">
        <v>16</v>
      </c>
      <c r="H16" s="1">
        <v>896</v>
      </c>
      <c r="I16" s="1">
        <v>96</v>
      </c>
      <c r="J16" s="1">
        <v>235</v>
      </c>
      <c r="K16" s="1">
        <v>47</v>
      </c>
      <c r="L16" s="1">
        <v>3</v>
      </c>
      <c r="M16" s="1">
        <v>18</v>
      </c>
      <c r="N16" s="1">
        <v>92</v>
      </c>
      <c r="O16" s="1">
        <v>3</v>
      </c>
      <c r="P16" s="1">
        <v>6</v>
      </c>
      <c r="Q16" s="1">
        <v>17</v>
      </c>
      <c r="R16" s="1">
        <v>4</v>
      </c>
      <c r="S16" s="1">
        <v>61</v>
      </c>
      <c r="T16" s="1">
        <v>0</v>
      </c>
      <c r="U16" s="1">
        <v>12</v>
      </c>
      <c r="V16" s="1">
        <v>178</v>
      </c>
      <c r="W16" s="1">
        <v>23</v>
      </c>
      <c r="X16" s="1">
        <v>978</v>
      </c>
      <c r="Y16" s="1">
        <v>342</v>
      </c>
      <c r="Z16" s="1">
        <v>68</v>
      </c>
      <c r="AA16" s="1">
        <v>0.26200000000000001</v>
      </c>
      <c r="AB16" s="1">
        <v>0.316</v>
      </c>
      <c r="AC16" s="1">
        <v>0.38200000000000001</v>
      </c>
      <c r="AD16" s="1">
        <v>0.69799999999999995</v>
      </c>
      <c r="AE16" s="302"/>
      <c r="AG16" s="89" t="s">
        <v>2</v>
      </c>
      <c r="AH16" s="90">
        <v>17</v>
      </c>
      <c r="AI16" s="90">
        <v>7</v>
      </c>
      <c r="AJ16" s="1" t="str">
        <f t="shared" si="0"/>
        <v>17-7</v>
      </c>
      <c r="AK16" s="25">
        <f t="shared" si="1"/>
        <v>0.70833333333333337</v>
      </c>
      <c r="AL16" s="89" t="s">
        <v>2</v>
      </c>
      <c r="AM16" s="90">
        <v>14</v>
      </c>
      <c r="AN16" s="90">
        <v>13</v>
      </c>
      <c r="AO16" s="1" t="str">
        <f t="shared" si="2"/>
        <v>14-13</v>
      </c>
      <c r="AP16" s="25">
        <f t="shared" si="3"/>
        <v>0.51851851851851849</v>
      </c>
    </row>
    <row r="17" spans="1:42" x14ac:dyDescent="0.3">
      <c r="A17" s="1" t="s">
        <v>6</v>
      </c>
      <c r="B17" s="1">
        <v>2023</v>
      </c>
      <c r="C17" s="1">
        <v>23</v>
      </c>
      <c r="D17" s="211" t="s">
        <v>3608</v>
      </c>
      <c r="E17" s="1">
        <v>0.65200000000000002</v>
      </c>
      <c r="F17" s="1">
        <v>15</v>
      </c>
      <c r="G17" s="1">
        <v>8</v>
      </c>
      <c r="H17" s="1">
        <v>737</v>
      </c>
      <c r="I17" s="1">
        <v>100</v>
      </c>
      <c r="J17" s="1">
        <v>187</v>
      </c>
      <c r="K17" s="1">
        <v>37</v>
      </c>
      <c r="L17" s="1">
        <v>4</v>
      </c>
      <c r="M17" s="1">
        <v>26</v>
      </c>
      <c r="N17" s="1">
        <v>97</v>
      </c>
      <c r="O17" s="1">
        <v>5</v>
      </c>
      <c r="P17" s="1">
        <v>11</v>
      </c>
      <c r="Q17" s="1">
        <v>13</v>
      </c>
      <c r="R17" s="1">
        <v>2</v>
      </c>
      <c r="S17" s="1">
        <v>66</v>
      </c>
      <c r="T17" s="1">
        <v>3</v>
      </c>
      <c r="U17" s="1">
        <v>5</v>
      </c>
      <c r="V17" s="1">
        <v>168</v>
      </c>
      <c r="W17" s="1">
        <v>16</v>
      </c>
      <c r="X17" s="1">
        <v>824</v>
      </c>
      <c r="Y17" s="1">
        <v>310</v>
      </c>
      <c r="Z17" s="1">
        <v>67</v>
      </c>
      <c r="AA17" s="1">
        <v>0.254</v>
      </c>
      <c r="AB17" s="1">
        <v>0.315</v>
      </c>
      <c r="AC17" s="1">
        <v>0.42099999999999999</v>
      </c>
      <c r="AD17" s="1">
        <v>0.73599999999999999</v>
      </c>
      <c r="AE17" s="301" t="s">
        <v>1850</v>
      </c>
      <c r="AG17" s="89" t="s">
        <v>28</v>
      </c>
      <c r="AH17" s="90">
        <v>14</v>
      </c>
      <c r="AI17" s="90">
        <v>11</v>
      </c>
      <c r="AJ17" s="1" t="str">
        <f t="shared" si="0"/>
        <v>14-11</v>
      </c>
      <c r="AK17" s="25">
        <f t="shared" si="1"/>
        <v>0.56000000000000005</v>
      </c>
      <c r="AL17" s="89" t="s">
        <v>28</v>
      </c>
      <c r="AM17" s="90">
        <v>11</v>
      </c>
      <c r="AN17" s="90">
        <v>14</v>
      </c>
      <c r="AO17" s="1" t="str">
        <f t="shared" si="2"/>
        <v>11-14</v>
      </c>
      <c r="AP17" s="25">
        <f t="shared" si="3"/>
        <v>0.44</v>
      </c>
    </row>
    <row r="18" spans="1:42" ht="15" thickBot="1" x14ac:dyDescent="0.35">
      <c r="A18" s="1" t="s">
        <v>12</v>
      </c>
      <c r="B18" s="1">
        <v>2023</v>
      </c>
      <c r="C18" s="1">
        <v>26</v>
      </c>
      <c r="D18" s="211" t="s">
        <v>3605</v>
      </c>
      <c r="E18" s="1">
        <v>0.57699999999999996</v>
      </c>
      <c r="F18" s="1">
        <v>15</v>
      </c>
      <c r="G18" s="1">
        <v>11</v>
      </c>
      <c r="H18" s="1">
        <v>913</v>
      </c>
      <c r="I18" s="1">
        <v>156</v>
      </c>
      <c r="J18" s="1">
        <v>270</v>
      </c>
      <c r="K18" s="1">
        <v>67</v>
      </c>
      <c r="L18" s="1">
        <v>3</v>
      </c>
      <c r="M18" s="1">
        <v>33</v>
      </c>
      <c r="N18" s="1">
        <v>147</v>
      </c>
      <c r="O18" s="1">
        <v>2</v>
      </c>
      <c r="P18" s="1">
        <v>5</v>
      </c>
      <c r="Q18" s="1">
        <v>17</v>
      </c>
      <c r="R18" s="1">
        <v>1</v>
      </c>
      <c r="S18" s="1">
        <v>82</v>
      </c>
      <c r="T18" s="1">
        <v>1</v>
      </c>
      <c r="U18" s="1">
        <v>14</v>
      </c>
      <c r="V18" s="1">
        <v>186</v>
      </c>
      <c r="W18" s="1">
        <v>24</v>
      </c>
      <c r="X18" s="308">
        <v>1016</v>
      </c>
      <c r="Y18" s="1">
        <v>442</v>
      </c>
      <c r="Z18" s="1">
        <v>103</v>
      </c>
      <c r="AA18" s="1">
        <v>0.29599999999999999</v>
      </c>
      <c r="AB18" s="1">
        <v>0.36099999999999999</v>
      </c>
      <c r="AC18" s="1">
        <v>0.48399999999999999</v>
      </c>
      <c r="AD18" s="1">
        <v>0.84499999999999997</v>
      </c>
      <c r="AE18" s="302"/>
      <c r="AG18" s="89" t="s">
        <v>4</v>
      </c>
      <c r="AH18" s="90">
        <v>15</v>
      </c>
      <c r="AI18" s="90">
        <v>9</v>
      </c>
      <c r="AJ18" s="1" t="str">
        <f t="shared" si="0"/>
        <v>15-9</v>
      </c>
      <c r="AK18" s="25">
        <f t="shared" si="1"/>
        <v>0.625</v>
      </c>
      <c r="AL18" s="89" t="s">
        <v>4</v>
      </c>
      <c r="AM18" s="90">
        <v>12</v>
      </c>
      <c r="AN18" s="90">
        <v>13</v>
      </c>
      <c r="AO18" s="1" t="str">
        <f t="shared" si="2"/>
        <v>12-13</v>
      </c>
      <c r="AP18" s="25">
        <f t="shared" si="3"/>
        <v>0.48</v>
      </c>
    </row>
    <row r="19" spans="1:42" x14ac:dyDescent="0.3">
      <c r="A19" s="1" t="s">
        <v>9</v>
      </c>
      <c r="B19" s="1">
        <v>2023</v>
      </c>
      <c r="C19" s="1">
        <v>25</v>
      </c>
      <c r="D19" s="211" t="s">
        <v>3599</v>
      </c>
      <c r="E19" s="1">
        <v>0.48</v>
      </c>
      <c r="F19" s="1">
        <v>12</v>
      </c>
      <c r="G19" s="1">
        <v>13</v>
      </c>
      <c r="H19" s="1">
        <v>844</v>
      </c>
      <c r="I19" s="1">
        <v>108</v>
      </c>
      <c r="J19" s="1">
        <v>215</v>
      </c>
      <c r="K19" s="1">
        <v>41</v>
      </c>
      <c r="L19" s="1">
        <v>3</v>
      </c>
      <c r="M19" s="1">
        <v>26</v>
      </c>
      <c r="N19" s="1">
        <v>107</v>
      </c>
      <c r="O19" s="1">
        <v>4</v>
      </c>
      <c r="P19" s="1">
        <v>5</v>
      </c>
      <c r="Q19" s="1">
        <v>14</v>
      </c>
      <c r="R19" s="1">
        <v>4</v>
      </c>
      <c r="S19" s="1">
        <v>63</v>
      </c>
      <c r="T19" s="1">
        <v>7</v>
      </c>
      <c r="U19" s="1">
        <v>8</v>
      </c>
      <c r="V19" s="1">
        <v>196</v>
      </c>
      <c r="W19" s="1">
        <v>21</v>
      </c>
      <c r="X19" s="1">
        <v>924</v>
      </c>
      <c r="Y19" s="1">
        <v>340</v>
      </c>
      <c r="Z19" s="1">
        <v>70</v>
      </c>
      <c r="AA19" s="1">
        <v>0.255</v>
      </c>
      <c r="AB19" s="1">
        <v>0.311</v>
      </c>
      <c r="AC19" s="1">
        <v>0.40300000000000002</v>
      </c>
      <c r="AD19" s="1">
        <v>0.71399999999999997</v>
      </c>
      <c r="AE19" s="5"/>
      <c r="AG19" s="89" t="s">
        <v>27</v>
      </c>
      <c r="AH19" s="90">
        <v>15</v>
      </c>
      <c r="AI19" s="90">
        <v>10</v>
      </c>
      <c r="AJ19" s="1" t="str">
        <f t="shared" si="0"/>
        <v>15-10</v>
      </c>
      <c r="AK19" s="25">
        <f t="shared" si="1"/>
        <v>0.6</v>
      </c>
      <c r="AL19" s="89" t="s">
        <v>27</v>
      </c>
      <c r="AM19" s="90">
        <v>11</v>
      </c>
      <c r="AN19" s="90">
        <v>14</v>
      </c>
      <c r="AO19" s="1" t="str">
        <f t="shared" si="2"/>
        <v>11-14</v>
      </c>
      <c r="AP19" s="25">
        <f t="shared" si="3"/>
        <v>0.44</v>
      </c>
    </row>
    <row r="20" spans="1:42" x14ac:dyDescent="0.3">
      <c r="A20" s="1" t="s">
        <v>20</v>
      </c>
      <c r="B20" s="1">
        <v>2023</v>
      </c>
      <c r="C20" s="1">
        <v>24</v>
      </c>
      <c r="D20" s="211" t="s">
        <v>3609</v>
      </c>
      <c r="E20" s="1">
        <v>0.41699999999999998</v>
      </c>
      <c r="F20" s="1">
        <v>10</v>
      </c>
      <c r="G20" s="1">
        <v>14</v>
      </c>
      <c r="H20" s="1">
        <v>757</v>
      </c>
      <c r="I20" s="1">
        <v>66</v>
      </c>
      <c r="J20" s="1">
        <v>165</v>
      </c>
      <c r="K20" s="1">
        <v>41</v>
      </c>
      <c r="L20" s="1">
        <v>6</v>
      </c>
      <c r="M20" s="1">
        <v>12</v>
      </c>
      <c r="N20" s="1">
        <v>60</v>
      </c>
      <c r="O20" s="1">
        <v>1</v>
      </c>
      <c r="P20" s="1">
        <v>9</v>
      </c>
      <c r="Q20" s="1">
        <v>20</v>
      </c>
      <c r="R20" s="1">
        <v>2</v>
      </c>
      <c r="S20" s="1">
        <v>78</v>
      </c>
      <c r="T20" s="1">
        <v>11</v>
      </c>
      <c r="U20" s="1">
        <v>4</v>
      </c>
      <c r="V20" s="1">
        <v>169</v>
      </c>
      <c r="W20" s="1">
        <v>16</v>
      </c>
      <c r="X20" s="1">
        <v>849</v>
      </c>
      <c r="Y20" s="1">
        <v>254</v>
      </c>
      <c r="Z20" s="1">
        <v>59</v>
      </c>
      <c r="AA20" s="1">
        <v>0.218</v>
      </c>
      <c r="AB20" s="1">
        <v>0.29099999999999998</v>
      </c>
      <c r="AC20" s="1">
        <v>0.33600000000000002</v>
      </c>
      <c r="AD20" s="1">
        <v>0.627</v>
      </c>
      <c r="AE20" s="5"/>
      <c r="AG20" s="89" t="s">
        <v>24</v>
      </c>
      <c r="AH20" s="90">
        <v>12</v>
      </c>
      <c r="AI20" s="90">
        <v>9</v>
      </c>
      <c r="AJ20" s="1" t="str">
        <f t="shared" si="0"/>
        <v>12-9</v>
      </c>
      <c r="AK20" s="25">
        <f t="shared" si="1"/>
        <v>0.5714285714285714</v>
      </c>
      <c r="AL20" s="89" t="s">
        <v>24</v>
      </c>
      <c r="AM20" s="90">
        <v>13</v>
      </c>
      <c r="AN20" s="90">
        <v>16</v>
      </c>
      <c r="AO20" s="1" t="str">
        <f t="shared" si="2"/>
        <v>13-16</v>
      </c>
      <c r="AP20" s="25">
        <f t="shared" si="3"/>
        <v>0.44827586206896552</v>
      </c>
    </row>
    <row r="21" spans="1:42" x14ac:dyDescent="0.3">
      <c r="A21" s="1" t="s">
        <v>31</v>
      </c>
      <c r="B21" s="1">
        <v>2023</v>
      </c>
      <c r="C21" s="1">
        <v>20</v>
      </c>
      <c r="D21" s="211" t="s">
        <v>3610</v>
      </c>
      <c r="E21" s="1">
        <v>0.5</v>
      </c>
      <c r="F21" s="1">
        <v>10</v>
      </c>
      <c r="G21" s="1">
        <v>10</v>
      </c>
      <c r="H21" s="1">
        <v>671</v>
      </c>
      <c r="I21" s="1">
        <v>75</v>
      </c>
      <c r="J21" s="1">
        <v>158</v>
      </c>
      <c r="K21" s="1">
        <v>33</v>
      </c>
      <c r="L21" s="1">
        <v>1</v>
      </c>
      <c r="M21" s="1">
        <v>17</v>
      </c>
      <c r="N21" s="1">
        <v>71</v>
      </c>
      <c r="O21" s="1">
        <v>1</v>
      </c>
      <c r="P21" s="1">
        <v>4</v>
      </c>
      <c r="Q21" s="1">
        <v>8</v>
      </c>
      <c r="R21" s="1">
        <v>2</v>
      </c>
      <c r="S21" s="1">
        <v>58</v>
      </c>
      <c r="T21" s="1">
        <v>0</v>
      </c>
      <c r="U21" s="1">
        <v>7</v>
      </c>
      <c r="V21" s="1">
        <v>173</v>
      </c>
      <c r="W21" s="1">
        <v>15</v>
      </c>
      <c r="X21" s="1">
        <v>741</v>
      </c>
      <c r="Y21" s="1">
        <v>244</v>
      </c>
      <c r="Z21" s="1">
        <v>51</v>
      </c>
      <c r="AA21" s="1">
        <v>0.23499999999999999</v>
      </c>
      <c r="AB21" s="1">
        <v>0.30099999999999999</v>
      </c>
      <c r="AC21" s="1">
        <v>0.36399999999999999</v>
      </c>
      <c r="AD21" s="1">
        <v>0.66500000000000004</v>
      </c>
      <c r="AE21" s="5"/>
      <c r="AG21" s="89" t="s">
        <v>11</v>
      </c>
      <c r="AH21" s="90">
        <v>17</v>
      </c>
      <c r="AI21" s="90">
        <v>11</v>
      </c>
      <c r="AJ21" s="1" t="str">
        <f t="shared" si="0"/>
        <v>17-11</v>
      </c>
      <c r="AK21" s="25">
        <f t="shared" si="1"/>
        <v>0.6071428571428571</v>
      </c>
      <c r="AL21" s="89" t="s">
        <v>11</v>
      </c>
      <c r="AM21" s="90">
        <v>13</v>
      </c>
      <c r="AN21" s="90">
        <v>10</v>
      </c>
      <c r="AO21" s="1" t="str">
        <f t="shared" si="2"/>
        <v>13-10</v>
      </c>
      <c r="AP21" s="25">
        <f t="shared" si="3"/>
        <v>0.56521739130434778</v>
      </c>
    </row>
    <row r="22" spans="1:42" x14ac:dyDescent="0.3">
      <c r="A22" s="1" t="s">
        <v>25</v>
      </c>
      <c r="B22" s="1">
        <v>2023</v>
      </c>
      <c r="C22" s="1">
        <v>25</v>
      </c>
      <c r="D22" s="211" t="s">
        <v>3601</v>
      </c>
      <c r="E22" s="1">
        <v>0.56000000000000005</v>
      </c>
      <c r="F22" s="1">
        <v>14</v>
      </c>
      <c r="G22" s="1">
        <v>11</v>
      </c>
      <c r="H22" s="1">
        <v>812</v>
      </c>
      <c r="I22" s="1">
        <v>109</v>
      </c>
      <c r="J22" s="1">
        <v>196</v>
      </c>
      <c r="K22" s="1">
        <v>40</v>
      </c>
      <c r="L22" s="1">
        <v>1</v>
      </c>
      <c r="M22" s="1">
        <v>21</v>
      </c>
      <c r="N22" s="1">
        <v>102</v>
      </c>
      <c r="O22" s="1">
        <v>0</v>
      </c>
      <c r="P22" s="1">
        <v>6</v>
      </c>
      <c r="Q22" s="1">
        <v>15</v>
      </c>
      <c r="R22" s="1">
        <v>2</v>
      </c>
      <c r="S22" s="1">
        <v>83</v>
      </c>
      <c r="T22" s="1">
        <v>3</v>
      </c>
      <c r="U22" s="1">
        <v>14</v>
      </c>
      <c r="V22" s="1">
        <v>193</v>
      </c>
      <c r="W22" s="1">
        <v>16</v>
      </c>
      <c r="X22" s="1">
        <v>915</v>
      </c>
      <c r="Y22" s="1">
        <v>301</v>
      </c>
      <c r="Z22" s="1">
        <v>62</v>
      </c>
      <c r="AA22" s="1">
        <v>0.24099999999999999</v>
      </c>
      <c r="AB22" s="1">
        <v>0.32</v>
      </c>
      <c r="AC22" s="1">
        <v>0.371</v>
      </c>
      <c r="AD22" s="1">
        <v>0.69099999999999995</v>
      </c>
      <c r="AE22" s="5"/>
      <c r="AG22" s="89" t="s">
        <v>26</v>
      </c>
      <c r="AH22" s="90">
        <v>5</v>
      </c>
      <c r="AI22" s="90">
        <v>20</v>
      </c>
      <c r="AJ22" s="1" t="str">
        <f t="shared" si="0"/>
        <v>5-20</v>
      </c>
      <c r="AK22" s="25">
        <f t="shared" si="1"/>
        <v>0.2</v>
      </c>
      <c r="AL22" s="89" t="s">
        <v>26</v>
      </c>
      <c r="AM22" s="90">
        <v>5</v>
      </c>
      <c r="AN22" s="90">
        <v>21</v>
      </c>
      <c r="AO22" s="1" t="str">
        <f t="shared" si="2"/>
        <v>5-21</v>
      </c>
      <c r="AP22" s="25">
        <f t="shared" si="3"/>
        <v>0.19230769230769232</v>
      </c>
    </row>
    <row r="23" spans="1:42" x14ac:dyDescent="0.3">
      <c r="A23" s="1" t="s">
        <v>30</v>
      </c>
      <c r="B23" s="1">
        <v>2023</v>
      </c>
      <c r="C23" s="1">
        <v>26</v>
      </c>
      <c r="D23" s="211" t="s">
        <v>3611</v>
      </c>
      <c r="E23" s="1">
        <v>0.26900000000000002</v>
      </c>
      <c r="F23" s="1">
        <v>7</v>
      </c>
      <c r="G23" s="1">
        <v>19</v>
      </c>
      <c r="H23" s="1">
        <v>866</v>
      </c>
      <c r="I23" s="1">
        <v>112</v>
      </c>
      <c r="J23" s="1">
        <v>205</v>
      </c>
      <c r="K23" s="1">
        <v>45</v>
      </c>
      <c r="L23" s="1">
        <v>8</v>
      </c>
      <c r="M23" s="1">
        <v>28</v>
      </c>
      <c r="N23" s="1">
        <v>110</v>
      </c>
      <c r="O23" s="1">
        <v>1</v>
      </c>
      <c r="P23" s="1">
        <v>11</v>
      </c>
      <c r="Q23" s="1">
        <v>17</v>
      </c>
      <c r="R23" s="1">
        <v>2</v>
      </c>
      <c r="S23" s="1">
        <v>81</v>
      </c>
      <c r="T23" s="1">
        <v>3</v>
      </c>
      <c r="U23" s="1">
        <v>12</v>
      </c>
      <c r="V23" s="1">
        <v>214</v>
      </c>
      <c r="W23" s="1">
        <v>13</v>
      </c>
      <c r="X23" s="1">
        <v>971</v>
      </c>
      <c r="Y23" s="1">
        <v>350</v>
      </c>
      <c r="Z23" s="1">
        <v>81</v>
      </c>
      <c r="AA23" s="1">
        <v>0.23699999999999999</v>
      </c>
      <c r="AB23" s="1">
        <v>0.307</v>
      </c>
      <c r="AC23" s="1">
        <v>0.40400000000000003</v>
      </c>
      <c r="AD23" s="1">
        <v>0.71099999999999997</v>
      </c>
      <c r="AE23" s="5"/>
      <c r="AG23" s="89" t="s">
        <v>14</v>
      </c>
      <c r="AH23" s="90">
        <v>14</v>
      </c>
      <c r="AI23" s="90">
        <v>10</v>
      </c>
      <c r="AJ23" s="1" t="str">
        <f t="shared" si="0"/>
        <v>14-10</v>
      </c>
      <c r="AK23" s="25">
        <f t="shared" si="1"/>
        <v>0.58333333333333337</v>
      </c>
      <c r="AL23" s="89" t="s">
        <v>14</v>
      </c>
      <c r="AM23" s="90">
        <v>9</v>
      </c>
      <c r="AN23" s="90">
        <v>16</v>
      </c>
      <c r="AO23" s="1" t="str">
        <f t="shared" si="2"/>
        <v>9-16</v>
      </c>
      <c r="AP23" s="25">
        <f t="shared" si="3"/>
        <v>0.36</v>
      </c>
    </row>
    <row r="24" spans="1:42" x14ac:dyDescent="0.3">
      <c r="A24" s="1" t="s">
        <v>22</v>
      </c>
      <c r="B24" s="1">
        <v>2023</v>
      </c>
      <c r="C24" s="1">
        <v>25</v>
      </c>
      <c r="D24" s="211" t="s">
        <v>3612</v>
      </c>
      <c r="E24" s="1">
        <v>0.6</v>
      </c>
      <c r="F24" s="1">
        <v>15</v>
      </c>
      <c r="G24" s="1">
        <v>10</v>
      </c>
      <c r="H24" s="1">
        <v>826</v>
      </c>
      <c r="I24" s="1">
        <v>129</v>
      </c>
      <c r="J24" s="1">
        <v>214</v>
      </c>
      <c r="K24" s="1">
        <v>40</v>
      </c>
      <c r="L24" s="1">
        <v>4</v>
      </c>
      <c r="M24" s="1">
        <v>40</v>
      </c>
      <c r="N24" s="1">
        <v>125</v>
      </c>
      <c r="O24" s="1">
        <v>0</v>
      </c>
      <c r="P24" s="1">
        <v>8</v>
      </c>
      <c r="Q24" s="1">
        <v>11</v>
      </c>
      <c r="R24" s="1">
        <v>3</v>
      </c>
      <c r="S24" s="1">
        <v>75</v>
      </c>
      <c r="T24" s="1">
        <v>2</v>
      </c>
      <c r="U24" s="1">
        <v>12</v>
      </c>
      <c r="V24" s="1">
        <v>214</v>
      </c>
      <c r="W24" s="1">
        <v>21</v>
      </c>
      <c r="X24" s="1">
        <v>921</v>
      </c>
      <c r="Y24" s="1">
        <v>382</v>
      </c>
      <c r="Z24" s="1">
        <v>84</v>
      </c>
      <c r="AA24" s="1">
        <v>0.25900000000000001</v>
      </c>
      <c r="AB24" s="1">
        <v>0.32700000000000001</v>
      </c>
      <c r="AC24" s="1">
        <v>0.46200000000000002</v>
      </c>
      <c r="AD24" s="1">
        <v>0.78900000000000003</v>
      </c>
      <c r="AE24" s="5"/>
      <c r="AG24" s="89" t="s">
        <v>13</v>
      </c>
      <c r="AH24" s="90">
        <v>12</v>
      </c>
      <c r="AI24" s="90">
        <v>13</v>
      </c>
      <c r="AJ24" s="1" t="str">
        <f t="shared" si="0"/>
        <v>12-13</v>
      </c>
      <c r="AK24" s="25">
        <f t="shared" si="1"/>
        <v>0.48</v>
      </c>
      <c r="AL24" s="89" t="s">
        <v>13</v>
      </c>
      <c r="AM24" s="90">
        <v>13</v>
      </c>
      <c r="AN24" s="90">
        <v>11</v>
      </c>
      <c r="AO24" s="1" t="str">
        <f t="shared" si="2"/>
        <v>13-11</v>
      </c>
      <c r="AP24" s="25">
        <f t="shared" si="3"/>
        <v>0.54166666666666663</v>
      </c>
    </row>
    <row r="25" spans="1:42" x14ac:dyDescent="0.3">
      <c r="A25" s="1" t="s">
        <v>27</v>
      </c>
      <c r="B25" s="1">
        <v>2023</v>
      </c>
      <c r="C25" s="1">
        <v>25</v>
      </c>
      <c r="D25" s="211" t="s">
        <v>3612</v>
      </c>
      <c r="E25" s="1">
        <v>0.6</v>
      </c>
      <c r="F25" s="1">
        <v>15</v>
      </c>
      <c r="G25" s="1">
        <v>10</v>
      </c>
      <c r="H25" s="1">
        <v>828</v>
      </c>
      <c r="I25" s="1">
        <v>125</v>
      </c>
      <c r="J25" s="1">
        <v>204</v>
      </c>
      <c r="K25" s="1">
        <v>47</v>
      </c>
      <c r="L25" s="1">
        <v>4</v>
      </c>
      <c r="M25" s="1">
        <v>36</v>
      </c>
      <c r="N25" s="1">
        <v>117</v>
      </c>
      <c r="O25" s="1">
        <v>2</v>
      </c>
      <c r="P25" s="1">
        <v>4</v>
      </c>
      <c r="Q25" s="1">
        <v>9</v>
      </c>
      <c r="R25" s="1">
        <v>3</v>
      </c>
      <c r="S25" s="1">
        <v>85</v>
      </c>
      <c r="T25" s="1">
        <v>3</v>
      </c>
      <c r="U25" s="1">
        <v>15</v>
      </c>
      <c r="V25" s="1">
        <v>242</v>
      </c>
      <c r="W25" s="1">
        <v>16</v>
      </c>
      <c r="X25" s="1">
        <v>934</v>
      </c>
      <c r="Y25" s="1">
        <v>367</v>
      </c>
      <c r="Z25" s="1">
        <v>87</v>
      </c>
      <c r="AA25" s="1">
        <v>0.246</v>
      </c>
      <c r="AB25" s="1">
        <v>0.32600000000000001</v>
      </c>
      <c r="AC25" s="1">
        <v>0.443</v>
      </c>
      <c r="AD25" s="1">
        <v>0.76900000000000002</v>
      </c>
      <c r="AE25" s="5"/>
      <c r="AG25" s="89" t="s">
        <v>16</v>
      </c>
      <c r="AH25" s="90">
        <v>12</v>
      </c>
      <c r="AI25" s="90">
        <v>15</v>
      </c>
      <c r="AJ25" s="1" t="str">
        <f t="shared" si="0"/>
        <v>12-15</v>
      </c>
      <c r="AK25" s="25">
        <f t="shared" si="1"/>
        <v>0.44444444444444442</v>
      </c>
      <c r="AL25" s="89" t="s">
        <v>16</v>
      </c>
      <c r="AM25" s="90">
        <v>10</v>
      </c>
      <c r="AN25" s="90">
        <v>12</v>
      </c>
      <c r="AO25" s="1" t="str">
        <f t="shared" si="2"/>
        <v>10-12</v>
      </c>
      <c r="AP25" s="25">
        <f t="shared" si="3"/>
        <v>0.45454545454545453</v>
      </c>
    </row>
    <row r="26" spans="1:42" x14ac:dyDescent="0.3">
      <c r="A26" s="1" t="s">
        <v>11</v>
      </c>
      <c r="B26" s="1">
        <v>2023</v>
      </c>
      <c r="C26" s="1">
        <v>28</v>
      </c>
      <c r="D26" s="211" t="s">
        <v>3613</v>
      </c>
      <c r="E26" s="1">
        <v>0.60699999999999998</v>
      </c>
      <c r="F26" s="1">
        <v>17</v>
      </c>
      <c r="G26" s="1">
        <v>11</v>
      </c>
      <c r="H26" s="1">
        <v>899</v>
      </c>
      <c r="I26" s="1">
        <v>135</v>
      </c>
      <c r="J26" s="1">
        <v>213</v>
      </c>
      <c r="K26" s="1">
        <v>25</v>
      </c>
      <c r="L26" s="1">
        <v>4</v>
      </c>
      <c r="M26" s="1">
        <v>51</v>
      </c>
      <c r="N26" s="1">
        <v>132</v>
      </c>
      <c r="O26" s="1">
        <v>1</v>
      </c>
      <c r="P26" s="1">
        <v>8</v>
      </c>
      <c r="Q26" s="1">
        <v>27</v>
      </c>
      <c r="R26" s="1">
        <v>7</v>
      </c>
      <c r="S26" s="1">
        <v>96</v>
      </c>
      <c r="T26" s="1">
        <v>3</v>
      </c>
      <c r="U26" s="1">
        <v>10</v>
      </c>
      <c r="V26" s="1">
        <v>232</v>
      </c>
      <c r="W26" s="1">
        <v>15</v>
      </c>
      <c r="X26" s="308">
        <v>1014</v>
      </c>
      <c r="Y26" s="1">
        <v>399</v>
      </c>
      <c r="Z26" s="1">
        <v>80</v>
      </c>
      <c r="AA26" s="1">
        <v>0.23699999999999999</v>
      </c>
      <c r="AB26" s="1">
        <v>0.315</v>
      </c>
      <c r="AC26" s="1">
        <v>0.44400000000000001</v>
      </c>
      <c r="AD26" s="1">
        <v>0.75900000000000001</v>
      </c>
      <c r="AE26" s="5"/>
      <c r="AG26" s="89" t="s">
        <v>5</v>
      </c>
      <c r="AH26" s="90">
        <v>15</v>
      </c>
      <c r="AI26" s="90">
        <v>11</v>
      </c>
      <c r="AJ26" s="1" t="str">
        <f t="shared" si="0"/>
        <v>15-11</v>
      </c>
      <c r="AK26" s="25">
        <f t="shared" si="1"/>
        <v>0.57692307692307687</v>
      </c>
      <c r="AL26" s="89" t="s">
        <v>5</v>
      </c>
      <c r="AM26" s="90">
        <v>9</v>
      </c>
      <c r="AN26" s="90">
        <v>14</v>
      </c>
      <c r="AO26" s="1" t="str">
        <f t="shared" si="2"/>
        <v>9-14</v>
      </c>
      <c r="AP26" s="25">
        <f t="shared" si="3"/>
        <v>0.39130434782608697</v>
      </c>
    </row>
    <row r="27" spans="1:42" x14ac:dyDescent="0.3">
      <c r="A27" s="1" t="s">
        <v>26</v>
      </c>
      <c r="B27" s="1">
        <v>2023</v>
      </c>
      <c r="C27" s="1">
        <v>25</v>
      </c>
      <c r="D27" s="211" t="s">
        <v>3614</v>
      </c>
      <c r="E27" s="1">
        <v>0.2</v>
      </c>
      <c r="F27" s="1">
        <v>5</v>
      </c>
      <c r="G27" s="1">
        <v>20</v>
      </c>
      <c r="H27" s="1">
        <v>831</v>
      </c>
      <c r="I27" s="1">
        <v>82</v>
      </c>
      <c r="J27" s="1">
        <v>176</v>
      </c>
      <c r="K27" s="1">
        <v>31</v>
      </c>
      <c r="L27" s="1">
        <v>3</v>
      </c>
      <c r="M27" s="1">
        <v>24</v>
      </c>
      <c r="N27" s="1">
        <v>80</v>
      </c>
      <c r="O27" s="1">
        <v>8</v>
      </c>
      <c r="P27" s="1">
        <v>3</v>
      </c>
      <c r="Q27" s="1">
        <v>24</v>
      </c>
      <c r="R27" s="1">
        <v>6</v>
      </c>
      <c r="S27" s="1">
        <v>88</v>
      </c>
      <c r="T27" s="1">
        <v>4</v>
      </c>
      <c r="U27" s="1">
        <v>12</v>
      </c>
      <c r="V27" s="1">
        <v>240</v>
      </c>
      <c r="W27" s="1">
        <v>17</v>
      </c>
      <c r="X27" s="1">
        <v>942</v>
      </c>
      <c r="Y27" s="1">
        <v>285</v>
      </c>
      <c r="Z27" s="1">
        <v>58</v>
      </c>
      <c r="AA27" s="1">
        <v>0.21199999999999999</v>
      </c>
      <c r="AB27" s="1">
        <v>0.29599999999999999</v>
      </c>
      <c r="AC27" s="1">
        <v>0.34300000000000003</v>
      </c>
      <c r="AD27" s="1">
        <v>0.63800000000000001</v>
      </c>
      <c r="AE27" s="5"/>
      <c r="AG27" s="89" t="s">
        <v>23</v>
      </c>
      <c r="AH27" s="90">
        <v>13</v>
      </c>
      <c r="AI27" s="90">
        <v>12</v>
      </c>
      <c r="AJ27" s="1" t="str">
        <f t="shared" si="0"/>
        <v>13-12</v>
      </c>
      <c r="AK27" s="25">
        <f t="shared" si="1"/>
        <v>0.52</v>
      </c>
      <c r="AL27" s="89" t="s">
        <v>23</v>
      </c>
      <c r="AM27" s="90">
        <v>12</v>
      </c>
      <c r="AN27" s="90">
        <v>12</v>
      </c>
      <c r="AO27" s="1" t="str">
        <f t="shared" si="2"/>
        <v>12-12</v>
      </c>
      <c r="AP27" s="25">
        <f t="shared" si="3"/>
        <v>0.5</v>
      </c>
    </row>
    <row r="28" spans="1:42" x14ac:dyDescent="0.3">
      <c r="A28" s="1" t="s">
        <v>23</v>
      </c>
      <c r="B28" s="1">
        <v>2023</v>
      </c>
      <c r="C28" s="1">
        <v>25</v>
      </c>
      <c r="D28" s="211" t="s">
        <v>3596</v>
      </c>
      <c r="E28" s="1">
        <v>0.52</v>
      </c>
      <c r="F28" s="1">
        <v>13</v>
      </c>
      <c r="G28" s="1">
        <v>12</v>
      </c>
      <c r="H28" s="1">
        <v>806</v>
      </c>
      <c r="I28" s="1">
        <v>111</v>
      </c>
      <c r="J28" s="1">
        <v>187</v>
      </c>
      <c r="K28" s="1">
        <v>43</v>
      </c>
      <c r="L28" s="1">
        <v>2</v>
      </c>
      <c r="M28" s="1">
        <v>23</v>
      </c>
      <c r="N28" s="1">
        <v>106</v>
      </c>
      <c r="O28" s="1">
        <v>0</v>
      </c>
      <c r="P28" s="1">
        <v>4</v>
      </c>
      <c r="Q28" s="1">
        <v>13</v>
      </c>
      <c r="R28" s="1">
        <v>4</v>
      </c>
      <c r="S28" s="1">
        <v>79</v>
      </c>
      <c r="T28" s="1">
        <v>0</v>
      </c>
      <c r="U28" s="1">
        <v>20</v>
      </c>
      <c r="V28" s="1">
        <v>228</v>
      </c>
      <c r="W28" s="1">
        <v>19</v>
      </c>
      <c r="X28" s="1">
        <v>909</v>
      </c>
      <c r="Y28" s="1">
        <v>303</v>
      </c>
      <c r="Z28" s="1">
        <v>68</v>
      </c>
      <c r="AA28" s="1">
        <v>0.23200000000000001</v>
      </c>
      <c r="AB28" s="1">
        <v>0.315</v>
      </c>
      <c r="AC28" s="1">
        <v>0.376</v>
      </c>
      <c r="AD28" s="1">
        <v>0.69099999999999995</v>
      </c>
      <c r="AE28" s="5"/>
      <c r="AG28" s="89" t="s">
        <v>8</v>
      </c>
      <c r="AH28" s="90">
        <v>11</v>
      </c>
      <c r="AI28" s="90">
        <v>15</v>
      </c>
      <c r="AJ28" s="1" t="str">
        <f t="shared" si="0"/>
        <v>11-15</v>
      </c>
      <c r="AK28" s="25">
        <f t="shared" si="1"/>
        <v>0.42307692307692307</v>
      </c>
      <c r="AL28" s="89" t="s">
        <v>8</v>
      </c>
      <c r="AM28" s="90">
        <v>12</v>
      </c>
      <c r="AN28" s="90">
        <v>14</v>
      </c>
      <c r="AO28" s="1" t="str">
        <f t="shared" si="2"/>
        <v>12-14</v>
      </c>
      <c r="AP28" s="25">
        <f t="shared" si="3"/>
        <v>0.46153846153846156</v>
      </c>
    </row>
    <row r="29" spans="1:42" x14ac:dyDescent="0.3">
      <c r="A29" s="1" t="s">
        <v>0</v>
      </c>
      <c r="B29" s="1">
        <v>2023</v>
      </c>
      <c r="C29" s="1">
        <v>28</v>
      </c>
      <c r="D29" s="211" t="s">
        <v>3615</v>
      </c>
      <c r="E29" s="1">
        <v>0.82099999999999995</v>
      </c>
      <c r="F29" s="1">
        <v>23</v>
      </c>
      <c r="G29" s="1">
        <v>5</v>
      </c>
      <c r="H29" s="1">
        <v>896</v>
      </c>
      <c r="I29" s="1">
        <v>159</v>
      </c>
      <c r="J29" s="1">
        <v>233</v>
      </c>
      <c r="K29" s="1">
        <v>55</v>
      </c>
      <c r="L29" s="1">
        <v>4</v>
      </c>
      <c r="M29" s="1">
        <v>49</v>
      </c>
      <c r="N29" s="1">
        <v>152</v>
      </c>
      <c r="O29" s="1">
        <v>2</v>
      </c>
      <c r="P29" s="1">
        <v>5</v>
      </c>
      <c r="Q29" s="1">
        <v>26</v>
      </c>
      <c r="R29" s="1">
        <v>10</v>
      </c>
      <c r="S29" s="1">
        <v>96</v>
      </c>
      <c r="T29" s="1">
        <v>1</v>
      </c>
      <c r="U29" s="1">
        <v>21</v>
      </c>
      <c r="V29" s="1">
        <v>226</v>
      </c>
      <c r="W29" s="1">
        <v>15</v>
      </c>
      <c r="X29" s="308">
        <v>1020</v>
      </c>
      <c r="Y29" s="1">
        <v>443</v>
      </c>
      <c r="Z29" s="1">
        <v>108</v>
      </c>
      <c r="AA29" s="1">
        <v>0.26</v>
      </c>
      <c r="AB29" s="1">
        <v>0.34399999999999997</v>
      </c>
      <c r="AC29" s="1">
        <v>0.49399999999999999</v>
      </c>
      <c r="AD29" s="1">
        <v>0.83799999999999997</v>
      </c>
      <c r="AE29" s="5"/>
      <c r="AG29" s="89" t="s">
        <v>0</v>
      </c>
      <c r="AH29" s="90">
        <v>23</v>
      </c>
      <c r="AI29" s="90">
        <v>5</v>
      </c>
      <c r="AJ29" s="1" t="str">
        <f t="shared" si="0"/>
        <v>23-5</v>
      </c>
      <c r="AK29" s="25">
        <f t="shared" si="1"/>
        <v>0.8214285714285714</v>
      </c>
      <c r="AL29" s="89" t="s">
        <v>0</v>
      </c>
      <c r="AM29" s="90">
        <v>13</v>
      </c>
      <c r="AN29" s="90">
        <v>10</v>
      </c>
      <c r="AO29" s="1" t="str">
        <f t="shared" si="2"/>
        <v>13-10</v>
      </c>
      <c r="AP29" s="25">
        <f t="shared" si="3"/>
        <v>0.56521739130434778</v>
      </c>
    </row>
    <row r="30" spans="1:42" x14ac:dyDescent="0.3">
      <c r="A30" s="1" t="s">
        <v>18</v>
      </c>
      <c r="B30" s="1">
        <v>2023</v>
      </c>
      <c r="C30" s="1">
        <v>24</v>
      </c>
      <c r="D30" s="211" t="s">
        <v>3616</v>
      </c>
      <c r="E30" s="1">
        <v>0.66700000000000004</v>
      </c>
      <c r="F30" s="1">
        <v>16</v>
      </c>
      <c r="G30" s="1">
        <v>8</v>
      </c>
      <c r="H30" s="1">
        <v>808</v>
      </c>
      <c r="I30" s="1">
        <v>163</v>
      </c>
      <c r="J30" s="1">
        <v>230</v>
      </c>
      <c r="K30" s="1">
        <v>48</v>
      </c>
      <c r="L30" s="1">
        <v>1</v>
      </c>
      <c r="M30" s="1">
        <v>41</v>
      </c>
      <c r="N30" s="1">
        <v>158</v>
      </c>
      <c r="O30" s="1">
        <v>2</v>
      </c>
      <c r="P30" s="1">
        <v>9</v>
      </c>
      <c r="Q30" s="1">
        <v>10</v>
      </c>
      <c r="R30" s="1">
        <v>6</v>
      </c>
      <c r="S30" s="1">
        <v>81</v>
      </c>
      <c r="T30" s="1">
        <v>0</v>
      </c>
      <c r="U30" s="1">
        <v>9</v>
      </c>
      <c r="V30" s="1">
        <v>198</v>
      </c>
      <c r="W30" s="1">
        <v>13</v>
      </c>
      <c r="X30" s="1">
        <v>909</v>
      </c>
      <c r="Y30" s="1">
        <v>403</v>
      </c>
      <c r="Z30" s="1">
        <v>90</v>
      </c>
      <c r="AA30" s="1">
        <v>0.28499999999999998</v>
      </c>
      <c r="AB30" s="1">
        <v>0.35299999999999998</v>
      </c>
      <c r="AC30" s="1">
        <v>0.499</v>
      </c>
      <c r="AD30" s="1">
        <v>0.85199999999999998</v>
      </c>
      <c r="AE30" s="5"/>
      <c r="AG30" s="89" t="s">
        <v>18</v>
      </c>
      <c r="AH30" s="90">
        <v>16</v>
      </c>
      <c r="AI30" s="90">
        <v>8</v>
      </c>
      <c r="AJ30" s="1" t="str">
        <f t="shared" si="0"/>
        <v>16-8</v>
      </c>
      <c r="AK30" s="25">
        <f t="shared" si="1"/>
        <v>0.66666666666666663</v>
      </c>
      <c r="AL30" s="89" t="s">
        <v>18</v>
      </c>
      <c r="AM30" s="90">
        <v>15</v>
      </c>
      <c r="AN30" s="90">
        <v>10</v>
      </c>
      <c r="AO30" s="1" t="str">
        <f t="shared" si="2"/>
        <v>15-10</v>
      </c>
      <c r="AP30" s="25">
        <f t="shared" si="3"/>
        <v>0.6</v>
      </c>
    </row>
    <row r="31" spans="1:42" x14ac:dyDescent="0.3">
      <c r="A31" s="1" t="s">
        <v>15</v>
      </c>
      <c r="B31" s="1">
        <v>2023</v>
      </c>
      <c r="C31" s="1">
        <v>22</v>
      </c>
      <c r="D31" s="211" t="s">
        <v>3617</v>
      </c>
      <c r="E31" s="1">
        <v>0.59099999999999997</v>
      </c>
      <c r="F31" s="1">
        <v>13</v>
      </c>
      <c r="G31" s="1">
        <v>9</v>
      </c>
      <c r="H31" s="1">
        <v>750</v>
      </c>
      <c r="I31" s="1">
        <v>94</v>
      </c>
      <c r="J31" s="1">
        <v>195</v>
      </c>
      <c r="K31" s="1">
        <v>38</v>
      </c>
      <c r="L31" s="1">
        <v>1</v>
      </c>
      <c r="M31" s="1">
        <v>20</v>
      </c>
      <c r="N31" s="1">
        <v>92</v>
      </c>
      <c r="O31" s="1">
        <v>1</v>
      </c>
      <c r="P31" s="1">
        <v>5</v>
      </c>
      <c r="Q31" s="1">
        <v>24</v>
      </c>
      <c r="R31" s="1">
        <v>4</v>
      </c>
      <c r="S31" s="1">
        <v>77</v>
      </c>
      <c r="T31" s="1">
        <v>3</v>
      </c>
      <c r="U31" s="1">
        <v>7</v>
      </c>
      <c r="V31" s="1">
        <v>166</v>
      </c>
      <c r="W31" s="1">
        <v>19</v>
      </c>
      <c r="X31" s="1">
        <v>840</v>
      </c>
      <c r="Y31" s="1">
        <v>295</v>
      </c>
      <c r="Z31" s="1">
        <v>59</v>
      </c>
      <c r="AA31" s="1">
        <v>0.26</v>
      </c>
      <c r="AB31" s="1">
        <v>0.33300000000000002</v>
      </c>
      <c r="AC31" s="1">
        <v>0.39300000000000002</v>
      </c>
      <c r="AD31" s="1">
        <v>0.72599999999999998</v>
      </c>
      <c r="AE31" s="5"/>
      <c r="AG31" s="89" t="s">
        <v>15</v>
      </c>
      <c r="AH31" s="90">
        <v>13</v>
      </c>
      <c r="AI31" s="90">
        <v>9</v>
      </c>
      <c r="AJ31" s="1" t="str">
        <f t="shared" si="0"/>
        <v>13-9</v>
      </c>
      <c r="AK31" s="25">
        <f t="shared" si="1"/>
        <v>0.59090909090909094</v>
      </c>
      <c r="AL31" s="89" t="s">
        <v>15</v>
      </c>
      <c r="AM31" s="90">
        <v>13</v>
      </c>
      <c r="AN31" s="90">
        <v>15</v>
      </c>
      <c r="AO31" s="1" t="str">
        <f t="shared" si="2"/>
        <v>13-15</v>
      </c>
      <c r="AP31" s="25">
        <f t="shared" si="3"/>
        <v>0.4642857142857143</v>
      </c>
    </row>
    <row r="32" spans="1:42" x14ac:dyDescent="0.3">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G32" s="89" t="s">
        <v>19</v>
      </c>
      <c r="AH32" s="90">
        <v>11</v>
      </c>
      <c r="AI32" s="90">
        <v>16</v>
      </c>
      <c r="AJ32" s="1" t="str">
        <f t="shared" si="0"/>
        <v>11-16</v>
      </c>
      <c r="AK32" s="25">
        <f t="shared" si="1"/>
        <v>0.40740740740740738</v>
      </c>
      <c r="AL32" s="89" t="s">
        <v>19</v>
      </c>
      <c r="AM32" s="90">
        <v>10</v>
      </c>
      <c r="AN32" s="90">
        <v>12</v>
      </c>
      <c r="AO32" s="1" t="str">
        <f t="shared" si="2"/>
        <v>10-12</v>
      </c>
      <c r="AP32" s="25">
        <f t="shared" si="3"/>
        <v>0.45454545454545453</v>
      </c>
    </row>
    <row r="33" spans="1:42" ht="15" thickBot="1" x14ac:dyDescent="0.35">
      <c r="A33" s="213" t="s">
        <v>981</v>
      </c>
      <c r="B33" s="213" t="s">
        <v>1840</v>
      </c>
      <c r="C33" s="213" t="s">
        <v>1546</v>
      </c>
      <c r="D33" s="213" t="s">
        <v>1841</v>
      </c>
      <c r="E33" s="213" t="s">
        <v>1842</v>
      </c>
      <c r="F33" s="213" t="s">
        <v>110</v>
      </c>
      <c r="G33" s="213" t="s">
        <v>111</v>
      </c>
      <c r="H33" s="213" t="s">
        <v>76</v>
      </c>
      <c r="I33" s="213" t="s">
        <v>77</v>
      </c>
      <c r="J33" s="213" t="s">
        <v>78</v>
      </c>
      <c r="K33" s="213" t="s">
        <v>79</v>
      </c>
      <c r="L33" s="213" t="s">
        <v>80</v>
      </c>
      <c r="M33" s="213" t="s">
        <v>81</v>
      </c>
      <c r="N33" s="213" t="s">
        <v>82</v>
      </c>
      <c r="O33" s="213" t="s">
        <v>1843</v>
      </c>
      <c r="P33" s="213" t="s">
        <v>1521</v>
      </c>
      <c r="Q33" s="213" t="s">
        <v>85</v>
      </c>
      <c r="R33" s="213" t="s">
        <v>86</v>
      </c>
      <c r="S33" s="213" t="s">
        <v>83</v>
      </c>
      <c r="T33" s="213" t="s">
        <v>1844</v>
      </c>
      <c r="U33" s="213" t="s">
        <v>1845</v>
      </c>
      <c r="V33" s="213" t="s">
        <v>84</v>
      </c>
      <c r="W33" s="213" t="s">
        <v>1846</v>
      </c>
      <c r="X33" s="213" t="s">
        <v>215</v>
      </c>
      <c r="Y33" s="213" t="s">
        <v>1522</v>
      </c>
      <c r="Z33" s="213" t="s">
        <v>1847</v>
      </c>
      <c r="AA33" s="213" t="s">
        <v>87</v>
      </c>
      <c r="AB33" s="213" t="s">
        <v>88</v>
      </c>
      <c r="AC33" s="213" t="s">
        <v>89</v>
      </c>
      <c r="AD33" s="213" t="s">
        <v>90</v>
      </c>
      <c r="AE33" s="213"/>
      <c r="AG33" s="89" t="s">
        <v>978</v>
      </c>
      <c r="AH33" s="90">
        <v>399</v>
      </c>
      <c r="AI33" s="90">
        <v>347</v>
      </c>
      <c r="AJ33" s="1" t="str">
        <f t="shared" si="0"/>
        <v>399-347</v>
      </c>
      <c r="AK33" s="25">
        <f t="shared" si="1"/>
        <v>0.5348525469168901</v>
      </c>
      <c r="AL33" s="89" t="s">
        <v>978</v>
      </c>
      <c r="AM33" s="90">
        <v>347</v>
      </c>
      <c r="AN33" s="90">
        <v>399</v>
      </c>
      <c r="AO33" s="1" t="str">
        <f t="shared" si="2"/>
        <v>347-399</v>
      </c>
      <c r="AP33" s="1">
        <f t="shared" si="3"/>
        <v>0.4651474530831099</v>
      </c>
    </row>
    <row r="34" spans="1:42" ht="15" thickBot="1" x14ac:dyDescent="0.35">
      <c r="A34" s="1" t="s">
        <v>6</v>
      </c>
      <c r="B34" s="1">
        <v>2023</v>
      </c>
      <c r="C34" s="1">
        <v>26</v>
      </c>
      <c r="D34" s="211" t="s">
        <v>3618</v>
      </c>
      <c r="E34" s="1">
        <v>0.65400000000000003</v>
      </c>
      <c r="F34" s="1">
        <v>17</v>
      </c>
      <c r="G34" s="1">
        <v>9</v>
      </c>
      <c r="H34" s="1">
        <v>922</v>
      </c>
      <c r="I34" s="1">
        <v>154</v>
      </c>
      <c r="J34" s="1">
        <v>233</v>
      </c>
      <c r="K34" s="1">
        <v>50</v>
      </c>
      <c r="L34" s="1">
        <v>4</v>
      </c>
      <c r="M34" s="1">
        <v>36</v>
      </c>
      <c r="N34" s="1">
        <v>149</v>
      </c>
      <c r="O34" s="1">
        <v>4</v>
      </c>
      <c r="P34" s="1">
        <v>5</v>
      </c>
      <c r="Q34" s="1">
        <v>30</v>
      </c>
      <c r="R34" s="1">
        <v>7</v>
      </c>
      <c r="S34" s="1">
        <v>118</v>
      </c>
      <c r="T34" s="1">
        <v>2</v>
      </c>
      <c r="U34" s="1">
        <v>8</v>
      </c>
      <c r="V34" s="1">
        <v>231</v>
      </c>
      <c r="W34" s="1">
        <v>24</v>
      </c>
      <c r="X34" s="308">
        <v>1057</v>
      </c>
      <c r="Y34" s="1">
        <v>399</v>
      </c>
      <c r="Z34" s="1">
        <v>90</v>
      </c>
      <c r="AA34" s="1">
        <v>0.253</v>
      </c>
      <c r="AB34" s="1">
        <v>0.34100000000000003</v>
      </c>
      <c r="AC34" s="1">
        <v>0.433</v>
      </c>
      <c r="AD34" s="1">
        <v>0.77400000000000002</v>
      </c>
      <c r="AE34" s="212"/>
      <c r="AG34" s="293" t="s">
        <v>1854</v>
      </c>
      <c r="AH34" s="294"/>
      <c r="AI34" s="295"/>
      <c r="AJ34" s="1" t="str">
        <f t="shared" si="0"/>
        <v>-</v>
      </c>
      <c r="AK34" s="1"/>
      <c r="AL34" s="296" t="s">
        <v>1855</v>
      </c>
      <c r="AM34" s="297"/>
      <c r="AN34" s="298"/>
      <c r="AO34" s="1" t="str">
        <f t="shared" si="2"/>
        <v>-</v>
      </c>
    </row>
    <row r="35" spans="1:42" x14ac:dyDescent="0.3">
      <c r="A35" s="1" t="s">
        <v>12</v>
      </c>
      <c r="B35" s="1">
        <v>2023</v>
      </c>
      <c r="C35" s="1">
        <v>24</v>
      </c>
      <c r="D35" s="211" t="s">
        <v>3619</v>
      </c>
      <c r="E35" s="1">
        <v>0.45800000000000002</v>
      </c>
      <c r="F35" s="1">
        <v>11</v>
      </c>
      <c r="G35" s="1">
        <v>13</v>
      </c>
      <c r="H35" s="1">
        <v>792</v>
      </c>
      <c r="I35" s="1">
        <v>106</v>
      </c>
      <c r="J35" s="1">
        <v>177</v>
      </c>
      <c r="K35" s="1">
        <v>41</v>
      </c>
      <c r="L35" s="1">
        <v>0</v>
      </c>
      <c r="M35" s="1">
        <v>26</v>
      </c>
      <c r="N35" s="1">
        <v>105</v>
      </c>
      <c r="O35" s="1">
        <v>2</v>
      </c>
      <c r="P35" s="1">
        <v>6</v>
      </c>
      <c r="Q35" s="1">
        <v>13</v>
      </c>
      <c r="R35" s="1">
        <v>4</v>
      </c>
      <c r="S35" s="1">
        <v>79</v>
      </c>
      <c r="T35" s="1">
        <v>2</v>
      </c>
      <c r="U35" s="1">
        <v>10</v>
      </c>
      <c r="V35" s="1">
        <v>201</v>
      </c>
      <c r="W35" s="1">
        <v>19</v>
      </c>
      <c r="X35" s="1">
        <v>889</v>
      </c>
      <c r="Y35" s="1">
        <v>296</v>
      </c>
      <c r="Z35" s="1">
        <v>67</v>
      </c>
      <c r="AA35" s="1">
        <v>0.223</v>
      </c>
      <c r="AB35" s="1">
        <v>0.3</v>
      </c>
      <c r="AC35" s="1">
        <v>0.374</v>
      </c>
      <c r="AD35" s="1">
        <v>0.67400000000000004</v>
      </c>
      <c r="AE35" s="212"/>
    </row>
    <row r="36" spans="1:42" x14ac:dyDescent="0.3">
      <c r="A36" s="1" t="s">
        <v>9</v>
      </c>
      <c r="B36" s="1">
        <v>2023</v>
      </c>
      <c r="C36" s="1">
        <v>26</v>
      </c>
      <c r="D36" s="211" t="s">
        <v>3620</v>
      </c>
      <c r="E36" s="1">
        <v>0.34599999999999997</v>
      </c>
      <c r="F36" s="1">
        <v>9</v>
      </c>
      <c r="G36" s="1">
        <v>17</v>
      </c>
      <c r="H36" s="1">
        <v>890</v>
      </c>
      <c r="I36" s="1">
        <v>105</v>
      </c>
      <c r="J36" s="1">
        <v>199</v>
      </c>
      <c r="K36" s="1">
        <v>49</v>
      </c>
      <c r="L36" s="1">
        <v>1</v>
      </c>
      <c r="M36" s="1">
        <v>26</v>
      </c>
      <c r="N36" s="1">
        <v>102</v>
      </c>
      <c r="O36" s="1">
        <v>1</v>
      </c>
      <c r="P36" s="1">
        <v>5</v>
      </c>
      <c r="Q36" s="1">
        <v>15</v>
      </c>
      <c r="R36" s="1">
        <v>1</v>
      </c>
      <c r="S36" s="1">
        <v>64</v>
      </c>
      <c r="T36" s="1">
        <v>1</v>
      </c>
      <c r="U36" s="1">
        <v>14</v>
      </c>
      <c r="V36" s="1">
        <v>228</v>
      </c>
      <c r="W36" s="1">
        <v>12</v>
      </c>
      <c r="X36" s="1">
        <v>974</v>
      </c>
      <c r="Y36" s="1">
        <v>328</v>
      </c>
      <c r="Z36" s="1">
        <v>76</v>
      </c>
      <c r="AA36" s="1">
        <v>0.224</v>
      </c>
      <c r="AB36" s="1">
        <v>0.28499999999999998</v>
      </c>
      <c r="AC36" s="1">
        <v>0.36899999999999999</v>
      </c>
      <c r="AD36" s="1">
        <v>0.65300000000000002</v>
      </c>
      <c r="AE36" s="212"/>
    </row>
    <row r="37" spans="1:42" x14ac:dyDescent="0.3">
      <c r="A37" s="1" t="s">
        <v>20</v>
      </c>
      <c r="B37" s="1">
        <v>2023</v>
      </c>
      <c r="C37" s="1">
        <v>25</v>
      </c>
      <c r="D37" s="211" t="s">
        <v>3621</v>
      </c>
      <c r="E37" s="1">
        <v>0.44</v>
      </c>
      <c r="F37" s="1">
        <v>11</v>
      </c>
      <c r="G37" s="1">
        <v>14</v>
      </c>
      <c r="H37" s="1">
        <v>859</v>
      </c>
      <c r="I37" s="1">
        <v>103</v>
      </c>
      <c r="J37" s="1">
        <v>198</v>
      </c>
      <c r="K37" s="1">
        <v>36</v>
      </c>
      <c r="L37" s="1">
        <v>4</v>
      </c>
      <c r="M37" s="1">
        <v>18</v>
      </c>
      <c r="N37" s="1">
        <v>95</v>
      </c>
      <c r="O37" s="1">
        <v>3</v>
      </c>
      <c r="P37" s="1">
        <v>6</v>
      </c>
      <c r="Q37" s="1">
        <v>26</v>
      </c>
      <c r="R37" s="1">
        <v>6</v>
      </c>
      <c r="S37" s="1">
        <v>80</v>
      </c>
      <c r="T37" s="1">
        <v>4</v>
      </c>
      <c r="U37" s="1">
        <v>10</v>
      </c>
      <c r="V37" s="1">
        <v>182</v>
      </c>
      <c r="W37" s="1">
        <v>18</v>
      </c>
      <c r="X37" s="1">
        <v>958</v>
      </c>
      <c r="Y37" s="1">
        <v>296</v>
      </c>
      <c r="Z37" s="1">
        <v>58</v>
      </c>
      <c r="AA37" s="1">
        <v>0.23100000000000001</v>
      </c>
      <c r="AB37" s="1">
        <v>0.30199999999999999</v>
      </c>
      <c r="AC37" s="1">
        <v>0.34499999999999997</v>
      </c>
      <c r="AD37" s="1">
        <v>0.64600000000000002</v>
      </c>
      <c r="AE37" s="212"/>
    </row>
    <row r="38" spans="1:42" x14ac:dyDescent="0.3">
      <c r="A38" s="1" t="s">
        <v>31</v>
      </c>
      <c r="B38" s="1">
        <v>2023</v>
      </c>
      <c r="C38" s="1">
        <v>27</v>
      </c>
      <c r="D38" s="211" t="s">
        <v>3604</v>
      </c>
      <c r="E38" s="1">
        <v>0.44400000000000001</v>
      </c>
      <c r="F38" s="1">
        <v>12</v>
      </c>
      <c r="G38" s="1">
        <v>15</v>
      </c>
      <c r="H38" s="1">
        <v>936</v>
      </c>
      <c r="I38" s="1">
        <v>97</v>
      </c>
      <c r="J38" s="1">
        <v>211</v>
      </c>
      <c r="K38" s="1">
        <v>42</v>
      </c>
      <c r="L38" s="1">
        <v>1</v>
      </c>
      <c r="M38" s="1">
        <v>23</v>
      </c>
      <c r="N38" s="1">
        <v>96</v>
      </c>
      <c r="O38" s="1">
        <v>1</v>
      </c>
      <c r="P38" s="1">
        <v>3</v>
      </c>
      <c r="Q38" s="1">
        <v>17</v>
      </c>
      <c r="R38" s="1">
        <v>6</v>
      </c>
      <c r="S38" s="1">
        <v>93</v>
      </c>
      <c r="T38" s="1">
        <v>4</v>
      </c>
      <c r="U38" s="1">
        <v>7</v>
      </c>
      <c r="V38" s="1">
        <v>253</v>
      </c>
      <c r="W38" s="1">
        <v>15</v>
      </c>
      <c r="X38" s="308">
        <v>1040</v>
      </c>
      <c r="Y38" s="1">
        <v>324</v>
      </c>
      <c r="Z38" s="1">
        <v>66</v>
      </c>
      <c r="AA38" s="1">
        <v>0.22500000000000001</v>
      </c>
      <c r="AB38" s="1">
        <v>0.29899999999999999</v>
      </c>
      <c r="AC38" s="1">
        <v>0.34599999999999997</v>
      </c>
      <c r="AD38" s="1">
        <v>0.64500000000000002</v>
      </c>
      <c r="AE38" s="212"/>
    </row>
    <row r="39" spans="1:42" x14ac:dyDescent="0.3">
      <c r="A39" s="1" t="s">
        <v>25</v>
      </c>
      <c r="B39" s="1">
        <v>2023</v>
      </c>
      <c r="C39" s="1">
        <v>24</v>
      </c>
      <c r="D39" s="211" t="s">
        <v>3595</v>
      </c>
      <c r="E39" s="1">
        <v>0.58299999999999996</v>
      </c>
      <c r="F39" s="1">
        <v>14</v>
      </c>
      <c r="G39" s="1">
        <v>10</v>
      </c>
      <c r="H39" s="1">
        <v>825</v>
      </c>
      <c r="I39" s="1">
        <v>104</v>
      </c>
      <c r="J39" s="1">
        <v>203</v>
      </c>
      <c r="K39" s="1">
        <v>42</v>
      </c>
      <c r="L39" s="1">
        <v>3</v>
      </c>
      <c r="M39" s="1">
        <v>24</v>
      </c>
      <c r="N39" s="1">
        <v>102</v>
      </c>
      <c r="O39" s="1">
        <v>3</v>
      </c>
      <c r="P39" s="1">
        <v>7</v>
      </c>
      <c r="Q39" s="1">
        <v>13</v>
      </c>
      <c r="R39" s="1">
        <v>7</v>
      </c>
      <c r="S39" s="1">
        <v>70</v>
      </c>
      <c r="T39" s="1">
        <v>2</v>
      </c>
      <c r="U39" s="1">
        <v>9</v>
      </c>
      <c r="V39" s="1">
        <v>200</v>
      </c>
      <c r="W39" s="1">
        <v>19</v>
      </c>
      <c r="X39" s="1">
        <v>914</v>
      </c>
      <c r="Y39" s="1">
        <v>323</v>
      </c>
      <c r="Z39" s="1">
        <v>69</v>
      </c>
      <c r="AA39" s="1">
        <v>0.246</v>
      </c>
      <c r="AB39" s="1">
        <v>0.31</v>
      </c>
      <c r="AC39" s="1">
        <v>0.39200000000000002</v>
      </c>
      <c r="AD39" s="1">
        <v>0.70099999999999996</v>
      </c>
      <c r="AE39" s="212"/>
    </row>
    <row r="40" spans="1:42" x14ac:dyDescent="0.3">
      <c r="A40" s="1" t="s">
        <v>30</v>
      </c>
      <c r="B40" s="1">
        <v>2023</v>
      </c>
      <c r="C40" s="1">
        <v>25</v>
      </c>
      <c r="D40" s="211" t="s">
        <v>3622</v>
      </c>
      <c r="E40" s="1">
        <v>0.32</v>
      </c>
      <c r="F40" s="1">
        <v>8</v>
      </c>
      <c r="G40" s="1">
        <v>17</v>
      </c>
      <c r="H40" s="1">
        <v>837</v>
      </c>
      <c r="I40" s="1">
        <v>86</v>
      </c>
      <c r="J40" s="1">
        <v>185</v>
      </c>
      <c r="K40" s="1">
        <v>41</v>
      </c>
      <c r="L40" s="1">
        <v>4</v>
      </c>
      <c r="M40" s="1">
        <v>21</v>
      </c>
      <c r="N40" s="1">
        <v>80</v>
      </c>
      <c r="O40" s="1">
        <v>2</v>
      </c>
      <c r="P40" s="1">
        <v>5</v>
      </c>
      <c r="Q40" s="1">
        <v>17</v>
      </c>
      <c r="R40" s="1">
        <v>5</v>
      </c>
      <c r="S40" s="1">
        <v>56</v>
      </c>
      <c r="T40" s="1">
        <v>3</v>
      </c>
      <c r="U40" s="1">
        <v>10</v>
      </c>
      <c r="V40" s="1">
        <v>242</v>
      </c>
      <c r="W40" s="1">
        <v>13</v>
      </c>
      <c r="X40" s="1">
        <v>910</v>
      </c>
      <c r="Y40" s="1">
        <v>297</v>
      </c>
      <c r="Z40" s="1">
        <v>66</v>
      </c>
      <c r="AA40" s="1">
        <v>0.221</v>
      </c>
      <c r="AB40" s="1">
        <v>0.27600000000000002</v>
      </c>
      <c r="AC40" s="1">
        <v>0.35499999999999998</v>
      </c>
      <c r="AD40" s="1">
        <v>0.63100000000000001</v>
      </c>
      <c r="AE40" s="212"/>
    </row>
    <row r="41" spans="1:42" x14ac:dyDescent="0.3">
      <c r="A41" s="1" t="s">
        <v>22</v>
      </c>
      <c r="B41" s="1">
        <v>2023</v>
      </c>
      <c r="C41" s="1">
        <v>26</v>
      </c>
      <c r="D41" s="211" t="s">
        <v>3623</v>
      </c>
      <c r="E41" s="1">
        <v>0.5</v>
      </c>
      <c r="F41" s="1">
        <v>13</v>
      </c>
      <c r="G41" s="1">
        <v>13</v>
      </c>
      <c r="H41" s="1">
        <v>905</v>
      </c>
      <c r="I41" s="1">
        <v>123</v>
      </c>
      <c r="J41" s="1">
        <v>236</v>
      </c>
      <c r="K41" s="1">
        <v>35</v>
      </c>
      <c r="L41" s="1">
        <v>1</v>
      </c>
      <c r="M41" s="1">
        <v>27</v>
      </c>
      <c r="N41" s="1">
        <v>123</v>
      </c>
      <c r="O41" s="1">
        <v>0</v>
      </c>
      <c r="P41" s="1">
        <v>12</v>
      </c>
      <c r="Q41" s="1">
        <v>11</v>
      </c>
      <c r="R41" s="1">
        <v>5</v>
      </c>
      <c r="S41" s="1">
        <v>79</v>
      </c>
      <c r="T41" s="1">
        <v>1</v>
      </c>
      <c r="U41" s="1">
        <v>16</v>
      </c>
      <c r="V41" s="1">
        <v>223</v>
      </c>
      <c r="W41" s="1">
        <v>21</v>
      </c>
      <c r="X41" s="308">
        <v>1012</v>
      </c>
      <c r="Y41" s="1">
        <v>354</v>
      </c>
      <c r="Z41" s="1">
        <v>63</v>
      </c>
      <c r="AA41" s="1">
        <v>0.26100000000000001</v>
      </c>
      <c r="AB41" s="1">
        <v>0.32700000000000001</v>
      </c>
      <c r="AC41" s="1">
        <v>0.39100000000000001</v>
      </c>
      <c r="AD41" s="1">
        <v>0.71799999999999997</v>
      </c>
      <c r="AE41" s="212"/>
    </row>
    <row r="42" spans="1:42" x14ac:dyDescent="0.3">
      <c r="A42" s="1" t="s">
        <v>27</v>
      </c>
      <c r="B42" s="1">
        <v>2023</v>
      </c>
      <c r="C42" s="1">
        <v>25</v>
      </c>
      <c r="D42" s="211" t="s">
        <v>3621</v>
      </c>
      <c r="E42" s="1">
        <v>0.44</v>
      </c>
      <c r="F42" s="1">
        <v>11</v>
      </c>
      <c r="G42" s="1">
        <v>14</v>
      </c>
      <c r="H42" s="1">
        <v>857</v>
      </c>
      <c r="I42" s="1">
        <v>105</v>
      </c>
      <c r="J42" s="1">
        <v>183</v>
      </c>
      <c r="K42" s="1">
        <v>33</v>
      </c>
      <c r="L42" s="1">
        <v>3</v>
      </c>
      <c r="M42" s="1">
        <v>32</v>
      </c>
      <c r="N42" s="1">
        <v>100</v>
      </c>
      <c r="O42" s="1">
        <v>3</v>
      </c>
      <c r="P42" s="1">
        <v>5</v>
      </c>
      <c r="Q42" s="1">
        <v>12</v>
      </c>
      <c r="R42" s="1">
        <v>3</v>
      </c>
      <c r="S42" s="1">
        <v>87</v>
      </c>
      <c r="T42" s="1">
        <v>2</v>
      </c>
      <c r="U42" s="1">
        <v>13</v>
      </c>
      <c r="V42" s="1">
        <v>254</v>
      </c>
      <c r="W42" s="1">
        <v>17</v>
      </c>
      <c r="X42" s="1">
        <v>965</v>
      </c>
      <c r="Y42" s="1">
        <v>318</v>
      </c>
      <c r="Z42" s="1">
        <v>68</v>
      </c>
      <c r="AA42" s="1">
        <v>0.214</v>
      </c>
      <c r="AB42" s="1">
        <v>0.29399999999999998</v>
      </c>
      <c r="AC42" s="1">
        <v>0.371</v>
      </c>
      <c r="AD42" s="1">
        <v>0.66500000000000004</v>
      </c>
      <c r="AE42" s="212"/>
    </row>
    <row r="43" spans="1:42" ht="15" thickBot="1" x14ac:dyDescent="0.35">
      <c r="A43" s="1" t="s">
        <v>11</v>
      </c>
      <c r="B43" s="1">
        <v>2023</v>
      </c>
      <c r="C43" s="1">
        <v>23</v>
      </c>
      <c r="D43" s="211" t="s">
        <v>3624</v>
      </c>
      <c r="E43" s="1">
        <v>0.56499999999999995</v>
      </c>
      <c r="F43" s="1">
        <v>13</v>
      </c>
      <c r="G43" s="1">
        <v>10</v>
      </c>
      <c r="H43" s="1">
        <v>782</v>
      </c>
      <c r="I43" s="1">
        <v>103</v>
      </c>
      <c r="J43" s="1">
        <v>185</v>
      </c>
      <c r="K43" s="1">
        <v>37</v>
      </c>
      <c r="L43" s="1">
        <v>4</v>
      </c>
      <c r="M43" s="1">
        <v>27</v>
      </c>
      <c r="N43" s="1">
        <v>98</v>
      </c>
      <c r="O43" s="1">
        <v>1</v>
      </c>
      <c r="P43" s="1">
        <v>6</v>
      </c>
      <c r="Q43" s="1">
        <v>10</v>
      </c>
      <c r="R43" s="1">
        <v>6</v>
      </c>
      <c r="S43" s="1">
        <v>74</v>
      </c>
      <c r="T43" s="1">
        <v>2</v>
      </c>
      <c r="U43" s="1">
        <v>6</v>
      </c>
      <c r="V43" s="1">
        <v>195</v>
      </c>
      <c r="W43" s="1">
        <v>17</v>
      </c>
      <c r="X43" s="1">
        <v>869</v>
      </c>
      <c r="Y43" s="1">
        <v>311</v>
      </c>
      <c r="Z43" s="1">
        <v>68</v>
      </c>
      <c r="AA43" s="1">
        <v>0.23699999999999999</v>
      </c>
      <c r="AB43" s="1">
        <v>0.30499999999999999</v>
      </c>
      <c r="AC43" s="1">
        <v>0.39800000000000002</v>
      </c>
      <c r="AD43" s="1">
        <v>0.70299999999999996</v>
      </c>
      <c r="AE43" s="212"/>
    </row>
    <row r="44" spans="1:42" x14ac:dyDescent="0.3">
      <c r="A44" s="1" t="s">
        <v>26</v>
      </c>
      <c r="B44" s="1">
        <v>2023</v>
      </c>
      <c r="C44" s="1">
        <v>26</v>
      </c>
      <c r="D44" s="211" t="s">
        <v>3625</v>
      </c>
      <c r="E44" s="1">
        <v>0.192</v>
      </c>
      <c r="F44" s="1">
        <v>5</v>
      </c>
      <c r="G44" s="1">
        <v>21</v>
      </c>
      <c r="H44" s="1">
        <v>875</v>
      </c>
      <c r="I44" s="1">
        <v>99</v>
      </c>
      <c r="J44" s="1">
        <v>207</v>
      </c>
      <c r="K44" s="1">
        <v>36</v>
      </c>
      <c r="L44" s="1">
        <v>3</v>
      </c>
      <c r="M44" s="1">
        <v>29</v>
      </c>
      <c r="N44" s="1">
        <v>95</v>
      </c>
      <c r="O44" s="1">
        <v>3</v>
      </c>
      <c r="P44" s="1">
        <v>5</v>
      </c>
      <c r="Q44" s="1">
        <v>25</v>
      </c>
      <c r="R44" s="1">
        <v>5</v>
      </c>
      <c r="S44" s="1">
        <v>78</v>
      </c>
      <c r="T44" s="1">
        <v>3</v>
      </c>
      <c r="U44" s="1">
        <v>16</v>
      </c>
      <c r="V44" s="1">
        <v>241</v>
      </c>
      <c r="W44" s="1">
        <v>19</v>
      </c>
      <c r="X44" s="1">
        <v>977</v>
      </c>
      <c r="Y44" s="1">
        <v>336</v>
      </c>
      <c r="Z44" s="1">
        <v>68</v>
      </c>
      <c r="AA44" s="1">
        <v>0.23699999999999999</v>
      </c>
      <c r="AB44" s="1">
        <v>0.309</v>
      </c>
      <c r="AC44" s="1">
        <v>0.38400000000000001</v>
      </c>
      <c r="AD44" s="1">
        <v>0.69299999999999995</v>
      </c>
      <c r="AE44" s="291" t="s">
        <v>98</v>
      </c>
    </row>
    <row r="45" spans="1:42" ht="15" thickBot="1" x14ac:dyDescent="0.35">
      <c r="A45" s="1" t="s">
        <v>23</v>
      </c>
      <c r="B45" s="1">
        <v>2023</v>
      </c>
      <c r="C45" s="1">
        <v>24</v>
      </c>
      <c r="D45" s="211" t="s">
        <v>3626</v>
      </c>
      <c r="E45" s="1">
        <v>0.5</v>
      </c>
      <c r="F45" s="1">
        <v>12</v>
      </c>
      <c r="G45" s="1">
        <v>12</v>
      </c>
      <c r="H45" s="1">
        <v>836</v>
      </c>
      <c r="I45" s="1">
        <v>111</v>
      </c>
      <c r="J45" s="1">
        <v>191</v>
      </c>
      <c r="K45" s="1">
        <v>38</v>
      </c>
      <c r="L45" s="1">
        <v>2</v>
      </c>
      <c r="M45" s="1">
        <v>30</v>
      </c>
      <c r="N45" s="1">
        <v>107</v>
      </c>
      <c r="O45" s="1">
        <v>1</v>
      </c>
      <c r="P45" s="1">
        <v>7</v>
      </c>
      <c r="Q45" s="1">
        <v>17</v>
      </c>
      <c r="R45" s="1">
        <v>8</v>
      </c>
      <c r="S45" s="1">
        <v>89</v>
      </c>
      <c r="T45" s="1">
        <v>1</v>
      </c>
      <c r="U45" s="1">
        <v>8</v>
      </c>
      <c r="V45" s="1">
        <v>246</v>
      </c>
      <c r="W45" s="1">
        <v>13</v>
      </c>
      <c r="X45" s="1">
        <v>941</v>
      </c>
      <c r="Y45" s="1">
        <v>323</v>
      </c>
      <c r="Z45" s="1">
        <v>70</v>
      </c>
      <c r="AA45" s="1">
        <v>0.22800000000000001</v>
      </c>
      <c r="AB45" s="1">
        <v>0.30599999999999999</v>
      </c>
      <c r="AC45" s="1">
        <v>0.38600000000000001</v>
      </c>
      <c r="AD45" s="1">
        <v>0.69299999999999995</v>
      </c>
      <c r="AE45" s="292"/>
    </row>
    <row r="46" spans="1:42" x14ac:dyDescent="0.3">
      <c r="A46" s="1" t="s">
        <v>0</v>
      </c>
      <c r="B46" s="1">
        <v>2023</v>
      </c>
      <c r="C46" s="1">
        <v>23</v>
      </c>
      <c r="D46" s="211" t="s">
        <v>3624</v>
      </c>
      <c r="E46" s="1">
        <v>0.56499999999999995</v>
      </c>
      <c r="F46" s="1">
        <v>13</v>
      </c>
      <c r="G46" s="1">
        <v>10</v>
      </c>
      <c r="H46" s="1">
        <v>831</v>
      </c>
      <c r="I46" s="1">
        <v>145</v>
      </c>
      <c r="J46" s="1">
        <v>235</v>
      </c>
      <c r="K46" s="1">
        <v>38</v>
      </c>
      <c r="L46" s="1">
        <v>3</v>
      </c>
      <c r="M46" s="1">
        <v>48</v>
      </c>
      <c r="N46" s="1">
        <v>140</v>
      </c>
      <c r="O46" s="1">
        <v>0</v>
      </c>
      <c r="P46" s="1">
        <v>9</v>
      </c>
      <c r="Q46" s="1">
        <v>29</v>
      </c>
      <c r="R46" s="1">
        <v>6</v>
      </c>
      <c r="S46" s="1">
        <v>77</v>
      </c>
      <c r="T46" s="1">
        <v>0</v>
      </c>
      <c r="U46" s="1">
        <v>12</v>
      </c>
      <c r="V46" s="1">
        <v>199</v>
      </c>
      <c r="W46" s="1">
        <v>18</v>
      </c>
      <c r="X46" s="1">
        <v>929</v>
      </c>
      <c r="Y46" s="1">
        <v>423</v>
      </c>
      <c r="Z46" s="1">
        <v>89</v>
      </c>
      <c r="AA46" s="1">
        <v>0.28299999999999997</v>
      </c>
      <c r="AB46" s="1">
        <v>0.34899999999999998</v>
      </c>
      <c r="AC46" s="1">
        <v>0.50900000000000001</v>
      </c>
      <c r="AD46" s="1">
        <v>0.85799999999999998</v>
      </c>
      <c r="AE46" s="291" t="s">
        <v>110</v>
      </c>
    </row>
    <row r="47" spans="1:42" ht="15" thickBot="1" x14ac:dyDescent="0.35">
      <c r="A47" s="1" t="s">
        <v>18</v>
      </c>
      <c r="B47" s="1">
        <v>2023</v>
      </c>
      <c r="C47" s="1">
        <v>25</v>
      </c>
      <c r="D47" s="211" t="s">
        <v>3612</v>
      </c>
      <c r="E47" s="1">
        <v>0.6</v>
      </c>
      <c r="F47" s="1">
        <v>15</v>
      </c>
      <c r="G47" s="1">
        <v>10</v>
      </c>
      <c r="H47" s="1">
        <v>889</v>
      </c>
      <c r="I47" s="1">
        <v>147</v>
      </c>
      <c r="J47" s="1">
        <v>228</v>
      </c>
      <c r="K47" s="1">
        <v>50</v>
      </c>
      <c r="L47" s="1">
        <v>5</v>
      </c>
      <c r="M47" s="1">
        <v>25</v>
      </c>
      <c r="N47" s="1">
        <v>140</v>
      </c>
      <c r="O47" s="1">
        <v>3</v>
      </c>
      <c r="P47" s="1">
        <v>11</v>
      </c>
      <c r="Q47" s="1">
        <v>21</v>
      </c>
      <c r="R47" s="1">
        <v>3</v>
      </c>
      <c r="S47" s="1">
        <v>83</v>
      </c>
      <c r="T47" s="1">
        <v>3</v>
      </c>
      <c r="U47" s="1">
        <v>14</v>
      </c>
      <c r="V47" s="1">
        <v>244</v>
      </c>
      <c r="W47" s="1">
        <v>13</v>
      </c>
      <c r="X47" s="308">
        <v>1000</v>
      </c>
      <c r="Y47" s="1">
        <v>363</v>
      </c>
      <c r="Z47" s="1">
        <v>80</v>
      </c>
      <c r="AA47" s="1">
        <v>0.25600000000000001</v>
      </c>
      <c r="AB47" s="1">
        <v>0.32600000000000001</v>
      </c>
      <c r="AC47" s="1">
        <v>0.40799999999999997</v>
      </c>
      <c r="AD47" s="1">
        <v>0.73399999999999999</v>
      </c>
      <c r="AE47" s="292"/>
    </row>
    <row r="48" spans="1:42" x14ac:dyDescent="0.3">
      <c r="A48" s="1" t="s">
        <v>15</v>
      </c>
      <c r="B48" s="1">
        <v>2023</v>
      </c>
      <c r="C48" s="1">
        <v>28</v>
      </c>
      <c r="D48" s="211" t="s">
        <v>3627</v>
      </c>
      <c r="E48" s="1">
        <v>0.46400000000000002</v>
      </c>
      <c r="F48" s="1">
        <v>13</v>
      </c>
      <c r="G48" s="1">
        <v>15</v>
      </c>
      <c r="H48" s="308">
        <v>1005</v>
      </c>
      <c r="I48" s="1">
        <v>147</v>
      </c>
      <c r="J48" s="1">
        <v>271</v>
      </c>
      <c r="K48" s="1">
        <v>57</v>
      </c>
      <c r="L48" s="1">
        <v>3</v>
      </c>
      <c r="M48" s="1">
        <v>37</v>
      </c>
      <c r="N48" s="1">
        <v>134</v>
      </c>
      <c r="O48" s="1">
        <v>1</v>
      </c>
      <c r="P48" s="1">
        <v>5</v>
      </c>
      <c r="Q48" s="1">
        <v>18</v>
      </c>
      <c r="R48" s="1">
        <v>6</v>
      </c>
      <c r="S48" s="1">
        <v>89</v>
      </c>
      <c r="T48" s="1">
        <v>1</v>
      </c>
      <c r="U48" s="1">
        <v>10</v>
      </c>
      <c r="V48" s="1">
        <v>239</v>
      </c>
      <c r="W48" s="1">
        <v>18</v>
      </c>
      <c r="X48" s="308">
        <v>1110</v>
      </c>
      <c r="Y48" s="1">
        <v>445</v>
      </c>
      <c r="Z48" s="1">
        <v>97</v>
      </c>
      <c r="AA48" s="1">
        <v>0.27</v>
      </c>
      <c r="AB48" s="1">
        <v>0.33400000000000002</v>
      </c>
      <c r="AC48" s="1">
        <v>0.443</v>
      </c>
      <c r="AD48" s="1">
        <v>0.77600000000000002</v>
      </c>
      <c r="AE48" s="291" t="s">
        <v>98</v>
      </c>
    </row>
    <row r="49" spans="1:31" ht="15" thickBot="1" x14ac:dyDescent="0.35">
      <c r="A49" s="1" t="s">
        <v>29</v>
      </c>
      <c r="B49" s="1">
        <v>2023</v>
      </c>
      <c r="C49" s="1">
        <v>26</v>
      </c>
      <c r="D49" s="211" t="s">
        <v>3605</v>
      </c>
      <c r="E49" s="1">
        <v>0.57699999999999996</v>
      </c>
      <c r="F49" s="1">
        <v>15</v>
      </c>
      <c r="G49" s="1">
        <v>11</v>
      </c>
      <c r="H49" s="1">
        <v>901</v>
      </c>
      <c r="I49" s="1">
        <v>134</v>
      </c>
      <c r="J49" s="1">
        <v>222</v>
      </c>
      <c r="K49" s="1">
        <v>54</v>
      </c>
      <c r="L49" s="1">
        <v>2</v>
      </c>
      <c r="M49" s="1">
        <v>34</v>
      </c>
      <c r="N49" s="1">
        <v>129</v>
      </c>
      <c r="O49" s="1">
        <v>5</v>
      </c>
      <c r="P49" s="1">
        <v>11</v>
      </c>
      <c r="Q49" s="1">
        <v>21</v>
      </c>
      <c r="R49" s="1">
        <v>4</v>
      </c>
      <c r="S49" s="1">
        <v>79</v>
      </c>
      <c r="T49" s="1">
        <v>2</v>
      </c>
      <c r="U49" s="1">
        <v>9</v>
      </c>
      <c r="V49" s="1">
        <v>214</v>
      </c>
      <c r="W49" s="1">
        <v>21</v>
      </c>
      <c r="X49" s="308">
        <v>1005</v>
      </c>
      <c r="Y49" s="1">
        <v>382</v>
      </c>
      <c r="Z49" s="1">
        <v>90</v>
      </c>
      <c r="AA49" s="1">
        <v>0.246</v>
      </c>
      <c r="AB49" s="1">
        <v>0.31</v>
      </c>
      <c r="AC49" s="1">
        <v>0.42399999999999999</v>
      </c>
      <c r="AD49" s="1">
        <v>0.73399999999999999</v>
      </c>
      <c r="AE49" s="292"/>
    </row>
    <row r="50" spans="1:31" x14ac:dyDescent="0.3">
      <c r="A50" s="1" t="s">
        <v>7</v>
      </c>
      <c r="B50" s="1">
        <v>2023</v>
      </c>
      <c r="C50" s="1">
        <v>24</v>
      </c>
      <c r="D50" s="211" t="s">
        <v>3600</v>
      </c>
      <c r="E50" s="1">
        <v>0.70799999999999996</v>
      </c>
      <c r="F50" s="1">
        <v>17</v>
      </c>
      <c r="G50" s="1">
        <v>7</v>
      </c>
      <c r="H50" s="1">
        <v>822</v>
      </c>
      <c r="I50" s="1">
        <v>137</v>
      </c>
      <c r="J50" s="1">
        <v>216</v>
      </c>
      <c r="K50" s="1">
        <v>43</v>
      </c>
      <c r="L50" s="1">
        <v>1</v>
      </c>
      <c r="M50" s="1">
        <v>49</v>
      </c>
      <c r="N50" s="1">
        <v>133</v>
      </c>
      <c r="O50" s="1">
        <v>0</v>
      </c>
      <c r="P50" s="1">
        <v>5</v>
      </c>
      <c r="Q50" s="1">
        <v>14</v>
      </c>
      <c r="R50" s="1">
        <v>3</v>
      </c>
      <c r="S50" s="1">
        <v>83</v>
      </c>
      <c r="T50" s="1">
        <v>1</v>
      </c>
      <c r="U50" s="1">
        <v>13</v>
      </c>
      <c r="V50" s="1">
        <v>200</v>
      </c>
      <c r="W50" s="1">
        <v>25</v>
      </c>
      <c r="X50" s="1">
        <v>923</v>
      </c>
      <c r="Y50" s="1">
        <v>408</v>
      </c>
      <c r="Z50" s="1">
        <v>93</v>
      </c>
      <c r="AA50" s="1">
        <v>0.26300000000000001</v>
      </c>
      <c r="AB50" s="1">
        <v>0.33800000000000002</v>
      </c>
      <c r="AC50" s="1">
        <v>0.496</v>
      </c>
      <c r="AD50" s="1">
        <v>0.83399999999999996</v>
      </c>
      <c r="AE50" s="291" t="s">
        <v>1851</v>
      </c>
    </row>
    <row r="51" spans="1:31" ht="15" thickBot="1" x14ac:dyDescent="0.35">
      <c r="A51" s="1" t="s">
        <v>17</v>
      </c>
      <c r="B51" s="1">
        <v>2023</v>
      </c>
      <c r="C51" s="1">
        <v>24</v>
      </c>
      <c r="D51" s="211" t="s">
        <v>3628</v>
      </c>
      <c r="E51" s="1">
        <v>0.375</v>
      </c>
      <c r="F51" s="1">
        <v>9</v>
      </c>
      <c r="G51" s="1">
        <v>15</v>
      </c>
      <c r="H51" s="1">
        <v>841</v>
      </c>
      <c r="I51" s="1">
        <v>114</v>
      </c>
      <c r="J51" s="1">
        <v>223</v>
      </c>
      <c r="K51" s="1">
        <v>43</v>
      </c>
      <c r="L51" s="1">
        <v>4</v>
      </c>
      <c r="M51" s="1">
        <v>32</v>
      </c>
      <c r="N51" s="1">
        <v>109</v>
      </c>
      <c r="O51" s="1">
        <v>0</v>
      </c>
      <c r="P51" s="1">
        <v>11</v>
      </c>
      <c r="Q51" s="1">
        <v>23</v>
      </c>
      <c r="R51" s="1">
        <v>6</v>
      </c>
      <c r="S51" s="1">
        <v>97</v>
      </c>
      <c r="T51" s="1">
        <v>2</v>
      </c>
      <c r="U51" s="1">
        <v>7</v>
      </c>
      <c r="V51" s="1">
        <v>238</v>
      </c>
      <c r="W51" s="1">
        <v>12</v>
      </c>
      <c r="X51" s="1">
        <v>956</v>
      </c>
      <c r="Y51" s="1">
        <v>370</v>
      </c>
      <c r="Z51" s="1">
        <v>79</v>
      </c>
      <c r="AA51" s="1">
        <v>0.26500000000000001</v>
      </c>
      <c r="AB51" s="1">
        <v>0.34200000000000003</v>
      </c>
      <c r="AC51" s="1">
        <v>0.44</v>
      </c>
      <c r="AD51" s="1">
        <v>0.78200000000000003</v>
      </c>
      <c r="AE51" s="292"/>
    </row>
    <row r="52" spans="1:31" x14ac:dyDescent="0.3">
      <c r="A52" s="1" t="s">
        <v>10</v>
      </c>
      <c r="B52" s="1">
        <v>2023</v>
      </c>
      <c r="C52" s="1">
        <v>22</v>
      </c>
      <c r="D52" s="211" t="s">
        <v>3629</v>
      </c>
      <c r="E52" s="1">
        <v>0.318</v>
      </c>
      <c r="F52" s="1">
        <v>7</v>
      </c>
      <c r="G52" s="1">
        <v>15</v>
      </c>
      <c r="H52" s="1">
        <v>749</v>
      </c>
      <c r="I52" s="1">
        <v>85</v>
      </c>
      <c r="J52" s="1">
        <v>184</v>
      </c>
      <c r="K52" s="1">
        <v>38</v>
      </c>
      <c r="L52" s="1">
        <v>1</v>
      </c>
      <c r="M52" s="1">
        <v>13</v>
      </c>
      <c r="N52" s="1">
        <v>81</v>
      </c>
      <c r="O52" s="1">
        <v>4</v>
      </c>
      <c r="P52" s="1">
        <v>5</v>
      </c>
      <c r="Q52" s="1">
        <v>18</v>
      </c>
      <c r="R52" s="1">
        <v>6</v>
      </c>
      <c r="S52" s="1">
        <v>79</v>
      </c>
      <c r="T52" s="1">
        <v>2</v>
      </c>
      <c r="U52" s="1">
        <v>8</v>
      </c>
      <c r="V52" s="1">
        <v>205</v>
      </c>
      <c r="W52" s="1">
        <v>14</v>
      </c>
      <c r="X52" s="1">
        <v>845</v>
      </c>
      <c r="Y52" s="1">
        <v>263</v>
      </c>
      <c r="Z52" s="1">
        <v>52</v>
      </c>
      <c r="AA52" s="1">
        <v>0.246</v>
      </c>
      <c r="AB52" s="1">
        <v>0.32200000000000001</v>
      </c>
      <c r="AC52" s="1">
        <v>0.35099999999999998</v>
      </c>
      <c r="AD52" s="1">
        <v>0.67300000000000004</v>
      </c>
      <c r="AE52" s="212"/>
    </row>
    <row r="53" spans="1:31" x14ac:dyDescent="0.3">
      <c r="A53" s="1" t="s">
        <v>21</v>
      </c>
      <c r="B53" s="1">
        <v>2023</v>
      </c>
      <c r="C53" s="1">
        <v>25</v>
      </c>
      <c r="D53" s="211" t="s">
        <v>3630</v>
      </c>
      <c r="E53" s="1">
        <v>0.36</v>
      </c>
      <c r="F53" s="1">
        <v>9</v>
      </c>
      <c r="G53" s="1">
        <v>16</v>
      </c>
      <c r="H53" s="1">
        <v>845</v>
      </c>
      <c r="I53" s="1">
        <v>95</v>
      </c>
      <c r="J53" s="1">
        <v>198</v>
      </c>
      <c r="K53" s="1">
        <v>44</v>
      </c>
      <c r="L53" s="1">
        <v>1</v>
      </c>
      <c r="M53" s="1">
        <v>17</v>
      </c>
      <c r="N53" s="1">
        <v>90</v>
      </c>
      <c r="O53" s="1">
        <v>2</v>
      </c>
      <c r="P53" s="1">
        <v>8</v>
      </c>
      <c r="Q53" s="1">
        <v>10</v>
      </c>
      <c r="R53" s="1">
        <v>1</v>
      </c>
      <c r="S53" s="1">
        <v>73</v>
      </c>
      <c r="T53" s="1">
        <v>0</v>
      </c>
      <c r="U53" s="1">
        <v>8</v>
      </c>
      <c r="V53" s="1">
        <v>230</v>
      </c>
      <c r="W53" s="1">
        <v>18</v>
      </c>
      <c r="X53" s="1">
        <v>936</v>
      </c>
      <c r="Y53" s="1">
        <v>295</v>
      </c>
      <c r="Z53" s="1">
        <v>62</v>
      </c>
      <c r="AA53" s="1">
        <v>0.23400000000000001</v>
      </c>
      <c r="AB53" s="1">
        <v>0.29899999999999999</v>
      </c>
      <c r="AC53" s="1">
        <v>0.34899999999999998</v>
      </c>
      <c r="AD53" s="1">
        <v>0.64800000000000002</v>
      </c>
      <c r="AE53" s="212"/>
    </row>
    <row r="54" spans="1:31" x14ac:dyDescent="0.3">
      <c r="A54" s="1" t="s">
        <v>2</v>
      </c>
      <c r="B54" s="1">
        <v>2023</v>
      </c>
      <c r="C54" s="1">
        <v>27</v>
      </c>
      <c r="D54" s="211" t="s">
        <v>3631</v>
      </c>
      <c r="E54" s="1">
        <v>0.51900000000000002</v>
      </c>
      <c r="F54" s="1">
        <v>14</v>
      </c>
      <c r="G54" s="1">
        <v>13</v>
      </c>
      <c r="H54" s="1">
        <v>919</v>
      </c>
      <c r="I54" s="1">
        <v>142</v>
      </c>
      <c r="J54" s="1">
        <v>205</v>
      </c>
      <c r="K54" s="1">
        <v>49</v>
      </c>
      <c r="L54" s="1">
        <v>7</v>
      </c>
      <c r="M54" s="1">
        <v>43</v>
      </c>
      <c r="N54" s="1">
        <v>138</v>
      </c>
      <c r="O54" s="1">
        <v>0</v>
      </c>
      <c r="P54" s="1">
        <v>11</v>
      </c>
      <c r="Q54" s="1">
        <v>12</v>
      </c>
      <c r="R54" s="1">
        <v>2</v>
      </c>
      <c r="S54" s="1">
        <v>110</v>
      </c>
      <c r="T54" s="1">
        <v>2</v>
      </c>
      <c r="U54" s="1">
        <v>11</v>
      </c>
      <c r="V54" s="1">
        <v>240</v>
      </c>
      <c r="W54" s="1">
        <v>11</v>
      </c>
      <c r="X54" s="308">
        <v>1051</v>
      </c>
      <c r="Y54" s="1">
        <v>397</v>
      </c>
      <c r="Z54" s="1">
        <v>99</v>
      </c>
      <c r="AA54" s="1">
        <v>0.223</v>
      </c>
      <c r="AB54" s="1">
        <v>0.31</v>
      </c>
      <c r="AC54" s="1">
        <v>0.432</v>
      </c>
      <c r="AD54" s="1">
        <v>0.74199999999999999</v>
      </c>
      <c r="AE54" s="212"/>
    </row>
    <row r="55" spans="1:31" x14ac:dyDescent="0.3">
      <c r="A55" s="1" t="s">
        <v>28</v>
      </c>
      <c r="B55" s="1">
        <v>2023</v>
      </c>
      <c r="C55" s="1">
        <v>25</v>
      </c>
      <c r="D55" s="211" t="s">
        <v>3621</v>
      </c>
      <c r="E55" s="1">
        <v>0.44</v>
      </c>
      <c r="F55" s="1">
        <v>11</v>
      </c>
      <c r="G55" s="1">
        <v>14</v>
      </c>
      <c r="H55" s="1">
        <v>868</v>
      </c>
      <c r="I55" s="1">
        <v>99</v>
      </c>
      <c r="J55" s="1">
        <v>215</v>
      </c>
      <c r="K55" s="1">
        <v>40</v>
      </c>
      <c r="L55" s="1">
        <v>4</v>
      </c>
      <c r="M55" s="1">
        <v>28</v>
      </c>
      <c r="N55" s="1">
        <v>95</v>
      </c>
      <c r="O55" s="1">
        <v>8</v>
      </c>
      <c r="P55" s="1">
        <v>6</v>
      </c>
      <c r="Q55" s="1">
        <v>21</v>
      </c>
      <c r="R55" s="1">
        <v>4</v>
      </c>
      <c r="S55" s="1">
        <v>68</v>
      </c>
      <c r="T55" s="1">
        <v>2</v>
      </c>
      <c r="U55" s="1">
        <v>4</v>
      </c>
      <c r="V55" s="1">
        <v>207</v>
      </c>
      <c r="W55" s="1">
        <v>24</v>
      </c>
      <c r="X55" s="1">
        <v>954</v>
      </c>
      <c r="Y55" s="1">
        <v>347</v>
      </c>
      <c r="Z55" s="1">
        <v>72</v>
      </c>
      <c r="AA55" s="1">
        <v>0.248</v>
      </c>
      <c r="AB55" s="1">
        <v>0.30299999999999999</v>
      </c>
      <c r="AC55" s="1">
        <v>0.4</v>
      </c>
      <c r="AD55" s="1">
        <v>0.70299999999999996</v>
      </c>
      <c r="AE55" s="212"/>
    </row>
    <row r="56" spans="1:31" x14ac:dyDescent="0.3">
      <c r="A56" s="1" t="s">
        <v>4</v>
      </c>
      <c r="B56" s="1">
        <v>2023</v>
      </c>
      <c r="C56" s="1">
        <v>25</v>
      </c>
      <c r="D56" s="211" t="s">
        <v>3599</v>
      </c>
      <c r="E56" s="1">
        <v>0.48</v>
      </c>
      <c r="F56" s="1">
        <v>12</v>
      </c>
      <c r="G56" s="1">
        <v>13</v>
      </c>
      <c r="H56" s="1">
        <v>847</v>
      </c>
      <c r="I56" s="1">
        <v>94</v>
      </c>
      <c r="J56" s="1">
        <v>204</v>
      </c>
      <c r="K56" s="1">
        <v>31</v>
      </c>
      <c r="L56" s="1">
        <v>2</v>
      </c>
      <c r="M56" s="1">
        <v>23</v>
      </c>
      <c r="N56" s="1">
        <v>90</v>
      </c>
      <c r="O56" s="1">
        <v>0</v>
      </c>
      <c r="P56" s="1">
        <v>8</v>
      </c>
      <c r="Q56" s="1">
        <v>22</v>
      </c>
      <c r="R56" s="1">
        <v>7</v>
      </c>
      <c r="S56" s="1">
        <v>85</v>
      </c>
      <c r="T56" s="1">
        <v>2</v>
      </c>
      <c r="U56" s="1">
        <v>6</v>
      </c>
      <c r="V56" s="1">
        <v>237</v>
      </c>
      <c r="W56" s="1">
        <v>27</v>
      </c>
      <c r="X56" s="1">
        <v>946</v>
      </c>
      <c r="Y56" s="1">
        <v>308</v>
      </c>
      <c r="Z56" s="1">
        <v>56</v>
      </c>
      <c r="AA56" s="1">
        <v>0.24099999999999999</v>
      </c>
      <c r="AB56" s="1">
        <v>0.312</v>
      </c>
      <c r="AC56" s="1">
        <v>0.36399999999999999</v>
      </c>
      <c r="AD56" s="1">
        <v>0.67500000000000004</v>
      </c>
      <c r="AE56" s="212"/>
    </row>
    <row r="57" spans="1:31" x14ac:dyDescent="0.3">
      <c r="A57" s="1" t="s">
        <v>24</v>
      </c>
      <c r="B57" s="1">
        <v>2023</v>
      </c>
      <c r="C57" s="1">
        <v>29</v>
      </c>
      <c r="D57" s="211" t="s">
        <v>3632</v>
      </c>
      <c r="E57" s="1">
        <v>0.44800000000000001</v>
      </c>
      <c r="F57" s="1">
        <v>13</v>
      </c>
      <c r="G57" s="1">
        <v>16</v>
      </c>
      <c r="H57" s="1">
        <v>979</v>
      </c>
      <c r="I57" s="1">
        <v>118</v>
      </c>
      <c r="J57" s="1">
        <v>235</v>
      </c>
      <c r="K57" s="1">
        <v>43</v>
      </c>
      <c r="L57" s="1">
        <v>0</v>
      </c>
      <c r="M57" s="1">
        <v>29</v>
      </c>
      <c r="N57" s="1">
        <v>111</v>
      </c>
      <c r="O57" s="1">
        <v>1</v>
      </c>
      <c r="P57" s="1">
        <v>9</v>
      </c>
      <c r="Q57" s="1">
        <v>16</v>
      </c>
      <c r="R57" s="1">
        <v>6</v>
      </c>
      <c r="S57" s="1">
        <v>98</v>
      </c>
      <c r="T57" s="1">
        <v>1</v>
      </c>
      <c r="U57" s="1">
        <v>17</v>
      </c>
      <c r="V57" s="1">
        <v>191</v>
      </c>
      <c r="W57" s="1">
        <v>20</v>
      </c>
      <c r="X57" s="308">
        <v>1104</v>
      </c>
      <c r="Y57" s="1">
        <v>365</v>
      </c>
      <c r="Z57" s="1">
        <v>72</v>
      </c>
      <c r="AA57" s="1">
        <v>0.24</v>
      </c>
      <c r="AB57" s="1">
        <v>0.317</v>
      </c>
      <c r="AC57" s="1">
        <v>0.373</v>
      </c>
      <c r="AD57" s="1">
        <v>0.69</v>
      </c>
      <c r="AE57" s="212"/>
    </row>
    <row r="58" spans="1:31" x14ac:dyDescent="0.3">
      <c r="A58" s="1" t="s">
        <v>14</v>
      </c>
      <c r="B58" s="1">
        <v>2023</v>
      </c>
      <c r="C58" s="1">
        <v>25</v>
      </c>
      <c r="D58" s="211" t="s">
        <v>3630</v>
      </c>
      <c r="E58" s="1">
        <v>0.36</v>
      </c>
      <c r="F58" s="1">
        <v>9</v>
      </c>
      <c r="G58" s="1">
        <v>16</v>
      </c>
      <c r="H58" s="1">
        <v>874</v>
      </c>
      <c r="I58" s="1">
        <v>100</v>
      </c>
      <c r="J58" s="1">
        <v>225</v>
      </c>
      <c r="K58" s="1">
        <v>54</v>
      </c>
      <c r="L58" s="1">
        <v>6</v>
      </c>
      <c r="M58" s="1">
        <v>24</v>
      </c>
      <c r="N58" s="1">
        <v>94</v>
      </c>
      <c r="O58" s="1">
        <v>1</v>
      </c>
      <c r="P58" s="1">
        <v>6</v>
      </c>
      <c r="Q58" s="1">
        <v>15</v>
      </c>
      <c r="R58" s="1">
        <v>3</v>
      </c>
      <c r="S58" s="1">
        <v>74</v>
      </c>
      <c r="T58" s="1">
        <v>1</v>
      </c>
      <c r="U58" s="1">
        <v>8</v>
      </c>
      <c r="V58" s="1">
        <v>234</v>
      </c>
      <c r="W58" s="1">
        <v>17</v>
      </c>
      <c r="X58" s="1">
        <v>963</v>
      </c>
      <c r="Y58" s="1">
        <v>363</v>
      </c>
      <c r="Z58" s="1">
        <v>84</v>
      </c>
      <c r="AA58" s="1">
        <v>0.25700000000000001</v>
      </c>
      <c r="AB58" s="1">
        <v>0.31900000000000001</v>
      </c>
      <c r="AC58" s="1">
        <v>0.41499999999999998</v>
      </c>
      <c r="AD58" s="1">
        <v>0.73399999999999999</v>
      </c>
      <c r="AE58" s="212"/>
    </row>
    <row r="59" spans="1:31" x14ac:dyDescent="0.3">
      <c r="A59" s="1" t="s">
        <v>13</v>
      </c>
      <c r="B59" s="1">
        <v>2023</v>
      </c>
      <c r="C59" s="1">
        <v>24</v>
      </c>
      <c r="D59" s="211" t="s">
        <v>3597</v>
      </c>
      <c r="E59" s="1">
        <v>0.54200000000000004</v>
      </c>
      <c r="F59" s="1">
        <v>13</v>
      </c>
      <c r="G59" s="1">
        <v>11</v>
      </c>
      <c r="H59" s="1">
        <v>828</v>
      </c>
      <c r="I59" s="1">
        <v>114</v>
      </c>
      <c r="J59" s="1">
        <v>205</v>
      </c>
      <c r="K59" s="1">
        <v>48</v>
      </c>
      <c r="L59" s="1">
        <v>6</v>
      </c>
      <c r="M59" s="1">
        <v>25</v>
      </c>
      <c r="N59" s="1">
        <v>108</v>
      </c>
      <c r="O59" s="1">
        <v>5</v>
      </c>
      <c r="P59" s="1">
        <v>11</v>
      </c>
      <c r="Q59" s="1">
        <v>23</v>
      </c>
      <c r="R59" s="1">
        <v>8</v>
      </c>
      <c r="S59" s="1">
        <v>91</v>
      </c>
      <c r="T59" s="1">
        <v>1</v>
      </c>
      <c r="U59" s="1">
        <v>9</v>
      </c>
      <c r="V59" s="1">
        <v>213</v>
      </c>
      <c r="W59" s="1">
        <v>16</v>
      </c>
      <c r="X59" s="1">
        <v>944</v>
      </c>
      <c r="Y59" s="1">
        <v>340</v>
      </c>
      <c r="Z59" s="1">
        <v>79</v>
      </c>
      <c r="AA59" s="1">
        <v>0.248</v>
      </c>
      <c r="AB59" s="1">
        <v>0.32500000000000001</v>
      </c>
      <c r="AC59" s="1">
        <v>0.41099999999999998</v>
      </c>
      <c r="AD59" s="1">
        <v>0.73499999999999999</v>
      </c>
      <c r="AE59" s="212"/>
    </row>
    <row r="60" spans="1:31" x14ac:dyDescent="0.3">
      <c r="A60" s="1" t="s">
        <v>16</v>
      </c>
      <c r="B60" s="1">
        <v>2023</v>
      </c>
      <c r="C60" s="1">
        <v>22</v>
      </c>
      <c r="D60" s="211" t="s">
        <v>3633</v>
      </c>
      <c r="E60" s="1">
        <v>0.45500000000000002</v>
      </c>
      <c r="F60" s="1">
        <v>10</v>
      </c>
      <c r="G60" s="1">
        <v>12</v>
      </c>
      <c r="H60" s="1">
        <v>716</v>
      </c>
      <c r="I60" s="1">
        <v>83</v>
      </c>
      <c r="J60" s="1">
        <v>147</v>
      </c>
      <c r="K60" s="1">
        <v>34</v>
      </c>
      <c r="L60" s="1">
        <v>2</v>
      </c>
      <c r="M60" s="1">
        <v>25</v>
      </c>
      <c r="N60" s="1">
        <v>79</v>
      </c>
      <c r="O60" s="1">
        <v>5</v>
      </c>
      <c r="P60" s="1">
        <v>6</v>
      </c>
      <c r="Q60" s="1">
        <v>20</v>
      </c>
      <c r="R60" s="1">
        <v>3</v>
      </c>
      <c r="S60" s="1">
        <v>92</v>
      </c>
      <c r="T60" s="1">
        <v>2</v>
      </c>
      <c r="U60" s="1">
        <v>7</v>
      </c>
      <c r="V60" s="1">
        <v>206</v>
      </c>
      <c r="W60" s="1">
        <v>17</v>
      </c>
      <c r="X60" s="1">
        <v>826</v>
      </c>
      <c r="Y60" s="1">
        <v>260</v>
      </c>
      <c r="Z60" s="1">
        <v>61</v>
      </c>
      <c r="AA60" s="1">
        <v>0.20499999999999999</v>
      </c>
      <c r="AB60" s="1">
        <v>0.3</v>
      </c>
      <c r="AC60" s="1">
        <v>0.36299999999999999</v>
      </c>
      <c r="AD60" s="1">
        <v>0.66300000000000003</v>
      </c>
      <c r="AE60" s="212"/>
    </row>
    <row r="61" spans="1:31" x14ac:dyDescent="0.3">
      <c r="A61" s="1" t="s">
        <v>5</v>
      </c>
      <c r="B61" s="1">
        <v>2023</v>
      </c>
      <c r="C61" s="1">
        <v>23</v>
      </c>
      <c r="D61" s="211" t="s">
        <v>3634</v>
      </c>
      <c r="E61" s="1">
        <v>0.39100000000000001</v>
      </c>
      <c r="F61" s="1">
        <v>9</v>
      </c>
      <c r="G61" s="1">
        <v>14</v>
      </c>
      <c r="H61" s="1">
        <v>813</v>
      </c>
      <c r="I61" s="1">
        <v>106</v>
      </c>
      <c r="J61" s="1">
        <v>193</v>
      </c>
      <c r="K61" s="1">
        <v>43</v>
      </c>
      <c r="L61" s="1">
        <v>0</v>
      </c>
      <c r="M61" s="1">
        <v>39</v>
      </c>
      <c r="N61" s="1">
        <v>106</v>
      </c>
      <c r="O61" s="1">
        <v>3</v>
      </c>
      <c r="P61" s="1">
        <v>2</v>
      </c>
      <c r="Q61" s="1">
        <v>8</v>
      </c>
      <c r="R61" s="1">
        <v>6</v>
      </c>
      <c r="S61" s="1">
        <v>88</v>
      </c>
      <c r="T61" s="1">
        <v>0</v>
      </c>
      <c r="U61" s="1">
        <v>15</v>
      </c>
      <c r="V61" s="1">
        <v>245</v>
      </c>
      <c r="W61" s="1">
        <v>12</v>
      </c>
      <c r="X61" s="1">
        <v>921</v>
      </c>
      <c r="Y61" s="1">
        <v>353</v>
      </c>
      <c r="Z61" s="1">
        <v>82</v>
      </c>
      <c r="AA61" s="1">
        <v>0.23699999999999999</v>
      </c>
      <c r="AB61" s="1">
        <v>0.32200000000000001</v>
      </c>
      <c r="AC61" s="1">
        <v>0.434</v>
      </c>
      <c r="AD61" s="1">
        <v>0.75700000000000001</v>
      </c>
      <c r="AE61" s="212"/>
    </row>
    <row r="62" spans="1:31" x14ac:dyDescent="0.3">
      <c r="A62" s="1" t="s">
        <v>8</v>
      </c>
      <c r="B62" s="1">
        <v>2023</v>
      </c>
      <c r="C62" s="1">
        <v>26</v>
      </c>
      <c r="D62" s="211" t="s">
        <v>3635</v>
      </c>
      <c r="E62" s="1">
        <v>0.46200000000000002</v>
      </c>
      <c r="F62" s="1">
        <v>12</v>
      </c>
      <c r="G62" s="1">
        <v>14</v>
      </c>
      <c r="H62" s="1">
        <v>891</v>
      </c>
      <c r="I62" s="1">
        <v>111</v>
      </c>
      <c r="J62" s="1">
        <v>220</v>
      </c>
      <c r="K62" s="1">
        <v>44</v>
      </c>
      <c r="L62" s="1">
        <v>4</v>
      </c>
      <c r="M62" s="1">
        <v>32</v>
      </c>
      <c r="N62" s="1">
        <v>106</v>
      </c>
      <c r="O62" s="1">
        <v>3</v>
      </c>
      <c r="P62" s="1">
        <v>4</v>
      </c>
      <c r="Q62" s="1">
        <v>16</v>
      </c>
      <c r="R62" s="1">
        <v>6</v>
      </c>
      <c r="S62" s="1">
        <v>89</v>
      </c>
      <c r="T62" s="1">
        <v>3</v>
      </c>
      <c r="U62" s="1">
        <v>6</v>
      </c>
      <c r="V62" s="1">
        <v>223</v>
      </c>
      <c r="W62" s="1">
        <v>21</v>
      </c>
      <c r="X62" s="1">
        <v>993</v>
      </c>
      <c r="Y62" s="1">
        <v>368</v>
      </c>
      <c r="Z62" s="1">
        <v>80</v>
      </c>
      <c r="AA62" s="1">
        <v>0.247</v>
      </c>
      <c r="AB62" s="1">
        <v>0.318</v>
      </c>
      <c r="AC62" s="1">
        <v>0.41299999999999998</v>
      </c>
      <c r="AD62" s="1">
        <v>0.73099999999999998</v>
      </c>
      <c r="AE62" s="212"/>
    </row>
    <row r="63" spans="1:31" x14ac:dyDescent="0.3">
      <c r="A63" s="1" t="s">
        <v>19</v>
      </c>
      <c r="B63" s="1">
        <v>2023</v>
      </c>
      <c r="C63" s="1">
        <v>22</v>
      </c>
      <c r="D63" s="211" t="s">
        <v>3633</v>
      </c>
      <c r="E63" s="1">
        <v>0.45500000000000002</v>
      </c>
      <c r="F63" s="1">
        <v>10</v>
      </c>
      <c r="G63" s="1">
        <v>12</v>
      </c>
      <c r="H63" s="1">
        <v>768</v>
      </c>
      <c r="I63" s="1">
        <v>106</v>
      </c>
      <c r="J63" s="1">
        <v>204</v>
      </c>
      <c r="K63" s="1">
        <v>29</v>
      </c>
      <c r="L63" s="1">
        <v>4</v>
      </c>
      <c r="M63" s="1">
        <v>18</v>
      </c>
      <c r="N63" s="1">
        <v>101</v>
      </c>
      <c r="O63" s="1">
        <v>5</v>
      </c>
      <c r="P63" s="1">
        <v>4</v>
      </c>
      <c r="Q63" s="1">
        <v>9</v>
      </c>
      <c r="R63" s="1">
        <v>4</v>
      </c>
      <c r="S63" s="1">
        <v>68</v>
      </c>
      <c r="T63" s="1">
        <v>0</v>
      </c>
      <c r="U63" s="1">
        <v>11</v>
      </c>
      <c r="V63" s="1">
        <v>170</v>
      </c>
      <c r="W63" s="1">
        <v>20</v>
      </c>
      <c r="X63" s="1">
        <v>856</v>
      </c>
      <c r="Y63" s="1">
        <v>295</v>
      </c>
      <c r="Z63" s="1">
        <v>51</v>
      </c>
      <c r="AA63" s="1">
        <v>0.26600000000000001</v>
      </c>
      <c r="AB63" s="1">
        <v>0.33300000000000002</v>
      </c>
      <c r="AC63" s="1">
        <v>0.38400000000000001</v>
      </c>
      <c r="AD63" s="1">
        <v>0.71699999999999997</v>
      </c>
      <c r="AE63" s="212"/>
    </row>
    <row r="64" spans="1:31" x14ac:dyDescent="0.3">
      <c r="A64" s="212"/>
      <c r="B64" s="212"/>
      <c r="C64" s="212"/>
      <c r="D64" s="212"/>
      <c r="E64" s="212"/>
      <c r="F64" s="212"/>
      <c r="G64" s="212"/>
      <c r="H64" s="212"/>
      <c r="I64" s="212"/>
      <c r="J64" s="212"/>
      <c r="K64" s="212"/>
      <c r="L64" s="212"/>
      <c r="M64" s="212"/>
      <c r="N64" s="212"/>
      <c r="O64" s="212"/>
      <c r="P64" s="212"/>
      <c r="Q64" s="212"/>
      <c r="R64" s="212"/>
      <c r="S64" s="212"/>
      <c r="T64" s="212"/>
      <c r="U64" s="212"/>
      <c r="V64" s="212"/>
      <c r="W64" s="212"/>
      <c r="X64" s="212"/>
      <c r="Y64" s="212"/>
      <c r="Z64" s="212"/>
      <c r="AA64" s="212"/>
      <c r="AB64" s="212"/>
      <c r="AC64" s="212"/>
      <c r="AD64" s="212"/>
      <c r="AE64" s="212"/>
    </row>
  </sheetData>
  <mergeCells count="12">
    <mergeCell ref="AE48:AE49"/>
    <mergeCell ref="AE50:AE51"/>
    <mergeCell ref="AG34:AI34"/>
    <mergeCell ref="AL34:AN34"/>
    <mergeCell ref="AL1:AO1"/>
    <mergeCell ref="AG1:AJ1"/>
    <mergeCell ref="AE11:AE12"/>
    <mergeCell ref="AE13:AE14"/>
    <mergeCell ref="AE15:AE16"/>
    <mergeCell ref="AE17:AE18"/>
    <mergeCell ref="AE44:AE45"/>
    <mergeCell ref="AE46:AE47"/>
  </mergeCells>
  <conditionalFormatting sqref="AJ3:AK32">
    <cfRule type="colorScale" priority="6">
      <colorScale>
        <cfvo type="min"/>
        <cfvo type="percentile" val="50"/>
        <cfvo type="max"/>
        <color rgb="FF63BE7B"/>
        <color rgb="FFFCFCFF"/>
        <color rgb="FFF8696B"/>
      </colorScale>
    </cfRule>
  </conditionalFormatting>
  <conditionalFormatting sqref="AO3:AO34">
    <cfRule type="colorScale" priority="4">
      <colorScale>
        <cfvo type="min"/>
        <cfvo type="percentile" val="50"/>
        <cfvo type="max"/>
        <color rgb="FF63BE7B"/>
        <color rgb="FFFCFCFF"/>
        <color rgb="FFF8696B"/>
      </colorScale>
    </cfRule>
  </conditionalFormatting>
  <conditionalFormatting sqref="AK3:AK33">
    <cfRule type="colorScale" priority="3">
      <colorScale>
        <cfvo type="min"/>
        <cfvo type="percentile" val="50"/>
        <cfvo type="max"/>
        <color rgb="FFF8696B"/>
        <color rgb="FFFCFCFF"/>
        <color rgb="FF63BE7B"/>
      </colorScale>
    </cfRule>
  </conditionalFormatting>
  <conditionalFormatting sqref="AP3:AP32">
    <cfRule type="colorScale" priority="2">
      <colorScale>
        <cfvo type="min"/>
        <cfvo type="percentile" val="50"/>
        <cfvo type="max"/>
        <color rgb="FF63BE7B"/>
        <color rgb="FFFCFCFF"/>
        <color rgb="FFF8696B"/>
      </colorScale>
    </cfRule>
  </conditionalFormatting>
  <conditionalFormatting sqref="AP3:AP32">
    <cfRule type="colorScale" priority="1">
      <colorScale>
        <cfvo type="min"/>
        <cfvo type="percentile" val="50"/>
        <cfvo type="max"/>
        <color rgb="FFF8696B"/>
        <color rgb="FFFCFCFF"/>
        <color rgb="FF63BE7B"/>
      </colorScale>
    </cfRule>
  </conditionalFormatting>
  <hyperlinks>
    <hyperlink ref="AG1" r:id="rId3" xr:uid="{C20E49E8-522F-496A-ABAD-DD2C7DE2F311}"/>
    <hyperlink ref="AL1" r:id="rId4" display="Away-Record" xr:uid="{83E3B118-BCF2-4AF2-BECB-14ED95768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252C1-181A-4F49-A1C9-AD40A0D459E8}">
  <sheetPr codeName="Sheet6">
    <tabColor rgb="FF7030A0"/>
  </sheetPr>
  <dimension ref="A1:AP62"/>
  <sheetViews>
    <sheetView topLeftCell="L1" workbookViewId="0">
      <selection activeCell="AG38" sqref="AG38:AP55"/>
    </sheetView>
  </sheetViews>
  <sheetFormatPr defaultRowHeight="14.4" x14ac:dyDescent="0.3"/>
  <cols>
    <col min="1" max="1" width="15.6640625" customWidth="1"/>
    <col min="2" max="2" width="7.109375" customWidth="1"/>
    <col min="3" max="3" width="3.33203125" bestFit="1" customWidth="1"/>
    <col min="4" max="4" width="4" bestFit="1" customWidth="1"/>
    <col min="5" max="6" width="3" bestFit="1" customWidth="1"/>
    <col min="7" max="8" width="3.109375" bestFit="1" customWidth="1"/>
    <col min="9" max="9" width="3.33203125" bestFit="1" customWidth="1"/>
    <col min="10" max="10" width="3.77734375" bestFit="1" customWidth="1"/>
    <col min="11" max="11" width="3.21875" bestFit="1" customWidth="1"/>
    <col min="12" max="12" width="3.33203125" bestFit="1" customWidth="1"/>
    <col min="13" max="14" width="3" bestFit="1" customWidth="1"/>
    <col min="15" max="15" width="6" bestFit="1" customWidth="1"/>
    <col min="16" max="18" width="6" customWidth="1"/>
    <col min="19" max="19" width="3" customWidth="1"/>
    <col min="20" max="20" width="3.33203125" customWidth="1"/>
    <col min="21" max="21" width="20.33203125" customWidth="1"/>
    <col min="22" max="22" width="11.77734375" bestFit="1" customWidth="1"/>
    <col min="23" max="23" width="5.109375" bestFit="1" customWidth="1"/>
    <col min="24" max="24" width="13.5546875" bestFit="1" customWidth="1"/>
    <col min="25" max="25" width="3.21875" customWidth="1"/>
    <col min="26" max="26" width="11.88671875" customWidth="1"/>
    <col min="27" max="27" width="20.77734375" bestFit="1" customWidth="1"/>
    <col min="29" max="29" width="13.5546875" bestFit="1" customWidth="1"/>
    <col min="30" max="30" width="2.88671875" customWidth="1"/>
    <col min="31" max="31" width="7" customWidth="1"/>
    <col min="32" max="32" width="20.77734375" bestFit="1" customWidth="1"/>
    <col min="33" max="33" width="11.77734375" bestFit="1" customWidth="1"/>
    <col min="34" max="34" width="13.5546875" bestFit="1" customWidth="1"/>
  </cols>
  <sheetData>
    <row r="1" spans="1:36" ht="15" thickBot="1" x14ac:dyDescent="0.35">
      <c r="U1" s="12" t="s">
        <v>91</v>
      </c>
      <c r="V1" s="7"/>
      <c r="W1" s="5"/>
      <c r="X1" s="5"/>
      <c r="Z1" s="12" t="s">
        <v>92</v>
      </c>
      <c r="AA1" s="202"/>
      <c r="AB1" s="5"/>
      <c r="AC1" s="5"/>
      <c r="AE1" s="12" t="s">
        <v>1226</v>
      </c>
      <c r="AF1" s="7"/>
      <c r="AG1" s="5"/>
      <c r="AH1" s="5"/>
    </row>
    <row r="2" spans="1:36" x14ac:dyDescent="0.3">
      <c r="A2" t="s">
        <v>32</v>
      </c>
      <c r="B2" t="s">
        <v>74</v>
      </c>
      <c r="C2" t="s">
        <v>75</v>
      </c>
      <c r="D2" t="s">
        <v>76</v>
      </c>
      <c r="E2" t="s">
        <v>77</v>
      </c>
      <c r="F2" t="s">
        <v>78</v>
      </c>
      <c r="G2" t="s">
        <v>79</v>
      </c>
      <c r="H2" t="s">
        <v>80</v>
      </c>
      <c r="I2" t="s">
        <v>81</v>
      </c>
      <c r="J2" t="s">
        <v>82</v>
      </c>
      <c r="K2" t="s">
        <v>83</v>
      </c>
      <c r="L2" t="s">
        <v>84</v>
      </c>
      <c r="M2" t="s">
        <v>85</v>
      </c>
      <c r="N2" t="s">
        <v>86</v>
      </c>
      <c r="O2" t="s">
        <v>87</v>
      </c>
      <c r="P2" t="s">
        <v>88</v>
      </c>
      <c r="Q2" t="s">
        <v>89</v>
      </c>
      <c r="R2" t="s">
        <v>90</v>
      </c>
      <c r="U2" s="13" t="s">
        <v>29</v>
      </c>
      <c r="V2" s="14" t="s">
        <v>55</v>
      </c>
      <c r="W2" s="14" t="s">
        <v>286</v>
      </c>
      <c r="X2" s="14" t="s">
        <v>1485</v>
      </c>
      <c r="Z2" s="196" t="s">
        <v>55</v>
      </c>
      <c r="AA2" s="203" t="s">
        <v>29</v>
      </c>
      <c r="AB2" s="199" t="s">
        <v>286</v>
      </c>
      <c r="AC2" s="207" t="s">
        <v>1485</v>
      </c>
      <c r="AD2" s="1"/>
      <c r="AE2" s="15" t="s">
        <v>286</v>
      </c>
      <c r="AF2" s="16" t="s">
        <v>29</v>
      </c>
      <c r="AG2" s="193" t="s">
        <v>55</v>
      </c>
      <c r="AH2" s="207" t="s">
        <v>1485</v>
      </c>
      <c r="AI2" s="148" t="s">
        <v>2028</v>
      </c>
      <c r="AJ2" s="148" t="s">
        <v>2028</v>
      </c>
    </row>
    <row r="3" spans="1:36" x14ac:dyDescent="0.3">
      <c r="A3">
        <v>1</v>
      </c>
      <c r="B3" t="s">
        <v>1</v>
      </c>
      <c r="C3">
        <v>7</v>
      </c>
      <c r="D3">
        <v>235</v>
      </c>
      <c r="E3">
        <v>53</v>
      </c>
      <c r="F3">
        <v>67</v>
      </c>
      <c r="G3">
        <v>13</v>
      </c>
      <c r="H3">
        <v>0</v>
      </c>
      <c r="I3">
        <v>18</v>
      </c>
      <c r="J3">
        <v>52</v>
      </c>
      <c r="K3">
        <v>25</v>
      </c>
      <c r="L3">
        <v>50</v>
      </c>
      <c r="M3">
        <v>5</v>
      </c>
      <c r="N3">
        <v>2</v>
      </c>
      <c r="O3">
        <v>0.28499999999999998</v>
      </c>
      <c r="P3">
        <v>0.35599999999999998</v>
      </c>
      <c r="Q3">
        <v>0.56999999999999995</v>
      </c>
      <c r="R3">
        <v>0.92600000000000005</v>
      </c>
      <c r="U3" s="8" t="s">
        <v>7</v>
      </c>
      <c r="V3" s="9" t="s">
        <v>39</v>
      </c>
      <c r="W3" s="9" t="s">
        <v>250</v>
      </c>
      <c r="X3" s="9" t="s">
        <v>1490</v>
      </c>
      <c r="Z3" s="197" t="s">
        <v>39</v>
      </c>
      <c r="AA3" s="204" t="s">
        <v>7</v>
      </c>
      <c r="AB3" s="200" t="s">
        <v>250</v>
      </c>
      <c r="AC3" s="208" t="s">
        <v>1490</v>
      </c>
      <c r="AD3" s="1"/>
      <c r="AE3" s="8" t="s">
        <v>250</v>
      </c>
      <c r="AF3" s="9" t="s">
        <v>7</v>
      </c>
      <c r="AG3" s="194" t="s">
        <v>39</v>
      </c>
      <c r="AH3" s="208" t="s">
        <v>1490</v>
      </c>
      <c r="AI3" s="148" t="s">
        <v>2029</v>
      </c>
      <c r="AJ3" s="148" t="s">
        <v>2029</v>
      </c>
    </row>
    <row r="4" spans="1:36" x14ac:dyDescent="0.3">
      <c r="A4" t="s">
        <v>0</v>
      </c>
      <c r="B4" t="str">
        <f>B3</f>
        <v>AL</v>
      </c>
      <c r="C4">
        <f t="shared" ref="C4:R4" si="0">C3</f>
        <v>7</v>
      </c>
      <c r="D4">
        <f t="shared" si="0"/>
        <v>235</v>
      </c>
      <c r="E4">
        <f t="shared" si="0"/>
        <v>53</v>
      </c>
      <c r="F4">
        <f t="shared" si="0"/>
        <v>67</v>
      </c>
      <c r="G4">
        <f t="shared" si="0"/>
        <v>13</v>
      </c>
      <c r="H4">
        <f t="shared" si="0"/>
        <v>0</v>
      </c>
      <c r="I4">
        <f t="shared" si="0"/>
        <v>18</v>
      </c>
      <c r="J4">
        <f t="shared" si="0"/>
        <v>52</v>
      </c>
      <c r="K4">
        <f t="shared" si="0"/>
        <v>25</v>
      </c>
      <c r="L4">
        <f t="shared" si="0"/>
        <v>50</v>
      </c>
      <c r="M4">
        <f t="shared" si="0"/>
        <v>5</v>
      </c>
      <c r="N4">
        <f t="shared" si="0"/>
        <v>2</v>
      </c>
      <c r="O4">
        <f t="shared" si="0"/>
        <v>0.28499999999999998</v>
      </c>
      <c r="P4">
        <f t="shared" si="0"/>
        <v>0.35599999999999998</v>
      </c>
      <c r="Q4">
        <f t="shared" si="0"/>
        <v>0.56999999999999995</v>
      </c>
      <c r="R4">
        <f t="shared" si="0"/>
        <v>0.92600000000000005</v>
      </c>
      <c r="U4" s="13" t="s">
        <v>6</v>
      </c>
      <c r="V4" s="14" t="s">
        <v>46</v>
      </c>
      <c r="W4" s="14" t="s">
        <v>278</v>
      </c>
      <c r="X4" s="14" t="s">
        <v>1511</v>
      </c>
      <c r="Z4" s="196" t="s">
        <v>46</v>
      </c>
      <c r="AA4" s="205" t="s">
        <v>6</v>
      </c>
      <c r="AB4" s="199" t="s">
        <v>278</v>
      </c>
      <c r="AC4" s="209" t="s">
        <v>1511</v>
      </c>
      <c r="AD4" s="1"/>
      <c r="AE4" s="15" t="s">
        <v>278</v>
      </c>
      <c r="AF4" s="16" t="s">
        <v>6</v>
      </c>
      <c r="AG4" s="193" t="s">
        <v>46</v>
      </c>
      <c r="AH4" s="209" t="s">
        <v>1511</v>
      </c>
      <c r="AI4" s="148" t="s">
        <v>2030</v>
      </c>
      <c r="AJ4" s="148" t="s">
        <v>2030</v>
      </c>
    </row>
    <row r="5" spans="1:36" x14ac:dyDescent="0.3">
      <c r="A5">
        <v>2</v>
      </c>
      <c r="B5" t="s">
        <v>3</v>
      </c>
      <c r="C5">
        <v>8</v>
      </c>
      <c r="D5">
        <v>252</v>
      </c>
      <c r="E5">
        <v>46</v>
      </c>
      <c r="F5">
        <v>61</v>
      </c>
      <c r="G5">
        <v>13</v>
      </c>
      <c r="H5">
        <v>2</v>
      </c>
      <c r="I5">
        <v>16</v>
      </c>
      <c r="J5">
        <v>45</v>
      </c>
      <c r="K5">
        <v>48</v>
      </c>
      <c r="L5">
        <v>77</v>
      </c>
      <c r="M5">
        <v>1</v>
      </c>
      <c r="N5">
        <v>3</v>
      </c>
      <c r="O5">
        <v>0.24199999999999999</v>
      </c>
      <c r="P5">
        <v>0.36699999999999999</v>
      </c>
      <c r="Q5">
        <v>0.5</v>
      </c>
      <c r="R5">
        <v>0.86699999999999999</v>
      </c>
      <c r="U5" s="8" t="s">
        <v>12</v>
      </c>
      <c r="V5" s="9" t="s">
        <v>54</v>
      </c>
      <c r="W5" s="9" t="s">
        <v>221</v>
      </c>
      <c r="X5" s="9" t="s">
        <v>1544</v>
      </c>
      <c r="Z5" s="197" t="s">
        <v>54</v>
      </c>
      <c r="AA5" s="204" t="s">
        <v>12</v>
      </c>
      <c r="AB5" s="200" t="s">
        <v>221</v>
      </c>
      <c r="AC5" s="208" t="s">
        <v>1544</v>
      </c>
      <c r="AD5" s="1"/>
      <c r="AE5" s="8" t="s">
        <v>221</v>
      </c>
      <c r="AF5" s="9" t="s">
        <v>12</v>
      </c>
      <c r="AG5" s="194" t="s">
        <v>54</v>
      </c>
      <c r="AH5" s="208" t="s">
        <v>1544</v>
      </c>
      <c r="AI5" s="148" t="s">
        <v>2031</v>
      </c>
      <c r="AJ5" s="148" t="s">
        <v>2031</v>
      </c>
    </row>
    <row r="6" spans="1:36" x14ac:dyDescent="0.3">
      <c r="A6" t="s">
        <v>2</v>
      </c>
      <c r="B6" t="str">
        <f>B5</f>
        <v>NL</v>
      </c>
      <c r="C6">
        <f t="shared" ref="C6:R6" si="1">C5</f>
        <v>8</v>
      </c>
      <c r="D6">
        <f t="shared" si="1"/>
        <v>252</v>
      </c>
      <c r="E6">
        <f t="shared" si="1"/>
        <v>46</v>
      </c>
      <c r="F6">
        <f t="shared" si="1"/>
        <v>61</v>
      </c>
      <c r="G6">
        <f t="shared" si="1"/>
        <v>13</v>
      </c>
      <c r="H6">
        <f t="shared" si="1"/>
        <v>2</v>
      </c>
      <c r="I6">
        <f t="shared" si="1"/>
        <v>16</v>
      </c>
      <c r="J6">
        <f t="shared" si="1"/>
        <v>45</v>
      </c>
      <c r="K6">
        <f t="shared" si="1"/>
        <v>48</v>
      </c>
      <c r="L6">
        <f t="shared" si="1"/>
        <v>77</v>
      </c>
      <c r="M6">
        <f t="shared" si="1"/>
        <v>1</v>
      </c>
      <c r="N6">
        <f t="shared" si="1"/>
        <v>3</v>
      </c>
      <c r="O6">
        <f t="shared" si="1"/>
        <v>0.24199999999999999</v>
      </c>
      <c r="P6">
        <f t="shared" si="1"/>
        <v>0.36699999999999999</v>
      </c>
      <c r="Q6">
        <f t="shared" si="1"/>
        <v>0.5</v>
      </c>
      <c r="R6">
        <f t="shared" si="1"/>
        <v>0.86699999999999999</v>
      </c>
      <c r="U6" s="13" t="s">
        <v>17</v>
      </c>
      <c r="V6" s="14" t="s">
        <v>50</v>
      </c>
      <c r="W6" s="14" t="s">
        <v>248</v>
      </c>
      <c r="X6" s="14" t="s">
        <v>1480</v>
      </c>
      <c r="Z6" s="196" t="s">
        <v>50</v>
      </c>
      <c r="AA6" s="205" t="s">
        <v>17</v>
      </c>
      <c r="AB6" s="199" t="s">
        <v>248</v>
      </c>
      <c r="AC6" s="209" t="s">
        <v>1480</v>
      </c>
      <c r="AD6" s="1"/>
      <c r="AE6" s="15" t="s">
        <v>248</v>
      </c>
      <c r="AF6" s="16" t="s">
        <v>17</v>
      </c>
      <c r="AG6" s="193" t="s">
        <v>50</v>
      </c>
      <c r="AH6" s="209" t="s">
        <v>1480</v>
      </c>
      <c r="AI6" s="148" t="s">
        <v>2032</v>
      </c>
      <c r="AJ6" s="148" t="s">
        <v>2032</v>
      </c>
    </row>
    <row r="7" spans="1:36" x14ac:dyDescent="0.3">
      <c r="A7">
        <v>3</v>
      </c>
      <c r="B7" t="s">
        <v>3</v>
      </c>
      <c r="C7">
        <v>7</v>
      </c>
      <c r="D7">
        <v>228</v>
      </c>
      <c r="E7">
        <v>42</v>
      </c>
      <c r="F7">
        <v>65</v>
      </c>
      <c r="G7">
        <v>7</v>
      </c>
      <c r="H7">
        <v>1</v>
      </c>
      <c r="I7">
        <v>10</v>
      </c>
      <c r="J7">
        <v>42</v>
      </c>
      <c r="K7">
        <v>38</v>
      </c>
      <c r="L7">
        <v>60</v>
      </c>
      <c r="M7">
        <v>5</v>
      </c>
      <c r="N7">
        <v>2</v>
      </c>
      <c r="O7">
        <v>0.28499999999999998</v>
      </c>
      <c r="P7">
        <v>0.38100000000000001</v>
      </c>
      <c r="Q7">
        <v>0.45600000000000002</v>
      </c>
      <c r="R7">
        <v>0.83699999999999997</v>
      </c>
      <c r="U7" s="8" t="s">
        <v>9</v>
      </c>
      <c r="V7" s="9" t="s">
        <v>60</v>
      </c>
      <c r="W7" s="9" t="s">
        <v>243</v>
      </c>
      <c r="X7" s="9" t="s">
        <v>1543</v>
      </c>
      <c r="Z7" s="197" t="s">
        <v>60</v>
      </c>
      <c r="AA7" s="204" t="s">
        <v>9</v>
      </c>
      <c r="AB7" s="200" t="s">
        <v>243</v>
      </c>
      <c r="AC7" s="208" t="s">
        <v>1543</v>
      </c>
      <c r="AD7" s="1"/>
      <c r="AE7" s="8" t="s">
        <v>243</v>
      </c>
      <c r="AF7" s="9" t="s">
        <v>9</v>
      </c>
      <c r="AG7" s="194" t="s">
        <v>60</v>
      </c>
      <c r="AH7" s="208" t="s">
        <v>1543</v>
      </c>
      <c r="AI7" s="148" t="s">
        <v>2033</v>
      </c>
      <c r="AJ7" s="148" t="s">
        <v>2033</v>
      </c>
    </row>
    <row r="8" spans="1:36" x14ac:dyDescent="0.3">
      <c r="A8" t="s">
        <v>4</v>
      </c>
      <c r="B8" t="str">
        <f>B7</f>
        <v>NL</v>
      </c>
      <c r="C8">
        <f t="shared" ref="C8:R8" si="2">C7</f>
        <v>7</v>
      </c>
      <c r="D8">
        <f t="shared" si="2"/>
        <v>228</v>
      </c>
      <c r="E8">
        <f t="shared" si="2"/>
        <v>42</v>
      </c>
      <c r="F8">
        <f t="shared" si="2"/>
        <v>65</v>
      </c>
      <c r="G8">
        <f t="shared" si="2"/>
        <v>7</v>
      </c>
      <c r="H8">
        <f t="shared" si="2"/>
        <v>1</v>
      </c>
      <c r="I8">
        <f t="shared" si="2"/>
        <v>10</v>
      </c>
      <c r="J8">
        <f t="shared" si="2"/>
        <v>42</v>
      </c>
      <c r="K8">
        <f t="shared" si="2"/>
        <v>38</v>
      </c>
      <c r="L8">
        <f t="shared" si="2"/>
        <v>60</v>
      </c>
      <c r="M8">
        <f t="shared" si="2"/>
        <v>5</v>
      </c>
      <c r="N8">
        <f t="shared" si="2"/>
        <v>2</v>
      </c>
      <c r="O8">
        <f t="shared" si="2"/>
        <v>0.28499999999999998</v>
      </c>
      <c r="P8">
        <f t="shared" si="2"/>
        <v>0.38100000000000001</v>
      </c>
      <c r="Q8">
        <f t="shared" si="2"/>
        <v>0.45600000000000002</v>
      </c>
      <c r="R8">
        <f t="shared" si="2"/>
        <v>0.83699999999999997</v>
      </c>
      <c r="U8" s="13" t="s">
        <v>10</v>
      </c>
      <c r="V8" s="14" t="s">
        <v>52</v>
      </c>
      <c r="W8" s="14" t="s">
        <v>270</v>
      </c>
      <c r="X8" s="14" t="s">
        <v>1514</v>
      </c>
      <c r="Z8" s="196" t="s">
        <v>52</v>
      </c>
      <c r="AA8" s="205" t="s">
        <v>10</v>
      </c>
      <c r="AB8" s="199" t="s">
        <v>270</v>
      </c>
      <c r="AC8" s="209" t="s">
        <v>1514</v>
      </c>
      <c r="AD8" s="1"/>
      <c r="AE8" s="15" t="s">
        <v>270</v>
      </c>
      <c r="AF8" s="16" t="s">
        <v>10</v>
      </c>
      <c r="AG8" s="193" t="s">
        <v>52</v>
      </c>
      <c r="AH8" s="209" t="s">
        <v>1514</v>
      </c>
      <c r="AI8" s="148" t="s">
        <v>2034</v>
      </c>
      <c r="AJ8" s="148" t="s">
        <v>2034</v>
      </c>
    </row>
    <row r="9" spans="1:36" x14ac:dyDescent="0.3">
      <c r="A9">
        <v>4</v>
      </c>
      <c r="B9" t="s">
        <v>3</v>
      </c>
      <c r="C9">
        <v>7</v>
      </c>
      <c r="D9">
        <v>247</v>
      </c>
      <c r="E9">
        <v>39</v>
      </c>
      <c r="F9">
        <v>62</v>
      </c>
      <c r="G9">
        <v>9</v>
      </c>
      <c r="H9">
        <v>1</v>
      </c>
      <c r="I9">
        <v>15</v>
      </c>
      <c r="J9">
        <v>39</v>
      </c>
      <c r="K9">
        <v>35</v>
      </c>
      <c r="L9">
        <v>80</v>
      </c>
      <c r="M9">
        <v>4</v>
      </c>
      <c r="N9">
        <v>0</v>
      </c>
      <c r="O9">
        <v>0.251</v>
      </c>
      <c r="P9">
        <v>0.35799999999999998</v>
      </c>
      <c r="Q9">
        <v>0.47799999999999998</v>
      </c>
      <c r="R9">
        <v>0.83599999999999997</v>
      </c>
      <c r="U9" s="8" t="s">
        <v>20</v>
      </c>
      <c r="V9" s="9" t="s">
        <v>44</v>
      </c>
      <c r="W9" s="9" t="s">
        <v>251</v>
      </c>
      <c r="X9" s="9" t="s">
        <v>1504</v>
      </c>
      <c r="Z9" s="197" t="s">
        <v>44</v>
      </c>
      <c r="AA9" s="204" t="s">
        <v>20</v>
      </c>
      <c r="AB9" s="200" t="s">
        <v>251</v>
      </c>
      <c r="AC9" s="208" t="s">
        <v>1504</v>
      </c>
      <c r="AD9" s="1"/>
      <c r="AE9" s="8" t="s">
        <v>251</v>
      </c>
      <c r="AF9" s="9" t="s">
        <v>20</v>
      </c>
      <c r="AG9" s="194" t="s">
        <v>44</v>
      </c>
      <c r="AH9" s="208" t="s">
        <v>1504</v>
      </c>
      <c r="AI9" s="148" t="s">
        <v>2035</v>
      </c>
      <c r="AJ9" s="148" t="s">
        <v>2035</v>
      </c>
    </row>
    <row r="10" spans="1:36" x14ac:dyDescent="0.3">
      <c r="A10" t="s">
        <v>5</v>
      </c>
      <c r="B10" t="str">
        <f>B9</f>
        <v>NL</v>
      </c>
      <c r="C10">
        <f t="shared" ref="C10:R10" si="3">C9</f>
        <v>7</v>
      </c>
      <c r="D10">
        <f t="shared" si="3"/>
        <v>247</v>
      </c>
      <c r="E10">
        <f t="shared" si="3"/>
        <v>39</v>
      </c>
      <c r="F10">
        <f t="shared" si="3"/>
        <v>62</v>
      </c>
      <c r="G10">
        <f t="shared" si="3"/>
        <v>9</v>
      </c>
      <c r="H10">
        <f t="shared" si="3"/>
        <v>1</v>
      </c>
      <c r="I10">
        <f t="shared" si="3"/>
        <v>15</v>
      </c>
      <c r="J10">
        <f t="shared" si="3"/>
        <v>39</v>
      </c>
      <c r="K10">
        <f t="shared" si="3"/>
        <v>35</v>
      </c>
      <c r="L10">
        <f t="shared" si="3"/>
        <v>80</v>
      </c>
      <c r="M10">
        <f t="shared" si="3"/>
        <v>4</v>
      </c>
      <c r="N10">
        <f t="shared" si="3"/>
        <v>0</v>
      </c>
      <c r="O10">
        <f t="shared" si="3"/>
        <v>0.251</v>
      </c>
      <c r="P10">
        <f t="shared" si="3"/>
        <v>0.35799999999999998</v>
      </c>
      <c r="Q10">
        <f t="shared" si="3"/>
        <v>0.47799999999999998</v>
      </c>
      <c r="R10">
        <f t="shared" si="3"/>
        <v>0.83599999999999997</v>
      </c>
      <c r="U10" s="13" t="s">
        <v>21</v>
      </c>
      <c r="V10" s="14" t="s">
        <v>56</v>
      </c>
      <c r="W10" s="14" t="s">
        <v>266</v>
      </c>
      <c r="X10" s="14" t="s">
        <v>1518</v>
      </c>
      <c r="Z10" s="196" t="s">
        <v>56</v>
      </c>
      <c r="AA10" s="205" t="s">
        <v>21</v>
      </c>
      <c r="AB10" s="199" t="s">
        <v>266</v>
      </c>
      <c r="AC10" s="209" t="s">
        <v>1518</v>
      </c>
      <c r="AD10" s="1"/>
      <c r="AE10" s="15" t="s">
        <v>266</v>
      </c>
      <c r="AF10" s="16" t="s">
        <v>21</v>
      </c>
      <c r="AG10" s="193" t="s">
        <v>56</v>
      </c>
      <c r="AH10" s="209" t="s">
        <v>1518</v>
      </c>
      <c r="AI10" s="148" t="s">
        <v>2036</v>
      </c>
      <c r="AJ10" s="148" t="s">
        <v>2036</v>
      </c>
    </row>
    <row r="11" spans="1:36" x14ac:dyDescent="0.3">
      <c r="A11">
        <v>5</v>
      </c>
      <c r="B11" t="s">
        <v>1</v>
      </c>
      <c r="C11">
        <v>7</v>
      </c>
      <c r="D11">
        <v>239</v>
      </c>
      <c r="E11">
        <v>41</v>
      </c>
      <c r="F11">
        <v>62</v>
      </c>
      <c r="G11">
        <v>17</v>
      </c>
      <c r="H11">
        <v>0</v>
      </c>
      <c r="I11">
        <v>11</v>
      </c>
      <c r="J11">
        <v>39</v>
      </c>
      <c r="K11">
        <v>31</v>
      </c>
      <c r="L11">
        <v>72</v>
      </c>
      <c r="M11">
        <v>13</v>
      </c>
      <c r="N11">
        <v>1</v>
      </c>
      <c r="O11">
        <v>0.25900000000000001</v>
      </c>
      <c r="P11">
        <v>0.35</v>
      </c>
      <c r="Q11">
        <v>0.46899999999999997</v>
      </c>
      <c r="R11">
        <v>0.81899999999999995</v>
      </c>
      <c r="U11" s="8" t="s">
        <v>31</v>
      </c>
      <c r="V11" s="9" t="s">
        <v>64</v>
      </c>
      <c r="W11" s="9" t="s">
        <v>346</v>
      </c>
      <c r="X11" s="9" t="s">
        <v>1513</v>
      </c>
      <c r="Z11" s="197" t="s">
        <v>64</v>
      </c>
      <c r="AA11" s="204" t="s">
        <v>31</v>
      </c>
      <c r="AB11" s="200" t="s">
        <v>346</v>
      </c>
      <c r="AC11" s="208" t="s">
        <v>1513</v>
      </c>
      <c r="AD11" s="1"/>
      <c r="AE11" s="8" t="s">
        <v>346</v>
      </c>
      <c r="AF11" s="9" t="s">
        <v>31</v>
      </c>
      <c r="AG11" s="194" t="s">
        <v>64</v>
      </c>
      <c r="AH11" s="208" t="s">
        <v>1513</v>
      </c>
      <c r="AI11" s="148" t="s">
        <v>2037</v>
      </c>
      <c r="AJ11" s="148" t="s">
        <v>2037</v>
      </c>
    </row>
    <row r="12" spans="1:36" x14ac:dyDescent="0.3">
      <c r="A12" t="s">
        <v>6</v>
      </c>
      <c r="B12" t="str">
        <f>B11</f>
        <v>AL</v>
      </c>
      <c r="C12">
        <f t="shared" ref="C12:R12" si="4">C11</f>
        <v>7</v>
      </c>
      <c r="D12">
        <f t="shared" si="4"/>
        <v>239</v>
      </c>
      <c r="E12">
        <f t="shared" si="4"/>
        <v>41</v>
      </c>
      <c r="F12">
        <f t="shared" si="4"/>
        <v>62</v>
      </c>
      <c r="G12">
        <f t="shared" si="4"/>
        <v>17</v>
      </c>
      <c r="H12">
        <f t="shared" si="4"/>
        <v>0</v>
      </c>
      <c r="I12">
        <f t="shared" si="4"/>
        <v>11</v>
      </c>
      <c r="J12">
        <f t="shared" si="4"/>
        <v>39</v>
      </c>
      <c r="K12">
        <f t="shared" si="4"/>
        <v>31</v>
      </c>
      <c r="L12">
        <f t="shared" si="4"/>
        <v>72</v>
      </c>
      <c r="M12">
        <f t="shared" si="4"/>
        <v>13</v>
      </c>
      <c r="N12">
        <f t="shared" si="4"/>
        <v>1</v>
      </c>
      <c r="O12">
        <f t="shared" si="4"/>
        <v>0.25900000000000001</v>
      </c>
      <c r="P12">
        <f t="shared" si="4"/>
        <v>0.35</v>
      </c>
      <c r="Q12">
        <f t="shared" si="4"/>
        <v>0.46899999999999997</v>
      </c>
      <c r="R12">
        <f t="shared" si="4"/>
        <v>0.81899999999999995</v>
      </c>
      <c r="U12" s="13" t="s">
        <v>25</v>
      </c>
      <c r="V12" s="14" t="s">
        <v>59</v>
      </c>
      <c r="W12" s="14" t="s">
        <v>224</v>
      </c>
      <c r="X12" s="14" t="s">
        <v>1488</v>
      </c>
      <c r="Z12" s="196" t="s">
        <v>59</v>
      </c>
      <c r="AA12" s="205" t="s">
        <v>25</v>
      </c>
      <c r="AB12" s="199" t="s">
        <v>224</v>
      </c>
      <c r="AC12" s="209" t="s">
        <v>1488</v>
      </c>
      <c r="AD12" s="1"/>
      <c r="AE12" s="15" t="s">
        <v>224</v>
      </c>
      <c r="AF12" s="16" t="s">
        <v>25</v>
      </c>
      <c r="AG12" s="193" t="s">
        <v>59</v>
      </c>
      <c r="AH12" s="209" t="s">
        <v>1488</v>
      </c>
      <c r="AI12" s="148" t="s">
        <v>2038</v>
      </c>
      <c r="AJ12" s="148" t="s">
        <v>2038</v>
      </c>
    </row>
    <row r="13" spans="1:36" x14ac:dyDescent="0.3">
      <c r="A13">
        <v>6</v>
      </c>
      <c r="B13" t="s">
        <v>3</v>
      </c>
      <c r="C13">
        <v>8</v>
      </c>
      <c r="D13">
        <v>281</v>
      </c>
      <c r="E13">
        <v>43</v>
      </c>
      <c r="F13">
        <v>78</v>
      </c>
      <c r="G13">
        <v>15</v>
      </c>
      <c r="H13">
        <v>0</v>
      </c>
      <c r="I13">
        <v>12</v>
      </c>
      <c r="J13">
        <v>39</v>
      </c>
      <c r="K13">
        <v>35</v>
      </c>
      <c r="L13">
        <v>66</v>
      </c>
      <c r="M13">
        <v>7</v>
      </c>
      <c r="N13">
        <v>1</v>
      </c>
      <c r="O13">
        <v>0.27800000000000002</v>
      </c>
      <c r="P13">
        <v>0.35499999999999998</v>
      </c>
      <c r="Q13">
        <v>0.45900000000000002</v>
      </c>
      <c r="R13">
        <v>0.81399999999999995</v>
      </c>
      <c r="U13" s="8" t="s">
        <v>30</v>
      </c>
      <c r="V13" s="9" t="s">
        <v>65</v>
      </c>
      <c r="W13" s="9" t="s">
        <v>287</v>
      </c>
      <c r="X13" s="9" t="s">
        <v>1516</v>
      </c>
      <c r="Z13" s="197" t="s">
        <v>65</v>
      </c>
      <c r="AA13" s="204" t="s">
        <v>30</v>
      </c>
      <c r="AB13" s="200" t="s">
        <v>287</v>
      </c>
      <c r="AC13" s="208" t="s">
        <v>1516</v>
      </c>
      <c r="AD13" s="1"/>
      <c r="AE13" s="8" t="s">
        <v>287</v>
      </c>
      <c r="AF13" s="9" t="s">
        <v>30</v>
      </c>
      <c r="AG13" s="194" t="s">
        <v>65</v>
      </c>
      <c r="AH13" s="208" t="s">
        <v>1516</v>
      </c>
      <c r="AI13" s="148" t="s">
        <v>2039</v>
      </c>
      <c r="AJ13" s="148" t="s">
        <v>2039</v>
      </c>
    </row>
    <row r="14" spans="1:36" x14ac:dyDescent="0.3">
      <c r="A14" t="s">
        <v>7</v>
      </c>
      <c r="B14" t="str">
        <f>B13</f>
        <v>NL</v>
      </c>
      <c r="C14">
        <f t="shared" ref="C14:R14" si="5">C13</f>
        <v>8</v>
      </c>
      <c r="D14">
        <f t="shared" si="5"/>
        <v>281</v>
      </c>
      <c r="E14">
        <f t="shared" si="5"/>
        <v>43</v>
      </c>
      <c r="F14">
        <f t="shared" si="5"/>
        <v>78</v>
      </c>
      <c r="G14">
        <f t="shared" si="5"/>
        <v>15</v>
      </c>
      <c r="H14">
        <f t="shared" si="5"/>
        <v>0</v>
      </c>
      <c r="I14">
        <f t="shared" si="5"/>
        <v>12</v>
      </c>
      <c r="J14">
        <f t="shared" si="5"/>
        <v>39</v>
      </c>
      <c r="K14">
        <f t="shared" si="5"/>
        <v>35</v>
      </c>
      <c r="L14">
        <f t="shared" si="5"/>
        <v>66</v>
      </c>
      <c r="M14">
        <f t="shared" si="5"/>
        <v>7</v>
      </c>
      <c r="N14">
        <f t="shared" si="5"/>
        <v>1</v>
      </c>
      <c r="O14">
        <f t="shared" si="5"/>
        <v>0.27800000000000002</v>
      </c>
      <c r="P14">
        <f t="shared" si="5"/>
        <v>0.35499999999999998</v>
      </c>
      <c r="Q14">
        <f t="shared" si="5"/>
        <v>0.45900000000000002</v>
      </c>
      <c r="R14">
        <f t="shared" si="5"/>
        <v>0.81399999999999995</v>
      </c>
      <c r="U14" s="13" t="s">
        <v>22</v>
      </c>
      <c r="V14" s="14" t="s">
        <v>43</v>
      </c>
      <c r="W14" s="14" t="s">
        <v>235</v>
      </c>
      <c r="X14" s="14" t="s">
        <v>1506</v>
      </c>
      <c r="Z14" s="196" t="s">
        <v>43</v>
      </c>
      <c r="AA14" s="205" t="s">
        <v>22</v>
      </c>
      <c r="AB14" s="199" t="s">
        <v>235</v>
      </c>
      <c r="AC14" s="209" t="s">
        <v>1506</v>
      </c>
      <c r="AD14" s="1"/>
      <c r="AE14" s="15" t="s">
        <v>235</v>
      </c>
      <c r="AF14" s="16" t="s">
        <v>22</v>
      </c>
      <c r="AG14" s="193" t="s">
        <v>43</v>
      </c>
      <c r="AH14" s="209" t="s">
        <v>1506</v>
      </c>
      <c r="AJ14" s="148" t="s">
        <v>2040</v>
      </c>
    </row>
    <row r="15" spans="1:36" x14ac:dyDescent="0.3">
      <c r="A15">
        <v>7</v>
      </c>
      <c r="B15" t="s">
        <v>3</v>
      </c>
      <c r="C15">
        <v>7</v>
      </c>
      <c r="D15">
        <v>243</v>
      </c>
      <c r="E15">
        <v>29</v>
      </c>
      <c r="F15">
        <v>74</v>
      </c>
      <c r="G15">
        <v>10</v>
      </c>
      <c r="H15">
        <v>0</v>
      </c>
      <c r="I15">
        <v>8</v>
      </c>
      <c r="J15">
        <v>28</v>
      </c>
      <c r="K15">
        <v>23</v>
      </c>
      <c r="L15">
        <v>46</v>
      </c>
      <c r="M15">
        <v>3</v>
      </c>
      <c r="N15">
        <v>1</v>
      </c>
      <c r="O15">
        <v>0.30499999999999999</v>
      </c>
      <c r="P15">
        <v>0.36799999999999999</v>
      </c>
      <c r="Q15">
        <v>0.44400000000000001</v>
      </c>
      <c r="R15">
        <v>0.81200000000000006</v>
      </c>
      <c r="U15" s="8" t="s">
        <v>2</v>
      </c>
      <c r="V15" s="9" t="s">
        <v>42</v>
      </c>
      <c r="W15" s="9" t="s">
        <v>226</v>
      </c>
      <c r="X15" s="9" t="s">
        <v>1484</v>
      </c>
      <c r="Z15" s="197" t="s">
        <v>42</v>
      </c>
      <c r="AA15" s="204" t="s">
        <v>2</v>
      </c>
      <c r="AB15" s="200" t="s">
        <v>226</v>
      </c>
      <c r="AC15" s="208" t="s">
        <v>1484</v>
      </c>
      <c r="AD15" s="1"/>
      <c r="AE15" s="8" t="s">
        <v>226</v>
      </c>
      <c r="AF15" s="9" t="s">
        <v>2</v>
      </c>
      <c r="AG15" s="194" t="s">
        <v>42</v>
      </c>
      <c r="AH15" s="208" t="s">
        <v>1484</v>
      </c>
      <c r="AJ15" s="148" t="s">
        <v>2041</v>
      </c>
    </row>
    <row r="16" spans="1:36" x14ac:dyDescent="0.3">
      <c r="A16" t="s">
        <v>8</v>
      </c>
      <c r="B16" t="str">
        <f>B15</f>
        <v>NL</v>
      </c>
      <c r="C16">
        <f t="shared" ref="C16:R16" si="6">C15</f>
        <v>7</v>
      </c>
      <c r="D16">
        <f t="shared" si="6"/>
        <v>243</v>
      </c>
      <c r="E16">
        <f t="shared" si="6"/>
        <v>29</v>
      </c>
      <c r="F16">
        <f t="shared" si="6"/>
        <v>74</v>
      </c>
      <c r="G16">
        <f t="shared" si="6"/>
        <v>10</v>
      </c>
      <c r="H16">
        <f t="shared" si="6"/>
        <v>0</v>
      </c>
      <c r="I16">
        <f t="shared" si="6"/>
        <v>8</v>
      </c>
      <c r="J16">
        <f t="shared" si="6"/>
        <v>28</v>
      </c>
      <c r="K16">
        <f t="shared" si="6"/>
        <v>23</v>
      </c>
      <c r="L16">
        <f t="shared" si="6"/>
        <v>46</v>
      </c>
      <c r="M16">
        <f t="shared" si="6"/>
        <v>3</v>
      </c>
      <c r="N16">
        <f t="shared" si="6"/>
        <v>1</v>
      </c>
      <c r="O16">
        <f t="shared" si="6"/>
        <v>0.30499999999999999</v>
      </c>
      <c r="P16">
        <f t="shared" si="6"/>
        <v>0.36799999999999999</v>
      </c>
      <c r="Q16">
        <f t="shared" si="6"/>
        <v>0.44400000000000001</v>
      </c>
      <c r="R16">
        <f t="shared" si="6"/>
        <v>0.81200000000000006</v>
      </c>
      <c r="U16" s="13" t="s">
        <v>28</v>
      </c>
      <c r="V16" s="14" t="s">
        <v>58</v>
      </c>
      <c r="W16" s="14" t="s">
        <v>246</v>
      </c>
      <c r="X16" s="14" t="s">
        <v>1512</v>
      </c>
      <c r="Z16" s="196" t="s">
        <v>58</v>
      </c>
      <c r="AA16" s="205" t="s">
        <v>28</v>
      </c>
      <c r="AB16" s="199" t="s">
        <v>246</v>
      </c>
      <c r="AC16" s="209" t="s">
        <v>1512</v>
      </c>
      <c r="AD16" s="1"/>
      <c r="AE16" s="15" t="s">
        <v>246</v>
      </c>
      <c r="AF16" s="16" t="s">
        <v>28</v>
      </c>
      <c r="AG16" s="193" t="s">
        <v>58</v>
      </c>
      <c r="AH16" s="209" t="s">
        <v>1512</v>
      </c>
      <c r="AJ16" s="148" t="s">
        <v>2042</v>
      </c>
    </row>
    <row r="17" spans="1:36" x14ac:dyDescent="0.3">
      <c r="A17">
        <v>8</v>
      </c>
      <c r="B17" t="s">
        <v>1</v>
      </c>
      <c r="C17">
        <v>8</v>
      </c>
      <c r="D17">
        <v>296</v>
      </c>
      <c r="E17">
        <v>41</v>
      </c>
      <c r="F17">
        <v>85</v>
      </c>
      <c r="G17">
        <v>23</v>
      </c>
      <c r="H17">
        <v>0</v>
      </c>
      <c r="I17">
        <v>10</v>
      </c>
      <c r="J17">
        <v>41</v>
      </c>
      <c r="K17">
        <v>19</v>
      </c>
      <c r="L17">
        <v>68</v>
      </c>
      <c r="M17">
        <v>9</v>
      </c>
      <c r="N17">
        <v>0</v>
      </c>
      <c r="O17">
        <v>0.28699999999999998</v>
      </c>
      <c r="P17">
        <v>0.33900000000000002</v>
      </c>
      <c r="Q17">
        <v>0.46600000000000003</v>
      </c>
      <c r="R17">
        <v>0.80500000000000005</v>
      </c>
      <c r="U17" s="8" t="s">
        <v>4</v>
      </c>
      <c r="V17" s="9" t="s">
        <v>38</v>
      </c>
      <c r="W17" s="9" t="s">
        <v>239</v>
      </c>
      <c r="X17" s="9" t="s">
        <v>1503</v>
      </c>
      <c r="Z17" s="197" t="s">
        <v>38</v>
      </c>
      <c r="AA17" s="204" t="s">
        <v>4</v>
      </c>
      <c r="AB17" s="200" t="s">
        <v>239</v>
      </c>
      <c r="AC17" s="208" t="s">
        <v>1503</v>
      </c>
      <c r="AD17" s="1"/>
      <c r="AE17" s="8" t="s">
        <v>239</v>
      </c>
      <c r="AF17" s="9" t="s">
        <v>4</v>
      </c>
      <c r="AG17" s="194" t="s">
        <v>38</v>
      </c>
      <c r="AH17" s="208" t="s">
        <v>1503</v>
      </c>
      <c r="AJ17" s="148" t="s">
        <v>2043</v>
      </c>
    </row>
    <row r="18" spans="1:36" x14ac:dyDescent="0.3">
      <c r="A18" t="s">
        <v>9</v>
      </c>
      <c r="B18" t="str">
        <f>B17</f>
        <v>AL</v>
      </c>
      <c r="C18">
        <f t="shared" ref="C18:R18" si="7">C17</f>
        <v>8</v>
      </c>
      <c r="D18">
        <f t="shared" si="7"/>
        <v>296</v>
      </c>
      <c r="E18">
        <f t="shared" si="7"/>
        <v>41</v>
      </c>
      <c r="F18">
        <f t="shared" si="7"/>
        <v>85</v>
      </c>
      <c r="G18">
        <f t="shared" si="7"/>
        <v>23</v>
      </c>
      <c r="H18">
        <f t="shared" si="7"/>
        <v>0</v>
      </c>
      <c r="I18">
        <f t="shared" si="7"/>
        <v>10</v>
      </c>
      <c r="J18">
        <f t="shared" si="7"/>
        <v>41</v>
      </c>
      <c r="K18">
        <f t="shared" si="7"/>
        <v>19</v>
      </c>
      <c r="L18">
        <f t="shared" si="7"/>
        <v>68</v>
      </c>
      <c r="M18">
        <f t="shared" si="7"/>
        <v>9</v>
      </c>
      <c r="N18">
        <f t="shared" si="7"/>
        <v>0</v>
      </c>
      <c r="O18">
        <f t="shared" si="7"/>
        <v>0.28699999999999998</v>
      </c>
      <c r="P18">
        <f t="shared" si="7"/>
        <v>0.33900000000000002</v>
      </c>
      <c r="Q18">
        <f t="shared" si="7"/>
        <v>0.46600000000000003</v>
      </c>
      <c r="R18">
        <f t="shared" si="7"/>
        <v>0.80500000000000005</v>
      </c>
      <c r="U18" s="13" t="s">
        <v>27</v>
      </c>
      <c r="V18" s="14" t="s">
        <v>40</v>
      </c>
      <c r="W18" s="14" t="s">
        <v>274</v>
      </c>
      <c r="X18" s="14" t="s">
        <v>1505</v>
      </c>
      <c r="Z18" s="196" t="s">
        <v>40</v>
      </c>
      <c r="AA18" s="205" t="s">
        <v>27</v>
      </c>
      <c r="AB18" s="199" t="s">
        <v>274</v>
      </c>
      <c r="AC18" s="209" t="s">
        <v>1505</v>
      </c>
      <c r="AD18" s="1"/>
      <c r="AE18" s="15" t="s">
        <v>274</v>
      </c>
      <c r="AF18" s="16" t="s">
        <v>27</v>
      </c>
      <c r="AG18" s="193" t="s">
        <v>40</v>
      </c>
      <c r="AH18" s="209" t="s">
        <v>1505</v>
      </c>
      <c r="AJ18" s="148" t="s">
        <v>2044</v>
      </c>
    </row>
    <row r="19" spans="1:36" x14ac:dyDescent="0.3">
      <c r="A19">
        <v>9</v>
      </c>
      <c r="B19" t="s">
        <v>3</v>
      </c>
      <c r="C19">
        <v>6</v>
      </c>
      <c r="D19">
        <v>192</v>
      </c>
      <c r="E19">
        <v>27</v>
      </c>
      <c r="F19">
        <v>48</v>
      </c>
      <c r="G19">
        <v>9</v>
      </c>
      <c r="H19">
        <v>2</v>
      </c>
      <c r="I19">
        <v>10</v>
      </c>
      <c r="J19">
        <v>26</v>
      </c>
      <c r="K19">
        <v>21</v>
      </c>
      <c r="L19">
        <v>55</v>
      </c>
      <c r="M19">
        <v>1</v>
      </c>
      <c r="N19">
        <v>3</v>
      </c>
      <c r="O19">
        <v>0.25</v>
      </c>
      <c r="P19">
        <v>0.33</v>
      </c>
      <c r="Q19">
        <v>0.47399999999999998</v>
      </c>
      <c r="R19">
        <v>0.80400000000000005</v>
      </c>
      <c r="U19" s="8" t="s">
        <v>24</v>
      </c>
      <c r="V19" s="9" t="s">
        <v>51</v>
      </c>
      <c r="W19" s="9" t="s">
        <v>339</v>
      </c>
      <c r="X19" s="9" t="s">
        <v>1498</v>
      </c>
      <c r="Z19" s="197" t="s">
        <v>51</v>
      </c>
      <c r="AA19" s="204" t="s">
        <v>24</v>
      </c>
      <c r="AB19" s="200" t="s">
        <v>339</v>
      </c>
      <c r="AC19" s="208" t="s">
        <v>1498</v>
      </c>
      <c r="AD19" s="1"/>
      <c r="AE19" s="8" t="s">
        <v>339</v>
      </c>
      <c r="AF19" s="9" t="s">
        <v>24</v>
      </c>
      <c r="AG19" s="194" t="s">
        <v>51</v>
      </c>
      <c r="AH19" s="208" t="s">
        <v>1498</v>
      </c>
      <c r="AJ19" s="148" t="s">
        <v>2045</v>
      </c>
    </row>
    <row r="20" spans="1:36" x14ac:dyDescent="0.3">
      <c r="A20" t="s">
        <v>10</v>
      </c>
      <c r="B20" t="str">
        <f>B19</f>
        <v>NL</v>
      </c>
      <c r="C20">
        <f t="shared" ref="C20:R20" si="8">C19</f>
        <v>6</v>
      </c>
      <c r="D20">
        <f t="shared" si="8"/>
        <v>192</v>
      </c>
      <c r="E20">
        <f t="shared" si="8"/>
        <v>27</v>
      </c>
      <c r="F20">
        <f t="shared" si="8"/>
        <v>48</v>
      </c>
      <c r="G20">
        <f t="shared" si="8"/>
        <v>9</v>
      </c>
      <c r="H20">
        <f t="shared" si="8"/>
        <v>2</v>
      </c>
      <c r="I20">
        <f t="shared" si="8"/>
        <v>10</v>
      </c>
      <c r="J20">
        <f t="shared" si="8"/>
        <v>26</v>
      </c>
      <c r="K20">
        <f t="shared" si="8"/>
        <v>21</v>
      </c>
      <c r="L20">
        <f t="shared" si="8"/>
        <v>55</v>
      </c>
      <c r="M20">
        <f t="shared" si="8"/>
        <v>1</v>
      </c>
      <c r="N20">
        <f t="shared" si="8"/>
        <v>3</v>
      </c>
      <c r="O20">
        <f t="shared" si="8"/>
        <v>0.25</v>
      </c>
      <c r="P20">
        <f t="shared" si="8"/>
        <v>0.33</v>
      </c>
      <c r="Q20">
        <f t="shared" si="8"/>
        <v>0.47399999999999998</v>
      </c>
      <c r="R20">
        <f t="shared" si="8"/>
        <v>0.80400000000000005</v>
      </c>
      <c r="U20" s="13" t="s">
        <v>11</v>
      </c>
      <c r="V20" s="14" t="s">
        <v>48</v>
      </c>
      <c r="W20" s="14" t="s">
        <v>222</v>
      </c>
      <c r="X20" s="14" t="s">
        <v>1492</v>
      </c>
      <c r="Z20" s="196" t="s">
        <v>48</v>
      </c>
      <c r="AA20" s="205" t="s">
        <v>11</v>
      </c>
      <c r="AB20" s="199" t="s">
        <v>222</v>
      </c>
      <c r="AC20" s="209" t="s">
        <v>1492</v>
      </c>
      <c r="AD20" s="1"/>
      <c r="AE20" s="15" t="s">
        <v>222</v>
      </c>
      <c r="AF20" s="16" t="s">
        <v>11</v>
      </c>
      <c r="AG20" s="193" t="s">
        <v>48</v>
      </c>
      <c r="AH20" s="209" t="s">
        <v>1492</v>
      </c>
      <c r="AJ20" s="148" t="s">
        <v>2046</v>
      </c>
    </row>
    <row r="21" spans="1:36" x14ac:dyDescent="0.3">
      <c r="A21">
        <v>10</v>
      </c>
      <c r="B21" t="s">
        <v>1</v>
      </c>
      <c r="C21">
        <v>7</v>
      </c>
      <c r="D21">
        <v>226</v>
      </c>
      <c r="E21">
        <v>35</v>
      </c>
      <c r="F21">
        <v>56</v>
      </c>
      <c r="G21">
        <v>8</v>
      </c>
      <c r="H21">
        <v>1</v>
      </c>
      <c r="I21">
        <v>12</v>
      </c>
      <c r="J21">
        <v>33</v>
      </c>
      <c r="K21">
        <v>29</v>
      </c>
      <c r="L21">
        <v>64</v>
      </c>
      <c r="M21">
        <v>11</v>
      </c>
      <c r="N21">
        <v>3</v>
      </c>
      <c r="O21">
        <v>0.248</v>
      </c>
      <c r="P21">
        <v>0.33500000000000002</v>
      </c>
      <c r="Q21">
        <v>0.45100000000000001</v>
      </c>
      <c r="R21">
        <v>0.78600000000000003</v>
      </c>
      <c r="U21" s="8" t="s">
        <v>26</v>
      </c>
      <c r="V21" s="9" t="s">
        <v>62</v>
      </c>
      <c r="W21" s="9" t="s">
        <v>325</v>
      </c>
      <c r="X21" s="9" t="s">
        <v>1519</v>
      </c>
      <c r="Z21" s="197" t="s">
        <v>62</v>
      </c>
      <c r="AA21" s="204" t="s">
        <v>26</v>
      </c>
      <c r="AB21" s="200" t="s">
        <v>325</v>
      </c>
      <c r="AC21" s="208" t="s">
        <v>1519</v>
      </c>
      <c r="AD21" s="1"/>
      <c r="AE21" s="8" t="s">
        <v>325</v>
      </c>
      <c r="AF21" s="9" t="s">
        <v>26</v>
      </c>
      <c r="AG21" s="194" t="s">
        <v>62</v>
      </c>
      <c r="AH21" s="208" t="s">
        <v>1519</v>
      </c>
      <c r="AJ21" s="148" t="s">
        <v>2047</v>
      </c>
    </row>
    <row r="22" spans="1:36" x14ac:dyDescent="0.3">
      <c r="A22" t="s">
        <v>11</v>
      </c>
      <c r="B22" t="str">
        <f>B21</f>
        <v>AL</v>
      </c>
      <c r="C22">
        <f t="shared" ref="C22:R22" si="9">C21</f>
        <v>7</v>
      </c>
      <c r="D22">
        <f t="shared" si="9"/>
        <v>226</v>
      </c>
      <c r="E22">
        <f t="shared" si="9"/>
        <v>35</v>
      </c>
      <c r="F22">
        <f t="shared" si="9"/>
        <v>56</v>
      </c>
      <c r="G22">
        <f t="shared" si="9"/>
        <v>8</v>
      </c>
      <c r="H22">
        <f t="shared" si="9"/>
        <v>1</v>
      </c>
      <c r="I22">
        <f t="shared" si="9"/>
        <v>12</v>
      </c>
      <c r="J22">
        <f t="shared" si="9"/>
        <v>33</v>
      </c>
      <c r="K22">
        <f t="shared" si="9"/>
        <v>29</v>
      </c>
      <c r="L22">
        <f t="shared" si="9"/>
        <v>64</v>
      </c>
      <c r="M22">
        <f t="shared" si="9"/>
        <v>11</v>
      </c>
      <c r="N22">
        <f t="shared" si="9"/>
        <v>3</v>
      </c>
      <c r="O22">
        <f t="shared" si="9"/>
        <v>0.248</v>
      </c>
      <c r="P22">
        <f t="shared" si="9"/>
        <v>0.33500000000000002</v>
      </c>
      <c r="Q22">
        <f t="shared" si="9"/>
        <v>0.45100000000000001</v>
      </c>
      <c r="R22">
        <f t="shared" si="9"/>
        <v>0.78600000000000003</v>
      </c>
      <c r="U22" s="13" t="s">
        <v>14</v>
      </c>
      <c r="V22" s="14" t="s">
        <v>63</v>
      </c>
      <c r="W22" s="14" t="s">
        <v>311</v>
      </c>
      <c r="X22" s="14" t="s">
        <v>1501</v>
      </c>
      <c r="Z22" s="196" t="s">
        <v>63</v>
      </c>
      <c r="AA22" s="205" t="s">
        <v>14</v>
      </c>
      <c r="AB22" s="199" t="s">
        <v>311</v>
      </c>
      <c r="AC22" s="209" t="s">
        <v>1501</v>
      </c>
      <c r="AD22" s="1"/>
      <c r="AE22" s="15" t="s">
        <v>311</v>
      </c>
      <c r="AF22" s="16" t="s">
        <v>14</v>
      </c>
      <c r="AG22" s="193" t="s">
        <v>63</v>
      </c>
      <c r="AH22" s="209" t="s">
        <v>1501</v>
      </c>
      <c r="AJ22" s="148" t="s">
        <v>2048</v>
      </c>
    </row>
    <row r="23" spans="1:36" x14ac:dyDescent="0.3">
      <c r="A23">
        <v>11</v>
      </c>
      <c r="B23" t="s">
        <v>1</v>
      </c>
      <c r="C23">
        <v>7</v>
      </c>
      <c r="D23">
        <v>242</v>
      </c>
      <c r="E23">
        <v>41</v>
      </c>
      <c r="F23">
        <v>62</v>
      </c>
      <c r="G23">
        <v>13</v>
      </c>
      <c r="H23">
        <v>2</v>
      </c>
      <c r="I23">
        <v>10</v>
      </c>
      <c r="J23">
        <v>39</v>
      </c>
      <c r="K23">
        <v>23</v>
      </c>
      <c r="L23">
        <v>50</v>
      </c>
      <c r="M23">
        <v>3</v>
      </c>
      <c r="N23">
        <v>0</v>
      </c>
      <c r="O23">
        <v>0.25600000000000001</v>
      </c>
      <c r="P23">
        <v>0.33200000000000002</v>
      </c>
      <c r="Q23">
        <v>0.45</v>
      </c>
      <c r="R23">
        <v>0.78200000000000003</v>
      </c>
      <c r="U23" s="8" t="s">
        <v>13</v>
      </c>
      <c r="V23" s="9" t="s">
        <v>41</v>
      </c>
      <c r="W23" s="9" t="s">
        <v>231</v>
      </c>
      <c r="X23" s="9" t="s">
        <v>1515</v>
      </c>
      <c r="Z23" s="197" t="s">
        <v>41</v>
      </c>
      <c r="AA23" s="204" t="s">
        <v>13</v>
      </c>
      <c r="AB23" s="200" t="s">
        <v>231</v>
      </c>
      <c r="AC23" s="208" t="s">
        <v>1515</v>
      </c>
      <c r="AD23" s="1"/>
      <c r="AE23" s="8" t="s">
        <v>231</v>
      </c>
      <c r="AF23" s="9" t="s">
        <v>13</v>
      </c>
      <c r="AG23" s="194" t="s">
        <v>41</v>
      </c>
      <c r="AH23" s="208" t="s">
        <v>1515</v>
      </c>
      <c r="AJ23" s="148" t="s">
        <v>2049</v>
      </c>
    </row>
    <row r="24" spans="1:36" x14ac:dyDescent="0.3">
      <c r="A24" t="s">
        <v>12</v>
      </c>
      <c r="B24" t="str">
        <f>B23</f>
        <v>AL</v>
      </c>
      <c r="C24">
        <f t="shared" ref="C24:R24" si="10">C23</f>
        <v>7</v>
      </c>
      <c r="D24">
        <f t="shared" si="10"/>
        <v>242</v>
      </c>
      <c r="E24">
        <f t="shared" si="10"/>
        <v>41</v>
      </c>
      <c r="F24">
        <f t="shared" si="10"/>
        <v>62</v>
      </c>
      <c r="G24">
        <f t="shared" si="10"/>
        <v>13</v>
      </c>
      <c r="H24">
        <f t="shared" si="10"/>
        <v>2</v>
      </c>
      <c r="I24">
        <f t="shared" si="10"/>
        <v>10</v>
      </c>
      <c r="J24">
        <f t="shared" si="10"/>
        <v>39</v>
      </c>
      <c r="K24">
        <f t="shared" si="10"/>
        <v>23</v>
      </c>
      <c r="L24">
        <f t="shared" si="10"/>
        <v>50</v>
      </c>
      <c r="M24">
        <f t="shared" si="10"/>
        <v>3</v>
      </c>
      <c r="N24">
        <f t="shared" si="10"/>
        <v>0</v>
      </c>
      <c r="O24">
        <f t="shared" si="10"/>
        <v>0.25600000000000001</v>
      </c>
      <c r="P24">
        <f t="shared" si="10"/>
        <v>0.33200000000000002</v>
      </c>
      <c r="Q24">
        <f t="shared" si="10"/>
        <v>0.45</v>
      </c>
      <c r="R24">
        <f t="shared" si="10"/>
        <v>0.78200000000000003</v>
      </c>
      <c r="U24" s="13" t="s">
        <v>16</v>
      </c>
      <c r="V24" s="14" t="s">
        <v>49</v>
      </c>
      <c r="W24" s="14" t="s">
        <v>241</v>
      </c>
      <c r="X24" s="14" t="s">
        <v>1494</v>
      </c>
      <c r="Z24" s="196" t="s">
        <v>49</v>
      </c>
      <c r="AA24" s="205" t="s">
        <v>16</v>
      </c>
      <c r="AB24" s="199" t="s">
        <v>241</v>
      </c>
      <c r="AC24" s="209" t="s">
        <v>1494</v>
      </c>
      <c r="AD24" s="1"/>
      <c r="AE24" s="15" t="s">
        <v>241</v>
      </c>
      <c r="AF24" s="16" t="s">
        <v>16</v>
      </c>
      <c r="AG24" s="193" t="s">
        <v>49</v>
      </c>
      <c r="AH24" s="209" t="s">
        <v>1494</v>
      </c>
      <c r="AJ24" s="148" t="s">
        <v>2050</v>
      </c>
    </row>
    <row r="25" spans="1:36" x14ac:dyDescent="0.3">
      <c r="A25">
        <v>12</v>
      </c>
      <c r="B25" t="s">
        <v>3</v>
      </c>
      <c r="C25">
        <v>7</v>
      </c>
      <c r="D25">
        <v>241</v>
      </c>
      <c r="E25">
        <v>36</v>
      </c>
      <c r="F25">
        <v>61</v>
      </c>
      <c r="G25">
        <v>14</v>
      </c>
      <c r="H25">
        <v>1</v>
      </c>
      <c r="I25">
        <v>10</v>
      </c>
      <c r="J25">
        <v>34</v>
      </c>
      <c r="K25">
        <v>26</v>
      </c>
      <c r="L25">
        <v>62</v>
      </c>
      <c r="M25">
        <v>7</v>
      </c>
      <c r="N25">
        <v>1</v>
      </c>
      <c r="O25">
        <v>0.253</v>
      </c>
      <c r="P25">
        <v>0.32600000000000001</v>
      </c>
      <c r="Q25">
        <v>0.44400000000000001</v>
      </c>
      <c r="R25">
        <v>0.77</v>
      </c>
      <c r="U25" s="8" t="s">
        <v>5</v>
      </c>
      <c r="V25" s="9" t="s">
        <v>53</v>
      </c>
      <c r="W25" s="9" t="s">
        <v>268</v>
      </c>
      <c r="X25" s="9" t="s">
        <v>1507</v>
      </c>
      <c r="Z25" s="197" t="s">
        <v>53</v>
      </c>
      <c r="AA25" s="204" t="s">
        <v>5</v>
      </c>
      <c r="AB25" s="200" t="s">
        <v>268</v>
      </c>
      <c r="AC25" s="208" t="s">
        <v>1507</v>
      </c>
      <c r="AD25" s="1"/>
      <c r="AE25" s="8" t="s">
        <v>268</v>
      </c>
      <c r="AF25" s="9" t="s">
        <v>5</v>
      </c>
      <c r="AG25" s="194" t="s">
        <v>53</v>
      </c>
      <c r="AH25" s="208" t="s">
        <v>1507</v>
      </c>
      <c r="AJ25" s="148" t="s">
        <v>2051</v>
      </c>
    </row>
    <row r="26" spans="1:36" x14ac:dyDescent="0.3">
      <c r="A26" t="s">
        <v>13</v>
      </c>
      <c r="B26" t="str">
        <f>B25</f>
        <v>NL</v>
      </c>
      <c r="C26">
        <f t="shared" ref="C26:R26" si="11">C25</f>
        <v>7</v>
      </c>
      <c r="D26">
        <f t="shared" si="11"/>
        <v>241</v>
      </c>
      <c r="E26">
        <f t="shared" si="11"/>
        <v>36</v>
      </c>
      <c r="F26">
        <f t="shared" si="11"/>
        <v>61</v>
      </c>
      <c r="G26">
        <f t="shared" si="11"/>
        <v>14</v>
      </c>
      <c r="H26">
        <f t="shared" si="11"/>
        <v>1</v>
      </c>
      <c r="I26">
        <f t="shared" si="11"/>
        <v>10</v>
      </c>
      <c r="J26">
        <f t="shared" si="11"/>
        <v>34</v>
      </c>
      <c r="K26">
        <f t="shared" si="11"/>
        <v>26</v>
      </c>
      <c r="L26">
        <f t="shared" si="11"/>
        <v>62</v>
      </c>
      <c r="M26">
        <f t="shared" si="11"/>
        <v>7</v>
      </c>
      <c r="N26">
        <f t="shared" si="11"/>
        <v>1</v>
      </c>
      <c r="O26">
        <f t="shared" si="11"/>
        <v>0.253</v>
      </c>
      <c r="P26">
        <f t="shared" si="11"/>
        <v>0.32600000000000001</v>
      </c>
      <c r="Q26">
        <f t="shared" si="11"/>
        <v>0.44400000000000001</v>
      </c>
      <c r="R26">
        <f t="shared" si="11"/>
        <v>0.77</v>
      </c>
      <c r="U26" s="13" t="s">
        <v>23</v>
      </c>
      <c r="V26" s="14" t="s">
        <v>57</v>
      </c>
      <c r="W26" s="14" t="s">
        <v>244</v>
      </c>
      <c r="X26" s="14" t="s">
        <v>1502</v>
      </c>
      <c r="Z26" s="196" t="s">
        <v>57</v>
      </c>
      <c r="AA26" s="205" t="s">
        <v>23</v>
      </c>
      <c r="AB26" s="199" t="s">
        <v>244</v>
      </c>
      <c r="AC26" s="209" t="s">
        <v>1502</v>
      </c>
      <c r="AD26" s="1"/>
      <c r="AE26" s="15" t="s">
        <v>244</v>
      </c>
      <c r="AF26" s="16" t="s">
        <v>23</v>
      </c>
      <c r="AG26" s="193" t="s">
        <v>57</v>
      </c>
      <c r="AH26" s="209" t="s">
        <v>1502</v>
      </c>
      <c r="AJ26" s="148" t="s">
        <v>2052</v>
      </c>
    </row>
    <row r="27" spans="1:36" x14ac:dyDescent="0.3">
      <c r="A27">
        <v>13</v>
      </c>
      <c r="B27" t="s">
        <v>3</v>
      </c>
      <c r="C27">
        <v>7</v>
      </c>
      <c r="D27">
        <v>243</v>
      </c>
      <c r="E27">
        <v>23</v>
      </c>
      <c r="F27">
        <v>66</v>
      </c>
      <c r="G27">
        <v>17</v>
      </c>
      <c r="H27">
        <v>4</v>
      </c>
      <c r="I27">
        <v>6</v>
      </c>
      <c r="J27">
        <v>21</v>
      </c>
      <c r="K27">
        <v>16</v>
      </c>
      <c r="L27">
        <v>68</v>
      </c>
      <c r="M27">
        <v>4</v>
      </c>
      <c r="N27">
        <v>0</v>
      </c>
      <c r="O27">
        <v>0.27200000000000002</v>
      </c>
      <c r="P27">
        <v>0.318</v>
      </c>
      <c r="Q27">
        <v>0.44900000000000001</v>
      </c>
      <c r="R27">
        <v>0.76700000000000002</v>
      </c>
      <c r="U27" s="8" t="s">
        <v>8</v>
      </c>
      <c r="V27" s="9" t="s">
        <v>61</v>
      </c>
      <c r="W27" s="9" t="s">
        <v>255</v>
      </c>
      <c r="X27" s="9" t="s">
        <v>1500</v>
      </c>
      <c r="Z27" s="197" t="s">
        <v>61</v>
      </c>
      <c r="AA27" s="204" t="s">
        <v>8</v>
      </c>
      <c r="AB27" s="200" t="s">
        <v>255</v>
      </c>
      <c r="AC27" s="208" t="s">
        <v>1500</v>
      </c>
      <c r="AD27" s="1"/>
      <c r="AE27" s="8" t="s">
        <v>255</v>
      </c>
      <c r="AF27" s="9" t="s">
        <v>8</v>
      </c>
      <c r="AG27" s="194" t="s">
        <v>61</v>
      </c>
      <c r="AH27" s="208" t="s">
        <v>1500</v>
      </c>
      <c r="AJ27" s="148" t="s">
        <v>2053</v>
      </c>
    </row>
    <row r="28" spans="1:36" x14ac:dyDescent="0.3">
      <c r="A28" t="s">
        <v>14</v>
      </c>
      <c r="B28" t="str">
        <f>B27</f>
        <v>NL</v>
      </c>
      <c r="C28">
        <f t="shared" ref="C28:R28" si="12">C27</f>
        <v>7</v>
      </c>
      <c r="D28">
        <f t="shared" si="12"/>
        <v>243</v>
      </c>
      <c r="E28">
        <f t="shared" si="12"/>
        <v>23</v>
      </c>
      <c r="F28">
        <f t="shared" si="12"/>
        <v>66</v>
      </c>
      <c r="G28">
        <f t="shared" si="12"/>
        <v>17</v>
      </c>
      <c r="H28">
        <f t="shared" si="12"/>
        <v>4</v>
      </c>
      <c r="I28">
        <f t="shared" si="12"/>
        <v>6</v>
      </c>
      <c r="J28">
        <f t="shared" si="12"/>
        <v>21</v>
      </c>
      <c r="K28">
        <f t="shared" si="12"/>
        <v>16</v>
      </c>
      <c r="L28">
        <f t="shared" si="12"/>
        <v>68</v>
      </c>
      <c r="M28">
        <f t="shared" si="12"/>
        <v>4</v>
      </c>
      <c r="N28">
        <f t="shared" si="12"/>
        <v>0</v>
      </c>
      <c r="O28">
        <f t="shared" si="12"/>
        <v>0.27200000000000002</v>
      </c>
      <c r="P28">
        <f t="shared" si="12"/>
        <v>0.318</v>
      </c>
      <c r="Q28">
        <f t="shared" si="12"/>
        <v>0.44900000000000001</v>
      </c>
      <c r="R28">
        <f t="shared" si="12"/>
        <v>0.76700000000000002</v>
      </c>
      <c r="U28" s="13" t="s">
        <v>0</v>
      </c>
      <c r="V28" s="14" t="s">
        <v>37</v>
      </c>
      <c r="W28" s="14" t="s">
        <v>228</v>
      </c>
      <c r="X28" s="14" t="s">
        <v>1499</v>
      </c>
      <c r="Z28" s="196" t="s">
        <v>37</v>
      </c>
      <c r="AA28" s="205" t="s">
        <v>0</v>
      </c>
      <c r="AB28" s="199" t="s">
        <v>228</v>
      </c>
      <c r="AC28" s="209" t="s">
        <v>1499</v>
      </c>
      <c r="AD28" s="1"/>
      <c r="AE28" s="15" t="s">
        <v>228</v>
      </c>
      <c r="AF28" s="16" t="s">
        <v>0</v>
      </c>
      <c r="AG28" s="193" t="s">
        <v>37</v>
      </c>
      <c r="AH28" s="209" t="s">
        <v>1499</v>
      </c>
      <c r="AJ28" s="148" t="s">
        <v>2054</v>
      </c>
    </row>
    <row r="29" spans="1:36" x14ac:dyDescent="0.3">
      <c r="A29">
        <v>14</v>
      </c>
      <c r="B29" t="s">
        <v>1</v>
      </c>
      <c r="C29">
        <v>8</v>
      </c>
      <c r="D29">
        <v>289</v>
      </c>
      <c r="E29">
        <v>37</v>
      </c>
      <c r="F29">
        <v>83</v>
      </c>
      <c r="G29">
        <v>15</v>
      </c>
      <c r="H29">
        <v>0</v>
      </c>
      <c r="I29">
        <v>6</v>
      </c>
      <c r="J29">
        <v>33</v>
      </c>
      <c r="K29">
        <v>25</v>
      </c>
      <c r="L29">
        <v>65</v>
      </c>
      <c r="M29">
        <v>4</v>
      </c>
      <c r="N29">
        <v>2</v>
      </c>
      <c r="O29">
        <v>0.28699999999999998</v>
      </c>
      <c r="P29">
        <v>0.34499999999999997</v>
      </c>
      <c r="Q29">
        <v>0.40100000000000002</v>
      </c>
      <c r="R29">
        <v>0.746</v>
      </c>
      <c r="U29" s="8" t="s">
        <v>18</v>
      </c>
      <c r="V29" s="9" t="s">
        <v>45</v>
      </c>
      <c r="W29" s="9" t="s">
        <v>264</v>
      </c>
      <c r="X29" s="9" t="s">
        <v>1481</v>
      </c>
      <c r="Z29" s="197" t="s">
        <v>45</v>
      </c>
      <c r="AA29" s="204" t="s">
        <v>18</v>
      </c>
      <c r="AB29" s="200" t="s">
        <v>264</v>
      </c>
      <c r="AC29" s="208" t="s">
        <v>1481</v>
      </c>
      <c r="AD29" s="1"/>
      <c r="AE29" s="8" t="s">
        <v>264</v>
      </c>
      <c r="AF29" s="9" t="s">
        <v>18</v>
      </c>
      <c r="AG29" s="194" t="s">
        <v>45</v>
      </c>
      <c r="AH29" s="208" t="s">
        <v>1481</v>
      </c>
      <c r="AJ29" s="148" t="s">
        <v>2055</v>
      </c>
    </row>
    <row r="30" spans="1:36" x14ac:dyDescent="0.3">
      <c r="A30" t="s">
        <v>15</v>
      </c>
      <c r="B30" t="str">
        <f>B29</f>
        <v>AL</v>
      </c>
      <c r="C30">
        <f t="shared" ref="C30:R30" si="13">C29</f>
        <v>8</v>
      </c>
      <c r="D30">
        <f t="shared" si="13"/>
        <v>289</v>
      </c>
      <c r="E30">
        <f t="shared" si="13"/>
        <v>37</v>
      </c>
      <c r="F30">
        <f t="shared" si="13"/>
        <v>83</v>
      </c>
      <c r="G30">
        <f t="shared" si="13"/>
        <v>15</v>
      </c>
      <c r="H30">
        <f t="shared" si="13"/>
        <v>0</v>
      </c>
      <c r="I30">
        <f t="shared" si="13"/>
        <v>6</v>
      </c>
      <c r="J30">
        <f t="shared" si="13"/>
        <v>33</v>
      </c>
      <c r="K30">
        <f t="shared" si="13"/>
        <v>25</v>
      </c>
      <c r="L30">
        <f t="shared" si="13"/>
        <v>65</v>
      </c>
      <c r="M30">
        <f t="shared" si="13"/>
        <v>4</v>
      </c>
      <c r="N30">
        <f t="shared" si="13"/>
        <v>2</v>
      </c>
      <c r="O30">
        <f t="shared" si="13"/>
        <v>0.28699999999999998</v>
      </c>
      <c r="P30">
        <f t="shared" si="13"/>
        <v>0.34499999999999997</v>
      </c>
      <c r="Q30">
        <f t="shared" si="13"/>
        <v>0.40100000000000002</v>
      </c>
      <c r="R30">
        <f t="shared" si="13"/>
        <v>0.746</v>
      </c>
      <c r="U30" s="13" t="s">
        <v>15</v>
      </c>
      <c r="V30" s="14" t="s">
        <v>47</v>
      </c>
      <c r="W30" s="14" t="s">
        <v>234</v>
      </c>
      <c r="X30" s="14" t="s">
        <v>1835</v>
      </c>
      <c r="Z30" s="196" t="s">
        <v>47</v>
      </c>
      <c r="AA30" s="205" t="s">
        <v>15</v>
      </c>
      <c r="AB30" s="199" t="s">
        <v>234</v>
      </c>
      <c r="AC30" s="209" t="s">
        <v>1835</v>
      </c>
      <c r="AD30" s="1"/>
      <c r="AE30" s="15" t="s">
        <v>234</v>
      </c>
      <c r="AF30" s="16" t="s">
        <v>15</v>
      </c>
      <c r="AG30" s="193" t="s">
        <v>47</v>
      </c>
      <c r="AH30" s="209" t="s">
        <v>1835</v>
      </c>
      <c r="AJ30" s="148" t="s">
        <v>2056</v>
      </c>
    </row>
    <row r="31" spans="1:36" ht="15" thickBot="1" x14ac:dyDescent="0.35">
      <c r="A31">
        <v>15</v>
      </c>
      <c r="B31" t="s">
        <v>3</v>
      </c>
      <c r="C31">
        <v>8</v>
      </c>
      <c r="D31">
        <v>253</v>
      </c>
      <c r="E31">
        <v>36</v>
      </c>
      <c r="F31">
        <v>58</v>
      </c>
      <c r="G31">
        <v>16</v>
      </c>
      <c r="H31">
        <v>0</v>
      </c>
      <c r="I31">
        <v>11</v>
      </c>
      <c r="J31">
        <v>34</v>
      </c>
      <c r="K31">
        <v>33</v>
      </c>
      <c r="L31">
        <v>59</v>
      </c>
      <c r="M31">
        <v>4</v>
      </c>
      <c r="N31">
        <v>1</v>
      </c>
      <c r="O31">
        <v>0.22900000000000001</v>
      </c>
      <c r="P31">
        <v>0.314</v>
      </c>
      <c r="Q31">
        <v>0.42299999999999999</v>
      </c>
      <c r="R31">
        <v>0.73699999999999999</v>
      </c>
      <c r="U31" s="10" t="s">
        <v>19</v>
      </c>
      <c r="V31" s="11" t="s">
        <v>66</v>
      </c>
      <c r="W31" s="11" t="s">
        <v>392</v>
      </c>
      <c r="X31" s="11" t="s">
        <v>1517</v>
      </c>
      <c r="Z31" s="198" t="s">
        <v>66</v>
      </c>
      <c r="AA31" s="206" t="s">
        <v>19</v>
      </c>
      <c r="AB31" s="201" t="s">
        <v>392</v>
      </c>
      <c r="AC31" s="210" t="s">
        <v>1517</v>
      </c>
      <c r="AD31" s="1"/>
      <c r="AE31" s="10" t="s">
        <v>392</v>
      </c>
      <c r="AF31" s="11" t="s">
        <v>19</v>
      </c>
      <c r="AG31" s="195" t="s">
        <v>66</v>
      </c>
      <c r="AH31" s="210" t="s">
        <v>1517</v>
      </c>
      <c r="AJ31" s="148" t="s">
        <v>2057</v>
      </c>
    </row>
    <row r="32" spans="1:36" x14ac:dyDescent="0.3">
      <c r="A32" t="s">
        <v>16</v>
      </c>
      <c r="B32" t="str">
        <f>B31</f>
        <v>NL</v>
      </c>
      <c r="C32">
        <f t="shared" ref="C32:R32" si="14">C31</f>
        <v>8</v>
      </c>
      <c r="D32">
        <f t="shared" si="14"/>
        <v>253</v>
      </c>
      <c r="E32">
        <f t="shared" si="14"/>
        <v>36</v>
      </c>
      <c r="F32">
        <f t="shared" si="14"/>
        <v>58</v>
      </c>
      <c r="G32">
        <f t="shared" si="14"/>
        <v>16</v>
      </c>
      <c r="H32">
        <f t="shared" si="14"/>
        <v>0</v>
      </c>
      <c r="I32">
        <f t="shared" si="14"/>
        <v>11</v>
      </c>
      <c r="J32">
        <f t="shared" si="14"/>
        <v>34</v>
      </c>
      <c r="K32">
        <f t="shared" si="14"/>
        <v>33</v>
      </c>
      <c r="L32">
        <f t="shared" si="14"/>
        <v>59</v>
      </c>
      <c r="M32">
        <f t="shared" si="14"/>
        <v>4</v>
      </c>
      <c r="N32">
        <f t="shared" si="14"/>
        <v>1</v>
      </c>
      <c r="O32">
        <f t="shared" si="14"/>
        <v>0.22900000000000001</v>
      </c>
      <c r="P32">
        <f t="shared" si="14"/>
        <v>0.314</v>
      </c>
      <c r="Q32">
        <f t="shared" si="14"/>
        <v>0.42299999999999999</v>
      </c>
      <c r="R32">
        <f t="shared" si="14"/>
        <v>0.73699999999999999</v>
      </c>
      <c r="AJ32" s="148" t="s">
        <v>2058</v>
      </c>
    </row>
    <row r="33" spans="1:42" x14ac:dyDescent="0.3">
      <c r="A33">
        <v>16</v>
      </c>
      <c r="B33" t="s">
        <v>3</v>
      </c>
      <c r="C33">
        <v>6</v>
      </c>
      <c r="D33">
        <v>204</v>
      </c>
      <c r="E33">
        <v>30</v>
      </c>
      <c r="F33">
        <v>54</v>
      </c>
      <c r="G33">
        <v>11</v>
      </c>
      <c r="H33">
        <v>0</v>
      </c>
      <c r="I33">
        <v>4</v>
      </c>
      <c r="J33">
        <v>28</v>
      </c>
      <c r="K33">
        <v>20</v>
      </c>
      <c r="L33">
        <v>47</v>
      </c>
      <c r="M33">
        <v>4</v>
      </c>
      <c r="N33">
        <v>1</v>
      </c>
      <c r="O33">
        <v>0.26500000000000001</v>
      </c>
      <c r="P33">
        <v>0.33300000000000002</v>
      </c>
      <c r="Q33">
        <v>0.377</v>
      </c>
      <c r="R33">
        <v>0.71</v>
      </c>
    </row>
    <row r="34" spans="1:42" x14ac:dyDescent="0.3">
      <c r="A34" t="s">
        <v>17</v>
      </c>
      <c r="B34" t="str">
        <f>B33</f>
        <v>NL</v>
      </c>
      <c r="C34">
        <f t="shared" ref="C34:R34" si="15">C33</f>
        <v>6</v>
      </c>
      <c r="D34">
        <f t="shared" si="15"/>
        <v>204</v>
      </c>
      <c r="E34">
        <f t="shared" si="15"/>
        <v>30</v>
      </c>
      <c r="F34">
        <f t="shared" si="15"/>
        <v>54</v>
      </c>
      <c r="G34">
        <f t="shared" si="15"/>
        <v>11</v>
      </c>
      <c r="H34">
        <f t="shared" si="15"/>
        <v>0</v>
      </c>
      <c r="I34">
        <f t="shared" si="15"/>
        <v>4</v>
      </c>
      <c r="J34">
        <f t="shared" si="15"/>
        <v>28</v>
      </c>
      <c r="K34">
        <f t="shared" si="15"/>
        <v>20</v>
      </c>
      <c r="L34">
        <f t="shared" si="15"/>
        <v>47</v>
      </c>
      <c r="M34">
        <f t="shared" si="15"/>
        <v>4</v>
      </c>
      <c r="N34">
        <f t="shared" si="15"/>
        <v>1</v>
      </c>
      <c r="O34">
        <f t="shared" si="15"/>
        <v>0.26500000000000001</v>
      </c>
      <c r="P34">
        <f t="shared" si="15"/>
        <v>0.33300000000000002</v>
      </c>
      <c r="Q34">
        <f t="shared" si="15"/>
        <v>0.377</v>
      </c>
      <c r="R34">
        <f t="shared" si="15"/>
        <v>0.71</v>
      </c>
    </row>
    <row r="35" spans="1:42" x14ac:dyDescent="0.3">
      <c r="A35">
        <v>17</v>
      </c>
      <c r="B35" t="s">
        <v>1</v>
      </c>
      <c r="C35">
        <v>7</v>
      </c>
      <c r="D35">
        <v>225</v>
      </c>
      <c r="E35">
        <v>36</v>
      </c>
      <c r="F35">
        <v>55</v>
      </c>
      <c r="G35">
        <v>8</v>
      </c>
      <c r="H35">
        <v>0</v>
      </c>
      <c r="I35">
        <v>9</v>
      </c>
      <c r="J35">
        <v>34</v>
      </c>
      <c r="K35">
        <v>18</v>
      </c>
      <c r="L35">
        <v>61</v>
      </c>
      <c r="M35">
        <v>1</v>
      </c>
      <c r="N35">
        <v>1</v>
      </c>
      <c r="O35">
        <v>0.24399999999999999</v>
      </c>
      <c r="P35">
        <v>0.30499999999999999</v>
      </c>
      <c r="Q35">
        <v>0.4</v>
      </c>
      <c r="R35">
        <v>0.70499999999999996</v>
      </c>
      <c r="U35" s="148" t="s">
        <v>1235</v>
      </c>
    </row>
    <row r="36" spans="1:42" x14ac:dyDescent="0.3">
      <c r="A36" t="s">
        <v>18</v>
      </c>
      <c r="B36" t="str">
        <f>B35</f>
        <v>AL</v>
      </c>
      <c r="C36">
        <f t="shared" ref="C36:R36" si="16">C35</f>
        <v>7</v>
      </c>
      <c r="D36">
        <f t="shared" si="16"/>
        <v>225</v>
      </c>
      <c r="E36">
        <f t="shared" si="16"/>
        <v>36</v>
      </c>
      <c r="F36">
        <f t="shared" si="16"/>
        <v>55</v>
      </c>
      <c r="G36">
        <f t="shared" si="16"/>
        <v>8</v>
      </c>
      <c r="H36">
        <f t="shared" si="16"/>
        <v>0</v>
      </c>
      <c r="I36">
        <f t="shared" si="16"/>
        <v>9</v>
      </c>
      <c r="J36">
        <f t="shared" si="16"/>
        <v>34</v>
      </c>
      <c r="K36">
        <f t="shared" si="16"/>
        <v>18</v>
      </c>
      <c r="L36">
        <f t="shared" si="16"/>
        <v>61</v>
      </c>
      <c r="M36">
        <f t="shared" si="16"/>
        <v>1</v>
      </c>
      <c r="N36">
        <f t="shared" si="16"/>
        <v>1</v>
      </c>
      <c r="O36">
        <f t="shared" si="16"/>
        <v>0.24399999999999999</v>
      </c>
      <c r="P36">
        <f t="shared" si="16"/>
        <v>0.30499999999999999</v>
      </c>
      <c r="Q36">
        <f t="shared" si="16"/>
        <v>0.4</v>
      </c>
      <c r="R36">
        <f t="shared" si="16"/>
        <v>0.70499999999999996</v>
      </c>
      <c r="U36" s="148" t="s">
        <v>1236</v>
      </c>
    </row>
    <row r="37" spans="1:42" x14ac:dyDescent="0.3">
      <c r="A37">
        <v>18</v>
      </c>
      <c r="B37" t="s">
        <v>3</v>
      </c>
      <c r="C37">
        <v>8</v>
      </c>
      <c r="D37">
        <v>265</v>
      </c>
      <c r="E37">
        <v>27</v>
      </c>
      <c r="F37">
        <v>70</v>
      </c>
      <c r="G37">
        <v>9</v>
      </c>
      <c r="H37">
        <v>2</v>
      </c>
      <c r="I37">
        <v>4</v>
      </c>
      <c r="J37">
        <v>27</v>
      </c>
      <c r="K37">
        <v>27</v>
      </c>
      <c r="L37">
        <v>53</v>
      </c>
      <c r="M37">
        <v>2</v>
      </c>
      <c r="N37">
        <v>4</v>
      </c>
      <c r="O37">
        <v>0.26400000000000001</v>
      </c>
      <c r="P37">
        <v>0.33200000000000002</v>
      </c>
      <c r="Q37">
        <v>0.35799999999999998</v>
      </c>
      <c r="R37">
        <v>0.69</v>
      </c>
      <c r="U37" s="148" t="s">
        <v>1237</v>
      </c>
    </row>
    <row r="38" spans="1:42" x14ac:dyDescent="0.3">
      <c r="A38" t="s">
        <v>19</v>
      </c>
      <c r="B38" t="str">
        <f>B37</f>
        <v>NL</v>
      </c>
      <c r="C38">
        <f t="shared" ref="C38:R38" si="17">C37</f>
        <v>8</v>
      </c>
      <c r="D38">
        <f t="shared" si="17"/>
        <v>265</v>
      </c>
      <c r="E38">
        <f t="shared" si="17"/>
        <v>27</v>
      </c>
      <c r="F38">
        <f t="shared" si="17"/>
        <v>70</v>
      </c>
      <c r="G38">
        <f t="shared" si="17"/>
        <v>9</v>
      </c>
      <c r="H38">
        <f t="shared" si="17"/>
        <v>2</v>
      </c>
      <c r="I38">
        <f t="shared" si="17"/>
        <v>4</v>
      </c>
      <c r="J38">
        <f t="shared" si="17"/>
        <v>27</v>
      </c>
      <c r="K38">
        <f t="shared" si="17"/>
        <v>27</v>
      </c>
      <c r="L38">
        <f t="shared" si="17"/>
        <v>53</v>
      </c>
      <c r="M38">
        <f t="shared" si="17"/>
        <v>2</v>
      </c>
      <c r="N38">
        <f t="shared" si="17"/>
        <v>4</v>
      </c>
      <c r="O38">
        <f t="shared" si="17"/>
        <v>0.26400000000000001</v>
      </c>
      <c r="P38">
        <f t="shared" si="17"/>
        <v>0.33200000000000002</v>
      </c>
      <c r="Q38">
        <f t="shared" si="17"/>
        <v>0.35799999999999998</v>
      </c>
      <c r="R38">
        <f t="shared" si="17"/>
        <v>0.69</v>
      </c>
      <c r="U38" s="148" t="s">
        <v>1238</v>
      </c>
      <c r="AG38" s="242" t="s">
        <v>137</v>
      </c>
      <c r="AH38" s="243" t="s">
        <v>2068</v>
      </c>
      <c r="AI38" s="243" t="s">
        <v>75</v>
      </c>
      <c r="AJ38" s="244" t="s">
        <v>2067</v>
      </c>
      <c r="AK38" s="244" t="s">
        <v>2066</v>
      </c>
      <c r="AL38" s="244" t="s">
        <v>1728</v>
      </c>
      <c r="AM38" s="244" t="s">
        <v>1729</v>
      </c>
      <c r="AN38" s="244" t="s">
        <v>1730</v>
      </c>
      <c r="AO38" s="244" t="s">
        <v>1731</v>
      </c>
      <c r="AP38" s="245" t="s">
        <v>1732</v>
      </c>
    </row>
    <row r="39" spans="1:42" x14ac:dyDescent="0.3">
      <c r="A39">
        <v>19</v>
      </c>
      <c r="B39" t="s">
        <v>1</v>
      </c>
      <c r="C39">
        <v>8</v>
      </c>
      <c r="D39">
        <v>285</v>
      </c>
      <c r="E39">
        <v>41</v>
      </c>
      <c r="F39">
        <v>71</v>
      </c>
      <c r="G39">
        <v>12</v>
      </c>
      <c r="H39">
        <v>2</v>
      </c>
      <c r="I39">
        <v>5</v>
      </c>
      <c r="J39">
        <v>35</v>
      </c>
      <c r="K39">
        <v>34</v>
      </c>
      <c r="L39">
        <v>67</v>
      </c>
      <c r="M39">
        <v>11</v>
      </c>
      <c r="N39">
        <v>2</v>
      </c>
      <c r="O39">
        <v>0.249</v>
      </c>
      <c r="P39">
        <v>0.32900000000000001</v>
      </c>
      <c r="Q39">
        <v>0.35799999999999998</v>
      </c>
      <c r="R39">
        <v>0.68700000000000006</v>
      </c>
      <c r="U39" s="148"/>
      <c r="AG39" s="226" t="s">
        <v>1739</v>
      </c>
      <c r="AH39" s="227">
        <v>1</v>
      </c>
      <c r="AI39" s="227">
        <v>1</v>
      </c>
      <c r="AJ39" s="227">
        <v>8</v>
      </c>
      <c r="AK39" s="227">
        <v>5.4</v>
      </c>
      <c r="AL39" s="227">
        <v>0.8</v>
      </c>
      <c r="AM39" s="227">
        <v>1.2</v>
      </c>
      <c r="AN39" s="227">
        <v>8</v>
      </c>
      <c r="AO39" s="227">
        <v>8</v>
      </c>
      <c r="AP39" s="228">
        <v>1</v>
      </c>
    </row>
    <row r="40" spans="1:42" x14ac:dyDescent="0.3">
      <c r="A40" t="s">
        <v>20</v>
      </c>
      <c r="B40" t="str">
        <f>B39</f>
        <v>AL</v>
      </c>
      <c r="C40">
        <f t="shared" ref="C40:R40" si="18">C39</f>
        <v>8</v>
      </c>
      <c r="D40">
        <f t="shared" si="18"/>
        <v>285</v>
      </c>
      <c r="E40">
        <f t="shared" si="18"/>
        <v>41</v>
      </c>
      <c r="F40">
        <f t="shared" si="18"/>
        <v>71</v>
      </c>
      <c r="G40">
        <f t="shared" si="18"/>
        <v>12</v>
      </c>
      <c r="H40">
        <f t="shared" si="18"/>
        <v>2</v>
      </c>
      <c r="I40">
        <f t="shared" si="18"/>
        <v>5</v>
      </c>
      <c r="J40">
        <f t="shared" si="18"/>
        <v>35</v>
      </c>
      <c r="K40">
        <f t="shared" si="18"/>
        <v>34</v>
      </c>
      <c r="L40">
        <f t="shared" si="18"/>
        <v>67</v>
      </c>
      <c r="M40">
        <f t="shared" si="18"/>
        <v>11</v>
      </c>
      <c r="N40">
        <f t="shared" si="18"/>
        <v>2</v>
      </c>
      <c r="O40">
        <f t="shared" si="18"/>
        <v>0.249</v>
      </c>
      <c r="P40">
        <f t="shared" si="18"/>
        <v>0.32900000000000001</v>
      </c>
      <c r="Q40">
        <f t="shared" si="18"/>
        <v>0.35799999999999998</v>
      </c>
      <c r="R40">
        <f t="shared" si="18"/>
        <v>0.68700000000000006</v>
      </c>
      <c r="U40" s="148"/>
      <c r="AG40" s="223" t="s">
        <v>258</v>
      </c>
      <c r="AH40" s="220">
        <v>3</v>
      </c>
      <c r="AI40" s="220">
        <v>3</v>
      </c>
      <c r="AJ40" s="220">
        <v>24</v>
      </c>
      <c r="AK40" s="220">
        <v>0.56000000000000005</v>
      </c>
      <c r="AL40" s="220">
        <v>1.96</v>
      </c>
      <c r="AM40" s="220">
        <v>0.5</v>
      </c>
      <c r="AN40" s="220">
        <v>6</v>
      </c>
      <c r="AO40" s="221">
        <v>8</v>
      </c>
      <c r="AP40" s="224">
        <v>0.66666666666666663</v>
      </c>
    </row>
    <row r="41" spans="1:42" x14ac:dyDescent="0.3">
      <c r="A41">
        <v>20</v>
      </c>
      <c r="B41" t="s">
        <v>3</v>
      </c>
      <c r="C41">
        <v>8</v>
      </c>
      <c r="D41">
        <v>274</v>
      </c>
      <c r="E41">
        <v>28</v>
      </c>
      <c r="F41">
        <v>68</v>
      </c>
      <c r="G41">
        <v>17</v>
      </c>
      <c r="H41">
        <v>0</v>
      </c>
      <c r="I41">
        <v>7</v>
      </c>
      <c r="J41">
        <v>27</v>
      </c>
      <c r="K41">
        <v>16</v>
      </c>
      <c r="L41">
        <v>77</v>
      </c>
      <c r="M41">
        <v>2</v>
      </c>
      <c r="N41">
        <v>0</v>
      </c>
      <c r="O41">
        <v>0.248</v>
      </c>
      <c r="P41">
        <v>0.29599999999999999</v>
      </c>
      <c r="Q41">
        <v>0.38700000000000001</v>
      </c>
      <c r="R41">
        <v>0.68300000000000005</v>
      </c>
      <c r="U41" s="148"/>
      <c r="AG41" s="226" t="s">
        <v>157</v>
      </c>
      <c r="AH41" s="227">
        <v>3</v>
      </c>
      <c r="AI41" s="227">
        <v>3</v>
      </c>
      <c r="AJ41" s="227">
        <v>21</v>
      </c>
      <c r="AK41" s="227">
        <v>1.59</v>
      </c>
      <c r="AL41" s="227">
        <v>2.52</v>
      </c>
      <c r="AM41" s="227">
        <v>1.18</v>
      </c>
      <c r="AN41" s="227">
        <v>2.3333333333333335</v>
      </c>
      <c r="AO41" s="229">
        <v>7</v>
      </c>
      <c r="AP41" s="230">
        <v>1</v>
      </c>
    </row>
    <row r="42" spans="1:42" x14ac:dyDescent="0.3">
      <c r="A42" t="s">
        <v>21</v>
      </c>
      <c r="B42" t="str">
        <f>B41</f>
        <v>NL</v>
      </c>
      <c r="C42">
        <f t="shared" ref="C42:R42" si="19">C41</f>
        <v>8</v>
      </c>
      <c r="D42">
        <f t="shared" si="19"/>
        <v>274</v>
      </c>
      <c r="E42">
        <f t="shared" si="19"/>
        <v>28</v>
      </c>
      <c r="F42">
        <f t="shared" si="19"/>
        <v>68</v>
      </c>
      <c r="G42">
        <f t="shared" si="19"/>
        <v>17</v>
      </c>
      <c r="H42">
        <f t="shared" si="19"/>
        <v>0</v>
      </c>
      <c r="I42">
        <f t="shared" si="19"/>
        <v>7</v>
      </c>
      <c r="J42">
        <f t="shared" si="19"/>
        <v>27</v>
      </c>
      <c r="K42">
        <f t="shared" si="19"/>
        <v>16</v>
      </c>
      <c r="L42">
        <f t="shared" si="19"/>
        <v>77</v>
      </c>
      <c r="M42">
        <f t="shared" si="19"/>
        <v>2</v>
      </c>
      <c r="N42">
        <f t="shared" si="19"/>
        <v>0</v>
      </c>
      <c r="O42">
        <f t="shared" si="19"/>
        <v>0.248</v>
      </c>
      <c r="P42">
        <f t="shared" si="19"/>
        <v>0.29599999999999999</v>
      </c>
      <c r="Q42">
        <f t="shared" si="19"/>
        <v>0.38700000000000001</v>
      </c>
      <c r="R42">
        <f t="shared" si="19"/>
        <v>0.68300000000000005</v>
      </c>
      <c r="U42" s="148"/>
      <c r="AG42" s="223" t="s">
        <v>466</v>
      </c>
      <c r="AH42" s="220">
        <v>1</v>
      </c>
      <c r="AI42" s="220">
        <v>2</v>
      </c>
      <c r="AJ42" s="220">
        <v>7</v>
      </c>
      <c r="AK42" s="220">
        <v>6.43</v>
      </c>
      <c r="AL42" s="220">
        <v>1.83</v>
      </c>
      <c r="AM42" s="220">
        <v>1.71</v>
      </c>
      <c r="AN42" s="220">
        <v>7</v>
      </c>
      <c r="AO42" s="221">
        <v>7</v>
      </c>
      <c r="AP42" s="224">
        <v>0</v>
      </c>
    </row>
    <row r="43" spans="1:42" x14ac:dyDescent="0.3">
      <c r="A43">
        <v>20</v>
      </c>
      <c r="B43" t="s">
        <v>1</v>
      </c>
      <c r="C43">
        <v>7</v>
      </c>
      <c r="D43">
        <v>236</v>
      </c>
      <c r="E43">
        <v>36</v>
      </c>
      <c r="F43">
        <v>53</v>
      </c>
      <c r="G43">
        <v>9</v>
      </c>
      <c r="H43">
        <v>0</v>
      </c>
      <c r="I43">
        <v>8</v>
      </c>
      <c r="J43">
        <v>36</v>
      </c>
      <c r="K43">
        <v>32</v>
      </c>
      <c r="L43">
        <v>57</v>
      </c>
      <c r="M43">
        <v>2</v>
      </c>
      <c r="N43">
        <v>0</v>
      </c>
      <c r="O43">
        <v>0.22500000000000001</v>
      </c>
      <c r="P43">
        <v>0.31900000000000001</v>
      </c>
      <c r="Q43">
        <v>0.36399999999999999</v>
      </c>
      <c r="R43">
        <v>0.68300000000000005</v>
      </c>
      <c r="AG43" s="226" t="s">
        <v>297</v>
      </c>
      <c r="AH43" s="227">
        <v>3</v>
      </c>
      <c r="AI43" s="227">
        <v>3</v>
      </c>
      <c r="AJ43" s="227">
        <v>19</v>
      </c>
      <c r="AK43" s="227">
        <v>2.6</v>
      </c>
      <c r="AL43" s="227">
        <v>2.65</v>
      </c>
      <c r="AM43" s="227">
        <v>0.87</v>
      </c>
      <c r="AN43" s="227">
        <v>4.75</v>
      </c>
      <c r="AO43" s="229">
        <v>6.333333333333333</v>
      </c>
      <c r="AP43" s="230">
        <v>0.66666666666666663</v>
      </c>
    </row>
    <row r="44" spans="1:42" x14ac:dyDescent="0.3">
      <c r="A44" t="s">
        <v>22</v>
      </c>
      <c r="B44" t="str">
        <f>B43</f>
        <v>AL</v>
      </c>
      <c r="C44">
        <f t="shared" ref="C44:R44" si="20">C43</f>
        <v>7</v>
      </c>
      <c r="D44">
        <f t="shared" si="20"/>
        <v>236</v>
      </c>
      <c r="E44">
        <f t="shared" si="20"/>
        <v>36</v>
      </c>
      <c r="F44">
        <f t="shared" si="20"/>
        <v>53</v>
      </c>
      <c r="G44">
        <f t="shared" si="20"/>
        <v>9</v>
      </c>
      <c r="H44">
        <f t="shared" si="20"/>
        <v>0</v>
      </c>
      <c r="I44">
        <f t="shared" si="20"/>
        <v>8</v>
      </c>
      <c r="J44">
        <f t="shared" si="20"/>
        <v>36</v>
      </c>
      <c r="K44">
        <f t="shared" si="20"/>
        <v>32</v>
      </c>
      <c r="L44">
        <f t="shared" si="20"/>
        <v>57</v>
      </c>
      <c r="M44">
        <f t="shared" si="20"/>
        <v>2</v>
      </c>
      <c r="N44">
        <f t="shared" si="20"/>
        <v>0</v>
      </c>
      <c r="O44">
        <f t="shared" si="20"/>
        <v>0.22500000000000001</v>
      </c>
      <c r="P44">
        <f t="shared" si="20"/>
        <v>0.31900000000000001</v>
      </c>
      <c r="Q44">
        <f t="shared" si="20"/>
        <v>0.36399999999999999</v>
      </c>
      <c r="R44">
        <f t="shared" si="20"/>
        <v>0.68300000000000005</v>
      </c>
      <c r="AG44" s="223" t="s">
        <v>158</v>
      </c>
      <c r="AH44" s="220">
        <v>2</v>
      </c>
      <c r="AI44" s="220">
        <v>2</v>
      </c>
      <c r="AJ44" s="220">
        <v>12</v>
      </c>
      <c r="AK44" s="220">
        <v>3.27</v>
      </c>
      <c r="AL44" s="220">
        <v>2.67</v>
      </c>
      <c r="AM44" s="220">
        <v>1.18</v>
      </c>
      <c r="AN44" s="220">
        <v>12</v>
      </c>
      <c r="AO44" s="221">
        <v>6</v>
      </c>
      <c r="AP44" s="224">
        <v>1</v>
      </c>
    </row>
    <row r="45" spans="1:42" x14ac:dyDescent="0.3">
      <c r="A45">
        <v>22</v>
      </c>
      <c r="B45" t="s">
        <v>1</v>
      </c>
      <c r="C45">
        <v>8</v>
      </c>
      <c r="D45">
        <v>271</v>
      </c>
      <c r="E45">
        <v>34</v>
      </c>
      <c r="F45">
        <v>62</v>
      </c>
      <c r="G45">
        <v>21</v>
      </c>
      <c r="H45">
        <v>0</v>
      </c>
      <c r="I45">
        <v>7</v>
      </c>
      <c r="J45">
        <v>32</v>
      </c>
      <c r="K45">
        <v>20</v>
      </c>
      <c r="L45">
        <v>71</v>
      </c>
      <c r="M45">
        <v>7</v>
      </c>
      <c r="N45">
        <v>2</v>
      </c>
      <c r="O45">
        <v>0.22900000000000001</v>
      </c>
      <c r="P45">
        <v>0.29399999999999998</v>
      </c>
      <c r="Q45">
        <v>0.38400000000000001</v>
      </c>
      <c r="R45">
        <v>0.67800000000000005</v>
      </c>
      <c r="AG45" s="226" t="s">
        <v>850</v>
      </c>
      <c r="AH45" s="227">
        <v>1</v>
      </c>
      <c r="AI45" s="227">
        <v>4</v>
      </c>
      <c r="AJ45" s="227">
        <v>5</v>
      </c>
      <c r="AK45" s="227">
        <v>3</v>
      </c>
      <c r="AL45" s="227">
        <v>4.4000000000000004</v>
      </c>
      <c r="AM45" s="227">
        <v>1</v>
      </c>
      <c r="AN45" s="227">
        <v>5</v>
      </c>
      <c r="AO45" s="229">
        <v>5</v>
      </c>
      <c r="AP45" s="230">
        <v>0</v>
      </c>
    </row>
    <row r="46" spans="1:42" x14ac:dyDescent="0.3">
      <c r="A46" t="s">
        <v>23</v>
      </c>
      <c r="B46" t="str">
        <f>B45</f>
        <v>AL</v>
      </c>
      <c r="C46">
        <f t="shared" ref="C46:R46" si="21">C45</f>
        <v>8</v>
      </c>
      <c r="D46">
        <f t="shared" si="21"/>
        <v>271</v>
      </c>
      <c r="E46">
        <f t="shared" si="21"/>
        <v>34</v>
      </c>
      <c r="F46">
        <f t="shared" si="21"/>
        <v>62</v>
      </c>
      <c r="G46">
        <f t="shared" si="21"/>
        <v>21</v>
      </c>
      <c r="H46">
        <f t="shared" si="21"/>
        <v>0</v>
      </c>
      <c r="I46">
        <f t="shared" si="21"/>
        <v>7</v>
      </c>
      <c r="J46">
        <f t="shared" si="21"/>
        <v>32</v>
      </c>
      <c r="K46">
        <f t="shared" si="21"/>
        <v>20</v>
      </c>
      <c r="L46">
        <f t="shared" si="21"/>
        <v>71</v>
      </c>
      <c r="M46">
        <f t="shared" si="21"/>
        <v>7</v>
      </c>
      <c r="N46">
        <f t="shared" si="21"/>
        <v>2</v>
      </c>
      <c r="O46">
        <f t="shared" si="21"/>
        <v>0.22900000000000001</v>
      </c>
      <c r="P46">
        <f t="shared" si="21"/>
        <v>0.29399999999999998</v>
      </c>
      <c r="Q46">
        <f t="shared" si="21"/>
        <v>0.38400000000000001</v>
      </c>
      <c r="R46">
        <f t="shared" si="21"/>
        <v>0.67800000000000005</v>
      </c>
      <c r="AG46" s="223" t="s">
        <v>1756</v>
      </c>
      <c r="AH46" s="220">
        <v>0</v>
      </c>
      <c r="AI46" s="220">
        <v>1</v>
      </c>
      <c r="AJ46" s="220">
        <v>4</v>
      </c>
      <c r="AK46" s="220">
        <v>0</v>
      </c>
      <c r="AL46" s="220">
        <v>1.73</v>
      </c>
      <c r="AM46" s="220">
        <v>0.33</v>
      </c>
      <c r="AN46" s="220">
        <v>4</v>
      </c>
      <c r="AO46" s="220">
        <v>0</v>
      </c>
      <c r="AP46" s="225">
        <v>0</v>
      </c>
    </row>
    <row r="47" spans="1:42" x14ac:dyDescent="0.3">
      <c r="A47">
        <v>23</v>
      </c>
      <c r="B47" t="s">
        <v>3</v>
      </c>
      <c r="C47">
        <v>8</v>
      </c>
      <c r="D47">
        <v>254</v>
      </c>
      <c r="E47">
        <v>32</v>
      </c>
      <c r="F47">
        <v>53</v>
      </c>
      <c r="G47">
        <v>11</v>
      </c>
      <c r="H47">
        <v>0</v>
      </c>
      <c r="I47">
        <v>8</v>
      </c>
      <c r="J47">
        <v>31</v>
      </c>
      <c r="K47">
        <v>40</v>
      </c>
      <c r="L47">
        <v>53</v>
      </c>
      <c r="M47">
        <v>8</v>
      </c>
      <c r="N47">
        <v>1</v>
      </c>
      <c r="O47">
        <v>0.20899999999999999</v>
      </c>
      <c r="P47">
        <v>0.33</v>
      </c>
      <c r="Q47">
        <v>0.34599999999999997</v>
      </c>
      <c r="R47">
        <v>0.67600000000000005</v>
      </c>
      <c r="AG47" s="226" t="s">
        <v>653</v>
      </c>
      <c r="AH47" s="227">
        <v>0</v>
      </c>
      <c r="AI47" s="227">
        <v>6</v>
      </c>
      <c r="AJ47" s="227">
        <v>1</v>
      </c>
      <c r="AK47" s="227">
        <v>2.08</v>
      </c>
      <c r="AL47" s="227">
        <v>9.4</v>
      </c>
      <c r="AM47" s="227">
        <v>2.31</v>
      </c>
      <c r="AN47" s="227">
        <v>0.2</v>
      </c>
      <c r="AO47" s="229">
        <v>0</v>
      </c>
      <c r="AP47" s="230">
        <v>0</v>
      </c>
    </row>
    <row r="48" spans="1:42" x14ac:dyDescent="0.3">
      <c r="A48" t="s">
        <v>24</v>
      </c>
      <c r="B48" t="str">
        <f>B47</f>
        <v>NL</v>
      </c>
      <c r="C48">
        <f t="shared" ref="C48:R48" si="22">C47</f>
        <v>8</v>
      </c>
      <c r="D48">
        <f t="shared" si="22"/>
        <v>254</v>
      </c>
      <c r="E48">
        <f t="shared" si="22"/>
        <v>32</v>
      </c>
      <c r="F48">
        <f t="shared" si="22"/>
        <v>53</v>
      </c>
      <c r="G48">
        <f t="shared" si="22"/>
        <v>11</v>
      </c>
      <c r="H48">
        <f t="shared" si="22"/>
        <v>0</v>
      </c>
      <c r="I48">
        <f t="shared" si="22"/>
        <v>8</v>
      </c>
      <c r="J48">
        <f t="shared" si="22"/>
        <v>31</v>
      </c>
      <c r="K48">
        <f t="shared" si="22"/>
        <v>40</v>
      </c>
      <c r="L48">
        <f t="shared" si="22"/>
        <v>53</v>
      </c>
      <c r="M48">
        <f t="shared" si="22"/>
        <v>8</v>
      </c>
      <c r="N48">
        <f t="shared" si="22"/>
        <v>1</v>
      </c>
      <c r="O48">
        <f t="shared" si="22"/>
        <v>0.20899999999999999</v>
      </c>
      <c r="P48">
        <f t="shared" si="22"/>
        <v>0.33</v>
      </c>
      <c r="Q48">
        <f t="shared" si="22"/>
        <v>0.34599999999999997</v>
      </c>
      <c r="R48">
        <f t="shared" si="22"/>
        <v>0.67600000000000005</v>
      </c>
      <c r="AG48" s="223" t="s">
        <v>736</v>
      </c>
      <c r="AH48" s="220">
        <v>0</v>
      </c>
      <c r="AI48" s="220">
        <v>6</v>
      </c>
      <c r="AJ48" s="220">
        <v>5</v>
      </c>
      <c r="AK48" s="220">
        <v>1.69</v>
      </c>
      <c r="AL48" s="220">
        <v>3.78</v>
      </c>
      <c r="AM48" s="220">
        <v>0.75</v>
      </c>
      <c r="AN48" s="220">
        <v>1.6666666666666667</v>
      </c>
      <c r="AO48" s="221">
        <v>0</v>
      </c>
      <c r="AP48" s="224">
        <v>0</v>
      </c>
    </row>
    <row r="49" spans="1:42" x14ac:dyDescent="0.3">
      <c r="A49">
        <v>24</v>
      </c>
      <c r="B49" t="s">
        <v>1</v>
      </c>
      <c r="C49">
        <v>8</v>
      </c>
      <c r="D49">
        <v>272</v>
      </c>
      <c r="E49">
        <v>36</v>
      </c>
      <c r="F49">
        <v>64</v>
      </c>
      <c r="G49">
        <v>9</v>
      </c>
      <c r="H49">
        <v>0</v>
      </c>
      <c r="I49">
        <v>7</v>
      </c>
      <c r="J49">
        <v>34</v>
      </c>
      <c r="K49">
        <v>30</v>
      </c>
      <c r="L49">
        <v>71</v>
      </c>
      <c r="M49">
        <v>6</v>
      </c>
      <c r="N49">
        <v>1</v>
      </c>
      <c r="O49">
        <v>0.23499999999999999</v>
      </c>
      <c r="P49">
        <v>0.32500000000000001</v>
      </c>
      <c r="Q49">
        <v>0.34599999999999997</v>
      </c>
      <c r="R49">
        <v>0.67100000000000004</v>
      </c>
      <c r="AG49" s="226" t="s">
        <v>513</v>
      </c>
      <c r="AH49" s="227">
        <v>0</v>
      </c>
      <c r="AI49" s="227">
        <v>4</v>
      </c>
      <c r="AJ49" s="227">
        <v>8</v>
      </c>
      <c r="AK49" s="227">
        <v>3.12</v>
      </c>
      <c r="AL49" s="227">
        <v>2.25</v>
      </c>
      <c r="AM49" s="227">
        <v>0.92</v>
      </c>
      <c r="AN49" s="227">
        <v>0</v>
      </c>
      <c r="AO49" s="229">
        <v>0</v>
      </c>
      <c r="AP49" s="230">
        <v>0</v>
      </c>
    </row>
    <row r="50" spans="1:42" x14ac:dyDescent="0.3">
      <c r="A50" t="s">
        <v>25</v>
      </c>
      <c r="B50" t="str">
        <f>B49</f>
        <v>AL</v>
      </c>
      <c r="C50">
        <f t="shared" ref="C50:R50" si="23">C49</f>
        <v>8</v>
      </c>
      <c r="D50">
        <f t="shared" si="23"/>
        <v>272</v>
      </c>
      <c r="E50">
        <f t="shared" si="23"/>
        <v>36</v>
      </c>
      <c r="F50">
        <f t="shared" si="23"/>
        <v>64</v>
      </c>
      <c r="G50">
        <f t="shared" si="23"/>
        <v>9</v>
      </c>
      <c r="H50">
        <f t="shared" si="23"/>
        <v>0</v>
      </c>
      <c r="I50">
        <f t="shared" si="23"/>
        <v>7</v>
      </c>
      <c r="J50">
        <f t="shared" si="23"/>
        <v>34</v>
      </c>
      <c r="K50">
        <f t="shared" si="23"/>
        <v>30</v>
      </c>
      <c r="L50">
        <f t="shared" si="23"/>
        <v>71</v>
      </c>
      <c r="M50">
        <f t="shared" si="23"/>
        <v>6</v>
      </c>
      <c r="N50">
        <f t="shared" si="23"/>
        <v>1</v>
      </c>
      <c r="O50">
        <f t="shared" si="23"/>
        <v>0.23499999999999999</v>
      </c>
      <c r="P50">
        <f t="shared" si="23"/>
        <v>0.32500000000000001</v>
      </c>
      <c r="Q50">
        <f t="shared" si="23"/>
        <v>0.34599999999999997</v>
      </c>
      <c r="R50">
        <f t="shared" si="23"/>
        <v>0.67100000000000004</v>
      </c>
      <c r="AG50" s="223" t="s">
        <v>617</v>
      </c>
      <c r="AH50" s="220">
        <v>0</v>
      </c>
      <c r="AI50" s="220">
        <v>6</v>
      </c>
      <c r="AJ50" s="220">
        <v>4</v>
      </c>
      <c r="AK50" s="220">
        <v>1.8</v>
      </c>
      <c r="AL50" s="220">
        <v>3.6</v>
      </c>
      <c r="AM50" s="220">
        <v>1</v>
      </c>
      <c r="AN50" s="220">
        <v>1.3333333333333333</v>
      </c>
      <c r="AO50" s="221">
        <v>0</v>
      </c>
      <c r="AP50" s="224">
        <v>0</v>
      </c>
    </row>
    <row r="51" spans="1:42" x14ac:dyDescent="0.3">
      <c r="A51">
        <v>25</v>
      </c>
      <c r="B51" t="s">
        <v>1</v>
      </c>
      <c r="C51">
        <v>7</v>
      </c>
      <c r="D51">
        <v>235</v>
      </c>
      <c r="E51">
        <v>27</v>
      </c>
      <c r="F51">
        <v>52</v>
      </c>
      <c r="G51">
        <v>12</v>
      </c>
      <c r="H51">
        <v>0</v>
      </c>
      <c r="I51">
        <v>8</v>
      </c>
      <c r="J51">
        <v>26</v>
      </c>
      <c r="K51">
        <v>23</v>
      </c>
      <c r="L51">
        <v>61</v>
      </c>
      <c r="M51">
        <v>6</v>
      </c>
      <c r="N51">
        <v>0</v>
      </c>
      <c r="O51">
        <v>0.221</v>
      </c>
      <c r="P51">
        <v>0.29499999999999998</v>
      </c>
      <c r="Q51">
        <v>0.374</v>
      </c>
      <c r="R51">
        <v>0.66900000000000004</v>
      </c>
      <c r="AG51" s="226" t="s">
        <v>2023</v>
      </c>
      <c r="AH51" s="227">
        <v>0</v>
      </c>
      <c r="AI51" s="227">
        <v>1</v>
      </c>
      <c r="AJ51" s="227">
        <v>2</v>
      </c>
      <c r="AK51" s="227">
        <v>0</v>
      </c>
      <c r="AL51" s="227">
        <v>3.13</v>
      </c>
      <c r="AM51" s="227">
        <v>0.82</v>
      </c>
      <c r="AN51" s="227">
        <v>2</v>
      </c>
      <c r="AO51" s="227">
        <v>0</v>
      </c>
      <c r="AP51" s="228">
        <v>0</v>
      </c>
    </row>
    <row r="52" spans="1:42" x14ac:dyDescent="0.3">
      <c r="A52" t="s">
        <v>26</v>
      </c>
      <c r="B52" t="str">
        <f>B51</f>
        <v>AL</v>
      </c>
      <c r="C52">
        <f t="shared" ref="C52:R52" si="24">C51</f>
        <v>7</v>
      </c>
      <c r="D52">
        <f t="shared" si="24"/>
        <v>235</v>
      </c>
      <c r="E52">
        <f t="shared" si="24"/>
        <v>27</v>
      </c>
      <c r="F52">
        <f t="shared" si="24"/>
        <v>52</v>
      </c>
      <c r="G52">
        <f t="shared" si="24"/>
        <v>12</v>
      </c>
      <c r="H52">
        <f t="shared" si="24"/>
        <v>0</v>
      </c>
      <c r="I52">
        <f t="shared" si="24"/>
        <v>8</v>
      </c>
      <c r="J52">
        <f t="shared" si="24"/>
        <v>26</v>
      </c>
      <c r="K52">
        <f t="shared" si="24"/>
        <v>23</v>
      </c>
      <c r="L52">
        <f t="shared" si="24"/>
        <v>61</v>
      </c>
      <c r="M52">
        <f t="shared" si="24"/>
        <v>6</v>
      </c>
      <c r="N52">
        <f t="shared" si="24"/>
        <v>0</v>
      </c>
      <c r="O52">
        <f t="shared" si="24"/>
        <v>0.221</v>
      </c>
      <c r="P52">
        <f t="shared" si="24"/>
        <v>0.29499999999999998</v>
      </c>
      <c r="Q52">
        <f t="shared" si="24"/>
        <v>0.374</v>
      </c>
      <c r="R52">
        <f t="shared" si="24"/>
        <v>0.66900000000000004</v>
      </c>
      <c r="AG52" s="223" t="s">
        <v>818</v>
      </c>
      <c r="AH52" s="220">
        <v>0</v>
      </c>
      <c r="AI52" s="220">
        <v>4</v>
      </c>
      <c r="AJ52" s="220">
        <v>4</v>
      </c>
      <c r="AK52" s="220">
        <v>4.5</v>
      </c>
      <c r="AL52" s="220">
        <v>7.4</v>
      </c>
      <c r="AM52" s="220">
        <v>1.33</v>
      </c>
      <c r="AN52" s="220">
        <v>4</v>
      </c>
      <c r="AO52" s="221">
        <v>0</v>
      </c>
      <c r="AP52" s="224">
        <v>0</v>
      </c>
    </row>
    <row r="53" spans="1:42" x14ac:dyDescent="0.3">
      <c r="A53">
        <v>26</v>
      </c>
      <c r="B53" t="s">
        <v>1</v>
      </c>
      <c r="C53">
        <v>7</v>
      </c>
      <c r="D53">
        <v>242</v>
      </c>
      <c r="E53">
        <v>27</v>
      </c>
      <c r="F53">
        <v>59</v>
      </c>
      <c r="G53">
        <v>6</v>
      </c>
      <c r="H53">
        <v>2</v>
      </c>
      <c r="I53">
        <v>6</v>
      </c>
      <c r="J53">
        <v>25</v>
      </c>
      <c r="K53">
        <v>22</v>
      </c>
      <c r="L53">
        <v>58</v>
      </c>
      <c r="M53">
        <v>1</v>
      </c>
      <c r="N53">
        <v>1</v>
      </c>
      <c r="O53">
        <v>0.24399999999999999</v>
      </c>
      <c r="P53">
        <v>0.308</v>
      </c>
      <c r="Q53">
        <v>0.36</v>
      </c>
      <c r="R53">
        <v>0.66800000000000004</v>
      </c>
      <c r="AG53" s="226" t="s">
        <v>636</v>
      </c>
      <c r="AH53" s="227">
        <v>0</v>
      </c>
      <c r="AI53" s="227">
        <v>6</v>
      </c>
      <c r="AJ53" s="227">
        <v>3</v>
      </c>
      <c r="AK53" s="227">
        <v>3.18</v>
      </c>
      <c r="AL53" s="227">
        <v>3.93</v>
      </c>
      <c r="AM53" s="227">
        <v>1.06</v>
      </c>
      <c r="AN53" s="227">
        <v>1</v>
      </c>
      <c r="AO53" s="229">
        <v>0</v>
      </c>
      <c r="AP53" s="230">
        <v>0</v>
      </c>
    </row>
    <row r="54" spans="1:42" x14ac:dyDescent="0.3">
      <c r="A54" t="s">
        <v>27</v>
      </c>
      <c r="B54" t="str">
        <f>B53</f>
        <v>AL</v>
      </c>
      <c r="C54">
        <f t="shared" ref="C54:R54" si="25">C53</f>
        <v>7</v>
      </c>
      <c r="D54">
        <f t="shared" si="25"/>
        <v>242</v>
      </c>
      <c r="E54">
        <f t="shared" si="25"/>
        <v>27</v>
      </c>
      <c r="F54">
        <f t="shared" si="25"/>
        <v>59</v>
      </c>
      <c r="G54">
        <f t="shared" si="25"/>
        <v>6</v>
      </c>
      <c r="H54">
        <f t="shared" si="25"/>
        <v>2</v>
      </c>
      <c r="I54">
        <f t="shared" si="25"/>
        <v>6</v>
      </c>
      <c r="J54">
        <f t="shared" si="25"/>
        <v>25</v>
      </c>
      <c r="K54">
        <f t="shared" si="25"/>
        <v>22</v>
      </c>
      <c r="L54">
        <f t="shared" si="25"/>
        <v>58</v>
      </c>
      <c r="M54">
        <f t="shared" si="25"/>
        <v>1</v>
      </c>
      <c r="N54">
        <f t="shared" si="25"/>
        <v>1</v>
      </c>
      <c r="O54">
        <f t="shared" si="25"/>
        <v>0.24399999999999999</v>
      </c>
      <c r="P54">
        <f t="shared" si="25"/>
        <v>0.308</v>
      </c>
      <c r="Q54">
        <f t="shared" si="25"/>
        <v>0.36</v>
      </c>
      <c r="R54">
        <f t="shared" si="25"/>
        <v>0.66800000000000004</v>
      </c>
      <c r="AG54" s="223" t="s">
        <v>649</v>
      </c>
      <c r="AH54" s="220">
        <v>0</v>
      </c>
      <c r="AI54" s="220">
        <v>4</v>
      </c>
      <c r="AJ54" s="220">
        <v>1</v>
      </c>
      <c r="AK54" s="220">
        <v>0</v>
      </c>
      <c r="AL54" s="220">
        <v>2.9</v>
      </c>
      <c r="AM54" s="220">
        <v>0.5</v>
      </c>
      <c r="AN54" s="220">
        <v>0</v>
      </c>
      <c r="AO54" s="221">
        <v>0</v>
      </c>
      <c r="AP54" s="224">
        <v>0</v>
      </c>
    </row>
    <row r="55" spans="1:42" x14ac:dyDescent="0.3">
      <c r="A55">
        <v>27</v>
      </c>
      <c r="B55" t="s">
        <v>3</v>
      </c>
      <c r="C55">
        <v>8</v>
      </c>
      <c r="D55">
        <v>249</v>
      </c>
      <c r="E55">
        <v>18</v>
      </c>
      <c r="F55">
        <v>57</v>
      </c>
      <c r="G55">
        <v>9</v>
      </c>
      <c r="H55">
        <v>1</v>
      </c>
      <c r="I55">
        <v>8</v>
      </c>
      <c r="J55">
        <v>18</v>
      </c>
      <c r="K55">
        <v>18</v>
      </c>
      <c r="L55">
        <v>81</v>
      </c>
      <c r="M55">
        <v>2</v>
      </c>
      <c r="N55">
        <v>2</v>
      </c>
      <c r="O55">
        <v>0.22900000000000001</v>
      </c>
      <c r="P55">
        <v>0.28100000000000003</v>
      </c>
      <c r="Q55">
        <v>0.36899999999999999</v>
      </c>
      <c r="R55">
        <v>0.65</v>
      </c>
      <c r="AG55" s="246" t="s">
        <v>978</v>
      </c>
      <c r="AH55" s="247">
        <v>14</v>
      </c>
      <c r="AI55" s="247">
        <v>56</v>
      </c>
      <c r="AJ55" s="247">
        <v>128</v>
      </c>
      <c r="AK55" s="247">
        <v>39.22</v>
      </c>
      <c r="AL55" s="247">
        <v>54.95</v>
      </c>
      <c r="AM55" s="247">
        <v>16.659999999999997</v>
      </c>
      <c r="AN55" s="247">
        <v>59.283333333333331</v>
      </c>
      <c r="AO55" s="247">
        <v>47.333333333333329</v>
      </c>
      <c r="AP55" s="248">
        <v>4.333333333333333</v>
      </c>
    </row>
    <row r="56" spans="1:42" x14ac:dyDescent="0.3">
      <c r="A56" t="s">
        <v>28</v>
      </c>
      <c r="B56" t="str">
        <f>B55</f>
        <v>NL</v>
      </c>
      <c r="C56">
        <f t="shared" ref="C56:R56" si="26">C55</f>
        <v>8</v>
      </c>
      <c r="D56">
        <f t="shared" si="26"/>
        <v>249</v>
      </c>
      <c r="E56">
        <f t="shared" si="26"/>
        <v>18</v>
      </c>
      <c r="F56">
        <f t="shared" si="26"/>
        <v>57</v>
      </c>
      <c r="G56">
        <f t="shared" si="26"/>
        <v>9</v>
      </c>
      <c r="H56">
        <f t="shared" si="26"/>
        <v>1</v>
      </c>
      <c r="I56">
        <f t="shared" si="26"/>
        <v>8</v>
      </c>
      <c r="J56">
        <f t="shared" si="26"/>
        <v>18</v>
      </c>
      <c r="K56">
        <f t="shared" si="26"/>
        <v>18</v>
      </c>
      <c r="L56">
        <f t="shared" si="26"/>
        <v>81</v>
      </c>
      <c r="M56">
        <f t="shared" si="26"/>
        <v>2</v>
      </c>
      <c r="N56">
        <f t="shared" si="26"/>
        <v>2</v>
      </c>
      <c r="O56">
        <f t="shared" si="26"/>
        <v>0.22900000000000001</v>
      </c>
      <c r="P56">
        <f t="shared" si="26"/>
        <v>0.28100000000000003</v>
      </c>
      <c r="Q56">
        <f t="shared" si="26"/>
        <v>0.36899999999999999</v>
      </c>
      <c r="R56">
        <f t="shared" si="26"/>
        <v>0.65</v>
      </c>
    </row>
    <row r="57" spans="1:42" x14ac:dyDescent="0.3">
      <c r="A57">
        <v>28</v>
      </c>
      <c r="B57" t="s">
        <v>3</v>
      </c>
      <c r="C57">
        <v>8</v>
      </c>
      <c r="D57">
        <v>257</v>
      </c>
      <c r="E57">
        <v>27</v>
      </c>
      <c r="F57">
        <v>58</v>
      </c>
      <c r="G57">
        <v>16</v>
      </c>
      <c r="H57">
        <v>1</v>
      </c>
      <c r="I57">
        <v>6</v>
      </c>
      <c r="J57">
        <v>24</v>
      </c>
      <c r="K57">
        <v>14</v>
      </c>
      <c r="L57">
        <v>55</v>
      </c>
      <c r="M57">
        <v>10</v>
      </c>
      <c r="N57">
        <v>1</v>
      </c>
      <c r="O57">
        <v>0.22600000000000001</v>
      </c>
      <c r="P57">
        <v>0.27600000000000002</v>
      </c>
      <c r="Q57">
        <v>0.36599999999999999</v>
      </c>
      <c r="R57">
        <v>0.64200000000000002</v>
      </c>
    </row>
    <row r="58" spans="1:42" x14ac:dyDescent="0.3">
      <c r="A58" t="s">
        <v>29</v>
      </c>
      <c r="B58" t="str">
        <f>B57</f>
        <v>NL</v>
      </c>
      <c r="C58">
        <f t="shared" ref="C58:R58" si="27">C57</f>
        <v>8</v>
      </c>
      <c r="D58">
        <f t="shared" si="27"/>
        <v>257</v>
      </c>
      <c r="E58">
        <f t="shared" si="27"/>
        <v>27</v>
      </c>
      <c r="F58">
        <f t="shared" si="27"/>
        <v>58</v>
      </c>
      <c r="G58">
        <f t="shared" si="27"/>
        <v>16</v>
      </c>
      <c r="H58">
        <f t="shared" si="27"/>
        <v>1</v>
      </c>
      <c r="I58">
        <f t="shared" si="27"/>
        <v>6</v>
      </c>
      <c r="J58">
        <f t="shared" si="27"/>
        <v>24</v>
      </c>
      <c r="K58">
        <f t="shared" si="27"/>
        <v>14</v>
      </c>
      <c r="L58">
        <f t="shared" si="27"/>
        <v>55</v>
      </c>
      <c r="M58">
        <f t="shared" si="27"/>
        <v>10</v>
      </c>
      <c r="N58">
        <f t="shared" si="27"/>
        <v>1</v>
      </c>
      <c r="O58">
        <f t="shared" si="27"/>
        <v>0.22600000000000001</v>
      </c>
      <c r="P58">
        <f t="shared" si="27"/>
        <v>0.27600000000000002</v>
      </c>
      <c r="Q58">
        <f t="shared" si="27"/>
        <v>0.36599999999999999</v>
      </c>
      <c r="R58">
        <f t="shared" si="27"/>
        <v>0.64200000000000002</v>
      </c>
    </row>
    <row r="59" spans="1:42" x14ac:dyDescent="0.3">
      <c r="A59">
        <v>29</v>
      </c>
      <c r="B59" t="s">
        <v>1</v>
      </c>
      <c r="C59">
        <v>8</v>
      </c>
      <c r="D59">
        <v>250</v>
      </c>
      <c r="E59">
        <v>20</v>
      </c>
      <c r="F59">
        <v>45</v>
      </c>
      <c r="G59">
        <v>7</v>
      </c>
      <c r="H59">
        <v>1</v>
      </c>
      <c r="I59">
        <v>7</v>
      </c>
      <c r="J59">
        <v>20</v>
      </c>
      <c r="K59">
        <v>25</v>
      </c>
      <c r="L59">
        <v>69</v>
      </c>
      <c r="M59">
        <v>3</v>
      </c>
      <c r="N59">
        <v>0</v>
      </c>
      <c r="O59">
        <v>0.18</v>
      </c>
      <c r="P59">
        <v>0.26300000000000001</v>
      </c>
      <c r="Q59">
        <v>0.3</v>
      </c>
      <c r="R59">
        <v>0.56299999999999994</v>
      </c>
    </row>
    <row r="60" spans="1:42" x14ac:dyDescent="0.3">
      <c r="A60" t="s">
        <v>30</v>
      </c>
      <c r="B60" t="str">
        <f>B59</f>
        <v>AL</v>
      </c>
      <c r="C60">
        <f t="shared" ref="C60:R60" si="28">C59</f>
        <v>8</v>
      </c>
      <c r="D60">
        <f t="shared" si="28"/>
        <v>250</v>
      </c>
      <c r="E60">
        <f t="shared" si="28"/>
        <v>20</v>
      </c>
      <c r="F60">
        <f t="shared" si="28"/>
        <v>45</v>
      </c>
      <c r="G60">
        <f t="shared" si="28"/>
        <v>7</v>
      </c>
      <c r="H60">
        <f t="shared" si="28"/>
        <v>1</v>
      </c>
      <c r="I60">
        <f t="shared" si="28"/>
        <v>7</v>
      </c>
      <c r="J60">
        <f t="shared" si="28"/>
        <v>20</v>
      </c>
      <c r="K60">
        <f t="shared" si="28"/>
        <v>25</v>
      </c>
      <c r="L60">
        <f t="shared" si="28"/>
        <v>69</v>
      </c>
      <c r="M60">
        <f t="shared" si="28"/>
        <v>3</v>
      </c>
      <c r="N60">
        <f t="shared" si="28"/>
        <v>0</v>
      </c>
      <c r="O60">
        <f t="shared" si="28"/>
        <v>0.18</v>
      </c>
      <c r="P60">
        <f t="shared" si="28"/>
        <v>0.26300000000000001</v>
      </c>
      <c r="Q60">
        <f t="shared" si="28"/>
        <v>0.3</v>
      </c>
      <c r="R60">
        <f t="shared" si="28"/>
        <v>0.56299999999999994</v>
      </c>
    </row>
    <row r="61" spans="1:42" x14ac:dyDescent="0.3">
      <c r="A61">
        <v>30</v>
      </c>
      <c r="B61" t="s">
        <v>1</v>
      </c>
      <c r="C61">
        <v>7</v>
      </c>
      <c r="D61">
        <v>239</v>
      </c>
      <c r="E61">
        <v>21</v>
      </c>
      <c r="F61">
        <v>48</v>
      </c>
      <c r="G61">
        <v>7</v>
      </c>
      <c r="H61">
        <v>1</v>
      </c>
      <c r="I61">
        <v>5</v>
      </c>
      <c r="J61">
        <v>21</v>
      </c>
      <c r="K61">
        <v>18</v>
      </c>
      <c r="L61">
        <v>70</v>
      </c>
      <c r="M61">
        <v>4</v>
      </c>
      <c r="N61">
        <v>2</v>
      </c>
      <c r="O61">
        <v>0.20100000000000001</v>
      </c>
      <c r="P61">
        <v>0.25700000000000001</v>
      </c>
      <c r="Q61">
        <v>0.30099999999999999</v>
      </c>
      <c r="R61">
        <v>0.55800000000000005</v>
      </c>
    </row>
    <row r="62" spans="1:42" x14ac:dyDescent="0.3">
      <c r="A62" t="s">
        <v>31</v>
      </c>
      <c r="B62" t="str">
        <f>B61</f>
        <v>AL</v>
      </c>
      <c r="C62">
        <f t="shared" ref="C62:R62" si="29">C61</f>
        <v>7</v>
      </c>
      <c r="D62">
        <f t="shared" si="29"/>
        <v>239</v>
      </c>
      <c r="E62">
        <f t="shared" si="29"/>
        <v>21</v>
      </c>
      <c r="F62">
        <f t="shared" si="29"/>
        <v>48</v>
      </c>
      <c r="G62">
        <f t="shared" si="29"/>
        <v>7</v>
      </c>
      <c r="H62">
        <f t="shared" si="29"/>
        <v>1</v>
      </c>
      <c r="I62">
        <f t="shared" si="29"/>
        <v>5</v>
      </c>
      <c r="J62">
        <f t="shared" si="29"/>
        <v>21</v>
      </c>
      <c r="K62">
        <f t="shared" si="29"/>
        <v>18</v>
      </c>
      <c r="L62">
        <f t="shared" si="29"/>
        <v>70</v>
      </c>
      <c r="M62">
        <f t="shared" si="29"/>
        <v>4</v>
      </c>
      <c r="N62">
        <f t="shared" si="29"/>
        <v>2</v>
      </c>
      <c r="O62">
        <f t="shared" si="29"/>
        <v>0.20100000000000001</v>
      </c>
      <c r="P62">
        <f t="shared" si="29"/>
        <v>0.25700000000000001</v>
      </c>
      <c r="Q62">
        <f t="shared" si="29"/>
        <v>0.30099999999999999</v>
      </c>
      <c r="R62">
        <f t="shared" si="29"/>
        <v>0.55800000000000005</v>
      </c>
    </row>
  </sheetData>
  <sortState xmlns:xlrd2="http://schemas.microsoft.com/office/spreadsheetml/2017/richdata2" ref="AD2:AD31">
    <sortCondition ref="AD2:AD31"/>
  </sortState>
  <phoneticPr fontId="16"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D44BB-92C9-4DA7-9998-8C54358A748E}">
  <sheetPr codeName="Sheet8">
    <tabColor theme="0"/>
  </sheetPr>
  <dimension ref="A1:H2"/>
  <sheetViews>
    <sheetView workbookViewId="0">
      <selection activeCell="C7" sqref="C7"/>
    </sheetView>
  </sheetViews>
  <sheetFormatPr defaultRowHeight="14.4" x14ac:dyDescent="0.3"/>
  <sheetData>
    <row r="1" spans="1:8" x14ac:dyDescent="0.3">
      <c r="H1" s="87" t="str">
        <f>_xlfn.CONCAT("https://www.statmuse.com/mlb/ask/",A2,"-game-log-this-season")</f>
        <v>https://www.statmuse.com/mlb/ask/Diamondbacks-game-log-this-season</v>
      </c>
    </row>
    <row r="2" spans="1:8" x14ac:dyDescent="0.3">
      <c r="A2" t="s">
        <v>1485</v>
      </c>
      <c r="B2" t="s">
        <v>981</v>
      </c>
    </row>
  </sheetData>
  <hyperlinks>
    <hyperlink ref="H1" r:id="rId1" display="https://www.statmuse.com/mlb/ask/orioles-game-log" xr:uid="{35521735-9B1E-46A4-8189-393CA5AD3A71}"/>
  </hyperlinks>
  <pageMargins left="0.7" right="0.7" top="0.75" bottom="0.75" header="0.3" footer="0.3"/>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9B4766-C39C-40F0-8AC2-311ADBA054A9}">
          <x14:formula1>
            <xm:f>Streak!$AD$2:$AD$31</xm:f>
          </x14:formula1>
          <xm:sqref>A2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DD3F0-99E6-4789-A3FA-C56ADD28619E}">
  <sheetPr codeName="Sheet9">
    <tabColor theme="0"/>
  </sheetPr>
  <dimension ref="A1:AD33"/>
  <sheetViews>
    <sheetView workbookViewId="0"/>
  </sheetViews>
  <sheetFormatPr defaultRowHeight="14.4" x14ac:dyDescent="0.3"/>
  <cols>
    <col min="1" max="1" width="16.33203125" bestFit="1" customWidth="1"/>
    <col min="2" max="2" width="6.5546875" bestFit="1" customWidth="1"/>
    <col min="3" max="3" width="6.77734375" bestFit="1" customWidth="1"/>
    <col min="4" max="4" width="4.88671875" bestFit="1" customWidth="1"/>
    <col min="5" max="5" width="4.109375" bestFit="1" customWidth="1"/>
    <col min="6" max="6" width="3.33203125" bestFit="1" customWidth="1"/>
    <col min="7" max="7" width="3.77734375" bestFit="1" customWidth="1"/>
    <col min="8" max="8" width="3.21875" bestFit="1" customWidth="1"/>
    <col min="9" max="9" width="3" bestFit="1" customWidth="1"/>
    <col min="10" max="12" width="6" bestFit="1" customWidth="1"/>
    <col min="13" max="13" width="15.109375" hidden="1" customWidth="1"/>
    <col min="14" max="14" width="9.5546875" hidden="1" customWidth="1"/>
    <col min="15" max="15" width="11.21875" bestFit="1" customWidth="1"/>
    <col min="17" max="17" width="20.77734375" bestFit="1" customWidth="1"/>
    <col min="21" max="21" width="13.5546875" bestFit="1" customWidth="1"/>
  </cols>
  <sheetData>
    <row r="1" spans="1:30" x14ac:dyDescent="0.3">
      <c r="A1" t="s">
        <v>137</v>
      </c>
      <c r="B1" t="s">
        <v>96</v>
      </c>
      <c r="C1" t="s">
        <v>126</v>
      </c>
      <c r="D1" t="s">
        <v>124</v>
      </c>
      <c r="E1" t="s">
        <v>125</v>
      </c>
      <c r="F1" t="s">
        <v>81</v>
      </c>
      <c r="G1" t="s">
        <v>82</v>
      </c>
      <c r="H1" t="s">
        <v>83</v>
      </c>
      <c r="I1" t="s">
        <v>1619</v>
      </c>
      <c r="J1" t="s">
        <v>2060</v>
      </c>
      <c r="K1" t="s">
        <v>2061</v>
      </c>
      <c r="L1" t="s">
        <v>2062</v>
      </c>
      <c r="M1" t="s">
        <v>2063</v>
      </c>
    </row>
    <row r="2" spans="1:30" x14ac:dyDescent="0.3">
      <c r="A2" t="s">
        <v>3308</v>
      </c>
      <c r="B2">
        <v>16</v>
      </c>
      <c r="C2">
        <v>65</v>
      </c>
      <c r="D2">
        <v>17</v>
      </c>
      <c r="E2">
        <v>26</v>
      </c>
      <c r="F2">
        <v>7</v>
      </c>
      <c r="G2">
        <v>14</v>
      </c>
      <c r="H2">
        <v>8</v>
      </c>
      <c r="I2">
        <v>10</v>
      </c>
      <c r="J2">
        <v>0.4</v>
      </c>
      <c r="K2">
        <v>0.47299999999999998</v>
      </c>
      <c r="L2">
        <v>0.83099999999999996</v>
      </c>
      <c r="M2" s="219">
        <v>45069</v>
      </c>
      <c r="Q2" s="17" t="s">
        <v>0</v>
      </c>
      <c r="R2" s="26">
        <v>0.27900000000000003</v>
      </c>
      <c r="S2" s="1"/>
      <c r="T2" t="s">
        <v>55</v>
      </c>
      <c r="U2" t="s">
        <v>1485</v>
      </c>
      <c r="W2" t="s">
        <v>55</v>
      </c>
      <c r="X2" t="s">
        <v>1485</v>
      </c>
      <c r="Z2" t="str">
        <f>IF(Y2="",X2,Y2)</f>
        <v>Diamondbacks</v>
      </c>
      <c r="AD2" t="s">
        <v>1506</v>
      </c>
    </row>
    <row r="3" spans="1:30" x14ac:dyDescent="0.3">
      <c r="A3" t="s">
        <v>299</v>
      </c>
      <c r="B3">
        <v>14</v>
      </c>
      <c r="C3">
        <v>56</v>
      </c>
      <c r="D3">
        <v>13</v>
      </c>
      <c r="E3">
        <v>24</v>
      </c>
      <c r="F3">
        <v>4</v>
      </c>
      <c r="G3">
        <v>17</v>
      </c>
      <c r="H3">
        <v>6</v>
      </c>
      <c r="I3">
        <v>8</v>
      </c>
      <c r="J3">
        <v>0.42899999999999999</v>
      </c>
      <c r="K3">
        <v>0.5</v>
      </c>
      <c r="L3">
        <v>0.80400000000000005</v>
      </c>
      <c r="M3" s="219">
        <v>45070</v>
      </c>
      <c r="Q3" s="17" t="s">
        <v>2</v>
      </c>
      <c r="R3" s="26">
        <v>0.25</v>
      </c>
      <c r="T3" t="s">
        <v>39</v>
      </c>
      <c r="U3" t="s">
        <v>1490</v>
      </c>
      <c r="W3" t="s">
        <v>39</v>
      </c>
      <c r="X3" t="s">
        <v>1490</v>
      </c>
      <c r="Z3" t="str">
        <f>IF(Y3="",X3,Y3)</f>
        <v>Braves</v>
      </c>
      <c r="AD3" t="s">
        <v>1488</v>
      </c>
    </row>
    <row r="4" spans="1:30" x14ac:dyDescent="0.3">
      <c r="A4" t="s">
        <v>437</v>
      </c>
      <c r="B4">
        <v>14</v>
      </c>
      <c r="C4">
        <v>61</v>
      </c>
      <c r="D4">
        <v>16</v>
      </c>
      <c r="E4">
        <v>20</v>
      </c>
      <c r="F4">
        <v>3</v>
      </c>
      <c r="G4">
        <v>12</v>
      </c>
      <c r="H4">
        <v>3</v>
      </c>
      <c r="I4">
        <v>8</v>
      </c>
      <c r="J4">
        <v>0.32800000000000001</v>
      </c>
      <c r="K4">
        <v>0.36399999999999999</v>
      </c>
      <c r="L4">
        <v>0.59</v>
      </c>
      <c r="M4" s="219">
        <v>45070</v>
      </c>
      <c r="Q4" s="17" t="s">
        <v>14</v>
      </c>
      <c r="R4" s="26">
        <v>0.28499999999999998</v>
      </c>
      <c r="T4" t="s">
        <v>46</v>
      </c>
      <c r="U4" t="s">
        <v>1511</v>
      </c>
      <c r="W4" t="s">
        <v>46</v>
      </c>
      <c r="X4" t="s">
        <v>1511</v>
      </c>
      <c r="Z4" t="str">
        <f t="shared" ref="Z4:Z32" si="0">IF(Y4="",X4,Y4)</f>
        <v>Orioles</v>
      </c>
      <c r="AD4" t="s">
        <v>1519</v>
      </c>
    </row>
    <row r="5" spans="1:30" x14ac:dyDescent="0.3">
      <c r="A5" t="s">
        <v>254</v>
      </c>
      <c r="B5">
        <v>14</v>
      </c>
      <c r="C5">
        <v>50</v>
      </c>
      <c r="D5">
        <v>11</v>
      </c>
      <c r="E5">
        <v>19</v>
      </c>
      <c r="F5">
        <v>6</v>
      </c>
      <c r="G5">
        <v>16</v>
      </c>
      <c r="H5">
        <v>8</v>
      </c>
      <c r="I5">
        <v>13</v>
      </c>
      <c r="J5">
        <v>0.38</v>
      </c>
      <c r="K5">
        <v>0.46600000000000003</v>
      </c>
      <c r="L5">
        <v>0.82</v>
      </c>
      <c r="M5" s="219">
        <v>45070</v>
      </c>
      <c r="Q5" s="17" t="s">
        <v>5</v>
      </c>
      <c r="R5" s="26">
        <v>0.249</v>
      </c>
      <c r="T5" t="s">
        <v>54</v>
      </c>
      <c r="U5" t="s">
        <v>1544</v>
      </c>
      <c r="W5" t="s">
        <v>54</v>
      </c>
      <c r="X5" t="s">
        <v>1508</v>
      </c>
      <c r="Y5" t="s">
        <v>1509</v>
      </c>
      <c r="Z5" t="str">
        <f t="shared" si="0"/>
        <v>Sox</v>
      </c>
      <c r="AD5" t="s">
        <v>1490</v>
      </c>
    </row>
    <row r="6" spans="1:30" x14ac:dyDescent="0.3">
      <c r="A6" t="s">
        <v>3309</v>
      </c>
      <c r="B6">
        <v>13</v>
      </c>
      <c r="C6">
        <v>53</v>
      </c>
      <c r="D6">
        <v>17</v>
      </c>
      <c r="E6">
        <v>19</v>
      </c>
      <c r="F6">
        <v>9</v>
      </c>
      <c r="G6">
        <v>15</v>
      </c>
      <c r="H6">
        <v>3</v>
      </c>
      <c r="I6">
        <v>21</v>
      </c>
      <c r="J6">
        <v>0.35799999999999998</v>
      </c>
      <c r="K6">
        <v>0.39300000000000002</v>
      </c>
      <c r="L6">
        <v>0.92500000000000004</v>
      </c>
      <c r="M6" s="219">
        <v>45070</v>
      </c>
      <c r="Q6" s="17" t="s">
        <v>11</v>
      </c>
      <c r="R6" s="26">
        <v>0.24099999999999999</v>
      </c>
      <c r="T6" t="s">
        <v>1479</v>
      </c>
      <c r="U6" t="s">
        <v>1543</v>
      </c>
      <c r="W6" t="s">
        <v>1479</v>
      </c>
      <c r="X6" t="s">
        <v>1480</v>
      </c>
      <c r="Z6" t="str">
        <f t="shared" si="0"/>
        <v>Cubs</v>
      </c>
      <c r="AD6" t="s">
        <v>1503</v>
      </c>
    </row>
    <row r="7" spans="1:30" x14ac:dyDescent="0.3">
      <c r="A7" t="s">
        <v>651</v>
      </c>
      <c r="B7">
        <v>9</v>
      </c>
      <c r="C7">
        <v>37</v>
      </c>
      <c r="D7">
        <v>9</v>
      </c>
      <c r="E7">
        <v>14</v>
      </c>
      <c r="F7">
        <v>3</v>
      </c>
      <c r="G7">
        <v>7</v>
      </c>
      <c r="H7">
        <v>2</v>
      </c>
      <c r="I7">
        <v>11</v>
      </c>
      <c r="J7">
        <v>0.378</v>
      </c>
      <c r="K7">
        <v>0.41</v>
      </c>
      <c r="L7">
        <v>0.73</v>
      </c>
      <c r="M7" s="219">
        <v>45070</v>
      </c>
      <c r="Q7" s="17" t="s">
        <v>15</v>
      </c>
      <c r="R7" s="26">
        <v>0.28799999999999998</v>
      </c>
      <c r="T7" t="s">
        <v>1479</v>
      </c>
      <c r="U7" t="s">
        <v>1480</v>
      </c>
      <c r="W7" t="s">
        <v>1479</v>
      </c>
      <c r="X7" t="s">
        <v>1510</v>
      </c>
      <c r="Y7" t="s">
        <v>1509</v>
      </c>
      <c r="Z7" t="str">
        <f t="shared" si="0"/>
        <v>Sox</v>
      </c>
      <c r="AD7" t="s">
        <v>1500</v>
      </c>
    </row>
    <row r="8" spans="1:30" x14ac:dyDescent="0.3">
      <c r="A8" t="s">
        <v>665</v>
      </c>
      <c r="B8">
        <v>9</v>
      </c>
      <c r="C8">
        <v>39</v>
      </c>
      <c r="D8">
        <v>6</v>
      </c>
      <c r="E8">
        <v>13</v>
      </c>
      <c r="F8">
        <v>4</v>
      </c>
      <c r="G8">
        <v>12</v>
      </c>
      <c r="H8">
        <v>1</v>
      </c>
      <c r="I8">
        <v>9</v>
      </c>
      <c r="J8">
        <v>0.33300000000000002</v>
      </c>
      <c r="K8">
        <v>0.34100000000000003</v>
      </c>
      <c r="L8">
        <v>0.71799999999999997</v>
      </c>
      <c r="M8" s="219">
        <v>45070</v>
      </c>
      <c r="Q8" s="17" t="s">
        <v>9</v>
      </c>
      <c r="R8" s="26">
        <v>0.28199999999999997</v>
      </c>
      <c r="T8" t="s">
        <v>52</v>
      </c>
      <c r="U8" t="s">
        <v>1514</v>
      </c>
      <c r="W8" t="s">
        <v>52</v>
      </c>
      <c r="X8" t="s">
        <v>1514</v>
      </c>
      <c r="Z8" t="str">
        <f t="shared" si="0"/>
        <v>Reds</v>
      </c>
      <c r="AD8" t="s">
        <v>1480</v>
      </c>
    </row>
    <row r="9" spans="1:30" x14ac:dyDescent="0.3">
      <c r="A9" t="s">
        <v>267</v>
      </c>
      <c r="B9">
        <v>9</v>
      </c>
      <c r="C9">
        <v>39</v>
      </c>
      <c r="D9">
        <v>4</v>
      </c>
      <c r="E9">
        <v>12</v>
      </c>
      <c r="F9">
        <v>0</v>
      </c>
      <c r="G9">
        <v>3</v>
      </c>
      <c r="H9">
        <v>1</v>
      </c>
      <c r="I9">
        <v>10</v>
      </c>
      <c r="J9">
        <v>0.308</v>
      </c>
      <c r="K9">
        <v>0.32500000000000001</v>
      </c>
      <c r="L9">
        <v>0.48699999999999999</v>
      </c>
      <c r="M9" s="219">
        <v>45070</v>
      </c>
      <c r="Q9" s="17" t="s">
        <v>8</v>
      </c>
      <c r="R9" s="26">
        <v>0.28399999999999997</v>
      </c>
      <c r="T9" t="s">
        <v>44</v>
      </c>
      <c r="U9" t="s">
        <v>1504</v>
      </c>
      <c r="W9" t="s">
        <v>44</v>
      </c>
      <c r="X9" t="s">
        <v>1504</v>
      </c>
      <c r="Z9" t="str">
        <f t="shared" si="0"/>
        <v>Guardians</v>
      </c>
      <c r="AD9" t="s">
        <v>1485</v>
      </c>
    </row>
    <row r="10" spans="1:30" x14ac:dyDescent="0.3">
      <c r="A10" t="s">
        <v>1704</v>
      </c>
      <c r="B10">
        <v>8</v>
      </c>
      <c r="C10">
        <v>33</v>
      </c>
      <c r="D10">
        <v>6</v>
      </c>
      <c r="E10">
        <v>14</v>
      </c>
      <c r="F10">
        <v>2</v>
      </c>
      <c r="G10">
        <v>8</v>
      </c>
      <c r="H10">
        <v>3</v>
      </c>
      <c r="I10">
        <v>5</v>
      </c>
      <c r="J10">
        <v>0.42399999999999999</v>
      </c>
      <c r="K10">
        <v>0.47199999999999998</v>
      </c>
      <c r="L10">
        <v>0.63600000000000001</v>
      </c>
      <c r="M10" s="219">
        <v>45051</v>
      </c>
      <c r="Q10" s="17" t="s">
        <v>12</v>
      </c>
      <c r="R10" s="26">
        <v>0.245</v>
      </c>
      <c r="T10" t="s">
        <v>56</v>
      </c>
      <c r="U10" t="s">
        <v>1518</v>
      </c>
      <c r="W10" t="s">
        <v>56</v>
      </c>
      <c r="X10" t="s">
        <v>1518</v>
      </c>
      <c r="Z10" t="str">
        <f t="shared" si="0"/>
        <v>Rockies</v>
      </c>
      <c r="AD10" t="s">
        <v>1484</v>
      </c>
    </row>
    <row r="11" spans="1:30" x14ac:dyDescent="0.3">
      <c r="A11" t="s">
        <v>330</v>
      </c>
      <c r="B11">
        <v>8</v>
      </c>
      <c r="C11">
        <v>29</v>
      </c>
      <c r="D11">
        <v>7</v>
      </c>
      <c r="E11">
        <v>12</v>
      </c>
      <c r="F11">
        <v>3</v>
      </c>
      <c r="G11">
        <v>9</v>
      </c>
      <c r="H11">
        <v>4</v>
      </c>
      <c r="I11">
        <v>9</v>
      </c>
      <c r="J11">
        <v>0.41399999999999998</v>
      </c>
      <c r="K11">
        <v>0.48499999999999999</v>
      </c>
      <c r="L11">
        <v>0.79300000000000004</v>
      </c>
      <c r="M11" s="219">
        <v>45070</v>
      </c>
      <c r="Q11" s="17" t="s">
        <v>7</v>
      </c>
      <c r="R11" s="26">
        <v>0.26500000000000001</v>
      </c>
      <c r="T11" t="s">
        <v>64</v>
      </c>
      <c r="U11" t="s">
        <v>1513</v>
      </c>
      <c r="W11" t="s">
        <v>64</v>
      </c>
      <c r="X11" t="s">
        <v>1513</v>
      </c>
      <c r="Z11" t="str">
        <f t="shared" si="0"/>
        <v>Tigers</v>
      </c>
      <c r="AD11" t="s">
        <v>1507</v>
      </c>
    </row>
    <row r="12" spans="1:30" x14ac:dyDescent="0.3">
      <c r="A12" t="s">
        <v>282</v>
      </c>
      <c r="B12">
        <v>8</v>
      </c>
      <c r="C12">
        <v>32</v>
      </c>
      <c r="D12">
        <v>10</v>
      </c>
      <c r="E12">
        <v>10</v>
      </c>
      <c r="F12">
        <v>2</v>
      </c>
      <c r="G12">
        <v>6</v>
      </c>
      <c r="H12">
        <v>6</v>
      </c>
      <c r="I12">
        <v>6</v>
      </c>
      <c r="J12">
        <v>0.312</v>
      </c>
      <c r="K12">
        <v>0.42099999999999999</v>
      </c>
      <c r="L12">
        <v>0.65600000000000003</v>
      </c>
      <c r="M12" s="219">
        <v>45070</v>
      </c>
      <c r="Q12" s="17" t="s">
        <v>4</v>
      </c>
      <c r="R12" s="26">
        <v>0.26100000000000001</v>
      </c>
      <c r="T12" t="s">
        <v>59</v>
      </c>
      <c r="U12" t="s">
        <v>1488</v>
      </c>
      <c r="W12" t="s">
        <v>59</v>
      </c>
      <c r="X12" t="s">
        <v>1488</v>
      </c>
      <c r="Z12" t="str">
        <f t="shared" si="0"/>
        <v>Astros</v>
      </c>
      <c r="AD12" t="s">
        <v>1504</v>
      </c>
    </row>
    <row r="13" spans="1:30" x14ac:dyDescent="0.3">
      <c r="A13" t="s">
        <v>359</v>
      </c>
      <c r="B13">
        <v>7</v>
      </c>
      <c r="C13">
        <v>30</v>
      </c>
      <c r="D13">
        <v>6</v>
      </c>
      <c r="E13">
        <v>12</v>
      </c>
      <c r="F13">
        <v>1</v>
      </c>
      <c r="G13">
        <v>6</v>
      </c>
      <c r="H13">
        <v>2</v>
      </c>
      <c r="I13">
        <v>6</v>
      </c>
      <c r="J13">
        <v>0.4</v>
      </c>
      <c r="K13">
        <v>0.438</v>
      </c>
      <c r="L13">
        <v>0.56699999999999995</v>
      </c>
      <c r="M13" s="219">
        <v>45070</v>
      </c>
      <c r="Q13" s="17" t="s">
        <v>10</v>
      </c>
      <c r="R13" s="26">
        <v>0.251</v>
      </c>
      <c r="T13" t="s">
        <v>1478</v>
      </c>
      <c r="U13" t="s">
        <v>1516</v>
      </c>
      <c r="W13" t="s">
        <v>1478</v>
      </c>
      <c r="X13" t="s">
        <v>1532</v>
      </c>
      <c r="Y13" t="s">
        <v>1516</v>
      </c>
      <c r="Z13" t="str">
        <f t="shared" si="0"/>
        <v>Royals</v>
      </c>
      <c r="AD13" t="s">
        <v>1496</v>
      </c>
    </row>
    <row r="14" spans="1:30" x14ac:dyDescent="0.3">
      <c r="A14" t="s">
        <v>327</v>
      </c>
      <c r="B14">
        <v>7</v>
      </c>
      <c r="C14">
        <v>27</v>
      </c>
      <c r="D14">
        <v>5</v>
      </c>
      <c r="E14">
        <v>11</v>
      </c>
      <c r="F14">
        <v>2</v>
      </c>
      <c r="G14">
        <v>7</v>
      </c>
      <c r="H14">
        <v>0</v>
      </c>
      <c r="I14">
        <v>1</v>
      </c>
      <c r="J14">
        <v>0.40699999999999997</v>
      </c>
      <c r="K14">
        <v>0.40699999999999997</v>
      </c>
      <c r="L14">
        <v>0.74099999999999999</v>
      </c>
      <c r="M14" s="219">
        <v>45070</v>
      </c>
      <c r="Q14" s="17" t="s">
        <v>6</v>
      </c>
      <c r="R14" s="26">
        <v>0.23599999999999999</v>
      </c>
      <c r="T14" t="s">
        <v>1482</v>
      </c>
      <c r="U14" t="s">
        <v>1484</v>
      </c>
      <c r="W14" t="s">
        <v>1482</v>
      </c>
      <c r="X14" t="s">
        <v>1483</v>
      </c>
      <c r="Y14" t="s">
        <v>1506</v>
      </c>
      <c r="Z14" t="str">
        <f t="shared" si="0"/>
        <v>Angels</v>
      </c>
      <c r="AD14" t="s">
        <v>1502</v>
      </c>
    </row>
    <row r="15" spans="1:30" x14ac:dyDescent="0.3">
      <c r="A15" t="s">
        <v>345</v>
      </c>
      <c r="B15">
        <v>7</v>
      </c>
      <c r="C15">
        <v>27</v>
      </c>
      <c r="D15">
        <v>4</v>
      </c>
      <c r="E15">
        <v>11</v>
      </c>
      <c r="F15">
        <v>2</v>
      </c>
      <c r="G15">
        <v>5</v>
      </c>
      <c r="H15">
        <v>2</v>
      </c>
      <c r="I15">
        <v>3</v>
      </c>
      <c r="J15">
        <v>0.40699999999999997</v>
      </c>
      <c r="K15">
        <v>0.44800000000000001</v>
      </c>
      <c r="L15">
        <v>0.63</v>
      </c>
      <c r="M15" s="219">
        <v>45070</v>
      </c>
      <c r="Q15" s="17" t="s">
        <v>22</v>
      </c>
      <c r="R15" s="26">
        <v>0.24099999999999999</v>
      </c>
      <c r="T15" t="s">
        <v>1482</v>
      </c>
      <c r="U15" t="s">
        <v>1506</v>
      </c>
      <c r="W15" t="s">
        <v>1482</v>
      </c>
      <c r="X15" t="s">
        <v>1483</v>
      </c>
      <c r="Y15" t="s">
        <v>1484</v>
      </c>
      <c r="Z15" t="str">
        <f t="shared" si="0"/>
        <v>Dodgers</v>
      </c>
      <c r="AD15" t="s">
        <v>1512</v>
      </c>
    </row>
    <row r="16" spans="1:30" x14ac:dyDescent="0.3">
      <c r="A16" t="s">
        <v>315</v>
      </c>
      <c r="B16">
        <v>7</v>
      </c>
      <c r="C16">
        <v>25</v>
      </c>
      <c r="D16">
        <v>4</v>
      </c>
      <c r="E16">
        <v>10</v>
      </c>
      <c r="F16">
        <v>0</v>
      </c>
      <c r="G16">
        <v>3</v>
      </c>
      <c r="H16">
        <v>2</v>
      </c>
      <c r="I16">
        <v>6</v>
      </c>
      <c r="J16">
        <v>0.4</v>
      </c>
      <c r="K16">
        <v>0.42899999999999999</v>
      </c>
      <c r="L16">
        <v>0.6</v>
      </c>
      <c r="M16" s="219">
        <v>45070</v>
      </c>
      <c r="Q16" s="17" t="s">
        <v>29</v>
      </c>
      <c r="R16" s="26">
        <v>0.26900000000000002</v>
      </c>
      <c r="T16" t="s">
        <v>58</v>
      </c>
      <c r="U16" t="s">
        <v>1512</v>
      </c>
      <c r="W16" t="s">
        <v>58</v>
      </c>
      <c r="X16" t="s">
        <v>1512</v>
      </c>
      <c r="Z16" t="str">
        <f t="shared" si="0"/>
        <v>Marlins</v>
      </c>
      <c r="AD16" t="s">
        <v>1498</v>
      </c>
    </row>
    <row r="17" spans="1:30" x14ac:dyDescent="0.3">
      <c r="A17" t="s">
        <v>400</v>
      </c>
      <c r="B17">
        <v>6</v>
      </c>
      <c r="C17">
        <v>23</v>
      </c>
      <c r="D17">
        <v>7</v>
      </c>
      <c r="E17">
        <v>12</v>
      </c>
      <c r="F17">
        <v>0</v>
      </c>
      <c r="G17">
        <v>2</v>
      </c>
      <c r="H17">
        <v>4</v>
      </c>
      <c r="I17">
        <v>4</v>
      </c>
      <c r="J17">
        <v>0.52200000000000002</v>
      </c>
      <c r="K17">
        <v>0.59299999999999997</v>
      </c>
      <c r="L17">
        <v>0.65200000000000002</v>
      </c>
      <c r="M17" s="219">
        <v>45070</v>
      </c>
      <c r="Q17" s="17" t="s">
        <v>21</v>
      </c>
      <c r="R17" s="26">
        <v>0.27</v>
      </c>
      <c r="T17" t="s">
        <v>38</v>
      </c>
      <c r="U17" t="s">
        <v>1503</v>
      </c>
      <c r="W17" t="s">
        <v>38</v>
      </c>
      <c r="X17" t="s">
        <v>1503</v>
      </c>
      <c r="Z17" t="str">
        <f t="shared" si="0"/>
        <v>Brewers</v>
      </c>
      <c r="AD17" t="s">
        <v>1517</v>
      </c>
    </row>
    <row r="18" spans="1:30" x14ac:dyDescent="0.3">
      <c r="A18" t="s">
        <v>3310</v>
      </c>
      <c r="B18">
        <v>6</v>
      </c>
      <c r="C18">
        <v>23</v>
      </c>
      <c r="D18">
        <v>3</v>
      </c>
      <c r="E18">
        <v>7</v>
      </c>
      <c r="F18">
        <v>1</v>
      </c>
      <c r="G18">
        <v>1</v>
      </c>
      <c r="H18">
        <v>2</v>
      </c>
      <c r="I18">
        <v>5</v>
      </c>
      <c r="J18">
        <v>0.30399999999999999</v>
      </c>
      <c r="K18">
        <v>0.36</v>
      </c>
      <c r="L18">
        <v>0.47799999999999998</v>
      </c>
      <c r="M18" s="219">
        <v>45070</v>
      </c>
      <c r="Q18" s="17" t="s">
        <v>16</v>
      </c>
      <c r="R18" s="26">
        <v>0.22900000000000001</v>
      </c>
      <c r="T18" t="s">
        <v>40</v>
      </c>
      <c r="U18" t="s">
        <v>1505</v>
      </c>
      <c r="W18" t="s">
        <v>40</v>
      </c>
      <c r="X18" t="s">
        <v>1505</v>
      </c>
      <c r="Z18" t="str">
        <f t="shared" si="0"/>
        <v>Twins</v>
      </c>
      <c r="AD18" t="s">
        <v>1511</v>
      </c>
    </row>
    <row r="19" spans="1:30" x14ac:dyDescent="0.3">
      <c r="A19" t="s">
        <v>595</v>
      </c>
      <c r="B19">
        <v>6</v>
      </c>
      <c r="C19">
        <v>23</v>
      </c>
      <c r="D19">
        <v>6</v>
      </c>
      <c r="E19">
        <v>7</v>
      </c>
      <c r="F19">
        <v>1</v>
      </c>
      <c r="G19">
        <v>4</v>
      </c>
      <c r="H19">
        <v>1</v>
      </c>
      <c r="I19">
        <v>5</v>
      </c>
      <c r="J19">
        <v>0.30399999999999999</v>
      </c>
      <c r="K19">
        <v>0.36</v>
      </c>
      <c r="L19">
        <v>0.435</v>
      </c>
      <c r="M19" s="219">
        <v>45069</v>
      </c>
      <c r="Q19" s="17" t="s">
        <v>18</v>
      </c>
      <c r="R19" s="26">
        <v>0.249</v>
      </c>
      <c r="T19" t="s">
        <v>1476</v>
      </c>
      <c r="U19" t="s">
        <v>1492</v>
      </c>
      <c r="W19" t="s">
        <v>1476</v>
      </c>
      <c r="X19" t="s">
        <v>1477</v>
      </c>
      <c r="Y19" t="s">
        <v>1498</v>
      </c>
      <c r="Z19" t="str">
        <f t="shared" si="0"/>
        <v>Mets</v>
      </c>
      <c r="AD19" t="s">
        <v>1494</v>
      </c>
    </row>
    <row r="20" spans="1:30" x14ac:dyDescent="0.3">
      <c r="A20" t="s">
        <v>321</v>
      </c>
      <c r="B20">
        <v>5</v>
      </c>
      <c r="C20">
        <v>23</v>
      </c>
      <c r="D20">
        <v>3</v>
      </c>
      <c r="E20">
        <v>9</v>
      </c>
      <c r="F20">
        <v>2</v>
      </c>
      <c r="G20">
        <v>7</v>
      </c>
      <c r="H20">
        <v>0</v>
      </c>
      <c r="I20">
        <v>10</v>
      </c>
      <c r="J20">
        <v>0.39100000000000001</v>
      </c>
      <c r="K20">
        <v>0.39100000000000001</v>
      </c>
      <c r="L20">
        <v>0.69599999999999995</v>
      </c>
      <c r="M20" s="219">
        <v>45070</v>
      </c>
      <c r="Q20" s="17" t="s">
        <v>13</v>
      </c>
      <c r="R20" s="26">
        <v>0.23200000000000001</v>
      </c>
      <c r="T20" t="s">
        <v>1476</v>
      </c>
      <c r="U20" t="s">
        <v>1498</v>
      </c>
      <c r="W20" t="s">
        <v>1476</v>
      </c>
      <c r="X20" t="s">
        <v>1477</v>
      </c>
      <c r="Y20" t="s">
        <v>1492</v>
      </c>
      <c r="Z20" t="str">
        <f t="shared" si="0"/>
        <v>Yankees</v>
      </c>
      <c r="AD20" t="s">
        <v>1501</v>
      </c>
    </row>
    <row r="21" spans="1:30" x14ac:dyDescent="0.3">
      <c r="A21" t="s">
        <v>3311</v>
      </c>
      <c r="B21">
        <v>5</v>
      </c>
      <c r="C21">
        <v>20</v>
      </c>
      <c r="D21">
        <v>3</v>
      </c>
      <c r="E21">
        <v>8</v>
      </c>
      <c r="F21">
        <v>0</v>
      </c>
      <c r="G21">
        <v>1</v>
      </c>
      <c r="H21">
        <v>1</v>
      </c>
      <c r="I21">
        <v>5</v>
      </c>
      <c r="J21">
        <v>0.4</v>
      </c>
      <c r="K21">
        <v>0.42899999999999999</v>
      </c>
      <c r="L21">
        <v>0.5</v>
      </c>
      <c r="M21" s="219">
        <v>45070</v>
      </c>
      <c r="Q21" s="17" t="s">
        <v>17</v>
      </c>
      <c r="R21" s="26">
        <v>0.26900000000000002</v>
      </c>
      <c r="T21" t="s">
        <v>62</v>
      </c>
      <c r="U21" t="s">
        <v>1519</v>
      </c>
      <c r="W21" t="s">
        <v>62</v>
      </c>
      <c r="X21" t="s">
        <v>1519</v>
      </c>
      <c r="Z21" t="str">
        <f t="shared" si="0"/>
        <v>Athletics</v>
      </c>
      <c r="AD21" t="s">
        <v>1515</v>
      </c>
    </row>
    <row r="22" spans="1:30" x14ac:dyDescent="0.3">
      <c r="A22" t="s">
        <v>137</v>
      </c>
      <c r="B22" t="s">
        <v>96</v>
      </c>
      <c r="C22" t="s">
        <v>126</v>
      </c>
      <c r="D22" t="s">
        <v>124</v>
      </c>
      <c r="E22" t="s">
        <v>125</v>
      </c>
      <c r="F22" t="s">
        <v>81</v>
      </c>
      <c r="G22" t="s">
        <v>82</v>
      </c>
      <c r="H22" t="s">
        <v>83</v>
      </c>
      <c r="I22" t="s">
        <v>1619</v>
      </c>
      <c r="J22" t="s">
        <v>2060</v>
      </c>
      <c r="K22" t="s">
        <v>2061</v>
      </c>
      <c r="L22" t="s">
        <v>2062</v>
      </c>
      <c r="M22" s="219" t="s">
        <v>2063</v>
      </c>
      <c r="Q22" s="17" t="s">
        <v>19</v>
      </c>
      <c r="R22" s="26">
        <v>0.27400000000000002</v>
      </c>
      <c r="T22" t="s">
        <v>63</v>
      </c>
      <c r="U22" t="s">
        <v>1501</v>
      </c>
      <c r="W22" t="s">
        <v>63</v>
      </c>
      <c r="X22" t="s">
        <v>1501</v>
      </c>
      <c r="Z22" t="str">
        <f t="shared" si="0"/>
        <v>Phillies</v>
      </c>
      <c r="AD22" t="s">
        <v>1481</v>
      </c>
    </row>
    <row r="23" spans="1:30" x14ac:dyDescent="0.3">
      <c r="A23" t="s">
        <v>1700</v>
      </c>
      <c r="B23">
        <v>5</v>
      </c>
      <c r="C23">
        <v>15</v>
      </c>
      <c r="D23">
        <v>2</v>
      </c>
      <c r="E23">
        <v>7</v>
      </c>
      <c r="F23">
        <v>1</v>
      </c>
      <c r="G23">
        <v>1</v>
      </c>
      <c r="H23">
        <v>2</v>
      </c>
      <c r="I23">
        <v>3</v>
      </c>
      <c r="J23">
        <v>0.46700000000000003</v>
      </c>
      <c r="K23">
        <v>0.52900000000000003</v>
      </c>
      <c r="L23">
        <v>0.73299999999999998</v>
      </c>
      <c r="M23" s="219">
        <v>45070</v>
      </c>
      <c r="Q23" s="17" t="s">
        <v>25</v>
      </c>
      <c r="R23" s="26">
        <v>0.25</v>
      </c>
      <c r="T23" t="s">
        <v>41</v>
      </c>
      <c r="U23" t="s">
        <v>1515</v>
      </c>
      <c r="W23" t="s">
        <v>41</v>
      </c>
      <c r="X23" t="s">
        <v>1515</v>
      </c>
      <c r="Z23" t="str">
        <f t="shared" si="0"/>
        <v>Pirates</v>
      </c>
      <c r="AD23" t="s">
        <v>1499</v>
      </c>
    </row>
    <row r="24" spans="1:30" x14ac:dyDescent="0.3">
      <c r="A24" t="s">
        <v>968</v>
      </c>
      <c r="B24">
        <v>5</v>
      </c>
      <c r="C24">
        <v>23</v>
      </c>
      <c r="D24">
        <v>3</v>
      </c>
      <c r="E24">
        <v>7</v>
      </c>
      <c r="F24">
        <v>1</v>
      </c>
      <c r="G24">
        <v>3</v>
      </c>
      <c r="H24">
        <v>1</v>
      </c>
      <c r="I24">
        <v>5</v>
      </c>
      <c r="J24">
        <v>0.30399999999999999</v>
      </c>
      <c r="K24">
        <v>0.33300000000000002</v>
      </c>
      <c r="L24">
        <v>0.52200000000000002</v>
      </c>
      <c r="M24" s="219">
        <v>45070</v>
      </c>
      <c r="Q24" s="17" t="s">
        <v>20</v>
      </c>
      <c r="R24" s="26">
        <v>0.23899999999999999</v>
      </c>
      <c r="T24" t="s">
        <v>1533</v>
      </c>
      <c r="U24" t="s">
        <v>1507</v>
      </c>
      <c r="W24" t="s">
        <v>1533</v>
      </c>
      <c r="X24" t="s">
        <v>1539</v>
      </c>
      <c r="Y24" t="s">
        <v>1494</v>
      </c>
      <c r="Z24" t="str">
        <f t="shared" si="0"/>
        <v>Padres</v>
      </c>
      <c r="AD24" t="s">
        <v>1514</v>
      </c>
    </row>
    <row r="25" spans="1:30" x14ac:dyDescent="0.3">
      <c r="A25" t="s">
        <v>1747</v>
      </c>
      <c r="B25">
        <v>5</v>
      </c>
      <c r="C25">
        <v>17</v>
      </c>
      <c r="D25">
        <v>3</v>
      </c>
      <c r="E25">
        <v>7</v>
      </c>
      <c r="F25">
        <v>0</v>
      </c>
      <c r="G25">
        <v>3</v>
      </c>
      <c r="H25">
        <v>2</v>
      </c>
      <c r="I25">
        <v>3</v>
      </c>
      <c r="J25">
        <v>0.41199999999999998</v>
      </c>
      <c r="K25">
        <v>0.47399999999999998</v>
      </c>
      <c r="L25">
        <v>0.47099999999999997</v>
      </c>
      <c r="M25" s="219">
        <v>45070</v>
      </c>
      <c r="Q25" s="17" t="s">
        <v>24</v>
      </c>
      <c r="R25" s="26">
        <v>0.218</v>
      </c>
      <c r="T25" t="s">
        <v>1533</v>
      </c>
      <c r="U25" t="s">
        <v>1494</v>
      </c>
      <c r="W25" t="s">
        <v>1533</v>
      </c>
      <c r="X25" t="s">
        <v>1534</v>
      </c>
      <c r="Y25" t="s">
        <v>1507</v>
      </c>
      <c r="Z25" t="str">
        <f t="shared" si="0"/>
        <v>Giants</v>
      </c>
      <c r="AD25" t="s">
        <v>1518</v>
      </c>
    </row>
    <row r="26" spans="1:30" x14ac:dyDescent="0.3">
      <c r="A26" t="s">
        <v>407</v>
      </c>
      <c r="B26">
        <v>5</v>
      </c>
      <c r="C26">
        <v>20</v>
      </c>
      <c r="D26">
        <v>4</v>
      </c>
      <c r="E26">
        <v>6</v>
      </c>
      <c r="F26">
        <v>0</v>
      </c>
      <c r="G26">
        <v>1</v>
      </c>
      <c r="H26">
        <v>1</v>
      </c>
      <c r="I26">
        <v>5</v>
      </c>
      <c r="J26">
        <v>0.3</v>
      </c>
      <c r="K26">
        <v>0.33300000000000002</v>
      </c>
      <c r="L26">
        <v>0.55000000000000004</v>
      </c>
      <c r="M26" s="219">
        <v>45070</v>
      </c>
      <c r="Q26" s="17" t="s">
        <v>28</v>
      </c>
      <c r="R26" s="26">
        <v>0.23300000000000001</v>
      </c>
      <c r="T26" t="s">
        <v>57</v>
      </c>
      <c r="U26" t="s">
        <v>1502</v>
      </c>
      <c r="W26" t="s">
        <v>57</v>
      </c>
      <c r="X26" t="s">
        <v>1502</v>
      </c>
      <c r="Z26" t="str">
        <f t="shared" si="0"/>
        <v>Mariners</v>
      </c>
      <c r="AD26" t="s">
        <v>1516</v>
      </c>
    </row>
    <row r="27" spans="1:30" x14ac:dyDescent="0.3">
      <c r="A27" t="s">
        <v>233</v>
      </c>
      <c r="B27">
        <v>5</v>
      </c>
      <c r="C27">
        <v>21</v>
      </c>
      <c r="D27">
        <v>4</v>
      </c>
      <c r="E27">
        <v>6</v>
      </c>
      <c r="F27">
        <v>2</v>
      </c>
      <c r="G27">
        <v>5</v>
      </c>
      <c r="H27">
        <v>2</v>
      </c>
      <c r="I27">
        <v>5</v>
      </c>
      <c r="J27">
        <v>0.28599999999999998</v>
      </c>
      <c r="K27">
        <v>0.33300000000000002</v>
      </c>
      <c r="L27">
        <v>0.61899999999999999</v>
      </c>
      <c r="M27" s="219">
        <v>45070</v>
      </c>
      <c r="Q27" s="17" t="s">
        <v>23</v>
      </c>
      <c r="R27" s="26">
        <v>0.22900000000000001</v>
      </c>
      <c r="T27" t="s">
        <v>1537</v>
      </c>
      <c r="U27" t="s">
        <v>1500</v>
      </c>
      <c r="W27" t="s">
        <v>1537</v>
      </c>
      <c r="X27" t="s">
        <v>1538</v>
      </c>
      <c r="Y27" t="s">
        <v>1500</v>
      </c>
      <c r="Z27" t="str">
        <f t="shared" si="0"/>
        <v>Cardinals</v>
      </c>
      <c r="AD27" t="s">
        <v>1509</v>
      </c>
    </row>
    <row r="28" spans="1:30" x14ac:dyDescent="0.3">
      <c r="A28" t="s">
        <v>427</v>
      </c>
      <c r="B28">
        <v>5</v>
      </c>
      <c r="C28">
        <v>19</v>
      </c>
      <c r="D28">
        <v>2</v>
      </c>
      <c r="E28">
        <v>6</v>
      </c>
      <c r="F28">
        <v>0</v>
      </c>
      <c r="G28">
        <v>1</v>
      </c>
      <c r="H28">
        <v>1</v>
      </c>
      <c r="I28">
        <v>2</v>
      </c>
      <c r="J28">
        <v>0.316</v>
      </c>
      <c r="K28">
        <v>0.38100000000000001</v>
      </c>
      <c r="L28">
        <v>0.42099999999999999</v>
      </c>
      <c r="M28" s="219">
        <v>45070</v>
      </c>
      <c r="Q28" s="17" t="s">
        <v>27</v>
      </c>
      <c r="R28" s="26">
        <v>0.22800000000000001</v>
      </c>
      <c r="T28" t="s">
        <v>1535</v>
      </c>
      <c r="U28" t="s">
        <v>1499</v>
      </c>
      <c r="W28" t="s">
        <v>1535</v>
      </c>
      <c r="X28" t="s">
        <v>1536</v>
      </c>
      <c r="Y28" t="s">
        <v>1499</v>
      </c>
      <c r="Z28" t="str">
        <f t="shared" si="0"/>
        <v>Rays</v>
      </c>
      <c r="AD28" t="s">
        <v>1509</v>
      </c>
    </row>
    <row r="29" spans="1:30" x14ac:dyDescent="0.3">
      <c r="A29" t="s">
        <v>893</v>
      </c>
      <c r="B29">
        <v>5</v>
      </c>
      <c r="C29">
        <v>17</v>
      </c>
      <c r="D29">
        <v>1</v>
      </c>
      <c r="E29">
        <v>5</v>
      </c>
      <c r="F29">
        <v>0</v>
      </c>
      <c r="G29">
        <v>0</v>
      </c>
      <c r="H29">
        <v>0</v>
      </c>
      <c r="I29">
        <v>2</v>
      </c>
      <c r="J29">
        <v>0.29399999999999998</v>
      </c>
      <c r="K29">
        <v>0.29399999999999998</v>
      </c>
      <c r="L29">
        <v>0.41199999999999998</v>
      </c>
      <c r="M29" s="219">
        <v>45070</v>
      </c>
      <c r="Q29" s="17" t="s">
        <v>26</v>
      </c>
      <c r="R29" s="26">
        <v>0.19800000000000001</v>
      </c>
      <c r="T29" t="s">
        <v>45</v>
      </c>
      <c r="U29" t="s">
        <v>1481</v>
      </c>
      <c r="W29" t="s">
        <v>45</v>
      </c>
      <c r="X29" t="s">
        <v>1481</v>
      </c>
      <c r="Z29" t="str">
        <f t="shared" si="0"/>
        <v>Rangers</v>
      </c>
      <c r="AD29" t="s">
        <v>1513</v>
      </c>
    </row>
    <row r="30" spans="1:30" x14ac:dyDescent="0.3">
      <c r="A30" t="s">
        <v>754</v>
      </c>
      <c r="B30">
        <v>5</v>
      </c>
      <c r="C30">
        <v>14</v>
      </c>
      <c r="D30">
        <v>1</v>
      </c>
      <c r="E30">
        <v>5</v>
      </c>
      <c r="F30">
        <v>0</v>
      </c>
      <c r="G30">
        <v>2</v>
      </c>
      <c r="H30">
        <v>0</v>
      </c>
      <c r="I30">
        <v>5</v>
      </c>
      <c r="J30">
        <v>0.35699999999999998</v>
      </c>
      <c r="K30">
        <v>0.35699999999999998</v>
      </c>
      <c r="L30">
        <v>0.57099999999999995</v>
      </c>
      <c r="M30" s="219">
        <v>45070</v>
      </c>
      <c r="Q30" s="17" t="s">
        <v>30</v>
      </c>
      <c r="R30" s="26">
        <v>0.17899999999999999</v>
      </c>
      <c r="T30" t="s">
        <v>47</v>
      </c>
      <c r="U30" t="s">
        <v>1835</v>
      </c>
      <c r="W30" t="s">
        <v>47</v>
      </c>
      <c r="X30" t="s">
        <v>1495</v>
      </c>
      <c r="Y30" t="s">
        <v>1496</v>
      </c>
      <c r="Z30" t="str">
        <f t="shared" si="0"/>
        <v>Jays</v>
      </c>
      <c r="AD30" t="s">
        <v>1505</v>
      </c>
    </row>
    <row r="31" spans="1:30" ht="15" thickBot="1" x14ac:dyDescent="0.35">
      <c r="Q31" s="18" t="s">
        <v>31</v>
      </c>
      <c r="R31" s="28">
        <v>0.20499999999999999</v>
      </c>
      <c r="T31" t="s">
        <v>66</v>
      </c>
      <c r="U31" t="s">
        <v>1517</v>
      </c>
      <c r="W31" t="s">
        <v>66</v>
      </c>
      <c r="X31" t="s">
        <v>1517</v>
      </c>
      <c r="Z31" t="str">
        <f t="shared" si="0"/>
        <v>Nationals</v>
      </c>
      <c r="AD31" t="s">
        <v>1492</v>
      </c>
    </row>
    <row r="32" spans="1:30" x14ac:dyDescent="0.3">
      <c r="W32" t="s">
        <v>19</v>
      </c>
      <c r="Z32">
        <f t="shared" si="0"/>
        <v>0</v>
      </c>
    </row>
    <row r="33" spans="17:17" x14ac:dyDescent="0.3">
      <c r="Q33" s="215"/>
    </row>
  </sheetData>
  <sortState xmlns:xlrd2="http://schemas.microsoft.com/office/spreadsheetml/2017/richdata2" ref="T2:U31">
    <sortCondition ref="T2:T31"/>
  </sortState>
  <conditionalFormatting sqref="R2:R31">
    <cfRule type="colorScale" priority="4">
      <colorScale>
        <cfvo type="min"/>
        <cfvo type="percentile" val="50"/>
        <cfvo type="max"/>
        <color rgb="FFF8696B"/>
        <color rgb="FFFCFCFF"/>
        <color rgb="FF63BE7B"/>
      </colorScale>
    </cfRule>
  </conditionalFormatting>
  <conditionalFormatting sqref="L2:L37">
    <cfRule type="colorScale" priority="927">
      <colorScale>
        <cfvo type="min"/>
        <cfvo type="percentile" val="50"/>
        <cfvo type="max"/>
        <color rgb="FFF8696B"/>
        <color rgb="FFFCFCFF"/>
        <color rgb="FF63BE7B"/>
      </colorScale>
    </cfRule>
  </conditionalFormatting>
  <conditionalFormatting sqref="J2:J30">
    <cfRule type="colorScale" priority="929">
      <colorScale>
        <cfvo type="min"/>
        <cfvo type="percentile" val="50"/>
        <cfvo type="max"/>
        <color rgb="FFF8696B"/>
        <color rgb="FFFCFCFF"/>
        <color rgb="FF63BE7B"/>
      </colorScale>
    </cfRule>
  </conditionalFormatting>
  <conditionalFormatting sqref="C2:C30">
    <cfRule type="colorScale" priority="931">
      <colorScale>
        <cfvo type="min"/>
        <cfvo type="percentile" val="50"/>
        <cfvo type="max"/>
        <color rgb="FFF8696B"/>
        <color rgb="FFFCFCFF"/>
        <color rgb="FF63BE7B"/>
      </colorScale>
    </cfRule>
  </conditionalFormatting>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7DCCF-D3FE-4121-B08E-BBE7A491ABF7}">
  <sheetPr codeName="Sheet17">
    <tabColor rgb="FFFFFF00"/>
  </sheetPr>
  <dimension ref="A1:T455"/>
  <sheetViews>
    <sheetView zoomScale="90" zoomScaleNormal="90" workbookViewId="0">
      <selection activeCell="R26" sqref="R26"/>
    </sheetView>
  </sheetViews>
  <sheetFormatPr defaultRowHeight="14.4" x14ac:dyDescent="0.3"/>
  <cols>
    <col min="1" max="1" width="20.109375" style="1" bestFit="1" customWidth="1"/>
    <col min="2" max="2" width="9.44140625" style="1" bestFit="1" customWidth="1"/>
    <col min="3" max="3" width="10.33203125" style="1" bestFit="1" customWidth="1"/>
    <col min="4" max="4" width="9.44140625" style="1" bestFit="1" customWidth="1"/>
    <col min="5" max="5" width="9" style="1" bestFit="1" customWidth="1"/>
    <col min="6" max="6" width="9.33203125" style="1" bestFit="1" customWidth="1"/>
    <col min="7" max="7" width="5.5546875" style="1" bestFit="1" customWidth="1"/>
    <col min="8" max="8" width="5.5546875" bestFit="1" customWidth="1"/>
    <col min="9" max="9" width="9.77734375" customWidth="1"/>
    <col min="11" max="11" width="17.6640625" bestFit="1" customWidth="1"/>
    <col min="12" max="12" width="7.33203125" bestFit="1" customWidth="1"/>
    <col min="13" max="13" width="6.6640625" bestFit="1" customWidth="1"/>
    <col min="14" max="14" width="16.6640625" bestFit="1" customWidth="1"/>
    <col min="15" max="15" width="6.77734375" bestFit="1" customWidth="1"/>
    <col min="16" max="16" width="4.44140625" bestFit="1" customWidth="1"/>
    <col min="17" max="17" width="4.44140625" style="1" bestFit="1" customWidth="1"/>
    <col min="18" max="19" width="4.6640625" style="1" bestFit="1" customWidth="1"/>
    <col min="20" max="20" width="4.21875" style="1" bestFit="1" customWidth="1"/>
  </cols>
  <sheetData>
    <row r="1" spans="1:20" x14ac:dyDescent="0.3">
      <c r="A1"/>
      <c r="B1"/>
      <c r="N1" s="88" t="s">
        <v>32</v>
      </c>
      <c r="O1" t="s">
        <v>239</v>
      </c>
    </row>
    <row r="2" spans="1:20" x14ac:dyDescent="0.3">
      <c r="A2" s="175" t="s">
        <v>32</v>
      </c>
      <c r="B2" s="1" t="s">
        <v>1522</v>
      </c>
    </row>
    <row r="3" spans="1:20" x14ac:dyDescent="0.3">
      <c r="A3" s="175" t="s">
        <v>82</v>
      </c>
      <c r="B3" s="1" t="s">
        <v>1725</v>
      </c>
      <c r="C3"/>
      <c r="D3"/>
      <c r="E3"/>
      <c r="F3"/>
      <c r="G3"/>
      <c r="I3" s="1"/>
      <c r="N3" s="88" t="s">
        <v>977</v>
      </c>
      <c r="O3" t="s">
        <v>3029</v>
      </c>
      <c r="P3" s="1" t="s">
        <v>75</v>
      </c>
      <c r="Q3" s="1" t="s">
        <v>3030</v>
      </c>
      <c r="R3" s="1" t="s">
        <v>3031</v>
      </c>
      <c r="T3"/>
    </row>
    <row r="4" spans="1:20" x14ac:dyDescent="0.3">
      <c r="A4" s="175" t="s">
        <v>81</v>
      </c>
      <c r="B4" s="1" t="s">
        <v>1725</v>
      </c>
      <c r="C4"/>
      <c r="D4"/>
      <c r="E4"/>
      <c r="F4"/>
      <c r="G4"/>
      <c r="I4" s="92"/>
      <c r="N4" s="89" t="s">
        <v>401</v>
      </c>
      <c r="O4" s="90">
        <v>181</v>
      </c>
      <c r="P4" s="92">
        <v>49</v>
      </c>
      <c r="Q4" s="92">
        <v>37</v>
      </c>
      <c r="R4" s="92">
        <v>27</v>
      </c>
      <c r="T4"/>
    </row>
    <row r="5" spans="1:20" x14ac:dyDescent="0.3">
      <c r="A5" s="175" t="s">
        <v>76</v>
      </c>
      <c r="B5" s="1" t="s">
        <v>1725</v>
      </c>
      <c r="C5"/>
      <c r="D5"/>
      <c r="E5"/>
      <c r="F5"/>
      <c r="G5"/>
      <c r="I5" s="92"/>
      <c r="N5" s="89" t="s">
        <v>427</v>
      </c>
      <c r="O5" s="90">
        <v>174</v>
      </c>
      <c r="P5" s="92">
        <v>46</v>
      </c>
      <c r="Q5" s="92">
        <v>45</v>
      </c>
      <c r="R5" s="92">
        <v>24</v>
      </c>
      <c r="T5"/>
    </row>
    <row r="6" spans="1:20" x14ac:dyDescent="0.3">
      <c r="A6"/>
      <c r="B6"/>
      <c r="C6"/>
      <c r="D6"/>
      <c r="E6"/>
      <c r="F6"/>
      <c r="G6"/>
      <c r="I6" s="92"/>
      <c r="N6" s="89" t="s">
        <v>238</v>
      </c>
      <c r="O6" s="90">
        <v>161</v>
      </c>
      <c r="P6" s="92">
        <v>47</v>
      </c>
      <c r="Q6" s="92">
        <v>39</v>
      </c>
      <c r="R6" s="92">
        <v>28</v>
      </c>
      <c r="T6"/>
    </row>
    <row r="7" spans="1:20" x14ac:dyDescent="0.3">
      <c r="A7" s="175" t="s">
        <v>214</v>
      </c>
      <c r="B7" s="1" t="s">
        <v>1722</v>
      </c>
      <c r="C7" s="1" t="s">
        <v>1723</v>
      </c>
      <c r="D7" s="1" t="s">
        <v>1724</v>
      </c>
      <c r="E7"/>
      <c r="F7"/>
      <c r="G7"/>
      <c r="I7" s="92"/>
      <c r="N7" s="89" t="s">
        <v>891</v>
      </c>
      <c r="O7" s="90">
        <v>144</v>
      </c>
      <c r="P7" s="92">
        <v>45</v>
      </c>
      <c r="Q7" s="92">
        <v>37</v>
      </c>
      <c r="R7" s="92">
        <v>26</v>
      </c>
      <c r="T7"/>
    </row>
    <row r="8" spans="1:20" x14ac:dyDescent="0.3">
      <c r="A8" s="1" t="s">
        <v>1670</v>
      </c>
      <c r="B8" s="92">
        <v>0.32200000000000001</v>
      </c>
      <c r="C8" s="92">
        <v>0.42499999999999999</v>
      </c>
      <c r="D8" s="92">
        <v>0.59899999999999998</v>
      </c>
      <c r="E8"/>
      <c r="F8"/>
      <c r="G8"/>
      <c r="I8" s="92"/>
      <c r="N8" s="89" t="s">
        <v>252</v>
      </c>
      <c r="O8" s="90">
        <v>140</v>
      </c>
      <c r="P8" s="92">
        <v>47</v>
      </c>
      <c r="Q8" s="92">
        <v>28</v>
      </c>
      <c r="R8" s="92">
        <v>14</v>
      </c>
      <c r="T8"/>
    </row>
    <row r="9" spans="1:20" x14ac:dyDescent="0.3">
      <c r="A9" s="1" t="s">
        <v>284</v>
      </c>
      <c r="B9" s="92">
        <v>0.307</v>
      </c>
      <c r="C9" s="92">
        <v>0.36199999999999999</v>
      </c>
      <c r="D9" s="92">
        <v>0.621</v>
      </c>
      <c r="E9"/>
      <c r="F9"/>
      <c r="G9"/>
      <c r="I9" s="92"/>
      <c r="N9" s="89" t="s">
        <v>674</v>
      </c>
      <c r="O9" s="90">
        <v>137</v>
      </c>
      <c r="P9" s="92">
        <v>38</v>
      </c>
      <c r="Q9" s="92">
        <v>34</v>
      </c>
      <c r="R9" s="92">
        <v>13</v>
      </c>
      <c r="T9"/>
    </row>
    <row r="10" spans="1:20" x14ac:dyDescent="0.3">
      <c r="A10" s="1" t="s">
        <v>257</v>
      </c>
      <c r="B10" s="92">
        <v>0.30499999999999999</v>
      </c>
      <c r="C10" s="92">
        <v>0.40799999999999997</v>
      </c>
      <c r="D10" s="92">
        <v>0.54200000000000004</v>
      </c>
      <c r="E10"/>
      <c r="F10"/>
      <c r="G10"/>
      <c r="I10" s="92"/>
      <c r="N10" s="89" t="s">
        <v>291</v>
      </c>
      <c r="O10" s="90">
        <v>135</v>
      </c>
      <c r="P10" s="92">
        <v>46</v>
      </c>
      <c r="Q10" s="92">
        <v>31</v>
      </c>
      <c r="R10" s="92">
        <v>12</v>
      </c>
      <c r="T10"/>
    </row>
    <row r="11" spans="1:20" x14ac:dyDescent="0.3">
      <c r="A11" s="1" t="s">
        <v>1678</v>
      </c>
      <c r="B11" s="92">
        <v>0.29899999999999999</v>
      </c>
      <c r="C11" s="92">
        <v>0.35199999999999998</v>
      </c>
      <c r="D11" s="92">
        <v>0.51500000000000001</v>
      </c>
      <c r="E11"/>
      <c r="F11"/>
      <c r="G11"/>
      <c r="I11" s="92"/>
      <c r="N11" s="89" t="s">
        <v>485</v>
      </c>
      <c r="O11" s="90">
        <v>104</v>
      </c>
      <c r="P11" s="92">
        <v>34</v>
      </c>
      <c r="Q11" s="92">
        <v>36</v>
      </c>
      <c r="R11" s="92">
        <v>11</v>
      </c>
      <c r="T11"/>
    </row>
    <row r="12" spans="1:20" x14ac:dyDescent="0.3">
      <c r="A12" s="1" t="s">
        <v>227</v>
      </c>
      <c r="B12" s="92">
        <v>0.28599999999999998</v>
      </c>
      <c r="C12" s="92">
        <v>0.34699999999999998</v>
      </c>
      <c r="D12" s="92">
        <v>0.48</v>
      </c>
      <c r="E12"/>
      <c r="F12"/>
      <c r="G12"/>
      <c r="I12" s="92"/>
      <c r="N12" s="89" t="s">
        <v>612</v>
      </c>
      <c r="O12" s="90">
        <v>99</v>
      </c>
      <c r="P12" s="92">
        <v>36</v>
      </c>
      <c r="Q12" s="92">
        <v>22</v>
      </c>
      <c r="R12" s="92">
        <v>13</v>
      </c>
      <c r="T12"/>
    </row>
    <row r="13" spans="1:20" x14ac:dyDescent="0.3">
      <c r="A13" s="1" t="s">
        <v>700</v>
      </c>
      <c r="B13" s="92">
        <v>0.27300000000000002</v>
      </c>
      <c r="C13" s="92">
        <v>0.34899999999999998</v>
      </c>
      <c r="D13" s="92">
        <v>0.46800000000000003</v>
      </c>
      <c r="E13"/>
      <c r="F13"/>
      <c r="G13"/>
      <c r="I13" s="92"/>
      <c r="N13" s="89" t="s">
        <v>812</v>
      </c>
      <c r="O13" s="90">
        <v>68</v>
      </c>
      <c r="P13" s="92">
        <v>22</v>
      </c>
      <c r="Q13" s="92">
        <v>15</v>
      </c>
      <c r="R13" s="92">
        <v>4</v>
      </c>
      <c r="T13"/>
    </row>
    <row r="14" spans="1:20" x14ac:dyDescent="0.3">
      <c r="A14" s="1" t="s">
        <v>750</v>
      </c>
      <c r="B14" s="92">
        <v>0.254</v>
      </c>
      <c r="C14" s="92">
        <v>0.33100000000000002</v>
      </c>
      <c r="D14" s="92">
        <v>0.36</v>
      </c>
      <c r="E14"/>
      <c r="F14"/>
      <c r="G14"/>
      <c r="I14" s="92"/>
      <c r="N14" s="89" t="s">
        <v>743</v>
      </c>
      <c r="O14" s="90">
        <v>62</v>
      </c>
      <c r="P14" s="92">
        <v>25</v>
      </c>
      <c r="Q14" s="92">
        <v>14</v>
      </c>
      <c r="R14" s="92">
        <v>8</v>
      </c>
      <c r="T14"/>
    </row>
    <row r="15" spans="1:20" x14ac:dyDescent="0.3">
      <c r="A15" s="1" t="s">
        <v>530</v>
      </c>
      <c r="B15" s="92">
        <v>0.252</v>
      </c>
      <c r="C15" s="92">
        <v>0.35299999999999998</v>
      </c>
      <c r="D15" s="92">
        <v>0.51300000000000001</v>
      </c>
      <c r="E15"/>
      <c r="F15"/>
      <c r="G15"/>
      <c r="I15" s="92"/>
      <c r="N15" s="89" t="s">
        <v>265</v>
      </c>
      <c r="O15" s="90">
        <v>58</v>
      </c>
      <c r="P15" s="92">
        <v>16</v>
      </c>
      <c r="Q15" s="92">
        <v>15</v>
      </c>
      <c r="R15" s="92">
        <v>6</v>
      </c>
      <c r="T15"/>
    </row>
    <row r="16" spans="1:20" x14ac:dyDescent="0.3">
      <c r="A16" s="1" t="s">
        <v>306</v>
      </c>
      <c r="B16" s="92">
        <v>0.252</v>
      </c>
      <c r="C16" s="92">
        <v>0.32800000000000001</v>
      </c>
      <c r="D16" s="92">
        <v>0.57699999999999996</v>
      </c>
      <c r="E16"/>
      <c r="F16"/>
      <c r="G16"/>
      <c r="I16" s="92"/>
      <c r="N16" s="89" t="s">
        <v>3165</v>
      </c>
      <c r="O16" s="90">
        <v>56</v>
      </c>
      <c r="P16" s="92">
        <v>20</v>
      </c>
      <c r="Q16" s="92">
        <v>10</v>
      </c>
      <c r="R16" s="92">
        <v>4</v>
      </c>
      <c r="T16"/>
    </row>
    <row r="17" spans="1:20" x14ac:dyDescent="0.3">
      <c r="A17" s="1" t="s">
        <v>303</v>
      </c>
      <c r="B17" s="92">
        <v>0.25</v>
      </c>
      <c r="C17" s="92">
        <v>0.29899999999999999</v>
      </c>
      <c r="D17" s="92">
        <v>0.56799999999999995</v>
      </c>
      <c r="E17"/>
      <c r="F17"/>
      <c r="G17"/>
      <c r="I17" s="92"/>
      <c r="N17" s="89" t="s">
        <v>531</v>
      </c>
      <c r="O17" s="90">
        <v>56</v>
      </c>
      <c r="P17" s="92">
        <v>17</v>
      </c>
      <c r="Q17" s="92">
        <v>13</v>
      </c>
      <c r="R17" s="92">
        <v>6</v>
      </c>
      <c r="T17"/>
    </row>
    <row r="18" spans="1:20" x14ac:dyDescent="0.3">
      <c r="A18" s="1" t="s">
        <v>1713</v>
      </c>
      <c r="B18" s="92">
        <v>0.25</v>
      </c>
      <c r="C18" s="92">
        <v>0.28599999999999998</v>
      </c>
      <c r="D18" s="92">
        <v>0.25</v>
      </c>
      <c r="E18"/>
      <c r="F18"/>
      <c r="G18"/>
      <c r="I18" s="92"/>
      <c r="N18" s="89" t="s">
        <v>1744</v>
      </c>
      <c r="O18" s="90">
        <v>36</v>
      </c>
      <c r="P18" s="92">
        <v>15</v>
      </c>
      <c r="Q18" s="92">
        <v>10</v>
      </c>
      <c r="R18" s="92">
        <v>3</v>
      </c>
      <c r="T18"/>
    </row>
    <row r="19" spans="1:20" x14ac:dyDescent="0.3">
      <c r="A19" s="1" t="s">
        <v>890</v>
      </c>
      <c r="B19" s="92">
        <v>0.24299999999999999</v>
      </c>
      <c r="C19" s="92">
        <v>0.27400000000000002</v>
      </c>
      <c r="D19" s="92">
        <v>0.495</v>
      </c>
      <c r="E19"/>
      <c r="F19"/>
      <c r="G19"/>
      <c r="I19" s="92"/>
      <c r="N19" s="89" t="s">
        <v>3065</v>
      </c>
      <c r="O19" s="90">
        <v>12</v>
      </c>
      <c r="P19" s="92">
        <v>10</v>
      </c>
      <c r="Q19" s="92">
        <v>1</v>
      </c>
      <c r="R19" s="92">
        <v>0</v>
      </c>
    </row>
    <row r="20" spans="1:20" x14ac:dyDescent="0.3">
      <c r="A20" s="1" t="s">
        <v>1693</v>
      </c>
      <c r="B20" s="92">
        <v>0.216</v>
      </c>
      <c r="C20" s="92">
        <v>0.26800000000000002</v>
      </c>
      <c r="D20" s="92">
        <v>0.33800000000000002</v>
      </c>
      <c r="E20"/>
      <c r="F20"/>
      <c r="G20"/>
      <c r="I20" s="92"/>
      <c r="N20" s="89" t="s">
        <v>1716</v>
      </c>
      <c r="O20" s="90">
        <v>4</v>
      </c>
      <c r="P20" s="92">
        <v>1</v>
      </c>
      <c r="Q20" s="92">
        <v>0</v>
      </c>
      <c r="R20" s="92">
        <v>0</v>
      </c>
    </row>
    <row r="21" spans="1:20" x14ac:dyDescent="0.3">
      <c r="A21" s="1" t="s">
        <v>757</v>
      </c>
      <c r="B21" s="92">
        <v>0.2</v>
      </c>
      <c r="C21" s="92">
        <v>0.29899999999999999</v>
      </c>
      <c r="D21" s="92">
        <v>0.41399999999999998</v>
      </c>
      <c r="E21"/>
      <c r="F21"/>
      <c r="G21"/>
      <c r="I21" s="92"/>
      <c r="N21" s="89" t="s">
        <v>978</v>
      </c>
      <c r="O21" s="90">
        <v>1627</v>
      </c>
      <c r="P21" s="92">
        <v>514</v>
      </c>
      <c r="Q21" s="92">
        <v>387</v>
      </c>
      <c r="R21" s="92">
        <v>199</v>
      </c>
    </row>
    <row r="22" spans="1:20" x14ac:dyDescent="0.3">
      <c r="A22" s="1" t="s">
        <v>978</v>
      </c>
      <c r="B22" s="25">
        <v>0.26492857142857146</v>
      </c>
      <c r="C22" s="25">
        <v>0.3343571428571428</v>
      </c>
      <c r="D22" s="25">
        <v>0.48142857142857143</v>
      </c>
      <c r="E22"/>
      <c r="F22"/>
      <c r="G22"/>
      <c r="I22" s="92"/>
    </row>
    <row r="23" spans="1:20" x14ac:dyDescent="0.3">
      <c r="A23"/>
      <c r="B23"/>
      <c r="C23"/>
      <c r="D23"/>
      <c r="E23"/>
      <c r="F23"/>
      <c r="G23"/>
      <c r="I23" s="92"/>
    </row>
    <row r="24" spans="1:20" x14ac:dyDescent="0.3">
      <c r="A24"/>
      <c r="B24"/>
      <c r="C24"/>
      <c r="D24"/>
      <c r="E24"/>
      <c r="F24"/>
      <c r="G24"/>
      <c r="I24" s="92"/>
    </row>
    <row r="25" spans="1:20" x14ac:dyDescent="0.3">
      <c r="A25"/>
      <c r="B25"/>
      <c r="C25"/>
      <c r="D25"/>
      <c r="E25"/>
      <c r="F25"/>
      <c r="G25"/>
      <c r="I25" s="92"/>
    </row>
    <row r="26" spans="1:20" x14ac:dyDescent="0.3">
      <c r="A26"/>
      <c r="B26"/>
      <c r="C26"/>
      <c r="D26"/>
      <c r="E26"/>
      <c r="F26"/>
      <c r="G26"/>
      <c r="I26" s="92"/>
    </row>
    <row r="27" spans="1:20" x14ac:dyDescent="0.3">
      <c r="A27"/>
      <c r="B27"/>
      <c r="C27"/>
      <c r="D27"/>
      <c r="E27"/>
      <c r="F27"/>
      <c r="G27"/>
      <c r="I27" s="92"/>
    </row>
    <row r="28" spans="1:20" x14ac:dyDescent="0.3">
      <c r="A28"/>
      <c r="B28"/>
      <c r="C28"/>
      <c r="D28"/>
      <c r="E28"/>
      <c r="F28"/>
      <c r="G28"/>
      <c r="I28" s="92"/>
    </row>
    <row r="29" spans="1:20" x14ac:dyDescent="0.3">
      <c r="A29"/>
      <c r="B29"/>
      <c r="C29"/>
      <c r="D29"/>
      <c r="E29"/>
      <c r="F29"/>
      <c r="G29"/>
      <c r="I29" s="92"/>
    </row>
    <row r="30" spans="1:20" x14ac:dyDescent="0.3">
      <c r="A30"/>
      <c r="B30"/>
      <c r="C30"/>
      <c r="D30"/>
      <c r="E30"/>
      <c r="F30"/>
      <c r="G30"/>
      <c r="I30" s="92"/>
    </row>
    <row r="31" spans="1:20" x14ac:dyDescent="0.3">
      <c r="A31"/>
      <c r="B31"/>
      <c r="C31"/>
      <c r="D31"/>
      <c r="E31"/>
      <c r="F31"/>
      <c r="G31"/>
      <c r="I31" s="92"/>
    </row>
    <row r="32" spans="1:20" x14ac:dyDescent="0.3">
      <c r="A32"/>
      <c r="B32"/>
      <c r="C32"/>
      <c r="D32"/>
      <c r="E32"/>
      <c r="F32"/>
      <c r="G32"/>
      <c r="I32" s="92"/>
    </row>
    <row r="33" spans="1:9" x14ac:dyDescent="0.3">
      <c r="A33"/>
      <c r="B33"/>
      <c r="C33"/>
      <c r="D33"/>
      <c r="E33"/>
      <c r="F33"/>
      <c r="G33"/>
      <c r="I33" s="92"/>
    </row>
    <row r="34" spans="1:9" x14ac:dyDescent="0.3">
      <c r="A34"/>
      <c r="B34"/>
      <c r="C34"/>
      <c r="D34"/>
      <c r="E34"/>
      <c r="F34"/>
      <c r="G34"/>
      <c r="I34" s="92"/>
    </row>
    <row r="35" spans="1:9" x14ac:dyDescent="0.3">
      <c r="A35"/>
      <c r="B35"/>
      <c r="C35"/>
      <c r="D35"/>
      <c r="E35"/>
      <c r="F35"/>
      <c r="G35"/>
      <c r="I35" s="92"/>
    </row>
    <row r="36" spans="1:9" x14ac:dyDescent="0.3">
      <c r="A36"/>
      <c r="B36"/>
      <c r="C36"/>
      <c r="D36"/>
      <c r="E36"/>
      <c r="F36"/>
      <c r="G36"/>
      <c r="I36" s="92"/>
    </row>
    <row r="37" spans="1:9" x14ac:dyDescent="0.3">
      <c r="A37"/>
      <c r="B37"/>
      <c r="C37"/>
      <c r="D37"/>
      <c r="E37"/>
      <c r="F37"/>
      <c r="G37"/>
      <c r="I37" s="92"/>
    </row>
    <row r="38" spans="1:9" x14ac:dyDescent="0.3">
      <c r="A38"/>
      <c r="B38"/>
      <c r="C38"/>
      <c r="D38"/>
      <c r="E38"/>
      <c r="F38"/>
      <c r="G38"/>
      <c r="I38" s="92"/>
    </row>
    <row r="39" spans="1:9" x14ac:dyDescent="0.3">
      <c r="A39"/>
      <c r="B39"/>
      <c r="C39"/>
      <c r="D39"/>
      <c r="E39"/>
      <c r="F39"/>
      <c r="G39"/>
      <c r="I39" s="92"/>
    </row>
    <row r="40" spans="1:9" x14ac:dyDescent="0.3">
      <c r="A40"/>
      <c r="B40"/>
      <c r="C40"/>
      <c r="D40"/>
      <c r="E40"/>
      <c r="F40"/>
      <c r="G40"/>
      <c r="I40" s="92"/>
    </row>
    <row r="41" spans="1:9" x14ac:dyDescent="0.3">
      <c r="A41"/>
      <c r="B41"/>
      <c r="C41"/>
      <c r="D41"/>
      <c r="E41"/>
      <c r="F41"/>
      <c r="G41"/>
      <c r="I41" s="92"/>
    </row>
    <row r="42" spans="1:9" x14ac:dyDescent="0.3">
      <c r="A42"/>
      <c r="B42"/>
      <c r="C42"/>
      <c r="D42"/>
      <c r="E42"/>
      <c r="F42"/>
      <c r="G42"/>
      <c r="I42" s="92"/>
    </row>
    <row r="43" spans="1:9" x14ac:dyDescent="0.3">
      <c r="A43"/>
      <c r="B43"/>
      <c r="C43"/>
      <c r="D43"/>
      <c r="E43"/>
      <c r="F43"/>
      <c r="G43"/>
      <c r="I43" s="92"/>
    </row>
    <row r="44" spans="1:9" x14ac:dyDescent="0.3">
      <c r="A44"/>
      <c r="B44"/>
      <c r="C44"/>
      <c r="D44"/>
      <c r="E44"/>
      <c r="F44"/>
      <c r="G44"/>
      <c r="I44" s="92"/>
    </row>
    <row r="45" spans="1:9" x14ac:dyDescent="0.3">
      <c r="A45"/>
      <c r="B45"/>
      <c r="C45"/>
      <c r="D45"/>
      <c r="E45"/>
      <c r="F45"/>
      <c r="G45"/>
      <c r="I45" s="92"/>
    </row>
    <row r="46" spans="1:9" x14ac:dyDescent="0.3">
      <c r="A46"/>
      <c r="B46"/>
      <c r="C46"/>
      <c r="D46"/>
      <c r="E46"/>
      <c r="F46"/>
      <c r="G46"/>
      <c r="I46" s="92"/>
    </row>
    <row r="47" spans="1:9" x14ac:dyDescent="0.3">
      <c r="A47"/>
      <c r="B47"/>
      <c r="C47"/>
      <c r="D47"/>
      <c r="E47"/>
      <c r="F47"/>
      <c r="G47"/>
      <c r="I47" s="92"/>
    </row>
    <row r="48" spans="1:9" x14ac:dyDescent="0.3">
      <c r="A48"/>
      <c r="B48"/>
      <c r="C48"/>
      <c r="D48"/>
      <c r="E48"/>
      <c r="F48"/>
      <c r="G48"/>
      <c r="I48" s="92"/>
    </row>
    <row r="49" spans="1:9" x14ac:dyDescent="0.3">
      <c r="A49"/>
      <c r="B49"/>
      <c r="C49"/>
      <c r="D49"/>
      <c r="E49"/>
      <c r="F49"/>
      <c r="G49"/>
      <c r="I49" s="92"/>
    </row>
    <row r="50" spans="1:9" x14ac:dyDescent="0.3">
      <c r="A50"/>
      <c r="B50"/>
      <c r="C50"/>
      <c r="D50"/>
      <c r="E50"/>
      <c r="F50"/>
      <c r="G50"/>
      <c r="I50" s="92"/>
    </row>
    <row r="51" spans="1:9" x14ac:dyDescent="0.3">
      <c r="A51"/>
      <c r="B51"/>
      <c r="C51"/>
      <c r="D51"/>
      <c r="E51"/>
      <c r="F51"/>
      <c r="G51"/>
      <c r="I51" s="92"/>
    </row>
    <row r="52" spans="1:9" x14ac:dyDescent="0.3">
      <c r="A52"/>
      <c r="B52"/>
      <c r="C52"/>
      <c r="D52"/>
      <c r="E52"/>
      <c r="F52"/>
      <c r="G52"/>
      <c r="I52" s="92"/>
    </row>
    <row r="53" spans="1:9" x14ac:dyDescent="0.3">
      <c r="A53"/>
      <c r="B53"/>
      <c r="C53"/>
      <c r="D53"/>
      <c r="E53"/>
      <c r="F53"/>
      <c r="G53"/>
      <c r="I53" s="92"/>
    </row>
    <row r="54" spans="1:9" x14ac:dyDescent="0.3">
      <c r="A54"/>
      <c r="B54"/>
      <c r="C54"/>
      <c r="D54"/>
      <c r="E54"/>
      <c r="F54"/>
      <c r="G54"/>
      <c r="I54" s="92"/>
    </row>
    <row r="55" spans="1:9" x14ac:dyDescent="0.3">
      <c r="A55"/>
      <c r="B55"/>
      <c r="C55"/>
      <c r="D55"/>
      <c r="E55"/>
      <c r="F55"/>
      <c r="G55"/>
      <c r="I55" s="92"/>
    </row>
    <row r="56" spans="1:9" x14ac:dyDescent="0.3">
      <c r="A56"/>
      <c r="B56"/>
      <c r="C56"/>
      <c r="D56"/>
      <c r="E56"/>
      <c r="F56"/>
      <c r="G56"/>
      <c r="I56" s="92"/>
    </row>
    <row r="57" spans="1:9" x14ac:dyDescent="0.3">
      <c r="A57"/>
      <c r="B57"/>
      <c r="C57"/>
      <c r="D57"/>
      <c r="E57"/>
      <c r="F57"/>
      <c r="G57"/>
      <c r="I57" s="92"/>
    </row>
    <row r="58" spans="1:9" x14ac:dyDescent="0.3">
      <c r="A58"/>
      <c r="B58"/>
      <c r="C58"/>
      <c r="D58"/>
      <c r="E58"/>
      <c r="F58"/>
      <c r="G58"/>
      <c r="I58" s="92"/>
    </row>
    <row r="59" spans="1:9" x14ac:dyDescent="0.3">
      <c r="A59"/>
      <c r="B59"/>
      <c r="C59"/>
      <c r="D59"/>
      <c r="E59"/>
      <c r="F59"/>
      <c r="G59"/>
      <c r="I59" s="92"/>
    </row>
    <row r="60" spans="1:9" x14ac:dyDescent="0.3">
      <c r="A60"/>
      <c r="B60"/>
      <c r="C60"/>
      <c r="D60"/>
      <c r="E60"/>
      <c r="F60"/>
      <c r="G60"/>
      <c r="I60" s="92"/>
    </row>
    <row r="61" spans="1:9" x14ac:dyDescent="0.3">
      <c r="A61"/>
      <c r="B61"/>
      <c r="C61"/>
      <c r="D61"/>
      <c r="E61"/>
      <c r="F61"/>
      <c r="G61"/>
      <c r="I61" s="92"/>
    </row>
    <row r="62" spans="1:9" x14ac:dyDescent="0.3">
      <c r="A62"/>
      <c r="B62"/>
      <c r="C62"/>
      <c r="D62"/>
      <c r="E62"/>
      <c r="F62"/>
      <c r="G62"/>
      <c r="I62" s="92"/>
    </row>
    <row r="63" spans="1:9" x14ac:dyDescent="0.3">
      <c r="A63"/>
      <c r="B63"/>
      <c r="C63"/>
      <c r="D63"/>
      <c r="E63"/>
      <c r="F63"/>
      <c r="G63"/>
      <c r="I63" s="92"/>
    </row>
    <row r="64" spans="1:9" x14ac:dyDescent="0.3">
      <c r="A64"/>
      <c r="B64"/>
      <c r="C64"/>
      <c r="D64"/>
      <c r="E64"/>
      <c r="F64"/>
      <c r="G64"/>
      <c r="I64" s="92"/>
    </row>
    <row r="65" spans="1:9" x14ac:dyDescent="0.3">
      <c r="A65"/>
      <c r="B65"/>
      <c r="C65"/>
      <c r="D65"/>
      <c r="E65"/>
      <c r="F65"/>
      <c r="G65"/>
      <c r="I65" s="92"/>
    </row>
    <row r="66" spans="1:9" x14ac:dyDescent="0.3">
      <c r="A66"/>
      <c r="B66"/>
      <c r="C66"/>
      <c r="D66"/>
      <c r="E66"/>
      <c r="F66"/>
      <c r="G66"/>
      <c r="I66" s="92"/>
    </row>
    <row r="67" spans="1:9" x14ac:dyDescent="0.3">
      <c r="A67"/>
      <c r="B67"/>
      <c r="C67"/>
      <c r="D67"/>
      <c r="E67"/>
      <c r="F67"/>
      <c r="G67"/>
      <c r="I67" s="92"/>
    </row>
    <row r="68" spans="1:9" x14ac:dyDescent="0.3">
      <c r="A68"/>
      <c r="B68"/>
      <c r="C68"/>
      <c r="D68"/>
      <c r="E68"/>
      <c r="F68"/>
      <c r="G68"/>
      <c r="I68" s="92"/>
    </row>
    <row r="69" spans="1:9" x14ac:dyDescent="0.3">
      <c r="A69"/>
      <c r="B69"/>
      <c r="C69"/>
      <c r="D69"/>
      <c r="E69"/>
      <c r="F69"/>
      <c r="G69"/>
      <c r="I69" s="92"/>
    </row>
    <row r="70" spans="1:9" x14ac:dyDescent="0.3">
      <c r="A70"/>
      <c r="B70"/>
      <c r="C70"/>
      <c r="D70"/>
      <c r="E70"/>
      <c r="F70"/>
      <c r="G70"/>
      <c r="I70" s="92"/>
    </row>
    <row r="71" spans="1:9" x14ac:dyDescent="0.3">
      <c r="A71"/>
      <c r="B71"/>
      <c r="C71"/>
      <c r="D71"/>
      <c r="E71"/>
      <c r="F71"/>
      <c r="G71"/>
      <c r="I71" s="92"/>
    </row>
    <row r="72" spans="1:9" x14ac:dyDescent="0.3">
      <c r="A72"/>
      <c r="B72"/>
      <c r="C72"/>
      <c r="D72"/>
      <c r="E72"/>
      <c r="F72"/>
      <c r="G72"/>
      <c r="I72" s="92"/>
    </row>
    <row r="73" spans="1:9" x14ac:dyDescent="0.3">
      <c r="A73"/>
      <c r="B73"/>
      <c r="C73"/>
      <c r="D73"/>
      <c r="E73"/>
      <c r="F73"/>
      <c r="G73"/>
      <c r="I73" s="92"/>
    </row>
    <row r="74" spans="1:9" x14ac:dyDescent="0.3">
      <c r="A74"/>
      <c r="B74"/>
      <c r="C74"/>
      <c r="D74"/>
      <c r="E74"/>
      <c r="F74"/>
      <c r="G74"/>
      <c r="I74" s="92"/>
    </row>
    <row r="75" spans="1:9" x14ac:dyDescent="0.3">
      <c r="A75"/>
      <c r="B75"/>
      <c r="C75"/>
      <c r="D75"/>
      <c r="E75"/>
      <c r="F75"/>
      <c r="G75"/>
      <c r="I75" s="92"/>
    </row>
    <row r="76" spans="1:9" x14ac:dyDescent="0.3">
      <c r="A76"/>
      <c r="B76"/>
      <c r="C76"/>
      <c r="D76"/>
      <c r="E76"/>
      <c r="F76"/>
      <c r="G76"/>
      <c r="I76" s="92"/>
    </row>
    <row r="77" spans="1:9" x14ac:dyDescent="0.3">
      <c r="A77"/>
      <c r="B77"/>
      <c r="C77"/>
      <c r="D77"/>
      <c r="E77"/>
      <c r="F77"/>
      <c r="G77"/>
      <c r="I77" s="92"/>
    </row>
    <row r="78" spans="1:9" x14ac:dyDescent="0.3">
      <c r="A78"/>
      <c r="B78"/>
      <c r="C78"/>
      <c r="D78"/>
      <c r="E78"/>
      <c r="F78"/>
      <c r="G78"/>
      <c r="I78" s="92"/>
    </row>
    <row r="79" spans="1:9" x14ac:dyDescent="0.3">
      <c r="A79"/>
      <c r="B79"/>
      <c r="C79"/>
      <c r="D79"/>
      <c r="E79"/>
      <c r="F79"/>
      <c r="G79"/>
      <c r="I79" s="92"/>
    </row>
    <row r="80" spans="1:9" x14ac:dyDescent="0.3">
      <c r="A80"/>
      <c r="B80"/>
      <c r="C80"/>
      <c r="D80"/>
      <c r="E80"/>
      <c r="F80"/>
      <c r="G80"/>
      <c r="I80" s="92"/>
    </row>
    <row r="81" spans="1:9" x14ac:dyDescent="0.3">
      <c r="A81"/>
      <c r="B81"/>
      <c r="C81"/>
      <c r="D81"/>
      <c r="E81"/>
      <c r="F81"/>
      <c r="G81"/>
      <c r="I81" s="92"/>
    </row>
    <row r="82" spans="1:9" x14ac:dyDescent="0.3">
      <c r="A82"/>
      <c r="B82"/>
      <c r="C82"/>
      <c r="D82"/>
      <c r="E82"/>
      <c r="F82"/>
      <c r="G82"/>
      <c r="I82" s="92"/>
    </row>
    <row r="83" spans="1:9" x14ac:dyDescent="0.3">
      <c r="A83"/>
      <c r="B83"/>
      <c r="C83"/>
      <c r="D83"/>
      <c r="E83"/>
      <c r="F83"/>
      <c r="G83"/>
      <c r="I83" s="92"/>
    </row>
    <row r="84" spans="1:9" x14ac:dyDescent="0.3">
      <c r="A84"/>
      <c r="B84"/>
      <c r="C84"/>
      <c r="D84"/>
      <c r="E84"/>
      <c r="F84"/>
      <c r="G84"/>
      <c r="I84" s="92"/>
    </row>
    <row r="85" spans="1:9" x14ac:dyDescent="0.3">
      <c r="A85"/>
      <c r="B85"/>
      <c r="C85"/>
      <c r="D85"/>
      <c r="E85"/>
      <c r="F85"/>
      <c r="G85"/>
      <c r="I85" s="92"/>
    </row>
    <row r="86" spans="1:9" x14ac:dyDescent="0.3">
      <c r="A86"/>
      <c r="B86"/>
      <c r="C86"/>
      <c r="D86"/>
      <c r="E86"/>
      <c r="F86"/>
      <c r="G86"/>
      <c r="I86" s="92"/>
    </row>
    <row r="87" spans="1:9" x14ac:dyDescent="0.3">
      <c r="A87"/>
      <c r="B87"/>
      <c r="C87"/>
      <c r="D87"/>
      <c r="E87"/>
      <c r="F87"/>
      <c r="G87"/>
      <c r="I87" s="92"/>
    </row>
    <row r="88" spans="1:9" x14ac:dyDescent="0.3">
      <c r="A88"/>
      <c r="B88"/>
      <c r="C88"/>
      <c r="D88"/>
      <c r="E88"/>
      <c r="F88"/>
      <c r="G88"/>
      <c r="I88" s="92"/>
    </row>
    <row r="89" spans="1:9" x14ac:dyDescent="0.3">
      <c r="A89"/>
      <c r="B89"/>
      <c r="C89"/>
      <c r="D89"/>
      <c r="E89"/>
      <c r="F89"/>
      <c r="G89"/>
      <c r="I89" s="92"/>
    </row>
    <row r="90" spans="1:9" x14ac:dyDescent="0.3">
      <c r="A90"/>
      <c r="B90"/>
      <c r="C90"/>
      <c r="D90"/>
      <c r="E90"/>
      <c r="F90"/>
      <c r="G90"/>
      <c r="I90" s="92"/>
    </row>
    <row r="91" spans="1:9" x14ac:dyDescent="0.3">
      <c r="A91"/>
      <c r="B91"/>
      <c r="C91"/>
      <c r="D91"/>
      <c r="E91"/>
      <c r="F91"/>
      <c r="G91"/>
      <c r="I91" s="92"/>
    </row>
    <row r="92" spans="1:9" x14ac:dyDescent="0.3">
      <c r="A92"/>
      <c r="B92"/>
      <c r="C92"/>
      <c r="D92"/>
      <c r="E92"/>
      <c r="F92"/>
      <c r="G92"/>
      <c r="I92" s="92"/>
    </row>
    <row r="93" spans="1:9" x14ac:dyDescent="0.3">
      <c r="A93"/>
      <c r="B93"/>
      <c r="C93"/>
      <c r="D93"/>
      <c r="E93"/>
      <c r="F93"/>
      <c r="G93"/>
      <c r="I93" s="92"/>
    </row>
    <row r="94" spans="1:9" x14ac:dyDescent="0.3">
      <c r="A94"/>
      <c r="B94"/>
      <c r="C94"/>
      <c r="D94"/>
      <c r="E94"/>
      <c r="F94"/>
      <c r="G94"/>
      <c r="I94" s="92"/>
    </row>
    <row r="95" spans="1:9" x14ac:dyDescent="0.3">
      <c r="A95"/>
      <c r="B95"/>
      <c r="C95"/>
      <c r="D95"/>
      <c r="E95"/>
      <c r="F95"/>
      <c r="G95"/>
      <c r="I95" s="92"/>
    </row>
    <row r="96" spans="1:9" x14ac:dyDescent="0.3">
      <c r="A96"/>
      <c r="B96"/>
      <c r="C96"/>
      <c r="D96"/>
      <c r="E96"/>
      <c r="F96"/>
      <c r="G96"/>
      <c r="I96" s="92"/>
    </row>
    <row r="97" spans="1:9" x14ac:dyDescent="0.3">
      <c r="A97"/>
      <c r="B97"/>
      <c r="C97"/>
      <c r="D97"/>
      <c r="E97"/>
      <c r="F97"/>
      <c r="G97"/>
      <c r="I97" s="92"/>
    </row>
    <row r="98" spans="1:9" x14ac:dyDescent="0.3">
      <c r="A98"/>
      <c r="B98"/>
      <c r="C98"/>
      <c r="D98"/>
      <c r="E98"/>
      <c r="F98"/>
      <c r="G98"/>
      <c r="I98" s="92"/>
    </row>
    <row r="99" spans="1:9" x14ac:dyDescent="0.3">
      <c r="A99"/>
      <c r="B99"/>
      <c r="C99"/>
      <c r="D99"/>
      <c r="E99"/>
      <c r="F99"/>
      <c r="G99"/>
      <c r="I99" s="92"/>
    </row>
    <row r="100" spans="1:9" x14ac:dyDescent="0.3">
      <c r="A100"/>
      <c r="B100"/>
      <c r="C100"/>
      <c r="D100"/>
      <c r="E100"/>
      <c r="F100"/>
      <c r="G100"/>
      <c r="I100" s="92"/>
    </row>
    <row r="101" spans="1:9" x14ac:dyDescent="0.3">
      <c r="A101"/>
      <c r="B101"/>
      <c r="C101"/>
      <c r="D101"/>
      <c r="E101"/>
      <c r="F101"/>
      <c r="G101"/>
      <c r="I101" s="92"/>
    </row>
    <row r="102" spans="1:9" x14ac:dyDescent="0.3">
      <c r="A102"/>
      <c r="B102"/>
      <c r="C102"/>
      <c r="D102"/>
      <c r="E102"/>
      <c r="F102"/>
      <c r="G102"/>
      <c r="I102" s="92"/>
    </row>
    <row r="103" spans="1:9" x14ac:dyDescent="0.3">
      <c r="A103"/>
      <c r="B103"/>
      <c r="C103"/>
      <c r="D103"/>
      <c r="E103"/>
      <c r="F103"/>
      <c r="G103"/>
      <c r="I103" s="92"/>
    </row>
    <row r="104" spans="1:9" x14ac:dyDescent="0.3">
      <c r="A104"/>
      <c r="B104"/>
      <c r="C104"/>
      <c r="D104"/>
      <c r="E104"/>
      <c r="F104"/>
      <c r="G104"/>
      <c r="I104" s="92"/>
    </row>
    <row r="105" spans="1:9" x14ac:dyDescent="0.3">
      <c r="A105"/>
      <c r="B105"/>
      <c r="C105"/>
      <c r="D105"/>
      <c r="E105"/>
      <c r="F105"/>
      <c r="G105"/>
      <c r="I105" s="92"/>
    </row>
    <row r="106" spans="1:9" x14ac:dyDescent="0.3">
      <c r="A106"/>
      <c r="B106"/>
      <c r="C106"/>
      <c r="D106"/>
      <c r="E106"/>
      <c r="F106"/>
      <c r="G106"/>
      <c r="I106" s="92"/>
    </row>
    <row r="107" spans="1:9" x14ac:dyDescent="0.3">
      <c r="A107"/>
      <c r="B107"/>
      <c r="C107"/>
      <c r="D107"/>
      <c r="E107"/>
      <c r="F107"/>
      <c r="G107"/>
      <c r="I107" s="92"/>
    </row>
    <row r="108" spans="1:9" x14ac:dyDescent="0.3">
      <c r="A108"/>
      <c r="B108"/>
      <c r="C108"/>
      <c r="D108"/>
      <c r="E108"/>
      <c r="F108"/>
      <c r="G108"/>
      <c r="I108" s="92"/>
    </row>
    <row r="109" spans="1:9" x14ac:dyDescent="0.3">
      <c r="A109"/>
      <c r="B109"/>
      <c r="C109"/>
      <c r="D109"/>
      <c r="E109"/>
      <c r="F109"/>
      <c r="G109"/>
      <c r="I109" s="92"/>
    </row>
    <row r="110" spans="1:9" x14ac:dyDescent="0.3">
      <c r="A110"/>
      <c r="B110"/>
      <c r="C110"/>
      <c r="D110"/>
      <c r="E110"/>
      <c r="F110"/>
      <c r="G110"/>
      <c r="I110" s="92"/>
    </row>
    <row r="111" spans="1:9" x14ac:dyDescent="0.3">
      <c r="A111"/>
      <c r="B111"/>
      <c r="C111"/>
      <c r="D111"/>
      <c r="E111"/>
      <c r="F111"/>
      <c r="G111"/>
      <c r="I111" s="92"/>
    </row>
    <row r="112" spans="1:9" x14ac:dyDescent="0.3">
      <c r="A112"/>
      <c r="B112"/>
      <c r="C112"/>
      <c r="D112"/>
      <c r="E112"/>
      <c r="F112"/>
      <c r="G112"/>
      <c r="I112" s="92"/>
    </row>
    <row r="113" spans="1:9" x14ac:dyDescent="0.3">
      <c r="A113"/>
      <c r="B113"/>
      <c r="C113"/>
      <c r="D113"/>
      <c r="E113"/>
      <c r="F113"/>
      <c r="G113"/>
      <c r="I113" s="92"/>
    </row>
    <row r="114" spans="1:9" x14ac:dyDescent="0.3">
      <c r="A114"/>
      <c r="B114"/>
      <c r="C114"/>
      <c r="D114"/>
      <c r="E114"/>
      <c r="F114"/>
      <c r="G114"/>
      <c r="I114" s="92"/>
    </row>
    <row r="115" spans="1:9" x14ac:dyDescent="0.3">
      <c r="A115"/>
      <c r="B115"/>
      <c r="C115"/>
      <c r="D115"/>
      <c r="E115"/>
      <c r="F115"/>
      <c r="G115"/>
      <c r="I115" s="92"/>
    </row>
    <row r="116" spans="1:9" x14ac:dyDescent="0.3">
      <c r="A116"/>
      <c r="B116"/>
      <c r="C116"/>
      <c r="D116"/>
      <c r="E116"/>
      <c r="F116"/>
      <c r="G116"/>
      <c r="I116" s="92"/>
    </row>
    <row r="117" spans="1:9" x14ac:dyDescent="0.3">
      <c r="A117"/>
      <c r="B117"/>
      <c r="C117"/>
      <c r="D117"/>
      <c r="E117"/>
      <c r="F117"/>
      <c r="G117"/>
      <c r="I117" s="92"/>
    </row>
    <row r="118" spans="1:9" x14ac:dyDescent="0.3">
      <c r="A118"/>
      <c r="B118"/>
      <c r="C118"/>
      <c r="D118"/>
      <c r="E118"/>
      <c r="F118"/>
      <c r="G118"/>
      <c r="I118" s="92"/>
    </row>
    <row r="119" spans="1:9" x14ac:dyDescent="0.3">
      <c r="A119"/>
      <c r="B119"/>
      <c r="C119"/>
      <c r="D119"/>
      <c r="E119"/>
      <c r="F119"/>
      <c r="G119"/>
      <c r="I119" s="92"/>
    </row>
    <row r="120" spans="1:9" x14ac:dyDescent="0.3">
      <c r="A120"/>
      <c r="B120"/>
      <c r="C120"/>
      <c r="D120"/>
      <c r="E120"/>
      <c r="F120"/>
      <c r="G120"/>
      <c r="I120" s="92"/>
    </row>
    <row r="121" spans="1:9" x14ac:dyDescent="0.3">
      <c r="A121"/>
      <c r="B121"/>
      <c r="C121"/>
      <c r="D121"/>
      <c r="E121"/>
      <c r="F121"/>
      <c r="G121"/>
      <c r="I121" s="92"/>
    </row>
    <row r="122" spans="1:9" x14ac:dyDescent="0.3">
      <c r="A122"/>
      <c r="B122"/>
      <c r="C122"/>
      <c r="D122"/>
      <c r="E122"/>
      <c r="F122"/>
      <c r="G122"/>
      <c r="I122" s="92"/>
    </row>
    <row r="123" spans="1:9" x14ac:dyDescent="0.3">
      <c r="A123"/>
      <c r="B123"/>
      <c r="C123"/>
      <c r="D123"/>
      <c r="E123"/>
      <c r="F123"/>
      <c r="G123"/>
      <c r="I123" s="92"/>
    </row>
    <row r="124" spans="1:9" x14ac:dyDescent="0.3">
      <c r="A124"/>
      <c r="B124"/>
      <c r="C124"/>
      <c r="D124"/>
      <c r="E124"/>
      <c r="F124"/>
      <c r="G124"/>
      <c r="I124" s="92"/>
    </row>
    <row r="125" spans="1:9" x14ac:dyDescent="0.3">
      <c r="A125"/>
      <c r="B125"/>
      <c r="C125"/>
      <c r="D125"/>
      <c r="E125"/>
      <c r="F125"/>
      <c r="G125"/>
      <c r="I125" s="92"/>
    </row>
    <row r="126" spans="1:9" x14ac:dyDescent="0.3">
      <c r="A126"/>
      <c r="B126"/>
      <c r="C126"/>
      <c r="D126"/>
      <c r="E126"/>
      <c r="F126"/>
      <c r="G126"/>
      <c r="I126" s="92"/>
    </row>
    <row r="127" spans="1:9" x14ac:dyDescent="0.3">
      <c r="A127"/>
      <c r="B127"/>
      <c r="C127"/>
      <c r="D127"/>
      <c r="E127"/>
      <c r="F127"/>
      <c r="G127"/>
      <c r="I127" s="92"/>
    </row>
    <row r="128" spans="1:9" x14ac:dyDescent="0.3">
      <c r="A128"/>
      <c r="B128"/>
      <c r="C128"/>
      <c r="D128"/>
      <c r="E128"/>
      <c r="F128"/>
      <c r="G128"/>
      <c r="I128" s="92"/>
    </row>
    <row r="129" spans="1:9" x14ac:dyDescent="0.3">
      <c r="A129"/>
      <c r="B129"/>
      <c r="C129"/>
      <c r="D129"/>
      <c r="E129"/>
      <c r="F129"/>
      <c r="G129"/>
      <c r="I129" s="92"/>
    </row>
    <row r="130" spans="1:9" x14ac:dyDescent="0.3">
      <c r="A130"/>
      <c r="B130"/>
      <c r="C130"/>
      <c r="D130"/>
      <c r="E130"/>
      <c r="F130"/>
      <c r="G130"/>
      <c r="I130" s="92"/>
    </row>
    <row r="131" spans="1:9" x14ac:dyDescent="0.3">
      <c r="A131"/>
      <c r="B131"/>
      <c r="C131"/>
      <c r="D131"/>
      <c r="E131"/>
      <c r="F131"/>
      <c r="G131"/>
      <c r="I131" s="92"/>
    </row>
    <row r="132" spans="1:9" x14ac:dyDescent="0.3">
      <c r="A132"/>
      <c r="B132"/>
      <c r="C132"/>
      <c r="D132"/>
      <c r="E132"/>
      <c r="F132"/>
      <c r="G132"/>
      <c r="I132" s="92"/>
    </row>
    <row r="133" spans="1:9" x14ac:dyDescent="0.3">
      <c r="A133"/>
      <c r="B133"/>
      <c r="C133"/>
      <c r="D133"/>
      <c r="E133"/>
      <c r="F133"/>
      <c r="G133"/>
      <c r="I133" s="92"/>
    </row>
    <row r="134" spans="1:9" x14ac:dyDescent="0.3">
      <c r="A134"/>
      <c r="B134"/>
      <c r="C134"/>
      <c r="D134"/>
      <c r="E134"/>
      <c r="F134"/>
      <c r="G134"/>
      <c r="I134" s="92"/>
    </row>
    <row r="135" spans="1:9" x14ac:dyDescent="0.3">
      <c r="A135"/>
      <c r="B135"/>
      <c r="C135"/>
      <c r="D135"/>
      <c r="E135"/>
      <c r="F135"/>
      <c r="G135"/>
      <c r="I135" s="92"/>
    </row>
    <row r="136" spans="1:9" x14ac:dyDescent="0.3">
      <c r="A136"/>
      <c r="B136"/>
      <c r="C136"/>
      <c r="D136"/>
      <c r="E136"/>
      <c r="F136"/>
      <c r="G136"/>
      <c r="I136" s="92"/>
    </row>
    <row r="137" spans="1:9" x14ac:dyDescent="0.3">
      <c r="A137"/>
      <c r="B137"/>
      <c r="C137"/>
      <c r="D137"/>
      <c r="E137"/>
      <c r="F137"/>
      <c r="G137"/>
      <c r="I137" s="92"/>
    </row>
    <row r="138" spans="1:9" x14ac:dyDescent="0.3">
      <c r="A138"/>
      <c r="B138"/>
      <c r="C138"/>
      <c r="D138"/>
      <c r="E138"/>
      <c r="F138"/>
      <c r="G138"/>
      <c r="I138" s="92"/>
    </row>
    <row r="139" spans="1:9" x14ac:dyDescent="0.3">
      <c r="A139"/>
      <c r="B139"/>
      <c r="C139"/>
      <c r="D139"/>
      <c r="E139"/>
      <c r="F139"/>
      <c r="G139"/>
      <c r="I139" s="92"/>
    </row>
    <row r="140" spans="1:9" x14ac:dyDescent="0.3">
      <c r="A140"/>
      <c r="B140"/>
      <c r="C140"/>
      <c r="D140"/>
      <c r="E140"/>
      <c r="F140"/>
      <c r="G140"/>
      <c r="I140" s="92"/>
    </row>
    <row r="141" spans="1:9" x14ac:dyDescent="0.3">
      <c r="A141"/>
      <c r="B141"/>
      <c r="C141"/>
      <c r="D141"/>
      <c r="E141"/>
      <c r="F141"/>
      <c r="G141"/>
      <c r="I141" s="92"/>
    </row>
    <row r="142" spans="1:9" x14ac:dyDescent="0.3">
      <c r="A142"/>
      <c r="B142"/>
      <c r="C142"/>
      <c r="D142"/>
      <c r="E142"/>
      <c r="F142"/>
      <c r="G142"/>
      <c r="I142" s="92"/>
    </row>
    <row r="143" spans="1:9" x14ac:dyDescent="0.3">
      <c r="A143"/>
      <c r="B143"/>
      <c r="C143"/>
      <c r="D143"/>
      <c r="E143"/>
      <c r="F143"/>
      <c r="G143"/>
      <c r="I143" s="92"/>
    </row>
    <row r="144" spans="1:9" x14ac:dyDescent="0.3">
      <c r="A144"/>
      <c r="B144"/>
      <c r="C144"/>
      <c r="D144"/>
      <c r="E144"/>
      <c r="F144"/>
      <c r="G144"/>
      <c r="I144" s="92"/>
    </row>
    <row r="145" spans="1:9" x14ac:dyDescent="0.3">
      <c r="A145"/>
      <c r="B145"/>
      <c r="C145"/>
      <c r="D145"/>
      <c r="E145"/>
      <c r="F145"/>
      <c r="G145"/>
      <c r="I145" s="92"/>
    </row>
    <row r="146" spans="1:9" x14ac:dyDescent="0.3">
      <c r="A146"/>
      <c r="B146"/>
      <c r="C146"/>
      <c r="D146"/>
      <c r="E146"/>
      <c r="F146"/>
      <c r="G146"/>
      <c r="I146" s="92"/>
    </row>
    <row r="147" spans="1:9" x14ac:dyDescent="0.3">
      <c r="A147"/>
      <c r="B147"/>
      <c r="C147"/>
      <c r="D147"/>
      <c r="E147"/>
      <c r="F147"/>
      <c r="G147"/>
      <c r="I147" s="92"/>
    </row>
    <row r="148" spans="1:9" x14ac:dyDescent="0.3">
      <c r="A148"/>
      <c r="B148"/>
      <c r="C148"/>
      <c r="D148"/>
      <c r="E148"/>
      <c r="F148"/>
      <c r="G148"/>
      <c r="I148" s="92"/>
    </row>
    <row r="149" spans="1:9" x14ac:dyDescent="0.3">
      <c r="A149"/>
      <c r="B149"/>
      <c r="C149"/>
      <c r="D149"/>
      <c r="E149"/>
      <c r="F149"/>
      <c r="G149"/>
      <c r="I149" s="92"/>
    </row>
    <row r="150" spans="1:9" x14ac:dyDescent="0.3">
      <c r="A150"/>
      <c r="B150"/>
      <c r="C150"/>
      <c r="D150"/>
      <c r="E150"/>
      <c r="F150"/>
      <c r="G150"/>
      <c r="I150" s="92"/>
    </row>
    <row r="151" spans="1:9" x14ac:dyDescent="0.3">
      <c r="A151"/>
      <c r="B151"/>
      <c r="C151"/>
      <c r="D151"/>
      <c r="E151"/>
      <c r="F151"/>
      <c r="G151"/>
      <c r="I151" s="92"/>
    </row>
    <row r="152" spans="1:9" x14ac:dyDescent="0.3">
      <c r="A152"/>
      <c r="B152"/>
      <c r="C152"/>
      <c r="D152"/>
      <c r="E152"/>
      <c r="F152"/>
      <c r="G152"/>
      <c r="I152" s="92"/>
    </row>
    <row r="153" spans="1:9" x14ac:dyDescent="0.3">
      <c r="A153"/>
      <c r="B153"/>
      <c r="C153"/>
      <c r="D153"/>
      <c r="E153"/>
      <c r="F153"/>
      <c r="G153"/>
      <c r="I153" s="92"/>
    </row>
    <row r="154" spans="1:9" x14ac:dyDescent="0.3">
      <c r="A154"/>
      <c r="B154"/>
      <c r="C154"/>
      <c r="D154"/>
      <c r="E154"/>
      <c r="F154"/>
      <c r="G154"/>
      <c r="I154" s="92"/>
    </row>
    <row r="155" spans="1:9" x14ac:dyDescent="0.3">
      <c r="A155"/>
      <c r="B155"/>
      <c r="C155"/>
      <c r="D155"/>
      <c r="E155"/>
      <c r="F155"/>
      <c r="G155"/>
      <c r="I155" s="92"/>
    </row>
    <row r="156" spans="1:9" x14ac:dyDescent="0.3">
      <c r="A156"/>
      <c r="B156"/>
      <c r="C156"/>
      <c r="D156"/>
      <c r="E156"/>
      <c r="F156"/>
      <c r="G156"/>
      <c r="I156" s="92"/>
    </row>
    <row r="157" spans="1:9" x14ac:dyDescent="0.3">
      <c r="A157"/>
      <c r="B157"/>
      <c r="C157"/>
      <c r="D157"/>
      <c r="E157"/>
      <c r="F157"/>
      <c r="G157"/>
      <c r="I157" s="92"/>
    </row>
    <row r="158" spans="1:9" x14ac:dyDescent="0.3">
      <c r="A158"/>
      <c r="B158"/>
      <c r="C158"/>
      <c r="D158"/>
      <c r="E158"/>
      <c r="F158"/>
      <c r="G158"/>
      <c r="I158" s="92"/>
    </row>
    <row r="159" spans="1:9" x14ac:dyDescent="0.3">
      <c r="A159"/>
      <c r="B159"/>
      <c r="C159"/>
      <c r="D159"/>
      <c r="E159"/>
      <c r="F159"/>
      <c r="G159"/>
      <c r="I159" s="92"/>
    </row>
    <row r="160" spans="1:9" x14ac:dyDescent="0.3">
      <c r="A160"/>
      <c r="B160"/>
      <c r="C160"/>
      <c r="D160"/>
      <c r="E160"/>
      <c r="F160"/>
      <c r="G160"/>
      <c r="I160" s="92"/>
    </row>
    <row r="161" spans="1:9" x14ac:dyDescent="0.3">
      <c r="A161"/>
      <c r="B161"/>
      <c r="C161"/>
      <c r="D161"/>
      <c r="E161"/>
      <c r="F161"/>
      <c r="G161"/>
      <c r="I161" s="92"/>
    </row>
    <row r="162" spans="1:9" x14ac:dyDescent="0.3">
      <c r="A162"/>
      <c r="B162"/>
      <c r="C162"/>
      <c r="D162"/>
      <c r="E162"/>
      <c r="F162"/>
      <c r="G162"/>
      <c r="I162" s="92"/>
    </row>
    <row r="163" spans="1:9" x14ac:dyDescent="0.3">
      <c r="A163"/>
      <c r="B163"/>
      <c r="C163"/>
      <c r="D163"/>
      <c r="E163"/>
      <c r="F163"/>
      <c r="G163"/>
      <c r="I163" s="92"/>
    </row>
    <row r="164" spans="1:9" x14ac:dyDescent="0.3">
      <c r="A164"/>
      <c r="B164"/>
      <c r="C164"/>
      <c r="D164"/>
      <c r="E164"/>
      <c r="F164"/>
      <c r="G164"/>
      <c r="I164" s="92"/>
    </row>
    <row r="165" spans="1:9" x14ac:dyDescent="0.3">
      <c r="A165"/>
      <c r="B165"/>
      <c r="C165"/>
      <c r="D165"/>
      <c r="E165"/>
      <c r="F165"/>
      <c r="G165"/>
      <c r="I165" s="92"/>
    </row>
    <row r="166" spans="1:9" x14ac:dyDescent="0.3">
      <c r="A166"/>
      <c r="B166"/>
      <c r="C166"/>
      <c r="D166"/>
      <c r="E166"/>
      <c r="F166"/>
      <c r="G166"/>
      <c r="I166" s="92"/>
    </row>
    <row r="167" spans="1:9" x14ac:dyDescent="0.3">
      <c r="A167"/>
      <c r="B167"/>
      <c r="C167"/>
      <c r="D167"/>
      <c r="E167"/>
      <c r="F167"/>
      <c r="G167"/>
      <c r="I167" s="92"/>
    </row>
    <row r="168" spans="1:9" x14ac:dyDescent="0.3">
      <c r="A168"/>
      <c r="B168"/>
      <c r="C168"/>
      <c r="D168"/>
      <c r="E168"/>
      <c r="F168"/>
      <c r="G168"/>
      <c r="I168" s="92"/>
    </row>
    <row r="169" spans="1:9" x14ac:dyDescent="0.3">
      <c r="A169"/>
      <c r="B169"/>
      <c r="C169"/>
      <c r="D169"/>
      <c r="E169"/>
      <c r="F169"/>
      <c r="G169"/>
      <c r="I169" s="92"/>
    </row>
    <row r="170" spans="1:9" x14ac:dyDescent="0.3">
      <c r="A170"/>
      <c r="B170"/>
      <c r="C170"/>
      <c r="D170"/>
      <c r="E170"/>
      <c r="F170"/>
      <c r="G170"/>
      <c r="I170" s="92"/>
    </row>
    <row r="171" spans="1:9" x14ac:dyDescent="0.3">
      <c r="A171"/>
      <c r="B171"/>
      <c r="C171"/>
      <c r="D171"/>
      <c r="E171"/>
      <c r="F171"/>
      <c r="G171"/>
      <c r="I171" s="92"/>
    </row>
    <row r="172" spans="1:9" x14ac:dyDescent="0.3">
      <c r="A172"/>
      <c r="B172"/>
      <c r="C172"/>
      <c r="D172"/>
      <c r="E172"/>
      <c r="F172"/>
      <c r="G172"/>
      <c r="I172" s="92"/>
    </row>
    <row r="173" spans="1:9" x14ac:dyDescent="0.3">
      <c r="A173"/>
      <c r="B173"/>
      <c r="C173"/>
      <c r="D173"/>
      <c r="E173"/>
      <c r="F173"/>
      <c r="G173"/>
      <c r="I173" s="92"/>
    </row>
    <row r="174" spans="1:9" x14ac:dyDescent="0.3">
      <c r="A174"/>
      <c r="B174"/>
      <c r="C174"/>
      <c r="D174"/>
      <c r="E174"/>
      <c r="F174"/>
      <c r="G174"/>
      <c r="I174" s="92"/>
    </row>
    <row r="175" spans="1:9" x14ac:dyDescent="0.3">
      <c r="A175"/>
      <c r="B175"/>
      <c r="C175"/>
      <c r="D175"/>
      <c r="E175"/>
      <c r="F175"/>
      <c r="G175"/>
      <c r="I175" s="92"/>
    </row>
    <row r="176" spans="1:9" x14ac:dyDescent="0.3">
      <c r="A176"/>
      <c r="B176"/>
      <c r="C176"/>
      <c r="D176"/>
      <c r="E176"/>
      <c r="F176"/>
      <c r="G176"/>
      <c r="I176" s="92"/>
    </row>
    <row r="177" spans="1:9" x14ac:dyDescent="0.3">
      <c r="A177"/>
      <c r="B177"/>
      <c r="C177"/>
      <c r="D177"/>
      <c r="E177"/>
      <c r="F177"/>
      <c r="G177"/>
      <c r="I177" s="92"/>
    </row>
    <row r="178" spans="1:9" x14ac:dyDescent="0.3">
      <c r="A178"/>
      <c r="B178"/>
      <c r="C178"/>
      <c r="D178"/>
      <c r="E178"/>
      <c r="F178"/>
      <c r="G178"/>
      <c r="I178" s="92"/>
    </row>
    <row r="179" spans="1:9" x14ac:dyDescent="0.3">
      <c r="A179"/>
      <c r="B179"/>
      <c r="C179"/>
      <c r="D179"/>
      <c r="E179"/>
      <c r="F179"/>
      <c r="G179"/>
      <c r="I179" s="92"/>
    </row>
    <row r="180" spans="1:9" x14ac:dyDescent="0.3">
      <c r="A180"/>
      <c r="B180"/>
      <c r="C180"/>
      <c r="D180"/>
      <c r="E180"/>
      <c r="F180"/>
      <c r="G180"/>
      <c r="I180" s="92"/>
    </row>
    <row r="181" spans="1:9" x14ac:dyDescent="0.3">
      <c r="A181"/>
      <c r="B181"/>
      <c r="C181"/>
      <c r="D181"/>
      <c r="E181"/>
      <c r="F181"/>
      <c r="G181"/>
      <c r="I181" s="92"/>
    </row>
    <row r="182" spans="1:9" x14ac:dyDescent="0.3">
      <c r="A182"/>
      <c r="B182"/>
      <c r="C182"/>
      <c r="D182"/>
      <c r="E182"/>
      <c r="F182"/>
      <c r="G182"/>
      <c r="I182" s="92"/>
    </row>
    <row r="183" spans="1:9" x14ac:dyDescent="0.3">
      <c r="A183"/>
      <c r="B183"/>
      <c r="C183"/>
      <c r="D183"/>
      <c r="E183"/>
      <c r="F183"/>
      <c r="G183"/>
      <c r="I183" s="92"/>
    </row>
    <row r="184" spans="1:9" x14ac:dyDescent="0.3">
      <c r="A184"/>
      <c r="B184"/>
      <c r="C184"/>
      <c r="D184"/>
      <c r="E184"/>
      <c r="F184"/>
      <c r="G184"/>
      <c r="I184" s="92"/>
    </row>
    <row r="185" spans="1:9" x14ac:dyDescent="0.3">
      <c r="A185"/>
      <c r="B185"/>
      <c r="C185"/>
      <c r="D185"/>
      <c r="E185"/>
      <c r="F185"/>
      <c r="G185"/>
      <c r="I185" s="92"/>
    </row>
    <row r="186" spans="1:9" x14ac:dyDescent="0.3">
      <c r="A186"/>
      <c r="B186"/>
      <c r="C186"/>
      <c r="D186"/>
      <c r="E186"/>
      <c r="F186"/>
      <c r="G186"/>
      <c r="I186" s="92"/>
    </row>
    <row r="187" spans="1:9" x14ac:dyDescent="0.3">
      <c r="A187"/>
      <c r="B187"/>
      <c r="C187"/>
      <c r="D187"/>
      <c r="E187"/>
      <c r="F187"/>
      <c r="G187"/>
      <c r="I187" s="92"/>
    </row>
    <row r="188" spans="1:9" x14ac:dyDescent="0.3">
      <c r="A188"/>
      <c r="B188"/>
      <c r="C188"/>
      <c r="D188"/>
      <c r="E188"/>
      <c r="F188"/>
      <c r="G188"/>
      <c r="I188" s="92"/>
    </row>
    <row r="189" spans="1:9" x14ac:dyDescent="0.3">
      <c r="A189"/>
      <c r="B189"/>
      <c r="C189"/>
      <c r="D189"/>
      <c r="E189"/>
      <c r="F189"/>
      <c r="G189"/>
      <c r="I189" s="92"/>
    </row>
    <row r="190" spans="1:9" x14ac:dyDescent="0.3">
      <c r="A190"/>
      <c r="B190"/>
      <c r="C190"/>
      <c r="D190"/>
      <c r="E190"/>
      <c r="F190"/>
      <c r="G190"/>
      <c r="I190" s="92"/>
    </row>
    <row r="191" spans="1:9" x14ac:dyDescent="0.3">
      <c r="A191"/>
      <c r="B191"/>
      <c r="C191"/>
      <c r="D191"/>
      <c r="E191"/>
      <c r="F191"/>
      <c r="G191"/>
      <c r="I191" s="92"/>
    </row>
    <row r="192" spans="1:9" x14ac:dyDescent="0.3">
      <c r="A192"/>
      <c r="B192"/>
      <c r="C192"/>
      <c r="D192"/>
      <c r="E192"/>
      <c r="F192"/>
      <c r="G192"/>
      <c r="I192" s="92"/>
    </row>
    <row r="193" spans="1:9" x14ac:dyDescent="0.3">
      <c r="A193"/>
      <c r="B193"/>
      <c r="C193"/>
      <c r="D193"/>
      <c r="E193"/>
      <c r="F193"/>
      <c r="G193"/>
      <c r="I193" s="92"/>
    </row>
    <row r="194" spans="1:9" x14ac:dyDescent="0.3">
      <c r="A194"/>
      <c r="B194"/>
      <c r="C194"/>
      <c r="D194"/>
      <c r="E194"/>
      <c r="F194"/>
      <c r="G194"/>
      <c r="I194" s="92"/>
    </row>
    <row r="195" spans="1:9" x14ac:dyDescent="0.3">
      <c r="A195"/>
      <c r="B195"/>
      <c r="C195"/>
      <c r="D195"/>
      <c r="E195"/>
      <c r="F195"/>
      <c r="G195"/>
      <c r="I195" s="92"/>
    </row>
    <row r="196" spans="1:9" x14ac:dyDescent="0.3">
      <c r="A196"/>
      <c r="B196"/>
      <c r="C196"/>
      <c r="D196"/>
      <c r="E196"/>
      <c r="F196"/>
      <c r="G196"/>
      <c r="I196" s="92"/>
    </row>
    <row r="197" spans="1:9" x14ac:dyDescent="0.3">
      <c r="A197"/>
      <c r="B197"/>
      <c r="C197"/>
      <c r="D197"/>
      <c r="E197"/>
      <c r="F197"/>
      <c r="G197"/>
      <c r="I197" s="92"/>
    </row>
    <row r="198" spans="1:9" x14ac:dyDescent="0.3">
      <c r="A198"/>
      <c r="B198"/>
      <c r="C198"/>
      <c r="D198"/>
      <c r="E198"/>
      <c r="F198"/>
      <c r="G198"/>
      <c r="I198" s="92"/>
    </row>
    <row r="199" spans="1:9" x14ac:dyDescent="0.3">
      <c r="A199"/>
      <c r="B199"/>
      <c r="C199"/>
      <c r="D199"/>
      <c r="E199"/>
      <c r="F199"/>
      <c r="G199"/>
      <c r="I199" s="92"/>
    </row>
    <row r="200" spans="1:9" x14ac:dyDescent="0.3">
      <c r="A200"/>
      <c r="B200"/>
      <c r="C200"/>
      <c r="D200"/>
      <c r="E200"/>
      <c r="F200"/>
      <c r="G200"/>
      <c r="I200" s="92"/>
    </row>
    <row r="201" spans="1:9" x14ac:dyDescent="0.3">
      <c r="A201"/>
      <c r="B201"/>
      <c r="C201"/>
      <c r="D201"/>
      <c r="E201"/>
      <c r="F201"/>
      <c r="G201"/>
      <c r="I201" s="92"/>
    </row>
    <row r="202" spans="1:9" x14ac:dyDescent="0.3">
      <c r="A202"/>
      <c r="B202"/>
      <c r="C202"/>
      <c r="D202"/>
      <c r="E202"/>
      <c r="F202"/>
      <c r="G202"/>
      <c r="I202" s="92"/>
    </row>
    <row r="203" spans="1:9" x14ac:dyDescent="0.3">
      <c r="A203"/>
      <c r="B203"/>
      <c r="C203"/>
      <c r="D203"/>
      <c r="E203"/>
      <c r="F203"/>
      <c r="G203"/>
      <c r="I203" s="92"/>
    </row>
    <row r="204" spans="1:9" x14ac:dyDescent="0.3">
      <c r="A204"/>
      <c r="B204"/>
      <c r="C204"/>
      <c r="D204"/>
      <c r="E204"/>
      <c r="F204"/>
      <c r="G204"/>
      <c r="I204" s="92"/>
    </row>
    <row r="205" spans="1:9" x14ac:dyDescent="0.3">
      <c r="A205"/>
      <c r="B205"/>
      <c r="C205"/>
      <c r="D205"/>
      <c r="E205"/>
      <c r="F205"/>
      <c r="G205"/>
      <c r="I205" s="92"/>
    </row>
    <row r="206" spans="1:9" x14ac:dyDescent="0.3">
      <c r="A206"/>
      <c r="B206"/>
      <c r="C206"/>
      <c r="D206"/>
      <c r="E206"/>
      <c r="F206"/>
      <c r="G206"/>
      <c r="I206" s="92"/>
    </row>
    <row r="207" spans="1:9" x14ac:dyDescent="0.3">
      <c r="A207"/>
      <c r="B207"/>
      <c r="C207"/>
      <c r="D207"/>
      <c r="E207"/>
      <c r="F207"/>
      <c r="G207"/>
      <c r="I207" s="92"/>
    </row>
    <row r="208" spans="1:9" x14ac:dyDescent="0.3">
      <c r="A208"/>
      <c r="B208"/>
      <c r="C208"/>
      <c r="D208"/>
      <c r="E208"/>
      <c r="F208"/>
      <c r="G208"/>
      <c r="I208" s="92"/>
    </row>
    <row r="209" spans="1:9" x14ac:dyDescent="0.3">
      <c r="A209"/>
      <c r="B209"/>
      <c r="C209"/>
      <c r="D209"/>
      <c r="E209"/>
      <c r="F209"/>
      <c r="G209"/>
      <c r="I209" s="92"/>
    </row>
    <row r="210" spans="1:9" x14ac:dyDescent="0.3">
      <c r="A210"/>
      <c r="B210"/>
      <c r="C210"/>
      <c r="D210"/>
      <c r="E210"/>
      <c r="F210"/>
      <c r="G210"/>
      <c r="I210" s="92"/>
    </row>
    <row r="211" spans="1:9" x14ac:dyDescent="0.3">
      <c r="A211"/>
      <c r="B211"/>
      <c r="C211"/>
      <c r="D211"/>
      <c r="E211"/>
      <c r="F211"/>
      <c r="G211"/>
      <c r="I211" s="92"/>
    </row>
    <row r="212" spans="1:9" x14ac:dyDescent="0.3">
      <c r="A212"/>
      <c r="B212"/>
      <c r="C212"/>
      <c r="D212"/>
      <c r="E212"/>
      <c r="F212"/>
      <c r="G212"/>
      <c r="I212" s="92"/>
    </row>
    <row r="213" spans="1:9" x14ac:dyDescent="0.3">
      <c r="A213"/>
      <c r="B213"/>
      <c r="C213"/>
      <c r="D213"/>
      <c r="E213"/>
      <c r="F213"/>
      <c r="G213"/>
      <c r="I213" s="92"/>
    </row>
    <row r="214" spans="1:9" x14ac:dyDescent="0.3">
      <c r="A214"/>
      <c r="B214"/>
      <c r="C214"/>
      <c r="D214"/>
      <c r="E214"/>
      <c r="F214"/>
      <c r="G214"/>
      <c r="I214" s="92"/>
    </row>
    <row r="215" spans="1:9" x14ac:dyDescent="0.3">
      <c r="A215"/>
      <c r="B215"/>
      <c r="C215"/>
      <c r="D215"/>
      <c r="E215"/>
      <c r="F215"/>
      <c r="G215"/>
      <c r="I215" s="92"/>
    </row>
    <row r="216" spans="1:9" x14ac:dyDescent="0.3">
      <c r="A216"/>
      <c r="B216"/>
      <c r="C216"/>
      <c r="D216"/>
      <c r="E216"/>
      <c r="F216"/>
      <c r="G216"/>
      <c r="I216" s="92"/>
    </row>
    <row r="217" spans="1:9" x14ac:dyDescent="0.3">
      <c r="A217"/>
      <c r="B217"/>
      <c r="C217"/>
      <c r="D217"/>
      <c r="E217"/>
      <c r="F217"/>
      <c r="G217"/>
      <c r="I217" s="92"/>
    </row>
    <row r="218" spans="1:9" x14ac:dyDescent="0.3">
      <c r="A218"/>
      <c r="B218"/>
      <c r="C218"/>
      <c r="D218"/>
      <c r="E218"/>
      <c r="F218"/>
      <c r="G218"/>
      <c r="I218" s="92"/>
    </row>
    <row r="219" spans="1:9" x14ac:dyDescent="0.3">
      <c r="A219"/>
      <c r="B219"/>
      <c r="C219"/>
      <c r="D219"/>
      <c r="E219"/>
      <c r="F219"/>
      <c r="G219"/>
      <c r="I219" s="92"/>
    </row>
    <row r="220" spans="1:9" x14ac:dyDescent="0.3">
      <c r="A220"/>
      <c r="B220"/>
      <c r="C220"/>
      <c r="D220"/>
      <c r="E220"/>
      <c r="F220"/>
      <c r="G220"/>
      <c r="I220" s="92"/>
    </row>
    <row r="221" spans="1:9" x14ac:dyDescent="0.3">
      <c r="A221"/>
      <c r="B221"/>
      <c r="C221"/>
      <c r="D221"/>
      <c r="E221"/>
      <c r="F221"/>
      <c r="G221"/>
      <c r="I221" s="92"/>
    </row>
    <row r="222" spans="1:9" x14ac:dyDescent="0.3">
      <c r="A222"/>
      <c r="B222"/>
      <c r="C222"/>
      <c r="D222"/>
      <c r="E222"/>
      <c r="F222"/>
      <c r="G222"/>
      <c r="I222" s="92"/>
    </row>
    <row r="223" spans="1:9" x14ac:dyDescent="0.3">
      <c r="A223"/>
      <c r="B223"/>
      <c r="C223"/>
      <c r="D223"/>
      <c r="E223"/>
      <c r="F223"/>
      <c r="G223"/>
      <c r="I223" s="92"/>
    </row>
    <row r="224" spans="1:9" x14ac:dyDescent="0.3">
      <c r="A224"/>
      <c r="B224"/>
      <c r="C224"/>
      <c r="D224"/>
      <c r="E224"/>
      <c r="F224"/>
      <c r="G224"/>
      <c r="I224" s="92"/>
    </row>
    <row r="225" spans="1:9" x14ac:dyDescent="0.3">
      <c r="A225"/>
      <c r="B225"/>
      <c r="C225"/>
      <c r="D225"/>
      <c r="E225"/>
      <c r="F225"/>
      <c r="G225"/>
      <c r="I225" s="92"/>
    </row>
    <row r="226" spans="1:9" x14ac:dyDescent="0.3">
      <c r="A226"/>
      <c r="B226"/>
      <c r="C226"/>
      <c r="D226"/>
      <c r="E226"/>
      <c r="F226"/>
      <c r="G226"/>
      <c r="I226" s="92"/>
    </row>
    <row r="227" spans="1:9" x14ac:dyDescent="0.3">
      <c r="A227"/>
      <c r="B227"/>
      <c r="C227"/>
      <c r="D227"/>
      <c r="E227"/>
      <c r="F227"/>
      <c r="G227"/>
      <c r="I227" s="92"/>
    </row>
    <row r="228" spans="1:9" x14ac:dyDescent="0.3">
      <c r="A228"/>
      <c r="B228"/>
      <c r="C228"/>
      <c r="D228"/>
      <c r="E228"/>
      <c r="F228"/>
      <c r="G228"/>
      <c r="I228" s="92"/>
    </row>
    <row r="229" spans="1:9" x14ac:dyDescent="0.3">
      <c r="A229"/>
      <c r="B229"/>
      <c r="C229"/>
      <c r="D229"/>
      <c r="E229"/>
      <c r="F229"/>
      <c r="G229"/>
      <c r="I229" s="92"/>
    </row>
    <row r="230" spans="1:9" x14ac:dyDescent="0.3">
      <c r="A230"/>
      <c r="B230"/>
      <c r="C230"/>
      <c r="D230"/>
      <c r="E230"/>
      <c r="F230"/>
      <c r="G230"/>
      <c r="I230" s="92"/>
    </row>
    <row r="231" spans="1:9" x14ac:dyDescent="0.3">
      <c r="A231"/>
      <c r="B231"/>
      <c r="C231"/>
      <c r="D231"/>
      <c r="E231"/>
      <c r="F231"/>
      <c r="G231"/>
      <c r="I231" s="92"/>
    </row>
    <row r="232" spans="1:9" x14ac:dyDescent="0.3">
      <c r="A232"/>
      <c r="B232"/>
      <c r="C232"/>
      <c r="D232"/>
      <c r="E232"/>
      <c r="F232"/>
      <c r="G232"/>
      <c r="I232" s="92"/>
    </row>
    <row r="233" spans="1:9" x14ac:dyDescent="0.3">
      <c r="A233"/>
      <c r="B233"/>
      <c r="C233"/>
      <c r="D233"/>
      <c r="E233"/>
      <c r="F233"/>
      <c r="G233"/>
      <c r="I233" s="92"/>
    </row>
    <row r="234" spans="1:9" x14ac:dyDescent="0.3">
      <c r="A234"/>
      <c r="B234"/>
      <c r="C234"/>
      <c r="D234"/>
      <c r="E234"/>
      <c r="F234"/>
      <c r="G234"/>
      <c r="I234" s="92"/>
    </row>
    <row r="235" spans="1:9" x14ac:dyDescent="0.3">
      <c r="A235"/>
      <c r="B235"/>
      <c r="C235"/>
      <c r="D235"/>
      <c r="E235"/>
      <c r="F235"/>
      <c r="G235"/>
      <c r="I235" s="92"/>
    </row>
    <row r="236" spans="1:9" x14ac:dyDescent="0.3">
      <c r="A236"/>
      <c r="B236"/>
      <c r="C236"/>
      <c r="D236"/>
      <c r="E236"/>
      <c r="F236"/>
      <c r="G236"/>
      <c r="I236" s="92"/>
    </row>
    <row r="237" spans="1:9" x14ac:dyDescent="0.3">
      <c r="A237"/>
      <c r="B237"/>
      <c r="C237"/>
      <c r="D237"/>
      <c r="E237"/>
      <c r="F237"/>
      <c r="G237"/>
      <c r="I237" s="92"/>
    </row>
    <row r="238" spans="1:9" x14ac:dyDescent="0.3">
      <c r="A238"/>
      <c r="B238"/>
      <c r="C238"/>
      <c r="D238"/>
      <c r="E238"/>
      <c r="F238"/>
      <c r="G238"/>
      <c r="I238" s="92"/>
    </row>
    <row r="239" spans="1:9" x14ac:dyDescent="0.3">
      <c r="A239"/>
      <c r="B239"/>
      <c r="C239"/>
      <c r="D239"/>
      <c r="E239"/>
      <c r="F239"/>
      <c r="G239"/>
      <c r="I239" s="92"/>
    </row>
    <row r="240" spans="1:9" x14ac:dyDescent="0.3">
      <c r="A240"/>
      <c r="B240"/>
      <c r="C240"/>
      <c r="D240"/>
      <c r="E240"/>
      <c r="F240"/>
      <c r="G240"/>
      <c r="I240" s="92"/>
    </row>
    <row r="241" spans="1:9" x14ac:dyDescent="0.3">
      <c r="A241"/>
      <c r="B241"/>
      <c r="C241"/>
      <c r="D241"/>
      <c r="E241"/>
      <c r="F241"/>
      <c r="G241"/>
      <c r="I241" s="92"/>
    </row>
    <row r="242" spans="1:9" x14ac:dyDescent="0.3">
      <c r="A242"/>
      <c r="B242"/>
      <c r="C242"/>
      <c r="D242"/>
      <c r="E242"/>
      <c r="F242"/>
      <c r="G242"/>
      <c r="I242" s="92"/>
    </row>
    <row r="243" spans="1:9" x14ac:dyDescent="0.3">
      <c r="A243"/>
      <c r="B243"/>
      <c r="C243"/>
      <c r="D243"/>
      <c r="E243"/>
      <c r="F243"/>
      <c r="G243"/>
      <c r="I243" s="92"/>
    </row>
    <row r="244" spans="1:9" x14ac:dyDescent="0.3">
      <c r="A244"/>
      <c r="B244"/>
      <c r="C244"/>
      <c r="D244"/>
      <c r="E244"/>
      <c r="F244"/>
      <c r="G244"/>
      <c r="I244" s="92"/>
    </row>
    <row r="245" spans="1:9" x14ac:dyDescent="0.3">
      <c r="A245"/>
      <c r="B245"/>
      <c r="C245"/>
      <c r="D245"/>
      <c r="E245"/>
      <c r="F245"/>
      <c r="G245"/>
      <c r="I245" s="92"/>
    </row>
    <row r="246" spans="1:9" x14ac:dyDescent="0.3">
      <c r="A246"/>
      <c r="B246"/>
      <c r="C246"/>
      <c r="D246"/>
      <c r="E246"/>
      <c r="F246"/>
      <c r="G246"/>
      <c r="I246" s="92"/>
    </row>
    <row r="247" spans="1:9" x14ac:dyDescent="0.3">
      <c r="A247"/>
      <c r="B247"/>
      <c r="C247"/>
      <c r="D247"/>
      <c r="E247"/>
      <c r="F247"/>
      <c r="G247"/>
      <c r="I247" s="92"/>
    </row>
    <row r="248" spans="1:9" x14ac:dyDescent="0.3">
      <c r="A248"/>
      <c r="B248"/>
      <c r="C248"/>
      <c r="D248"/>
      <c r="E248"/>
      <c r="F248"/>
      <c r="G248"/>
      <c r="I248" s="92"/>
    </row>
    <row r="249" spans="1:9" x14ac:dyDescent="0.3">
      <c r="A249"/>
      <c r="B249"/>
      <c r="C249"/>
      <c r="D249"/>
      <c r="E249"/>
      <c r="F249"/>
      <c r="G249"/>
      <c r="I249" s="92"/>
    </row>
    <row r="250" spans="1:9" x14ac:dyDescent="0.3">
      <c r="A250"/>
      <c r="B250"/>
      <c r="C250"/>
      <c r="D250"/>
      <c r="E250"/>
      <c r="F250"/>
      <c r="G250"/>
      <c r="I250" s="92"/>
    </row>
    <row r="251" spans="1:9" x14ac:dyDescent="0.3">
      <c r="A251"/>
      <c r="B251"/>
      <c r="C251"/>
      <c r="D251"/>
      <c r="E251"/>
      <c r="F251"/>
      <c r="G251"/>
      <c r="I251" s="92"/>
    </row>
    <row r="252" spans="1:9" x14ac:dyDescent="0.3">
      <c r="A252"/>
      <c r="B252"/>
      <c r="C252"/>
      <c r="D252"/>
      <c r="E252"/>
      <c r="F252"/>
      <c r="G252"/>
      <c r="I252" s="92"/>
    </row>
    <row r="253" spans="1:9" x14ac:dyDescent="0.3">
      <c r="A253"/>
      <c r="B253"/>
      <c r="C253"/>
      <c r="D253"/>
      <c r="E253"/>
      <c r="F253"/>
      <c r="G253"/>
      <c r="I253" s="92"/>
    </row>
    <row r="254" spans="1:9" x14ac:dyDescent="0.3">
      <c r="A254"/>
      <c r="B254"/>
      <c r="C254"/>
      <c r="D254"/>
      <c r="E254"/>
      <c r="F254"/>
      <c r="G254"/>
      <c r="I254" s="92"/>
    </row>
    <row r="255" spans="1:9" x14ac:dyDescent="0.3">
      <c r="A255"/>
      <c r="B255"/>
      <c r="C255"/>
      <c r="D255"/>
      <c r="E255"/>
      <c r="F255"/>
      <c r="G255"/>
      <c r="I255" s="92"/>
    </row>
    <row r="256" spans="1:9" x14ac:dyDescent="0.3">
      <c r="A256"/>
      <c r="B256"/>
      <c r="C256"/>
      <c r="D256"/>
      <c r="E256"/>
      <c r="F256"/>
      <c r="G256"/>
      <c r="I256" s="92"/>
    </row>
    <row r="257" spans="1:9" x14ac:dyDescent="0.3">
      <c r="A257"/>
      <c r="B257"/>
      <c r="C257"/>
      <c r="D257"/>
      <c r="E257"/>
      <c r="F257"/>
      <c r="G257"/>
      <c r="I257" s="92"/>
    </row>
    <row r="258" spans="1:9" x14ac:dyDescent="0.3">
      <c r="A258"/>
      <c r="B258"/>
      <c r="C258"/>
      <c r="D258"/>
      <c r="E258"/>
      <c r="F258"/>
      <c r="G258"/>
      <c r="I258" s="92"/>
    </row>
    <row r="259" spans="1:9" x14ac:dyDescent="0.3">
      <c r="A259"/>
      <c r="B259"/>
      <c r="C259"/>
      <c r="D259"/>
      <c r="E259"/>
      <c r="F259"/>
      <c r="G259"/>
      <c r="I259" s="92"/>
    </row>
    <row r="260" spans="1:9" x14ac:dyDescent="0.3">
      <c r="A260"/>
      <c r="B260"/>
      <c r="C260"/>
      <c r="D260"/>
      <c r="E260"/>
      <c r="F260"/>
      <c r="G260"/>
      <c r="I260" s="92"/>
    </row>
    <row r="261" spans="1:9" x14ac:dyDescent="0.3">
      <c r="A261"/>
      <c r="B261"/>
      <c r="C261"/>
      <c r="D261"/>
      <c r="E261"/>
      <c r="F261"/>
      <c r="G261"/>
      <c r="I261" s="92"/>
    </row>
    <row r="262" spans="1:9" x14ac:dyDescent="0.3">
      <c r="A262"/>
      <c r="B262"/>
      <c r="C262"/>
      <c r="D262"/>
      <c r="E262"/>
      <c r="F262"/>
      <c r="G262"/>
      <c r="I262" s="92"/>
    </row>
    <row r="263" spans="1:9" x14ac:dyDescent="0.3">
      <c r="A263"/>
      <c r="B263"/>
      <c r="C263"/>
      <c r="D263"/>
      <c r="E263"/>
      <c r="F263"/>
      <c r="G263"/>
      <c r="I263" s="92"/>
    </row>
    <row r="264" spans="1:9" x14ac:dyDescent="0.3">
      <c r="A264"/>
      <c r="B264"/>
      <c r="C264"/>
      <c r="D264"/>
      <c r="E264"/>
      <c r="F264"/>
      <c r="G264"/>
      <c r="I264" s="92"/>
    </row>
    <row r="265" spans="1:9" x14ac:dyDescent="0.3">
      <c r="A265"/>
      <c r="B265"/>
      <c r="C265"/>
      <c r="D265"/>
      <c r="E265"/>
      <c r="F265"/>
      <c r="G265"/>
      <c r="I265" s="92"/>
    </row>
    <row r="266" spans="1:9" x14ac:dyDescent="0.3">
      <c r="A266"/>
      <c r="B266"/>
      <c r="C266"/>
      <c r="D266"/>
      <c r="E266"/>
      <c r="F266"/>
      <c r="G266"/>
      <c r="I266" s="92"/>
    </row>
    <row r="267" spans="1:9" x14ac:dyDescent="0.3">
      <c r="A267"/>
      <c r="B267"/>
      <c r="C267"/>
      <c r="D267"/>
      <c r="E267"/>
      <c r="F267"/>
      <c r="G267"/>
      <c r="I267" s="92"/>
    </row>
    <row r="268" spans="1:9" x14ac:dyDescent="0.3">
      <c r="A268"/>
      <c r="B268"/>
      <c r="C268"/>
      <c r="D268"/>
      <c r="E268"/>
      <c r="F268"/>
      <c r="G268"/>
      <c r="I268" s="92"/>
    </row>
    <row r="269" spans="1:9" x14ac:dyDescent="0.3">
      <c r="A269"/>
      <c r="B269"/>
      <c r="C269"/>
      <c r="D269"/>
      <c r="E269"/>
      <c r="F269"/>
      <c r="G269"/>
      <c r="I269" s="92"/>
    </row>
    <row r="270" spans="1:9" x14ac:dyDescent="0.3">
      <c r="A270"/>
      <c r="B270"/>
      <c r="C270"/>
      <c r="D270"/>
      <c r="E270"/>
      <c r="F270"/>
      <c r="G270"/>
      <c r="I270" s="92"/>
    </row>
    <row r="271" spans="1:9" x14ac:dyDescent="0.3">
      <c r="A271"/>
      <c r="B271"/>
      <c r="C271"/>
      <c r="D271"/>
      <c r="E271"/>
      <c r="F271"/>
      <c r="G271"/>
      <c r="I271" s="92"/>
    </row>
    <row r="272" spans="1:9" x14ac:dyDescent="0.3">
      <c r="A272"/>
      <c r="B272"/>
      <c r="C272"/>
      <c r="D272"/>
      <c r="E272"/>
      <c r="F272"/>
      <c r="G272"/>
      <c r="I272" s="92"/>
    </row>
    <row r="273" spans="1:9" x14ac:dyDescent="0.3">
      <c r="A273"/>
      <c r="B273"/>
      <c r="C273"/>
      <c r="D273"/>
      <c r="E273"/>
      <c r="F273"/>
      <c r="G273"/>
      <c r="I273" s="92"/>
    </row>
    <row r="274" spans="1:9" x14ac:dyDescent="0.3">
      <c r="A274"/>
      <c r="B274"/>
      <c r="C274"/>
      <c r="D274"/>
      <c r="E274"/>
      <c r="F274"/>
      <c r="G274"/>
      <c r="I274" s="92"/>
    </row>
    <row r="275" spans="1:9" x14ac:dyDescent="0.3">
      <c r="A275"/>
      <c r="B275"/>
      <c r="C275"/>
      <c r="D275"/>
      <c r="E275"/>
      <c r="F275"/>
      <c r="G275"/>
      <c r="I275" s="92"/>
    </row>
    <row r="276" spans="1:9" x14ac:dyDescent="0.3">
      <c r="A276"/>
      <c r="B276"/>
      <c r="C276"/>
      <c r="D276"/>
      <c r="E276"/>
      <c r="F276"/>
      <c r="G276"/>
      <c r="I276" s="92"/>
    </row>
    <row r="277" spans="1:9" x14ac:dyDescent="0.3">
      <c r="A277"/>
      <c r="B277"/>
      <c r="C277"/>
      <c r="D277"/>
      <c r="E277"/>
      <c r="F277"/>
      <c r="G277"/>
      <c r="I277" s="92"/>
    </row>
    <row r="278" spans="1:9" x14ac:dyDescent="0.3">
      <c r="A278"/>
      <c r="B278"/>
      <c r="C278"/>
      <c r="D278"/>
      <c r="E278"/>
      <c r="F278"/>
      <c r="G278"/>
      <c r="I278" s="92"/>
    </row>
    <row r="279" spans="1:9" x14ac:dyDescent="0.3">
      <c r="A279"/>
      <c r="B279"/>
      <c r="C279"/>
      <c r="D279"/>
      <c r="E279"/>
      <c r="F279"/>
      <c r="G279"/>
      <c r="I279" s="92"/>
    </row>
    <row r="280" spans="1:9" x14ac:dyDescent="0.3">
      <c r="A280"/>
      <c r="B280"/>
      <c r="C280"/>
      <c r="D280"/>
      <c r="E280"/>
      <c r="F280"/>
      <c r="G280"/>
      <c r="I280" s="92"/>
    </row>
    <row r="281" spans="1:9" x14ac:dyDescent="0.3">
      <c r="A281"/>
      <c r="B281"/>
      <c r="C281"/>
      <c r="D281"/>
      <c r="E281"/>
      <c r="F281"/>
      <c r="G281"/>
      <c r="I281" s="92"/>
    </row>
    <row r="282" spans="1:9" x14ac:dyDescent="0.3">
      <c r="A282"/>
      <c r="B282"/>
      <c r="C282"/>
      <c r="D282"/>
      <c r="E282"/>
      <c r="F282"/>
      <c r="G282"/>
      <c r="I282" s="92"/>
    </row>
    <row r="283" spans="1:9" x14ac:dyDescent="0.3">
      <c r="A283"/>
      <c r="B283"/>
      <c r="C283"/>
      <c r="D283"/>
      <c r="E283"/>
      <c r="F283"/>
      <c r="G283"/>
      <c r="I283" s="92"/>
    </row>
    <row r="284" spans="1:9" x14ac:dyDescent="0.3">
      <c r="A284"/>
      <c r="B284"/>
      <c r="C284"/>
      <c r="D284"/>
      <c r="E284"/>
      <c r="F284"/>
      <c r="G284"/>
      <c r="I284" s="92"/>
    </row>
    <row r="285" spans="1:9" x14ac:dyDescent="0.3">
      <c r="A285"/>
      <c r="B285"/>
      <c r="C285"/>
      <c r="D285"/>
      <c r="E285"/>
      <c r="F285"/>
      <c r="G285"/>
      <c r="I285" s="92"/>
    </row>
    <row r="286" spans="1:9" x14ac:dyDescent="0.3">
      <c r="A286"/>
      <c r="B286"/>
      <c r="C286"/>
      <c r="D286"/>
      <c r="E286"/>
      <c r="F286"/>
      <c r="G286"/>
      <c r="I286" s="92"/>
    </row>
    <row r="287" spans="1:9" x14ac:dyDescent="0.3">
      <c r="A287"/>
      <c r="B287"/>
      <c r="C287"/>
      <c r="D287"/>
      <c r="E287"/>
      <c r="F287"/>
      <c r="G287"/>
      <c r="I287" s="92"/>
    </row>
    <row r="288" spans="1:9" x14ac:dyDescent="0.3">
      <c r="A288"/>
      <c r="B288"/>
      <c r="C288"/>
      <c r="D288"/>
      <c r="E288"/>
      <c r="F288"/>
      <c r="G288"/>
      <c r="I288" s="92"/>
    </row>
    <row r="289" spans="1:9" x14ac:dyDescent="0.3">
      <c r="A289"/>
      <c r="B289"/>
      <c r="C289"/>
      <c r="D289"/>
      <c r="E289"/>
      <c r="F289"/>
      <c r="G289"/>
      <c r="I289" s="92"/>
    </row>
    <row r="290" spans="1:9" x14ac:dyDescent="0.3">
      <c r="A290"/>
      <c r="B290"/>
      <c r="C290"/>
      <c r="D290"/>
      <c r="E290"/>
      <c r="F290"/>
      <c r="G290"/>
      <c r="I290" s="92"/>
    </row>
    <row r="291" spans="1:9" x14ac:dyDescent="0.3">
      <c r="A291"/>
      <c r="B291"/>
      <c r="C291"/>
      <c r="D291"/>
      <c r="E291"/>
      <c r="F291"/>
      <c r="G291"/>
      <c r="I291" s="92"/>
    </row>
    <row r="292" spans="1:9" x14ac:dyDescent="0.3">
      <c r="A292"/>
      <c r="B292"/>
      <c r="C292"/>
      <c r="D292"/>
      <c r="E292"/>
      <c r="F292"/>
      <c r="G292"/>
      <c r="I292" s="92"/>
    </row>
    <row r="293" spans="1:9" x14ac:dyDescent="0.3">
      <c r="A293"/>
      <c r="B293"/>
      <c r="C293"/>
      <c r="D293"/>
      <c r="E293"/>
      <c r="F293"/>
      <c r="G293"/>
      <c r="I293" s="92"/>
    </row>
    <row r="294" spans="1:9" x14ac:dyDescent="0.3">
      <c r="A294"/>
      <c r="B294"/>
      <c r="C294"/>
      <c r="D294"/>
      <c r="E294"/>
      <c r="F294"/>
      <c r="G294"/>
      <c r="I294" s="92"/>
    </row>
    <row r="295" spans="1:9" x14ac:dyDescent="0.3">
      <c r="A295"/>
      <c r="B295"/>
      <c r="C295"/>
      <c r="D295"/>
      <c r="E295"/>
      <c r="F295"/>
      <c r="G295"/>
      <c r="I295" s="92"/>
    </row>
    <row r="296" spans="1:9" x14ac:dyDescent="0.3">
      <c r="A296"/>
      <c r="B296"/>
      <c r="C296"/>
      <c r="D296"/>
      <c r="E296"/>
      <c r="F296"/>
      <c r="G296"/>
      <c r="I296" s="92"/>
    </row>
    <row r="297" spans="1:9" x14ac:dyDescent="0.3">
      <c r="A297"/>
      <c r="B297"/>
      <c r="C297"/>
      <c r="D297"/>
      <c r="E297"/>
      <c r="F297"/>
      <c r="G297"/>
      <c r="I297" s="92"/>
    </row>
    <row r="298" spans="1:9" x14ac:dyDescent="0.3">
      <c r="A298"/>
      <c r="B298"/>
      <c r="C298"/>
      <c r="D298"/>
      <c r="E298"/>
      <c r="F298"/>
      <c r="G298"/>
      <c r="I298" s="92"/>
    </row>
    <row r="299" spans="1:9" x14ac:dyDescent="0.3">
      <c r="A299"/>
      <c r="B299"/>
      <c r="C299"/>
      <c r="D299"/>
      <c r="E299"/>
      <c r="F299"/>
      <c r="G299"/>
      <c r="I299" s="92"/>
    </row>
    <row r="300" spans="1:9" x14ac:dyDescent="0.3">
      <c r="A300"/>
      <c r="B300"/>
      <c r="C300"/>
      <c r="D300"/>
      <c r="E300"/>
      <c r="F300"/>
      <c r="G300"/>
      <c r="I300" s="92"/>
    </row>
    <row r="301" spans="1:9" x14ac:dyDescent="0.3">
      <c r="A301"/>
      <c r="B301"/>
      <c r="C301"/>
      <c r="D301"/>
      <c r="E301"/>
      <c r="F301"/>
      <c r="G301"/>
      <c r="I301" s="92"/>
    </row>
    <row r="302" spans="1:9" x14ac:dyDescent="0.3">
      <c r="A302"/>
      <c r="B302"/>
      <c r="C302"/>
      <c r="D302"/>
      <c r="E302"/>
      <c r="F302"/>
      <c r="G302"/>
      <c r="I302" s="92"/>
    </row>
    <row r="303" spans="1:9" x14ac:dyDescent="0.3">
      <c r="A303"/>
      <c r="B303"/>
      <c r="C303"/>
      <c r="D303"/>
      <c r="E303"/>
      <c r="F303"/>
      <c r="G303"/>
      <c r="I303" s="92"/>
    </row>
    <row r="304" spans="1:9" x14ac:dyDescent="0.3">
      <c r="A304"/>
      <c r="B304"/>
      <c r="C304"/>
      <c r="D304"/>
      <c r="E304"/>
      <c r="F304"/>
      <c r="G304"/>
      <c r="I304" s="92"/>
    </row>
    <row r="305" spans="1:9" x14ac:dyDescent="0.3">
      <c r="A305"/>
      <c r="B305"/>
      <c r="C305"/>
      <c r="D305"/>
      <c r="E305"/>
      <c r="F305"/>
      <c r="G305"/>
      <c r="I305" s="92"/>
    </row>
    <row r="306" spans="1:9" x14ac:dyDescent="0.3">
      <c r="A306"/>
      <c r="B306"/>
      <c r="C306"/>
      <c r="D306"/>
      <c r="E306"/>
      <c r="F306"/>
      <c r="G306"/>
      <c r="I306" s="92"/>
    </row>
    <row r="307" spans="1:9" x14ac:dyDescent="0.3">
      <c r="A307"/>
      <c r="B307"/>
      <c r="C307"/>
      <c r="D307"/>
      <c r="E307"/>
      <c r="F307"/>
      <c r="G307"/>
      <c r="I307" s="92"/>
    </row>
    <row r="308" spans="1:9" x14ac:dyDescent="0.3">
      <c r="A308"/>
      <c r="B308"/>
      <c r="C308"/>
      <c r="D308"/>
      <c r="E308"/>
      <c r="F308"/>
      <c r="G308"/>
      <c r="I308" s="92"/>
    </row>
    <row r="309" spans="1:9" x14ac:dyDescent="0.3">
      <c r="A309"/>
      <c r="B309"/>
      <c r="C309"/>
      <c r="D309"/>
      <c r="E309"/>
      <c r="F309"/>
      <c r="G309"/>
      <c r="I309" s="92"/>
    </row>
    <row r="310" spans="1:9" x14ac:dyDescent="0.3">
      <c r="A310"/>
      <c r="B310"/>
      <c r="C310"/>
      <c r="D310"/>
      <c r="E310"/>
      <c r="F310"/>
      <c r="G310"/>
      <c r="I310" s="92"/>
    </row>
    <row r="311" spans="1:9" x14ac:dyDescent="0.3">
      <c r="A311"/>
      <c r="B311"/>
      <c r="C311"/>
      <c r="D311"/>
      <c r="E311"/>
      <c r="F311"/>
      <c r="G311"/>
      <c r="I311" s="92"/>
    </row>
    <row r="312" spans="1:9" x14ac:dyDescent="0.3">
      <c r="A312"/>
      <c r="B312"/>
      <c r="C312"/>
      <c r="D312"/>
      <c r="E312"/>
      <c r="F312"/>
      <c r="G312"/>
      <c r="I312" s="92"/>
    </row>
    <row r="313" spans="1:9" x14ac:dyDescent="0.3">
      <c r="A313"/>
      <c r="B313"/>
      <c r="C313"/>
      <c r="D313"/>
      <c r="E313"/>
      <c r="F313"/>
      <c r="G313"/>
      <c r="I313" s="92"/>
    </row>
    <row r="314" spans="1:9" x14ac:dyDescent="0.3">
      <c r="A314"/>
      <c r="B314"/>
      <c r="C314"/>
      <c r="D314"/>
      <c r="E314"/>
      <c r="F314"/>
      <c r="G314"/>
      <c r="I314" s="92"/>
    </row>
    <row r="315" spans="1:9" x14ac:dyDescent="0.3">
      <c r="A315"/>
      <c r="B315"/>
      <c r="C315"/>
      <c r="D315"/>
      <c r="E315"/>
      <c r="F315"/>
      <c r="G315"/>
      <c r="I315" s="92"/>
    </row>
    <row r="316" spans="1:9" x14ac:dyDescent="0.3">
      <c r="A316"/>
      <c r="B316"/>
      <c r="C316"/>
      <c r="D316"/>
      <c r="E316"/>
      <c r="F316"/>
      <c r="G316"/>
      <c r="I316" s="92"/>
    </row>
    <row r="317" spans="1:9" x14ac:dyDescent="0.3">
      <c r="A317"/>
      <c r="B317"/>
      <c r="C317"/>
      <c r="D317"/>
      <c r="E317"/>
      <c r="F317"/>
      <c r="G317"/>
      <c r="I317" s="92"/>
    </row>
    <row r="318" spans="1:9" x14ac:dyDescent="0.3">
      <c r="A318"/>
      <c r="B318"/>
      <c r="C318"/>
      <c r="D318"/>
      <c r="E318"/>
      <c r="F318"/>
      <c r="G318"/>
      <c r="I318" s="92"/>
    </row>
    <row r="319" spans="1:9" x14ac:dyDescent="0.3">
      <c r="A319"/>
      <c r="B319"/>
      <c r="C319"/>
      <c r="D319"/>
      <c r="E319"/>
      <c r="F319"/>
      <c r="G319"/>
      <c r="I319" s="92"/>
    </row>
    <row r="320" spans="1:9" x14ac:dyDescent="0.3">
      <c r="A320"/>
      <c r="B320"/>
      <c r="C320"/>
      <c r="D320"/>
      <c r="E320"/>
      <c r="F320"/>
      <c r="G320"/>
      <c r="I320" s="92"/>
    </row>
    <row r="321" spans="1:9" x14ac:dyDescent="0.3">
      <c r="A321"/>
      <c r="B321"/>
      <c r="C321"/>
      <c r="D321"/>
      <c r="E321"/>
      <c r="F321"/>
      <c r="G321"/>
      <c r="I321" s="92"/>
    </row>
    <row r="322" spans="1:9" x14ac:dyDescent="0.3">
      <c r="A322"/>
      <c r="B322"/>
      <c r="C322"/>
      <c r="D322"/>
      <c r="E322"/>
      <c r="F322"/>
      <c r="G322"/>
      <c r="I322" s="92"/>
    </row>
    <row r="323" spans="1:9" x14ac:dyDescent="0.3">
      <c r="A323"/>
      <c r="B323"/>
      <c r="C323"/>
      <c r="D323"/>
      <c r="E323"/>
      <c r="F323"/>
      <c r="G323"/>
      <c r="I323" s="92"/>
    </row>
    <row r="324" spans="1:9" x14ac:dyDescent="0.3">
      <c r="A324"/>
      <c r="B324"/>
      <c r="C324"/>
      <c r="D324"/>
      <c r="E324"/>
      <c r="F324"/>
      <c r="G324"/>
      <c r="I324" s="92"/>
    </row>
    <row r="325" spans="1:9" x14ac:dyDescent="0.3">
      <c r="A325"/>
      <c r="B325"/>
      <c r="C325"/>
      <c r="D325"/>
      <c r="E325"/>
      <c r="F325"/>
      <c r="G325"/>
      <c r="I325" s="92"/>
    </row>
    <row r="326" spans="1:9" x14ac:dyDescent="0.3">
      <c r="A326"/>
      <c r="B326"/>
      <c r="C326"/>
      <c r="D326"/>
      <c r="E326"/>
      <c r="F326"/>
      <c r="G326"/>
      <c r="I326" s="92"/>
    </row>
    <row r="327" spans="1:9" x14ac:dyDescent="0.3">
      <c r="A327"/>
      <c r="B327"/>
      <c r="C327"/>
      <c r="D327"/>
      <c r="E327"/>
      <c r="F327"/>
      <c r="G327"/>
      <c r="I327" s="92"/>
    </row>
    <row r="328" spans="1:9" x14ac:dyDescent="0.3">
      <c r="A328"/>
      <c r="B328"/>
      <c r="C328"/>
      <c r="D328"/>
      <c r="E328"/>
      <c r="F328"/>
      <c r="G328"/>
      <c r="I328" s="92"/>
    </row>
    <row r="329" spans="1:9" x14ac:dyDescent="0.3">
      <c r="A329"/>
      <c r="B329"/>
      <c r="C329"/>
      <c r="D329"/>
      <c r="E329"/>
      <c r="F329"/>
      <c r="G329"/>
      <c r="I329" s="92"/>
    </row>
    <row r="330" spans="1:9" x14ac:dyDescent="0.3">
      <c r="A330"/>
      <c r="B330"/>
      <c r="C330"/>
      <c r="D330"/>
      <c r="E330"/>
      <c r="F330"/>
      <c r="G330"/>
      <c r="I330" s="92"/>
    </row>
    <row r="331" spans="1:9" x14ac:dyDescent="0.3">
      <c r="A331"/>
      <c r="B331"/>
      <c r="C331"/>
      <c r="D331"/>
      <c r="E331"/>
      <c r="F331"/>
      <c r="G331"/>
      <c r="I331" s="92"/>
    </row>
    <row r="332" spans="1:9" x14ac:dyDescent="0.3">
      <c r="A332"/>
      <c r="B332"/>
      <c r="C332"/>
      <c r="D332"/>
      <c r="E332"/>
      <c r="F332"/>
      <c r="G332"/>
      <c r="I332" s="92"/>
    </row>
    <row r="333" spans="1:9" x14ac:dyDescent="0.3">
      <c r="A333"/>
      <c r="B333"/>
      <c r="C333"/>
      <c r="D333"/>
      <c r="E333"/>
      <c r="F333"/>
      <c r="G333"/>
      <c r="I333" s="92"/>
    </row>
    <row r="334" spans="1:9" x14ac:dyDescent="0.3">
      <c r="A334"/>
      <c r="B334"/>
      <c r="C334"/>
      <c r="D334"/>
      <c r="E334"/>
      <c r="F334"/>
      <c r="G334"/>
      <c r="I334" s="92"/>
    </row>
    <row r="335" spans="1:9" x14ac:dyDescent="0.3">
      <c r="A335"/>
      <c r="B335"/>
      <c r="C335"/>
      <c r="D335"/>
      <c r="E335"/>
      <c r="F335"/>
      <c r="G335"/>
      <c r="I335" s="92"/>
    </row>
    <row r="336" spans="1:9" x14ac:dyDescent="0.3">
      <c r="A336"/>
      <c r="B336"/>
      <c r="C336"/>
      <c r="D336"/>
      <c r="E336"/>
      <c r="F336"/>
      <c r="G336"/>
      <c r="I336" s="92"/>
    </row>
    <row r="337" spans="1:9" x14ac:dyDescent="0.3">
      <c r="A337"/>
      <c r="B337"/>
      <c r="C337"/>
      <c r="D337"/>
      <c r="E337"/>
      <c r="F337"/>
      <c r="G337"/>
      <c r="I337" s="92"/>
    </row>
    <row r="338" spans="1:9" x14ac:dyDescent="0.3">
      <c r="A338"/>
      <c r="B338"/>
      <c r="C338"/>
      <c r="D338"/>
      <c r="E338"/>
      <c r="F338"/>
      <c r="G338"/>
      <c r="I338" s="92"/>
    </row>
    <row r="339" spans="1:9" x14ac:dyDescent="0.3">
      <c r="A339"/>
      <c r="B339"/>
      <c r="C339"/>
      <c r="D339"/>
      <c r="E339"/>
      <c r="F339"/>
      <c r="G339"/>
      <c r="I339" s="92"/>
    </row>
    <row r="340" spans="1:9" x14ac:dyDescent="0.3">
      <c r="A340"/>
      <c r="B340"/>
      <c r="C340"/>
      <c r="D340"/>
      <c r="E340"/>
      <c r="F340"/>
      <c r="G340"/>
      <c r="I340" s="92"/>
    </row>
    <row r="341" spans="1:9" x14ac:dyDescent="0.3">
      <c r="A341"/>
      <c r="B341"/>
      <c r="C341"/>
      <c r="D341"/>
      <c r="E341"/>
      <c r="F341"/>
      <c r="G341"/>
      <c r="I341" s="92"/>
    </row>
    <row r="342" spans="1:9" x14ac:dyDescent="0.3">
      <c r="A342"/>
      <c r="B342"/>
      <c r="C342"/>
      <c r="D342"/>
      <c r="E342"/>
      <c r="F342"/>
      <c r="G342"/>
      <c r="I342" s="92"/>
    </row>
    <row r="343" spans="1:9" x14ac:dyDescent="0.3">
      <c r="A343"/>
      <c r="B343"/>
      <c r="C343"/>
      <c r="D343"/>
      <c r="E343"/>
      <c r="F343"/>
      <c r="G343"/>
      <c r="I343" s="92"/>
    </row>
    <row r="344" spans="1:9" x14ac:dyDescent="0.3">
      <c r="A344"/>
      <c r="B344"/>
      <c r="C344"/>
      <c r="D344"/>
      <c r="E344"/>
      <c r="F344"/>
      <c r="G344"/>
      <c r="I344" s="92"/>
    </row>
    <row r="345" spans="1:9" x14ac:dyDescent="0.3">
      <c r="A345"/>
      <c r="B345"/>
      <c r="C345"/>
      <c r="D345"/>
      <c r="E345"/>
      <c r="F345"/>
      <c r="G345"/>
      <c r="I345" s="92"/>
    </row>
    <row r="346" spans="1:9" x14ac:dyDescent="0.3">
      <c r="A346"/>
      <c r="B346"/>
      <c r="C346"/>
      <c r="D346"/>
      <c r="E346"/>
      <c r="F346"/>
      <c r="G346"/>
      <c r="I346" s="92"/>
    </row>
    <row r="347" spans="1:9" x14ac:dyDescent="0.3">
      <c r="A347"/>
      <c r="B347"/>
      <c r="C347"/>
      <c r="D347"/>
      <c r="E347"/>
      <c r="F347"/>
      <c r="G347"/>
      <c r="I347" s="92"/>
    </row>
    <row r="348" spans="1:9" x14ac:dyDescent="0.3">
      <c r="A348"/>
      <c r="B348"/>
      <c r="C348"/>
      <c r="D348"/>
      <c r="E348"/>
      <c r="F348"/>
      <c r="G348"/>
      <c r="I348" s="92"/>
    </row>
    <row r="349" spans="1:9" x14ac:dyDescent="0.3">
      <c r="A349"/>
      <c r="B349"/>
      <c r="C349"/>
      <c r="D349"/>
      <c r="E349"/>
      <c r="F349"/>
      <c r="G349"/>
      <c r="I349" s="92"/>
    </row>
    <row r="350" spans="1:9" x14ac:dyDescent="0.3">
      <c r="A350"/>
      <c r="B350"/>
      <c r="C350"/>
      <c r="D350"/>
      <c r="E350"/>
      <c r="F350"/>
      <c r="G350"/>
      <c r="I350" s="92"/>
    </row>
    <row r="351" spans="1:9" x14ac:dyDescent="0.3">
      <c r="A351"/>
      <c r="B351"/>
      <c r="C351"/>
      <c r="D351"/>
      <c r="E351"/>
      <c r="F351"/>
      <c r="G351"/>
      <c r="I351" s="92"/>
    </row>
    <row r="352" spans="1:9" x14ac:dyDescent="0.3">
      <c r="A352"/>
      <c r="B352"/>
      <c r="C352"/>
      <c r="D352"/>
      <c r="E352"/>
      <c r="F352"/>
      <c r="G352"/>
      <c r="I352" s="92"/>
    </row>
    <row r="353" spans="1:9" x14ac:dyDescent="0.3">
      <c r="A353"/>
      <c r="B353"/>
      <c r="C353"/>
      <c r="D353"/>
      <c r="E353"/>
      <c r="F353"/>
      <c r="G353"/>
      <c r="I353" s="92"/>
    </row>
    <row r="354" spans="1:9" x14ac:dyDescent="0.3">
      <c r="A354"/>
      <c r="B354"/>
      <c r="C354"/>
      <c r="D354"/>
      <c r="E354"/>
      <c r="F354"/>
      <c r="G354"/>
      <c r="I354" s="92"/>
    </row>
    <row r="355" spans="1:9" x14ac:dyDescent="0.3">
      <c r="A355"/>
      <c r="B355"/>
      <c r="C355"/>
      <c r="D355"/>
      <c r="E355"/>
      <c r="F355"/>
      <c r="G355"/>
      <c r="I355" s="92"/>
    </row>
    <row r="356" spans="1:9" x14ac:dyDescent="0.3">
      <c r="A356"/>
      <c r="B356"/>
      <c r="C356"/>
      <c r="D356"/>
      <c r="E356"/>
      <c r="F356"/>
      <c r="G356"/>
      <c r="I356" s="92"/>
    </row>
    <row r="357" spans="1:9" x14ac:dyDescent="0.3">
      <c r="A357"/>
      <c r="B357"/>
      <c r="C357"/>
      <c r="D357"/>
      <c r="E357"/>
      <c r="F357"/>
      <c r="G357"/>
      <c r="I357" s="92"/>
    </row>
    <row r="358" spans="1:9" x14ac:dyDescent="0.3">
      <c r="A358"/>
      <c r="B358"/>
      <c r="C358"/>
      <c r="D358"/>
      <c r="E358"/>
      <c r="F358"/>
      <c r="G358"/>
      <c r="I358" s="92"/>
    </row>
    <row r="359" spans="1:9" x14ac:dyDescent="0.3">
      <c r="A359"/>
      <c r="B359"/>
      <c r="C359"/>
      <c r="D359"/>
      <c r="E359"/>
      <c r="F359"/>
      <c r="G359"/>
      <c r="I359" s="92"/>
    </row>
    <row r="360" spans="1:9" x14ac:dyDescent="0.3">
      <c r="A360"/>
      <c r="B360"/>
      <c r="C360"/>
      <c r="D360"/>
      <c r="E360"/>
      <c r="F360"/>
      <c r="G360"/>
      <c r="I360" s="92"/>
    </row>
    <row r="361" spans="1:9" x14ac:dyDescent="0.3">
      <c r="A361"/>
      <c r="B361"/>
      <c r="C361"/>
      <c r="D361"/>
      <c r="E361"/>
      <c r="F361"/>
      <c r="G361"/>
      <c r="I361" s="92"/>
    </row>
    <row r="362" spans="1:9" x14ac:dyDescent="0.3">
      <c r="A362"/>
      <c r="B362"/>
      <c r="C362"/>
      <c r="D362"/>
      <c r="E362"/>
      <c r="F362"/>
      <c r="G362"/>
      <c r="I362" s="92"/>
    </row>
    <row r="363" spans="1:9" x14ac:dyDescent="0.3">
      <c r="A363"/>
      <c r="B363"/>
      <c r="C363"/>
      <c r="D363"/>
      <c r="E363"/>
      <c r="F363"/>
      <c r="G363"/>
      <c r="I363" s="92"/>
    </row>
    <row r="364" spans="1:9" x14ac:dyDescent="0.3">
      <c r="A364"/>
      <c r="B364"/>
      <c r="C364"/>
      <c r="D364"/>
      <c r="E364"/>
      <c r="F364"/>
      <c r="G364"/>
      <c r="I364" s="92"/>
    </row>
    <row r="365" spans="1:9" x14ac:dyDescent="0.3">
      <c r="A365"/>
      <c r="B365"/>
      <c r="C365"/>
      <c r="D365"/>
      <c r="E365"/>
      <c r="F365"/>
      <c r="G365"/>
      <c r="I365" s="92"/>
    </row>
    <row r="366" spans="1:9" x14ac:dyDescent="0.3">
      <c r="A366"/>
      <c r="B366"/>
      <c r="C366"/>
      <c r="D366"/>
      <c r="E366"/>
      <c r="F366"/>
      <c r="G366"/>
      <c r="I366" s="92"/>
    </row>
    <row r="367" spans="1:9" x14ac:dyDescent="0.3">
      <c r="A367"/>
      <c r="B367"/>
      <c r="C367"/>
      <c r="D367"/>
      <c r="E367"/>
      <c r="F367"/>
      <c r="G367"/>
      <c r="I367" s="92"/>
    </row>
    <row r="368" spans="1:9" x14ac:dyDescent="0.3">
      <c r="A368"/>
      <c r="B368"/>
      <c r="C368"/>
      <c r="D368"/>
      <c r="E368"/>
      <c r="F368"/>
      <c r="G368"/>
      <c r="I368" s="92"/>
    </row>
    <row r="369" spans="1:9" x14ac:dyDescent="0.3">
      <c r="A369"/>
      <c r="B369"/>
      <c r="C369"/>
      <c r="D369"/>
      <c r="E369"/>
      <c r="F369"/>
      <c r="G369"/>
      <c r="I369" s="92"/>
    </row>
    <row r="370" spans="1:9" x14ac:dyDescent="0.3">
      <c r="A370"/>
      <c r="B370"/>
      <c r="C370"/>
      <c r="D370"/>
      <c r="E370"/>
      <c r="F370"/>
      <c r="G370"/>
      <c r="I370" s="92"/>
    </row>
    <row r="371" spans="1:9" x14ac:dyDescent="0.3">
      <c r="A371"/>
      <c r="B371"/>
      <c r="C371"/>
      <c r="D371"/>
      <c r="E371"/>
      <c r="F371"/>
      <c r="G371"/>
      <c r="I371" s="92"/>
    </row>
    <row r="372" spans="1:9" x14ac:dyDescent="0.3">
      <c r="A372"/>
      <c r="B372"/>
      <c r="C372"/>
      <c r="D372"/>
      <c r="E372"/>
      <c r="F372"/>
      <c r="G372"/>
      <c r="I372" s="92"/>
    </row>
    <row r="373" spans="1:9" x14ac:dyDescent="0.3">
      <c r="A373"/>
      <c r="B373"/>
      <c r="C373"/>
      <c r="D373"/>
      <c r="E373"/>
      <c r="F373"/>
      <c r="G373"/>
      <c r="I373" s="92"/>
    </row>
    <row r="374" spans="1:9" x14ac:dyDescent="0.3">
      <c r="A374"/>
      <c r="B374"/>
      <c r="C374"/>
      <c r="D374"/>
      <c r="E374"/>
      <c r="F374"/>
      <c r="G374"/>
      <c r="I374" s="92"/>
    </row>
    <row r="375" spans="1:9" x14ac:dyDescent="0.3">
      <c r="A375"/>
      <c r="B375"/>
      <c r="C375"/>
      <c r="D375"/>
      <c r="E375"/>
      <c r="F375"/>
      <c r="G375"/>
      <c r="I375" s="92"/>
    </row>
    <row r="376" spans="1:9" x14ac:dyDescent="0.3">
      <c r="A376"/>
      <c r="B376"/>
      <c r="C376"/>
      <c r="D376"/>
      <c r="E376"/>
      <c r="F376"/>
      <c r="G376"/>
      <c r="I376" s="92"/>
    </row>
    <row r="377" spans="1:9" x14ac:dyDescent="0.3">
      <c r="A377"/>
      <c r="B377"/>
      <c r="C377"/>
      <c r="D377"/>
      <c r="E377"/>
      <c r="F377"/>
      <c r="G377"/>
      <c r="I377" s="92"/>
    </row>
    <row r="378" spans="1:9" x14ac:dyDescent="0.3">
      <c r="A378"/>
      <c r="B378"/>
      <c r="C378"/>
      <c r="D378"/>
      <c r="E378"/>
      <c r="F378"/>
      <c r="G378"/>
      <c r="I378" s="92"/>
    </row>
    <row r="379" spans="1:9" x14ac:dyDescent="0.3">
      <c r="A379"/>
      <c r="B379"/>
      <c r="C379"/>
      <c r="D379"/>
      <c r="E379"/>
      <c r="F379"/>
      <c r="G379"/>
      <c r="I379" s="92"/>
    </row>
    <row r="380" spans="1:9" x14ac:dyDescent="0.3">
      <c r="A380"/>
      <c r="B380"/>
      <c r="C380"/>
      <c r="D380"/>
      <c r="E380"/>
      <c r="F380"/>
      <c r="G380"/>
      <c r="I380" s="92"/>
    </row>
    <row r="381" spans="1:9" x14ac:dyDescent="0.3">
      <c r="A381"/>
      <c r="B381"/>
      <c r="C381"/>
      <c r="D381"/>
      <c r="E381"/>
      <c r="F381"/>
      <c r="G381"/>
      <c r="I381" s="92"/>
    </row>
    <row r="382" spans="1:9" x14ac:dyDescent="0.3">
      <c r="A382"/>
      <c r="B382"/>
      <c r="C382"/>
      <c r="D382"/>
      <c r="E382"/>
      <c r="F382"/>
      <c r="G382"/>
      <c r="I382" s="92"/>
    </row>
    <row r="383" spans="1:9" x14ac:dyDescent="0.3">
      <c r="A383"/>
      <c r="B383"/>
      <c r="C383"/>
      <c r="D383"/>
      <c r="E383"/>
      <c r="F383"/>
      <c r="G383"/>
      <c r="I383" s="92"/>
    </row>
    <row r="384" spans="1:9" x14ac:dyDescent="0.3">
      <c r="A384"/>
      <c r="B384"/>
      <c r="C384"/>
      <c r="D384"/>
      <c r="E384"/>
      <c r="F384"/>
      <c r="G384"/>
      <c r="I384" s="92"/>
    </row>
    <row r="385" spans="1:9" x14ac:dyDescent="0.3">
      <c r="A385"/>
      <c r="B385"/>
      <c r="C385"/>
      <c r="D385"/>
      <c r="E385"/>
      <c r="F385"/>
      <c r="G385"/>
      <c r="I385" s="92"/>
    </row>
    <row r="386" spans="1:9" x14ac:dyDescent="0.3">
      <c r="A386"/>
      <c r="B386"/>
      <c r="C386"/>
      <c r="D386"/>
      <c r="E386"/>
      <c r="F386"/>
      <c r="G386"/>
      <c r="I386" s="92"/>
    </row>
    <row r="387" spans="1:9" x14ac:dyDescent="0.3">
      <c r="A387"/>
      <c r="B387"/>
      <c r="C387"/>
      <c r="D387"/>
      <c r="E387"/>
      <c r="F387"/>
      <c r="G387"/>
      <c r="I387" s="92"/>
    </row>
    <row r="388" spans="1:9" x14ac:dyDescent="0.3">
      <c r="A388"/>
      <c r="B388"/>
      <c r="C388"/>
      <c r="D388"/>
      <c r="E388"/>
      <c r="F388"/>
      <c r="G388"/>
      <c r="I388" s="92"/>
    </row>
    <row r="389" spans="1:9" x14ac:dyDescent="0.3">
      <c r="A389"/>
      <c r="B389"/>
      <c r="C389"/>
      <c r="D389"/>
      <c r="E389"/>
      <c r="F389"/>
      <c r="G389"/>
      <c r="I389" s="92"/>
    </row>
    <row r="390" spans="1:9" x14ac:dyDescent="0.3">
      <c r="A390"/>
      <c r="B390"/>
      <c r="C390"/>
      <c r="D390"/>
      <c r="E390"/>
      <c r="F390"/>
      <c r="G390"/>
      <c r="I390" s="92"/>
    </row>
    <row r="391" spans="1:9" x14ac:dyDescent="0.3">
      <c r="A391"/>
      <c r="B391"/>
      <c r="C391"/>
      <c r="D391"/>
      <c r="E391"/>
      <c r="F391"/>
      <c r="G391"/>
      <c r="I391" s="92"/>
    </row>
    <row r="392" spans="1:9" x14ac:dyDescent="0.3">
      <c r="A392"/>
      <c r="B392"/>
      <c r="C392"/>
      <c r="D392"/>
      <c r="E392"/>
      <c r="F392"/>
      <c r="G392"/>
      <c r="I392" s="92"/>
    </row>
    <row r="393" spans="1:9" x14ac:dyDescent="0.3">
      <c r="A393"/>
      <c r="B393"/>
      <c r="C393"/>
      <c r="D393"/>
      <c r="E393"/>
      <c r="F393"/>
      <c r="G393"/>
      <c r="I393" s="92"/>
    </row>
    <row r="394" spans="1:9" x14ac:dyDescent="0.3">
      <c r="A394"/>
      <c r="B394"/>
      <c r="C394"/>
      <c r="D394"/>
      <c r="E394"/>
      <c r="F394"/>
      <c r="G394"/>
      <c r="I394" s="92"/>
    </row>
    <row r="395" spans="1:9" x14ac:dyDescent="0.3">
      <c r="A395"/>
      <c r="B395"/>
      <c r="C395"/>
      <c r="D395"/>
      <c r="E395"/>
      <c r="F395"/>
      <c r="G395"/>
      <c r="I395" s="92"/>
    </row>
    <row r="396" spans="1:9" x14ac:dyDescent="0.3">
      <c r="A396"/>
      <c r="B396"/>
      <c r="C396"/>
      <c r="D396"/>
      <c r="E396"/>
      <c r="F396"/>
      <c r="G396"/>
      <c r="I396" s="92"/>
    </row>
    <row r="397" spans="1:9" x14ac:dyDescent="0.3">
      <c r="A397"/>
      <c r="B397"/>
      <c r="C397"/>
      <c r="D397"/>
      <c r="E397"/>
      <c r="F397"/>
      <c r="G397"/>
      <c r="I397" s="92"/>
    </row>
    <row r="398" spans="1:9" x14ac:dyDescent="0.3">
      <c r="A398"/>
      <c r="B398"/>
      <c r="C398"/>
      <c r="D398"/>
      <c r="E398"/>
      <c r="F398"/>
      <c r="G398"/>
      <c r="I398" s="92"/>
    </row>
    <row r="399" spans="1:9" x14ac:dyDescent="0.3">
      <c r="A399"/>
      <c r="B399"/>
      <c r="C399"/>
      <c r="D399"/>
      <c r="E399"/>
      <c r="F399"/>
      <c r="G399"/>
      <c r="I399" s="92"/>
    </row>
    <row r="400" spans="1:9" x14ac:dyDescent="0.3">
      <c r="A400"/>
      <c r="B400"/>
      <c r="C400"/>
      <c r="D400"/>
      <c r="E400"/>
      <c r="F400"/>
      <c r="G400"/>
      <c r="I400" s="92"/>
    </row>
    <row r="401" spans="1:9" x14ac:dyDescent="0.3">
      <c r="A401"/>
      <c r="B401"/>
      <c r="C401"/>
      <c r="D401"/>
      <c r="E401"/>
      <c r="F401"/>
      <c r="G401"/>
      <c r="I401" s="92"/>
    </row>
    <row r="402" spans="1:9" x14ac:dyDescent="0.3">
      <c r="A402"/>
      <c r="B402"/>
      <c r="C402"/>
      <c r="D402"/>
      <c r="E402"/>
      <c r="F402"/>
      <c r="G402"/>
      <c r="I402" s="92"/>
    </row>
    <row r="403" spans="1:9" x14ac:dyDescent="0.3">
      <c r="A403"/>
      <c r="B403"/>
      <c r="C403"/>
      <c r="D403"/>
      <c r="E403"/>
      <c r="F403"/>
      <c r="G403"/>
      <c r="I403" s="92"/>
    </row>
    <row r="404" spans="1:9" x14ac:dyDescent="0.3">
      <c r="A404"/>
      <c r="B404"/>
      <c r="C404"/>
      <c r="D404"/>
      <c r="E404"/>
      <c r="F404"/>
      <c r="G404"/>
      <c r="I404" s="92"/>
    </row>
    <row r="405" spans="1:9" x14ac:dyDescent="0.3">
      <c r="A405"/>
      <c r="B405"/>
      <c r="C405"/>
      <c r="D405"/>
      <c r="E405"/>
      <c r="F405"/>
      <c r="G405"/>
      <c r="I405" s="92"/>
    </row>
    <row r="406" spans="1:9" x14ac:dyDescent="0.3">
      <c r="A406"/>
      <c r="B406"/>
      <c r="C406"/>
      <c r="D406"/>
      <c r="E406"/>
      <c r="F406"/>
      <c r="G406"/>
      <c r="I406" s="92"/>
    </row>
    <row r="407" spans="1:9" x14ac:dyDescent="0.3">
      <c r="A407"/>
      <c r="B407"/>
      <c r="C407"/>
      <c r="D407"/>
      <c r="E407"/>
      <c r="F407"/>
      <c r="G407"/>
      <c r="I407" s="92"/>
    </row>
    <row r="408" spans="1:9" x14ac:dyDescent="0.3">
      <c r="A408"/>
      <c r="B408"/>
      <c r="C408"/>
      <c r="D408"/>
      <c r="E408"/>
      <c r="F408"/>
      <c r="G408"/>
      <c r="I408" s="92"/>
    </row>
    <row r="409" spans="1:9" x14ac:dyDescent="0.3">
      <c r="A409"/>
      <c r="B409"/>
      <c r="C409"/>
      <c r="D409"/>
      <c r="E409"/>
      <c r="F409"/>
      <c r="G409"/>
      <c r="I409" s="92"/>
    </row>
    <row r="410" spans="1:9" x14ac:dyDescent="0.3">
      <c r="A410"/>
      <c r="B410"/>
      <c r="C410"/>
      <c r="D410"/>
      <c r="E410"/>
      <c r="F410"/>
      <c r="G410"/>
      <c r="I410" s="92"/>
    </row>
    <row r="411" spans="1:9" x14ac:dyDescent="0.3">
      <c r="A411"/>
      <c r="B411"/>
      <c r="C411"/>
      <c r="D411"/>
      <c r="E411"/>
      <c r="F411"/>
      <c r="G411"/>
      <c r="I411" s="92"/>
    </row>
    <row r="412" spans="1:9" x14ac:dyDescent="0.3">
      <c r="A412"/>
      <c r="B412"/>
      <c r="C412"/>
      <c r="D412"/>
      <c r="E412"/>
      <c r="F412"/>
      <c r="G412"/>
      <c r="I412" s="92"/>
    </row>
    <row r="413" spans="1:9" x14ac:dyDescent="0.3">
      <c r="A413"/>
      <c r="B413"/>
      <c r="C413"/>
      <c r="D413"/>
      <c r="E413"/>
      <c r="F413"/>
      <c r="G413"/>
      <c r="I413" s="92"/>
    </row>
    <row r="414" spans="1:9" x14ac:dyDescent="0.3">
      <c r="A414"/>
      <c r="B414"/>
      <c r="C414"/>
      <c r="D414"/>
      <c r="E414"/>
      <c r="F414"/>
      <c r="G414"/>
      <c r="I414" s="92"/>
    </row>
    <row r="415" spans="1:9" x14ac:dyDescent="0.3">
      <c r="A415"/>
      <c r="B415"/>
      <c r="C415"/>
      <c r="D415"/>
      <c r="E415"/>
      <c r="F415"/>
      <c r="G415"/>
      <c r="I415" s="92"/>
    </row>
    <row r="416" spans="1:9" x14ac:dyDescent="0.3">
      <c r="A416"/>
      <c r="B416"/>
      <c r="C416"/>
      <c r="D416"/>
      <c r="E416"/>
      <c r="F416"/>
      <c r="G416"/>
      <c r="I416" s="92"/>
    </row>
    <row r="417" spans="1:9" x14ac:dyDescent="0.3">
      <c r="A417"/>
      <c r="B417"/>
      <c r="C417"/>
      <c r="D417"/>
      <c r="E417"/>
      <c r="F417"/>
      <c r="G417"/>
      <c r="I417" s="92"/>
    </row>
    <row r="418" spans="1:9" x14ac:dyDescent="0.3">
      <c r="A418"/>
      <c r="B418"/>
      <c r="C418"/>
      <c r="D418"/>
    </row>
    <row r="419" spans="1:9" x14ac:dyDescent="0.3">
      <c r="A419"/>
      <c r="B419"/>
      <c r="C419"/>
      <c r="D419"/>
    </row>
    <row r="420" spans="1:9" x14ac:dyDescent="0.3">
      <c r="A420"/>
      <c r="B420"/>
      <c r="C420"/>
      <c r="D420"/>
    </row>
    <row r="421" spans="1:9" x14ac:dyDescent="0.3">
      <c r="A421"/>
      <c r="B421"/>
      <c r="C421"/>
      <c r="D421"/>
    </row>
    <row r="422" spans="1:9" x14ac:dyDescent="0.3">
      <c r="A422"/>
      <c r="B422"/>
      <c r="C422"/>
      <c r="D422"/>
    </row>
    <row r="423" spans="1:9" x14ac:dyDescent="0.3">
      <c r="A423"/>
      <c r="B423"/>
      <c r="C423"/>
      <c r="D423"/>
    </row>
    <row r="424" spans="1:9" x14ac:dyDescent="0.3">
      <c r="A424"/>
      <c r="B424"/>
      <c r="C424"/>
      <c r="D424"/>
    </row>
    <row r="425" spans="1:9" x14ac:dyDescent="0.3">
      <c r="A425"/>
      <c r="B425"/>
      <c r="C425"/>
      <c r="D425"/>
    </row>
    <row r="426" spans="1:9" x14ac:dyDescent="0.3">
      <c r="A426"/>
      <c r="B426"/>
      <c r="C426"/>
      <c r="D426"/>
    </row>
    <row r="427" spans="1:9" x14ac:dyDescent="0.3">
      <c r="A427"/>
      <c r="B427"/>
      <c r="C427"/>
      <c r="D427"/>
    </row>
    <row r="428" spans="1:9" x14ac:dyDescent="0.3">
      <c r="A428"/>
      <c r="B428"/>
      <c r="C428"/>
      <c r="D428"/>
    </row>
    <row r="429" spans="1:9" x14ac:dyDescent="0.3">
      <c r="A429"/>
      <c r="B429"/>
      <c r="C429"/>
      <c r="D429"/>
    </row>
    <row r="430" spans="1:9" x14ac:dyDescent="0.3">
      <c r="A430"/>
      <c r="B430"/>
      <c r="C430"/>
      <c r="D430"/>
    </row>
    <row r="431" spans="1:9" x14ac:dyDescent="0.3">
      <c r="A431"/>
      <c r="B431"/>
      <c r="C431"/>
      <c r="D431"/>
    </row>
    <row r="432" spans="1:9" x14ac:dyDescent="0.3">
      <c r="A432"/>
      <c r="B432"/>
      <c r="C432"/>
      <c r="D432"/>
    </row>
    <row r="433" spans="1:4" x14ac:dyDescent="0.3">
      <c r="A433"/>
      <c r="B433"/>
      <c r="C433"/>
      <c r="D433"/>
    </row>
    <row r="434" spans="1:4" x14ac:dyDescent="0.3">
      <c r="A434"/>
      <c r="B434"/>
      <c r="C434"/>
      <c r="D434"/>
    </row>
    <row r="435" spans="1:4" x14ac:dyDescent="0.3">
      <c r="A435"/>
      <c r="B435"/>
      <c r="C435"/>
      <c r="D435"/>
    </row>
    <row r="436" spans="1:4" x14ac:dyDescent="0.3">
      <c r="A436"/>
      <c r="B436"/>
      <c r="C436"/>
      <c r="D436"/>
    </row>
    <row r="437" spans="1:4" x14ac:dyDescent="0.3">
      <c r="A437"/>
      <c r="B437"/>
      <c r="C437"/>
      <c r="D437"/>
    </row>
    <row r="438" spans="1:4" x14ac:dyDescent="0.3">
      <c r="A438"/>
      <c r="B438"/>
      <c r="C438"/>
      <c r="D438"/>
    </row>
    <row r="439" spans="1:4" x14ac:dyDescent="0.3">
      <c r="A439"/>
      <c r="B439"/>
      <c r="C439"/>
      <c r="D439"/>
    </row>
    <row r="440" spans="1:4" x14ac:dyDescent="0.3">
      <c r="A440"/>
      <c r="B440"/>
      <c r="C440"/>
      <c r="D440"/>
    </row>
    <row r="441" spans="1:4" x14ac:dyDescent="0.3">
      <c r="A441"/>
      <c r="B441"/>
      <c r="C441"/>
      <c r="D441"/>
    </row>
    <row r="442" spans="1:4" x14ac:dyDescent="0.3">
      <c r="A442"/>
      <c r="B442"/>
      <c r="C442"/>
      <c r="D442"/>
    </row>
    <row r="443" spans="1:4" x14ac:dyDescent="0.3">
      <c r="A443"/>
      <c r="B443"/>
      <c r="C443"/>
      <c r="D443"/>
    </row>
    <row r="444" spans="1:4" x14ac:dyDescent="0.3">
      <c r="A444"/>
      <c r="B444"/>
      <c r="C444"/>
      <c r="D444"/>
    </row>
    <row r="445" spans="1:4" x14ac:dyDescent="0.3">
      <c r="A445"/>
      <c r="B445"/>
      <c r="C445"/>
      <c r="D445"/>
    </row>
    <row r="446" spans="1:4" x14ac:dyDescent="0.3">
      <c r="A446"/>
      <c r="B446"/>
      <c r="C446"/>
      <c r="D446"/>
    </row>
    <row r="447" spans="1:4" x14ac:dyDescent="0.3">
      <c r="A447"/>
      <c r="B447"/>
      <c r="C447"/>
      <c r="D447"/>
    </row>
    <row r="448" spans="1:4" x14ac:dyDescent="0.3">
      <c r="A448"/>
      <c r="B448"/>
      <c r="C448"/>
      <c r="D448"/>
    </row>
    <row r="449" spans="1:4" x14ac:dyDescent="0.3">
      <c r="A449"/>
      <c r="B449"/>
      <c r="C449"/>
      <c r="D449"/>
    </row>
    <row r="450" spans="1:4" x14ac:dyDescent="0.3">
      <c r="A450"/>
      <c r="B450"/>
      <c r="C450"/>
      <c r="D450"/>
    </row>
    <row r="451" spans="1:4" x14ac:dyDescent="0.3">
      <c r="A451"/>
      <c r="B451"/>
      <c r="C451"/>
      <c r="D451"/>
    </row>
    <row r="452" spans="1:4" x14ac:dyDescent="0.3">
      <c r="A452"/>
      <c r="B452"/>
      <c r="C452"/>
      <c r="D452"/>
    </row>
    <row r="453" spans="1:4" x14ac:dyDescent="0.3">
      <c r="A453"/>
      <c r="B453"/>
      <c r="C453"/>
      <c r="D453"/>
    </row>
    <row r="454" spans="1:4" x14ac:dyDescent="0.3">
      <c r="A454"/>
      <c r="B454"/>
      <c r="C454"/>
      <c r="D454"/>
    </row>
    <row r="455" spans="1:4" x14ac:dyDescent="0.3">
      <c r="A455"/>
      <c r="B455"/>
      <c r="C455"/>
      <c r="D455"/>
    </row>
  </sheetData>
  <pageMargins left="0.7" right="0.7" top="0.75" bottom="0.75" header="0.3" footer="0.3"/>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7608C-1D65-4F21-A1CF-548AE108DC63}">
  <sheetPr codeName="Sheet18">
    <tabColor rgb="FF37D5D1"/>
  </sheetPr>
  <dimension ref="A1:V513"/>
  <sheetViews>
    <sheetView workbookViewId="0">
      <selection activeCell="B3" sqref="B3"/>
    </sheetView>
  </sheetViews>
  <sheetFormatPr defaultRowHeight="14.4" x14ac:dyDescent="0.3"/>
  <cols>
    <col min="1" max="1" width="2" bestFit="1" customWidth="1"/>
    <col min="2" max="2" width="18.88671875" bestFit="1" customWidth="1"/>
    <col min="3" max="3" width="5.5546875" bestFit="1" customWidth="1"/>
    <col min="4" max="4" width="12" bestFit="1" customWidth="1"/>
    <col min="5" max="5" width="15" bestFit="1" customWidth="1"/>
    <col min="6" max="6" width="5.6640625" bestFit="1" customWidth="1"/>
    <col min="7" max="7" width="3" bestFit="1" customWidth="1"/>
    <col min="8" max="9" width="4" bestFit="1" customWidth="1"/>
    <col min="10" max="11" width="3" bestFit="1" customWidth="1"/>
    <col min="12" max="12" width="3.33203125" bestFit="1" customWidth="1"/>
    <col min="13" max="13" width="3.77734375" bestFit="1" customWidth="1"/>
    <col min="14" max="15" width="3" bestFit="1" customWidth="1"/>
    <col min="16" max="17" width="3.21875" bestFit="1" customWidth="1"/>
    <col min="18" max="21" width="6" bestFit="1" customWidth="1"/>
    <col min="22" max="22" width="6.21875" bestFit="1" customWidth="1"/>
  </cols>
  <sheetData>
    <row r="1" spans="1:22" x14ac:dyDescent="0.3">
      <c r="A1" t="s">
        <v>213</v>
      </c>
      <c r="B1" t="s">
        <v>214</v>
      </c>
      <c r="C1" t="s">
        <v>32</v>
      </c>
      <c r="D1" t="s">
        <v>1611</v>
      </c>
      <c r="E1" t="s">
        <v>1612</v>
      </c>
      <c r="F1" t="s">
        <v>1613</v>
      </c>
      <c r="G1" t="s">
        <v>1546</v>
      </c>
      <c r="H1" t="s">
        <v>215</v>
      </c>
      <c r="I1" t="s">
        <v>76</v>
      </c>
      <c r="J1" t="s">
        <v>77</v>
      </c>
      <c r="K1" t="s">
        <v>78</v>
      </c>
      <c r="L1" t="s">
        <v>81</v>
      </c>
      <c r="M1" t="s">
        <v>82</v>
      </c>
      <c r="N1" t="s">
        <v>85</v>
      </c>
      <c r="O1" t="s">
        <v>86</v>
      </c>
      <c r="P1" t="s">
        <v>83</v>
      </c>
      <c r="Q1" t="s">
        <v>84</v>
      </c>
      <c r="R1" t="s">
        <v>87</v>
      </c>
      <c r="S1" t="s">
        <v>88</v>
      </c>
      <c r="T1" t="s">
        <v>89</v>
      </c>
      <c r="U1" t="s">
        <v>90</v>
      </c>
      <c r="V1" t="s">
        <v>1622</v>
      </c>
    </row>
    <row r="2" spans="1:22" x14ac:dyDescent="0.3">
      <c r="B2" t="s">
        <v>1656</v>
      </c>
      <c r="C2" t="s">
        <v>250</v>
      </c>
      <c r="D2" t="s">
        <v>1655</v>
      </c>
      <c r="E2" t="s">
        <v>1655</v>
      </c>
      <c r="F2">
        <v>53.3</v>
      </c>
      <c r="G2">
        <v>49</v>
      </c>
      <c r="H2">
        <v>222</v>
      </c>
      <c r="I2">
        <v>191</v>
      </c>
      <c r="J2">
        <v>46</v>
      </c>
      <c r="K2">
        <v>63</v>
      </c>
      <c r="L2">
        <v>11</v>
      </c>
      <c r="M2">
        <v>27</v>
      </c>
      <c r="N2">
        <v>20</v>
      </c>
      <c r="O2">
        <v>1</v>
      </c>
      <c r="P2">
        <v>28</v>
      </c>
      <c r="Q2">
        <v>32</v>
      </c>
      <c r="R2">
        <v>0.33</v>
      </c>
      <c r="S2">
        <v>0.41899999999999998</v>
      </c>
      <c r="T2">
        <v>0.57599999999999996</v>
      </c>
      <c r="U2">
        <v>0.995</v>
      </c>
      <c r="V2">
        <v>100</v>
      </c>
    </row>
    <row r="3" spans="1:22" x14ac:dyDescent="0.3">
      <c r="B3" t="s">
        <v>1672</v>
      </c>
      <c r="C3" t="s">
        <v>264</v>
      </c>
      <c r="D3" t="s">
        <v>1655</v>
      </c>
      <c r="E3" t="s">
        <v>1655</v>
      </c>
      <c r="F3">
        <v>40.6</v>
      </c>
      <c r="G3">
        <v>48</v>
      </c>
      <c r="H3">
        <v>206</v>
      </c>
      <c r="I3">
        <v>181</v>
      </c>
      <c r="J3">
        <v>41</v>
      </c>
      <c r="K3">
        <v>46</v>
      </c>
      <c r="L3">
        <v>14</v>
      </c>
      <c r="M3">
        <v>49</v>
      </c>
      <c r="N3">
        <v>3</v>
      </c>
      <c r="O3">
        <v>0</v>
      </c>
      <c r="P3">
        <v>18</v>
      </c>
      <c r="Q3">
        <v>47</v>
      </c>
      <c r="R3">
        <v>0.254</v>
      </c>
      <c r="S3">
        <v>0.32</v>
      </c>
      <c r="T3">
        <v>0.53</v>
      </c>
      <c r="U3">
        <v>0.85</v>
      </c>
      <c r="V3">
        <v>100</v>
      </c>
    </row>
    <row r="4" spans="1:22" x14ac:dyDescent="0.3">
      <c r="B4" t="s">
        <v>437</v>
      </c>
      <c r="C4" t="s">
        <v>264</v>
      </c>
      <c r="D4" t="s">
        <v>79</v>
      </c>
      <c r="E4" t="s">
        <v>1659</v>
      </c>
      <c r="F4">
        <v>40.1</v>
      </c>
      <c r="G4">
        <v>49</v>
      </c>
      <c r="H4">
        <v>228</v>
      </c>
      <c r="I4">
        <v>201</v>
      </c>
      <c r="J4">
        <v>45</v>
      </c>
      <c r="K4">
        <v>60</v>
      </c>
      <c r="L4">
        <v>8</v>
      </c>
      <c r="M4">
        <v>40</v>
      </c>
      <c r="N4">
        <v>7</v>
      </c>
      <c r="O4">
        <v>0</v>
      </c>
      <c r="P4">
        <v>24</v>
      </c>
      <c r="Q4">
        <v>36</v>
      </c>
      <c r="R4">
        <v>0.29899999999999999</v>
      </c>
      <c r="S4">
        <v>0.373</v>
      </c>
      <c r="T4">
        <v>0.498</v>
      </c>
      <c r="U4">
        <v>0.871</v>
      </c>
      <c r="V4">
        <v>100</v>
      </c>
    </row>
    <row r="5" spans="1:22" x14ac:dyDescent="0.3">
      <c r="B5" t="s">
        <v>299</v>
      </c>
      <c r="C5" t="s">
        <v>226</v>
      </c>
      <c r="D5" t="s">
        <v>1527</v>
      </c>
      <c r="E5" t="s">
        <v>1527</v>
      </c>
      <c r="F5">
        <v>37.700000000000003</v>
      </c>
      <c r="G5">
        <v>51</v>
      </c>
      <c r="H5">
        <v>233</v>
      </c>
      <c r="I5">
        <v>203</v>
      </c>
      <c r="J5">
        <v>42</v>
      </c>
      <c r="K5">
        <v>66</v>
      </c>
      <c r="L5">
        <v>9</v>
      </c>
      <c r="M5">
        <v>31</v>
      </c>
      <c r="N5">
        <v>6</v>
      </c>
      <c r="O5">
        <v>0</v>
      </c>
      <c r="P5">
        <v>24</v>
      </c>
      <c r="Q5">
        <v>38</v>
      </c>
      <c r="R5">
        <v>0.32500000000000001</v>
      </c>
      <c r="S5">
        <v>0.39900000000000002</v>
      </c>
      <c r="T5">
        <v>0.55700000000000005</v>
      </c>
      <c r="U5">
        <v>0.95599999999999996</v>
      </c>
      <c r="V5">
        <v>100</v>
      </c>
    </row>
    <row r="6" spans="1:22" x14ac:dyDescent="0.3">
      <c r="B6" t="s">
        <v>257</v>
      </c>
      <c r="C6" t="s">
        <v>1522</v>
      </c>
      <c r="D6" t="s">
        <v>1655</v>
      </c>
      <c r="E6" t="s">
        <v>1655</v>
      </c>
      <c r="F6">
        <v>34.1</v>
      </c>
      <c r="G6">
        <v>49</v>
      </c>
      <c r="H6">
        <v>213</v>
      </c>
      <c r="I6">
        <v>177</v>
      </c>
      <c r="J6">
        <v>33</v>
      </c>
      <c r="K6">
        <v>54</v>
      </c>
      <c r="L6">
        <v>11</v>
      </c>
      <c r="M6">
        <v>37</v>
      </c>
      <c r="N6">
        <v>5</v>
      </c>
      <c r="O6">
        <v>0</v>
      </c>
      <c r="P6">
        <v>26</v>
      </c>
      <c r="Q6">
        <v>46</v>
      </c>
      <c r="R6">
        <v>0.30499999999999999</v>
      </c>
      <c r="S6">
        <v>0.40799999999999997</v>
      </c>
      <c r="T6">
        <v>0.54200000000000004</v>
      </c>
      <c r="U6">
        <v>0.95</v>
      </c>
      <c r="V6">
        <v>100</v>
      </c>
    </row>
    <row r="7" spans="1:22" x14ac:dyDescent="0.3">
      <c r="B7" t="s">
        <v>385</v>
      </c>
      <c r="C7" t="s">
        <v>339</v>
      </c>
      <c r="D7" t="s">
        <v>1527</v>
      </c>
      <c r="E7" t="s">
        <v>1527</v>
      </c>
      <c r="F7">
        <v>32.4</v>
      </c>
      <c r="G7">
        <v>50</v>
      </c>
      <c r="H7">
        <v>212</v>
      </c>
      <c r="I7">
        <v>186</v>
      </c>
      <c r="J7">
        <v>33</v>
      </c>
      <c r="K7">
        <v>43</v>
      </c>
      <c r="L7">
        <v>18</v>
      </c>
      <c r="M7">
        <v>43</v>
      </c>
      <c r="N7">
        <v>0</v>
      </c>
      <c r="O7">
        <v>0</v>
      </c>
      <c r="P7">
        <v>24</v>
      </c>
      <c r="Q7">
        <v>45</v>
      </c>
      <c r="R7">
        <v>0.23100000000000001</v>
      </c>
      <c r="S7">
        <v>0.32500000000000001</v>
      </c>
      <c r="T7">
        <v>0.53800000000000003</v>
      </c>
      <c r="U7">
        <v>0.86299999999999999</v>
      </c>
      <c r="V7">
        <v>100</v>
      </c>
    </row>
    <row r="8" spans="1:22" x14ac:dyDescent="0.3">
      <c r="B8" t="s">
        <v>284</v>
      </c>
      <c r="C8" t="s">
        <v>1522</v>
      </c>
      <c r="D8" t="s">
        <v>1655</v>
      </c>
      <c r="E8" t="s">
        <v>1655</v>
      </c>
      <c r="F8">
        <v>32.200000000000003</v>
      </c>
      <c r="G8">
        <v>40</v>
      </c>
      <c r="H8">
        <v>152</v>
      </c>
      <c r="I8">
        <v>140</v>
      </c>
      <c r="J8">
        <v>27</v>
      </c>
      <c r="K8">
        <v>43</v>
      </c>
      <c r="L8">
        <v>11</v>
      </c>
      <c r="M8">
        <v>34</v>
      </c>
      <c r="N8">
        <v>9</v>
      </c>
      <c r="O8">
        <v>1</v>
      </c>
      <c r="P8">
        <v>12</v>
      </c>
      <c r="Q8">
        <v>36</v>
      </c>
      <c r="R8">
        <v>0.307</v>
      </c>
      <c r="S8">
        <v>0.36199999999999999</v>
      </c>
      <c r="T8">
        <v>0.621</v>
      </c>
      <c r="U8">
        <v>0.98299999999999998</v>
      </c>
      <c r="V8">
        <v>100</v>
      </c>
    </row>
    <row r="9" spans="1:22" x14ac:dyDescent="0.3">
      <c r="B9" t="s">
        <v>279</v>
      </c>
      <c r="C9" t="s">
        <v>224</v>
      </c>
      <c r="D9" t="s">
        <v>1655</v>
      </c>
      <c r="E9" t="s">
        <v>1655</v>
      </c>
      <c r="F9">
        <v>31.9</v>
      </c>
      <c r="G9">
        <v>43</v>
      </c>
      <c r="H9">
        <v>186</v>
      </c>
      <c r="I9">
        <v>155</v>
      </c>
      <c r="J9">
        <v>29</v>
      </c>
      <c r="K9">
        <v>46</v>
      </c>
      <c r="L9">
        <v>12</v>
      </c>
      <c r="M9">
        <v>46</v>
      </c>
      <c r="N9">
        <v>0</v>
      </c>
      <c r="O9">
        <v>0</v>
      </c>
      <c r="P9">
        <v>24</v>
      </c>
      <c r="Q9">
        <v>41</v>
      </c>
      <c r="R9">
        <v>0.29699999999999999</v>
      </c>
      <c r="S9">
        <v>0.40300000000000002</v>
      </c>
      <c r="T9">
        <v>0.6</v>
      </c>
      <c r="U9">
        <v>1.0029999999999999</v>
      </c>
      <c r="V9">
        <v>100</v>
      </c>
    </row>
    <row r="10" spans="1:22" x14ac:dyDescent="0.3">
      <c r="B10" t="s">
        <v>276</v>
      </c>
      <c r="C10" t="s">
        <v>222</v>
      </c>
      <c r="D10" t="s">
        <v>1655</v>
      </c>
      <c r="E10" t="s">
        <v>1655</v>
      </c>
      <c r="F10">
        <v>31.3</v>
      </c>
      <c r="G10">
        <v>40</v>
      </c>
      <c r="H10">
        <v>175</v>
      </c>
      <c r="I10">
        <v>143</v>
      </c>
      <c r="J10">
        <v>32</v>
      </c>
      <c r="K10">
        <v>42</v>
      </c>
      <c r="L10">
        <v>14</v>
      </c>
      <c r="M10">
        <v>33</v>
      </c>
      <c r="N10">
        <v>3</v>
      </c>
      <c r="O10">
        <v>1</v>
      </c>
      <c r="P10">
        <v>29</v>
      </c>
      <c r="Q10">
        <v>50</v>
      </c>
      <c r="R10">
        <v>0.29399999999999998</v>
      </c>
      <c r="S10">
        <v>0.40600000000000003</v>
      </c>
      <c r="T10">
        <v>0.64300000000000002</v>
      </c>
      <c r="U10">
        <v>1.0489999999999999</v>
      </c>
      <c r="V10">
        <v>100</v>
      </c>
    </row>
    <row r="11" spans="1:22" x14ac:dyDescent="0.3">
      <c r="B11" t="s">
        <v>361</v>
      </c>
      <c r="C11" t="s">
        <v>278</v>
      </c>
      <c r="D11" t="s">
        <v>1655</v>
      </c>
      <c r="E11" t="s">
        <v>1655</v>
      </c>
      <c r="F11">
        <v>30.5</v>
      </c>
      <c r="G11">
        <v>48</v>
      </c>
      <c r="H11">
        <v>206</v>
      </c>
      <c r="I11">
        <v>182</v>
      </c>
      <c r="J11">
        <v>24</v>
      </c>
      <c r="K11">
        <v>50</v>
      </c>
      <c r="L11">
        <v>8</v>
      </c>
      <c r="M11">
        <v>39</v>
      </c>
      <c r="N11">
        <v>13</v>
      </c>
      <c r="O11">
        <v>1</v>
      </c>
      <c r="P11">
        <v>24</v>
      </c>
      <c r="Q11">
        <v>36</v>
      </c>
      <c r="R11">
        <v>0.27500000000000002</v>
      </c>
      <c r="S11">
        <v>0.35899999999999999</v>
      </c>
      <c r="T11">
        <v>0.505</v>
      </c>
      <c r="U11">
        <v>0.86399999999999999</v>
      </c>
      <c r="V11">
        <v>100</v>
      </c>
    </row>
    <row r="12" spans="1:22" x14ac:dyDescent="0.3">
      <c r="B12" t="s">
        <v>156</v>
      </c>
      <c r="C12" t="s">
        <v>235</v>
      </c>
      <c r="D12" t="s">
        <v>1526</v>
      </c>
      <c r="E12" t="s">
        <v>1526</v>
      </c>
      <c r="F12">
        <v>28.7</v>
      </c>
      <c r="G12">
        <v>49</v>
      </c>
      <c r="H12">
        <v>212</v>
      </c>
      <c r="I12">
        <v>189</v>
      </c>
      <c r="J12">
        <v>28</v>
      </c>
      <c r="K12">
        <v>53</v>
      </c>
      <c r="L12">
        <v>12</v>
      </c>
      <c r="M12">
        <v>33</v>
      </c>
      <c r="N12">
        <v>6</v>
      </c>
      <c r="O12">
        <v>0</v>
      </c>
      <c r="P12">
        <v>22</v>
      </c>
      <c r="Q12">
        <v>46</v>
      </c>
      <c r="R12">
        <v>0.28000000000000003</v>
      </c>
      <c r="S12">
        <v>0.35399999999999998</v>
      </c>
      <c r="T12">
        <v>0.53400000000000003</v>
      </c>
      <c r="U12">
        <v>0.88800000000000001</v>
      </c>
      <c r="V12">
        <v>100</v>
      </c>
    </row>
    <row r="13" spans="1:22" x14ac:dyDescent="0.3">
      <c r="B13" t="s">
        <v>347</v>
      </c>
      <c r="C13" t="s">
        <v>234</v>
      </c>
      <c r="D13" t="s">
        <v>1529</v>
      </c>
      <c r="E13" t="s">
        <v>1529</v>
      </c>
      <c r="F13">
        <v>28.2</v>
      </c>
      <c r="G13">
        <v>50</v>
      </c>
      <c r="H13">
        <v>227</v>
      </c>
      <c r="I13">
        <v>214</v>
      </c>
      <c r="J13">
        <v>31</v>
      </c>
      <c r="K13">
        <v>70</v>
      </c>
      <c r="L13">
        <v>9</v>
      </c>
      <c r="M13">
        <v>30</v>
      </c>
      <c r="N13">
        <v>2</v>
      </c>
      <c r="O13">
        <v>1</v>
      </c>
      <c r="P13">
        <v>12</v>
      </c>
      <c r="Q13">
        <v>35</v>
      </c>
      <c r="R13">
        <v>0.32700000000000001</v>
      </c>
      <c r="S13">
        <v>0.36599999999999999</v>
      </c>
      <c r="T13">
        <v>0.505</v>
      </c>
      <c r="U13">
        <v>0.871</v>
      </c>
      <c r="V13">
        <v>100</v>
      </c>
    </row>
    <row r="14" spans="1:22" x14ac:dyDescent="0.3">
      <c r="B14" t="s">
        <v>254</v>
      </c>
      <c r="C14" t="s">
        <v>255</v>
      </c>
      <c r="D14" t="s">
        <v>79</v>
      </c>
      <c r="E14" t="s">
        <v>79</v>
      </c>
      <c r="F14">
        <v>27.7</v>
      </c>
      <c r="G14">
        <v>44</v>
      </c>
      <c r="H14">
        <v>176</v>
      </c>
      <c r="I14">
        <v>152</v>
      </c>
      <c r="J14">
        <v>21</v>
      </c>
      <c r="K14">
        <v>45</v>
      </c>
      <c r="L14">
        <v>13</v>
      </c>
      <c r="M14">
        <v>39</v>
      </c>
      <c r="N14">
        <v>3</v>
      </c>
      <c r="O14">
        <v>0</v>
      </c>
      <c r="P14">
        <v>22</v>
      </c>
      <c r="Q14">
        <v>45</v>
      </c>
      <c r="R14">
        <v>0.29599999999999999</v>
      </c>
      <c r="S14">
        <v>0.38600000000000001</v>
      </c>
      <c r="T14">
        <v>0.61199999999999999</v>
      </c>
      <c r="U14">
        <v>0.998</v>
      </c>
      <c r="V14">
        <v>100</v>
      </c>
    </row>
    <row r="15" spans="1:22" x14ac:dyDescent="0.3">
      <c r="B15" t="s">
        <v>259</v>
      </c>
      <c r="C15" t="s">
        <v>255</v>
      </c>
      <c r="D15" t="s">
        <v>1527</v>
      </c>
      <c r="E15" t="s">
        <v>1527</v>
      </c>
      <c r="F15">
        <v>27.5</v>
      </c>
      <c r="G15">
        <v>50</v>
      </c>
      <c r="H15">
        <v>227</v>
      </c>
      <c r="I15">
        <v>192</v>
      </c>
      <c r="J15">
        <v>36</v>
      </c>
      <c r="K15">
        <v>56</v>
      </c>
      <c r="L15">
        <v>9</v>
      </c>
      <c r="M15">
        <v>25</v>
      </c>
      <c r="N15">
        <v>7</v>
      </c>
      <c r="O15">
        <v>0</v>
      </c>
      <c r="P15">
        <v>33</v>
      </c>
      <c r="Q15">
        <v>46</v>
      </c>
      <c r="R15">
        <v>0.29199999999999998</v>
      </c>
      <c r="S15">
        <v>0.40100000000000002</v>
      </c>
      <c r="T15">
        <v>0.51600000000000001</v>
      </c>
      <c r="U15">
        <v>0.91700000000000004</v>
      </c>
      <c r="V15">
        <v>100</v>
      </c>
    </row>
    <row r="16" spans="1:22" x14ac:dyDescent="0.3">
      <c r="B16" t="s">
        <v>227</v>
      </c>
      <c r="C16" t="s">
        <v>1522</v>
      </c>
      <c r="D16" t="s">
        <v>1529</v>
      </c>
      <c r="E16" t="s">
        <v>1529</v>
      </c>
      <c r="F16">
        <v>27.4</v>
      </c>
      <c r="G16">
        <v>49</v>
      </c>
      <c r="H16">
        <v>216</v>
      </c>
      <c r="I16">
        <v>196</v>
      </c>
      <c r="J16">
        <v>28</v>
      </c>
      <c r="K16">
        <v>56</v>
      </c>
      <c r="L16">
        <v>7</v>
      </c>
      <c r="M16">
        <v>25</v>
      </c>
      <c r="N16">
        <v>15</v>
      </c>
      <c r="O16">
        <v>1</v>
      </c>
      <c r="P16">
        <v>17</v>
      </c>
      <c r="Q16">
        <v>29</v>
      </c>
      <c r="R16">
        <v>0.28599999999999998</v>
      </c>
      <c r="S16">
        <v>0.34699999999999998</v>
      </c>
      <c r="T16">
        <v>0.48</v>
      </c>
      <c r="U16">
        <v>0.82699999999999996</v>
      </c>
      <c r="V16">
        <v>100</v>
      </c>
    </row>
    <row r="17" spans="2:22" x14ac:dyDescent="0.3">
      <c r="B17" t="s">
        <v>249</v>
      </c>
      <c r="C17" t="s">
        <v>250</v>
      </c>
      <c r="D17" t="s">
        <v>1527</v>
      </c>
      <c r="E17" t="s">
        <v>1527</v>
      </c>
      <c r="F17">
        <v>27.3</v>
      </c>
      <c r="G17">
        <v>49</v>
      </c>
      <c r="H17">
        <v>221</v>
      </c>
      <c r="I17">
        <v>184</v>
      </c>
      <c r="J17">
        <v>39</v>
      </c>
      <c r="K17">
        <v>43</v>
      </c>
      <c r="L17">
        <v>14</v>
      </c>
      <c r="M17">
        <v>36</v>
      </c>
      <c r="N17">
        <v>0</v>
      </c>
      <c r="O17">
        <v>0</v>
      </c>
      <c r="P17">
        <v>35</v>
      </c>
      <c r="Q17">
        <v>70</v>
      </c>
      <c r="R17">
        <v>0.23400000000000001</v>
      </c>
      <c r="S17">
        <v>0.36199999999999999</v>
      </c>
      <c r="T17">
        <v>0.52700000000000002</v>
      </c>
      <c r="U17">
        <v>0.88900000000000001</v>
      </c>
      <c r="V17">
        <v>100</v>
      </c>
    </row>
    <row r="18" spans="2:22" x14ac:dyDescent="0.3">
      <c r="B18" t="s">
        <v>1670</v>
      </c>
      <c r="C18" t="s">
        <v>1522</v>
      </c>
      <c r="D18" t="s">
        <v>1657</v>
      </c>
      <c r="E18" t="s">
        <v>1657</v>
      </c>
      <c r="F18">
        <v>26.4</v>
      </c>
      <c r="G18">
        <v>42</v>
      </c>
      <c r="H18">
        <v>181</v>
      </c>
      <c r="I18">
        <v>152</v>
      </c>
      <c r="J18">
        <v>35</v>
      </c>
      <c r="K18">
        <v>49</v>
      </c>
      <c r="L18">
        <v>11</v>
      </c>
      <c r="M18">
        <v>27</v>
      </c>
      <c r="N18">
        <v>0</v>
      </c>
      <c r="O18">
        <v>0</v>
      </c>
      <c r="P18">
        <v>24</v>
      </c>
      <c r="Q18">
        <v>27</v>
      </c>
      <c r="R18">
        <v>0.32200000000000001</v>
      </c>
      <c r="S18">
        <v>0.42499999999999999</v>
      </c>
      <c r="T18">
        <v>0.59899999999999998</v>
      </c>
      <c r="U18">
        <v>1.024</v>
      </c>
      <c r="V18">
        <v>100</v>
      </c>
    </row>
    <row r="19" spans="2:22" x14ac:dyDescent="0.3">
      <c r="B19" t="s">
        <v>253</v>
      </c>
      <c r="C19" t="s">
        <v>243</v>
      </c>
      <c r="D19" t="s">
        <v>1655</v>
      </c>
      <c r="E19" t="s">
        <v>1655</v>
      </c>
      <c r="F19">
        <v>26.4</v>
      </c>
      <c r="G19">
        <v>49</v>
      </c>
      <c r="H19">
        <v>198</v>
      </c>
      <c r="I19">
        <v>183</v>
      </c>
      <c r="J19">
        <v>34</v>
      </c>
      <c r="K19">
        <v>50</v>
      </c>
      <c r="L19">
        <v>13</v>
      </c>
      <c r="M19">
        <v>29</v>
      </c>
      <c r="N19">
        <v>2</v>
      </c>
      <c r="O19">
        <v>1</v>
      </c>
      <c r="P19">
        <v>10</v>
      </c>
      <c r="Q19">
        <v>54</v>
      </c>
      <c r="R19">
        <v>0.27300000000000002</v>
      </c>
      <c r="S19">
        <v>0.32800000000000001</v>
      </c>
      <c r="T19">
        <v>0.55700000000000005</v>
      </c>
      <c r="U19">
        <v>0.88500000000000001</v>
      </c>
      <c r="V19">
        <v>100</v>
      </c>
    </row>
    <row r="20" spans="2:22" x14ac:dyDescent="0.3">
      <c r="B20" t="s">
        <v>331</v>
      </c>
      <c r="C20" t="s">
        <v>221</v>
      </c>
      <c r="D20" t="s">
        <v>80</v>
      </c>
      <c r="E20" t="s">
        <v>80</v>
      </c>
      <c r="F20">
        <v>25.6</v>
      </c>
      <c r="G20">
        <v>49</v>
      </c>
      <c r="H20">
        <v>207</v>
      </c>
      <c r="I20">
        <v>193</v>
      </c>
      <c r="J20">
        <v>27</v>
      </c>
      <c r="K20">
        <v>48</v>
      </c>
      <c r="L20">
        <v>13</v>
      </c>
      <c r="M20">
        <v>44</v>
      </c>
      <c r="N20">
        <v>0</v>
      </c>
      <c r="O20">
        <v>1</v>
      </c>
      <c r="P20">
        <v>10</v>
      </c>
      <c r="Q20">
        <v>43</v>
      </c>
      <c r="R20">
        <v>0.249</v>
      </c>
      <c r="S20">
        <v>0.28999999999999998</v>
      </c>
      <c r="T20">
        <v>0.51300000000000001</v>
      </c>
      <c r="U20">
        <v>0.80300000000000005</v>
      </c>
      <c r="V20">
        <v>100</v>
      </c>
    </row>
    <row r="21" spans="2:22" x14ac:dyDescent="0.3">
      <c r="B21" t="s">
        <v>369</v>
      </c>
      <c r="C21" t="s">
        <v>325</v>
      </c>
      <c r="D21" t="s">
        <v>1655</v>
      </c>
      <c r="E21" t="s">
        <v>1655</v>
      </c>
      <c r="F21">
        <v>25.2</v>
      </c>
      <c r="G21">
        <v>51</v>
      </c>
      <c r="H21">
        <v>219</v>
      </c>
      <c r="I21">
        <v>200</v>
      </c>
      <c r="J21">
        <v>23</v>
      </c>
      <c r="K21">
        <v>56</v>
      </c>
      <c r="L21">
        <v>1</v>
      </c>
      <c r="M21">
        <v>22</v>
      </c>
      <c r="N21">
        <v>26</v>
      </c>
      <c r="O21">
        <v>1</v>
      </c>
      <c r="P21">
        <v>8</v>
      </c>
      <c r="Q21">
        <v>39</v>
      </c>
      <c r="R21">
        <v>0.28000000000000003</v>
      </c>
      <c r="S21">
        <v>0.34200000000000003</v>
      </c>
      <c r="T21">
        <v>0.37</v>
      </c>
      <c r="U21">
        <v>0.71199999999999997</v>
      </c>
      <c r="V21">
        <v>100</v>
      </c>
    </row>
    <row r="22" spans="2:22" x14ac:dyDescent="0.3">
      <c r="B22" t="s">
        <v>330</v>
      </c>
      <c r="C22" t="s">
        <v>264</v>
      </c>
      <c r="D22" t="s">
        <v>80</v>
      </c>
      <c r="E22" t="s">
        <v>80</v>
      </c>
      <c r="F22">
        <v>25.1</v>
      </c>
      <c r="G22">
        <v>46</v>
      </c>
      <c r="H22">
        <v>197</v>
      </c>
      <c r="I22">
        <v>183</v>
      </c>
      <c r="J22">
        <v>33</v>
      </c>
      <c r="K22">
        <v>50</v>
      </c>
      <c r="L22">
        <v>11</v>
      </c>
      <c r="M22">
        <v>34</v>
      </c>
      <c r="N22">
        <v>1</v>
      </c>
      <c r="O22">
        <v>1</v>
      </c>
      <c r="P22">
        <v>12</v>
      </c>
      <c r="Q22">
        <v>59</v>
      </c>
      <c r="R22">
        <v>0.27300000000000002</v>
      </c>
      <c r="S22">
        <v>0.32</v>
      </c>
      <c r="T22">
        <v>0.497</v>
      </c>
      <c r="U22">
        <v>0.81699999999999995</v>
      </c>
      <c r="V22">
        <v>100</v>
      </c>
    </row>
    <row r="23" spans="2:22" x14ac:dyDescent="0.3">
      <c r="B23" t="s">
        <v>321</v>
      </c>
      <c r="C23" t="s">
        <v>222</v>
      </c>
      <c r="D23" t="s">
        <v>1527</v>
      </c>
      <c r="E23" t="s">
        <v>1527</v>
      </c>
      <c r="F23">
        <v>24.7</v>
      </c>
      <c r="G23">
        <v>49</v>
      </c>
      <c r="H23">
        <v>214</v>
      </c>
      <c r="I23">
        <v>189</v>
      </c>
      <c r="J23">
        <v>30</v>
      </c>
      <c r="K23">
        <v>58</v>
      </c>
      <c r="L23">
        <v>11</v>
      </c>
      <c r="M23">
        <v>30</v>
      </c>
      <c r="N23">
        <v>0</v>
      </c>
      <c r="O23">
        <v>0</v>
      </c>
      <c r="P23">
        <v>18</v>
      </c>
      <c r="Q23">
        <v>50</v>
      </c>
      <c r="R23">
        <v>0.307</v>
      </c>
      <c r="S23">
        <v>0.38300000000000001</v>
      </c>
      <c r="T23">
        <v>0.52400000000000002</v>
      </c>
      <c r="U23">
        <v>0.90700000000000003</v>
      </c>
      <c r="V23">
        <v>100</v>
      </c>
    </row>
    <row r="24" spans="2:22" x14ac:dyDescent="0.3">
      <c r="B24" t="s">
        <v>595</v>
      </c>
      <c r="C24" t="s">
        <v>250</v>
      </c>
      <c r="D24" t="s">
        <v>1531</v>
      </c>
      <c r="E24" t="s">
        <v>1531</v>
      </c>
      <c r="F24">
        <v>23.5</v>
      </c>
      <c r="G24">
        <v>41</v>
      </c>
      <c r="H24">
        <v>171</v>
      </c>
      <c r="I24">
        <v>142</v>
      </c>
      <c r="J24">
        <v>28</v>
      </c>
      <c r="K24">
        <v>39</v>
      </c>
      <c r="L24">
        <v>10</v>
      </c>
      <c r="M24">
        <v>36</v>
      </c>
      <c r="N24">
        <v>0</v>
      </c>
      <c r="O24">
        <v>0</v>
      </c>
      <c r="P24">
        <v>22</v>
      </c>
      <c r="Q24">
        <v>37</v>
      </c>
      <c r="R24">
        <v>0.27500000000000002</v>
      </c>
      <c r="S24">
        <v>0.39800000000000002</v>
      </c>
      <c r="T24">
        <v>0.54900000000000004</v>
      </c>
      <c r="U24">
        <v>0.94699999999999995</v>
      </c>
      <c r="V24">
        <v>100</v>
      </c>
    </row>
    <row r="25" spans="2:22" x14ac:dyDescent="0.3">
      <c r="B25" t="s">
        <v>686</v>
      </c>
      <c r="C25" t="s">
        <v>286</v>
      </c>
      <c r="D25" t="s">
        <v>1655</v>
      </c>
      <c r="E25" t="s">
        <v>1655</v>
      </c>
      <c r="F25">
        <v>23.4</v>
      </c>
      <c r="G25">
        <v>47</v>
      </c>
      <c r="H25">
        <v>187</v>
      </c>
      <c r="I25">
        <v>161</v>
      </c>
      <c r="J25">
        <v>31</v>
      </c>
      <c r="K25">
        <v>46</v>
      </c>
      <c r="L25">
        <v>7</v>
      </c>
      <c r="M25">
        <v>17</v>
      </c>
      <c r="N25">
        <v>14</v>
      </c>
      <c r="O25">
        <v>0</v>
      </c>
      <c r="P25">
        <v>22</v>
      </c>
      <c r="Q25">
        <v>38</v>
      </c>
      <c r="R25">
        <v>0.28599999999999998</v>
      </c>
      <c r="S25">
        <v>0.38</v>
      </c>
      <c r="T25">
        <v>0.50900000000000001</v>
      </c>
      <c r="U25">
        <v>0.88900000000000001</v>
      </c>
      <c r="V25">
        <v>100</v>
      </c>
    </row>
    <row r="26" spans="2:22" x14ac:dyDescent="0.3">
      <c r="B26" t="s">
        <v>282</v>
      </c>
      <c r="C26" t="s">
        <v>226</v>
      </c>
      <c r="D26" t="s">
        <v>1665</v>
      </c>
      <c r="E26" t="s">
        <v>1665</v>
      </c>
      <c r="F26">
        <v>23</v>
      </c>
      <c r="G26">
        <v>48</v>
      </c>
      <c r="H26">
        <v>217</v>
      </c>
      <c r="I26">
        <v>184</v>
      </c>
      <c r="J26">
        <v>37</v>
      </c>
      <c r="K26">
        <v>47</v>
      </c>
      <c r="L26">
        <v>11</v>
      </c>
      <c r="M26">
        <v>30</v>
      </c>
      <c r="N26">
        <v>1</v>
      </c>
      <c r="O26">
        <v>0</v>
      </c>
      <c r="P26">
        <v>31</v>
      </c>
      <c r="Q26">
        <v>40</v>
      </c>
      <c r="R26">
        <v>0.255</v>
      </c>
      <c r="S26">
        <v>0.36399999999999999</v>
      </c>
      <c r="T26">
        <v>0.52200000000000002</v>
      </c>
      <c r="U26">
        <v>0.88600000000000001</v>
      </c>
      <c r="V26">
        <v>100</v>
      </c>
    </row>
    <row r="27" spans="2:22" x14ac:dyDescent="0.3">
      <c r="B27" t="s">
        <v>267</v>
      </c>
      <c r="C27" t="s">
        <v>1521</v>
      </c>
      <c r="D27" t="s">
        <v>1659</v>
      </c>
      <c r="E27" t="s">
        <v>1662</v>
      </c>
      <c r="F27">
        <v>23</v>
      </c>
      <c r="G27">
        <v>46</v>
      </c>
      <c r="H27">
        <v>201</v>
      </c>
      <c r="I27">
        <v>188</v>
      </c>
      <c r="J27">
        <v>30</v>
      </c>
      <c r="K27">
        <v>58</v>
      </c>
      <c r="L27">
        <v>6</v>
      </c>
      <c r="M27">
        <v>17</v>
      </c>
      <c r="N27">
        <v>12</v>
      </c>
      <c r="O27">
        <v>1</v>
      </c>
      <c r="P27">
        <v>9</v>
      </c>
      <c r="Q27">
        <v>45</v>
      </c>
      <c r="R27">
        <v>0.309</v>
      </c>
      <c r="S27">
        <v>0.35299999999999998</v>
      </c>
      <c r="T27">
        <v>0.47899999999999998</v>
      </c>
      <c r="U27">
        <v>0.83199999999999996</v>
      </c>
      <c r="V27">
        <v>100</v>
      </c>
    </row>
    <row r="28" spans="2:22" x14ac:dyDescent="0.3">
      <c r="B28" t="s">
        <v>427</v>
      </c>
      <c r="C28" t="s">
        <v>239</v>
      </c>
      <c r="D28" t="s">
        <v>1655</v>
      </c>
      <c r="E28" t="s">
        <v>1655</v>
      </c>
      <c r="F28">
        <v>22</v>
      </c>
      <c r="G28">
        <v>46</v>
      </c>
      <c r="H28">
        <v>195</v>
      </c>
      <c r="I28">
        <v>174</v>
      </c>
      <c r="J28">
        <v>34</v>
      </c>
      <c r="K28">
        <v>45</v>
      </c>
      <c r="L28">
        <v>7</v>
      </c>
      <c r="M28">
        <v>24</v>
      </c>
      <c r="N28">
        <v>10</v>
      </c>
      <c r="O28">
        <v>0</v>
      </c>
      <c r="P28">
        <v>18</v>
      </c>
      <c r="Q28">
        <v>43</v>
      </c>
      <c r="R28">
        <v>0.25900000000000001</v>
      </c>
      <c r="S28">
        <v>0.33800000000000002</v>
      </c>
      <c r="T28">
        <v>0.41399999999999998</v>
      </c>
      <c r="U28">
        <v>0.752</v>
      </c>
      <c r="V28">
        <v>100</v>
      </c>
    </row>
    <row r="29" spans="2:22" x14ac:dyDescent="0.3">
      <c r="B29" t="s">
        <v>256</v>
      </c>
      <c r="C29" t="s">
        <v>235</v>
      </c>
      <c r="D29" t="s">
        <v>1655</v>
      </c>
      <c r="E29" t="s">
        <v>1655</v>
      </c>
      <c r="F29">
        <v>21.9</v>
      </c>
      <c r="G29">
        <v>47</v>
      </c>
      <c r="H29">
        <v>209</v>
      </c>
      <c r="I29">
        <v>182</v>
      </c>
      <c r="J29">
        <v>33</v>
      </c>
      <c r="K29">
        <v>50</v>
      </c>
      <c r="L29">
        <v>12</v>
      </c>
      <c r="M29">
        <v>27</v>
      </c>
      <c r="N29">
        <v>0</v>
      </c>
      <c r="O29">
        <v>0</v>
      </c>
      <c r="P29">
        <v>21</v>
      </c>
      <c r="Q29">
        <v>58</v>
      </c>
      <c r="R29">
        <v>0.27500000000000002</v>
      </c>
      <c r="S29">
        <v>0.36399999999999999</v>
      </c>
      <c r="T29">
        <v>0.52700000000000002</v>
      </c>
      <c r="U29">
        <v>0.89100000000000001</v>
      </c>
      <c r="V29">
        <v>100</v>
      </c>
    </row>
    <row r="30" spans="2:22" x14ac:dyDescent="0.3">
      <c r="B30" t="s">
        <v>332</v>
      </c>
      <c r="C30" t="s">
        <v>278</v>
      </c>
      <c r="D30" t="s">
        <v>1527</v>
      </c>
      <c r="E30" t="s">
        <v>1527</v>
      </c>
      <c r="F30">
        <v>21.9</v>
      </c>
      <c r="G30">
        <v>49</v>
      </c>
      <c r="H30">
        <v>216</v>
      </c>
      <c r="I30">
        <v>202</v>
      </c>
      <c r="J30">
        <v>32</v>
      </c>
      <c r="K30">
        <v>48</v>
      </c>
      <c r="L30">
        <v>11</v>
      </c>
      <c r="M30">
        <v>36</v>
      </c>
      <c r="N30">
        <v>2</v>
      </c>
      <c r="O30">
        <v>0</v>
      </c>
      <c r="P30">
        <v>9</v>
      </c>
      <c r="Q30">
        <v>50</v>
      </c>
      <c r="R30">
        <v>0.23799999999999999</v>
      </c>
      <c r="S30">
        <v>0.26900000000000002</v>
      </c>
      <c r="T30">
        <v>0.46500000000000002</v>
      </c>
      <c r="U30">
        <v>0.73399999999999999</v>
      </c>
      <c r="V30">
        <v>100</v>
      </c>
    </row>
    <row r="31" spans="2:22" x14ac:dyDescent="0.3">
      <c r="B31" t="s">
        <v>236</v>
      </c>
      <c r="C31" t="s">
        <v>234</v>
      </c>
      <c r="D31" t="s">
        <v>1527</v>
      </c>
      <c r="E31" t="s">
        <v>1527</v>
      </c>
      <c r="F31">
        <v>21.9</v>
      </c>
      <c r="G31">
        <v>47</v>
      </c>
      <c r="H31">
        <v>208</v>
      </c>
      <c r="I31">
        <v>183</v>
      </c>
      <c r="J31">
        <v>26</v>
      </c>
      <c r="K31">
        <v>55</v>
      </c>
      <c r="L31">
        <v>8</v>
      </c>
      <c r="M31">
        <v>34</v>
      </c>
      <c r="N31">
        <v>2</v>
      </c>
      <c r="O31">
        <v>0</v>
      </c>
      <c r="P31">
        <v>18</v>
      </c>
      <c r="Q31">
        <v>34</v>
      </c>
      <c r="R31">
        <v>0.30099999999999999</v>
      </c>
      <c r="S31">
        <v>0.37</v>
      </c>
      <c r="T31">
        <v>0.497</v>
      </c>
      <c r="U31">
        <v>0.86699999999999999</v>
      </c>
      <c r="V31">
        <v>100</v>
      </c>
    </row>
    <row r="32" spans="2:22" x14ac:dyDescent="0.3">
      <c r="B32" t="s">
        <v>962</v>
      </c>
      <c r="C32" t="s">
        <v>226</v>
      </c>
      <c r="D32" t="s">
        <v>1667</v>
      </c>
      <c r="E32" t="s">
        <v>1667</v>
      </c>
      <c r="F32">
        <v>21.4</v>
      </c>
      <c r="G32">
        <v>46</v>
      </c>
      <c r="H32">
        <v>192</v>
      </c>
      <c r="I32">
        <v>157</v>
      </c>
      <c r="J32">
        <v>30</v>
      </c>
      <c r="K32">
        <v>32</v>
      </c>
      <c r="L32">
        <v>15</v>
      </c>
      <c r="M32">
        <v>35</v>
      </c>
      <c r="N32">
        <v>1</v>
      </c>
      <c r="O32">
        <v>2</v>
      </c>
      <c r="P32">
        <v>32</v>
      </c>
      <c r="Q32">
        <v>58</v>
      </c>
      <c r="R32">
        <v>0.20399999999999999</v>
      </c>
      <c r="S32">
        <v>0.34399999999999997</v>
      </c>
      <c r="T32">
        <v>0.503</v>
      </c>
      <c r="U32">
        <v>0.84699999999999998</v>
      </c>
      <c r="V32">
        <v>100</v>
      </c>
    </row>
    <row r="33" spans="2:22" x14ac:dyDescent="0.3">
      <c r="B33" t="s">
        <v>896</v>
      </c>
      <c r="C33" t="s">
        <v>244</v>
      </c>
      <c r="D33" t="s">
        <v>1655</v>
      </c>
      <c r="E33" t="s">
        <v>1655</v>
      </c>
      <c r="F33">
        <v>21.2</v>
      </c>
      <c r="G33">
        <v>47</v>
      </c>
      <c r="H33">
        <v>188</v>
      </c>
      <c r="I33">
        <v>173</v>
      </c>
      <c r="J33">
        <v>25</v>
      </c>
      <c r="K33">
        <v>50</v>
      </c>
      <c r="L33">
        <v>10</v>
      </c>
      <c r="M33">
        <v>25</v>
      </c>
      <c r="N33">
        <v>6</v>
      </c>
      <c r="O33">
        <v>2</v>
      </c>
      <c r="P33">
        <v>13</v>
      </c>
      <c r="Q33">
        <v>56</v>
      </c>
      <c r="R33">
        <v>0.28899999999999998</v>
      </c>
      <c r="S33">
        <v>0.34</v>
      </c>
      <c r="T33">
        <v>0.54300000000000004</v>
      </c>
      <c r="U33">
        <v>0.88300000000000001</v>
      </c>
      <c r="V33">
        <v>100</v>
      </c>
    </row>
    <row r="34" spans="2:22" x14ac:dyDescent="0.3">
      <c r="B34" t="s">
        <v>972</v>
      </c>
      <c r="C34" t="s">
        <v>286</v>
      </c>
      <c r="D34" t="s">
        <v>1655</v>
      </c>
      <c r="E34" t="s">
        <v>1655</v>
      </c>
      <c r="F34">
        <v>20.399999999999999</v>
      </c>
      <c r="G34">
        <v>44</v>
      </c>
      <c r="H34">
        <v>183</v>
      </c>
      <c r="I34">
        <v>167</v>
      </c>
      <c r="J34">
        <v>29</v>
      </c>
      <c r="K34">
        <v>53</v>
      </c>
      <c r="L34">
        <v>8</v>
      </c>
      <c r="M34">
        <v>27</v>
      </c>
      <c r="N34">
        <v>1</v>
      </c>
      <c r="O34">
        <v>0</v>
      </c>
      <c r="P34">
        <v>13</v>
      </c>
      <c r="Q34">
        <v>28</v>
      </c>
      <c r="R34">
        <v>0.317</v>
      </c>
      <c r="S34">
        <v>0.372</v>
      </c>
      <c r="T34">
        <v>0.55700000000000005</v>
      </c>
      <c r="U34">
        <v>0.92900000000000005</v>
      </c>
      <c r="V34">
        <v>100</v>
      </c>
    </row>
    <row r="35" spans="2:22" x14ac:dyDescent="0.3">
      <c r="B35" t="s">
        <v>300</v>
      </c>
      <c r="C35" t="s">
        <v>246</v>
      </c>
      <c r="D35" t="s">
        <v>1655</v>
      </c>
      <c r="E35" t="s">
        <v>1655</v>
      </c>
      <c r="F35">
        <v>19.899999999999999</v>
      </c>
      <c r="G35">
        <v>48</v>
      </c>
      <c r="H35">
        <v>200</v>
      </c>
      <c r="I35">
        <v>179</v>
      </c>
      <c r="J35">
        <v>27</v>
      </c>
      <c r="K35">
        <v>45</v>
      </c>
      <c r="L35">
        <v>14</v>
      </c>
      <c r="M35">
        <v>30</v>
      </c>
      <c r="N35">
        <v>0</v>
      </c>
      <c r="O35">
        <v>0</v>
      </c>
      <c r="P35">
        <v>18</v>
      </c>
      <c r="Q35">
        <v>50</v>
      </c>
      <c r="R35">
        <v>0.251</v>
      </c>
      <c r="S35">
        <v>0.33</v>
      </c>
      <c r="T35">
        <v>0.54200000000000004</v>
      </c>
      <c r="U35">
        <v>0.872</v>
      </c>
      <c r="V35">
        <v>100</v>
      </c>
    </row>
    <row r="36" spans="2:22" x14ac:dyDescent="0.3">
      <c r="B36" t="s">
        <v>237</v>
      </c>
      <c r="C36" t="s">
        <v>222</v>
      </c>
      <c r="D36" t="s">
        <v>79</v>
      </c>
      <c r="E36" t="s">
        <v>79</v>
      </c>
      <c r="F36">
        <v>19.899999999999999</v>
      </c>
      <c r="G36">
        <v>50</v>
      </c>
      <c r="H36">
        <v>211</v>
      </c>
      <c r="I36">
        <v>182</v>
      </c>
      <c r="J36">
        <v>32</v>
      </c>
      <c r="K36">
        <v>48</v>
      </c>
      <c r="L36">
        <v>9</v>
      </c>
      <c r="M36">
        <v>25</v>
      </c>
      <c r="N36">
        <v>5</v>
      </c>
      <c r="O36">
        <v>0</v>
      </c>
      <c r="P36">
        <v>25</v>
      </c>
      <c r="Q36">
        <v>27</v>
      </c>
      <c r="R36">
        <v>0.26400000000000001</v>
      </c>
      <c r="S36">
        <v>0.35099999999999998</v>
      </c>
      <c r="T36">
        <v>0.46700000000000003</v>
      </c>
      <c r="U36">
        <v>0.81799999999999995</v>
      </c>
      <c r="V36">
        <v>100</v>
      </c>
    </row>
    <row r="37" spans="2:22" x14ac:dyDescent="0.3">
      <c r="B37" t="s">
        <v>651</v>
      </c>
      <c r="C37" t="s">
        <v>1524</v>
      </c>
      <c r="D37" t="s">
        <v>1655</v>
      </c>
      <c r="E37" t="s">
        <v>1655</v>
      </c>
      <c r="F37">
        <v>19.600000000000001</v>
      </c>
      <c r="G37">
        <v>48</v>
      </c>
      <c r="H37">
        <v>200</v>
      </c>
      <c r="I37">
        <v>184</v>
      </c>
      <c r="J37">
        <v>31</v>
      </c>
      <c r="K37">
        <v>54</v>
      </c>
      <c r="L37">
        <v>7</v>
      </c>
      <c r="M37">
        <v>25</v>
      </c>
      <c r="N37">
        <v>4</v>
      </c>
      <c r="O37">
        <v>0</v>
      </c>
      <c r="P37">
        <v>12</v>
      </c>
      <c r="Q37">
        <v>51</v>
      </c>
      <c r="R37">
        <v>0.29299999999999998</v>
      </c>
      <c r="S37">
        <v>0.34499999999999997</v>
      </c>
      <c r="T37">
        <v>0.46200000000000002</v>
      </c>
      <c r="U37">
        <v>0.80700000000000005</v>
      </c>
      <c r="V37">
        <v>99</v>
      </c>
    </row>
    <row r="38" spans="2:22" x14ac:dyDescent="0.3">
      <c r="B38" t="s">
        <v>511</v>
      </c>
      <c r="C38" t="s">
        <v>286</v>
      </c>
      <c r="D38" t="s">
        <v>1527</v>
      </c>
      <c r="E38" t="s">
        <v>1527</v>
      </c>
      <c r="F38">
        <v>19.399999999999999</v>
      </c>
      <c r="G38">
        <v>47</v>
      </c>
      <c r="H38">
        <v>198</v>
      </c>
      <c r="I38">
        <v>177</v>
      </c>
      <c r="J38">
        <v>28</v>
      </c>
      <c r="K38">
        <v>44</v>
      </c>
      <c r="L38">
        <v>11</v>
      </c>
      <c r="M38">
        <v>34</v>
      </c>
      <c r="N38">
        <v>1</v>
      </c>
      <c r="O38">
        <v>0</v>
      </c>
      <c r="P38">
        <v>17</v>
      </c>
      <c r="Q38">
        <v>40</v>
      </c>
      <c r="R38">
        <v>0.249</v>
      </c>
      <c r="S38">
        <v>0.313</v>
      </c>
      <c r="T38">
        <v>0.49199999999999999</v>
      </c>
      <c r="U38">
        <v>0.80500000000000005</v>
      </c>
      <c r="V38">
        <v>100</v>
      </c>
    </row>
    <row r="39" spans="2:22" x14ac:dyDescent="0.3">
      <c r="B39" t="s">
        <v>492</v>
      </c>
      <c r="C39" t="s">
        <v>248</v>
      </c>
      <c r="D39" t="s">
        <v>1659</v>
      </c>
      <c r="E39" t="s">
        <v>1659</v>
      </c>
      <c r="F39">
        <v>19.3</v>
      </c>
      <c r="G39">
        <v>40</v>
      </c>
      <c r="H39">
        <v>187</v>
      </c>
      <c r="I39">
        <v>173</v>
      </c>
      <c r="J39">
        <v>27</v>
      </c>
      <c r="K39">
        <v>51</v>
      </c>
      <c r="L39">
        <v>3</v>
      </c>
      <c r="M39">
        <v>24</v>
      </c>
      <c r="N39">
        <v>12</v>
      </c>
      <c r="O39">
        <v>0</v>
      </c>
      <c r="P39">
        <v>11</v>
      </c>
      <c r="Q39">
        <v>20</v>
      </c>
      <c r="R39">
        <v>0.29499999999999998</v>
      </c>
      <c r="S39">
        <v>0.34200000000000003</v>
      </c>
      <c r="T39">
        <v>0.40500000000000003</v>
      </c>
      <c r="U39">
        <v>0.747</v>
      </c>
      <c r="V39">
        <v>100</v>
      </c>
    </row>
    <row r="40" spans="2:22" x14ac:dyDescent="0.3">
      <c r="B40" t="s">
        <v>586</v>
      </c>
      <c r="C40" t="s">
        <v>1520</v>
      </c>
      <c r="D40" t="s">
        <v>1531</v>
      </c>
      <c r="E40" t="s">
        <v>1531</v>
      </c>
      <c r="F40">
        <v>19.3</v>
      </c>
      <c r="G40">
        <v>45</v>
      </c>
      <c r="H40">
        <v>190</v>
      </c>
      <c r="I40">
        <v>175</v>
      </c>
      <c r="J40">
        <v>24</v>
      </c>
      <c r="K40">
        <v>49</v>
      </c>
      <c r="L40">
        <v>11</v>
      </c>
      <c r="M40">
        <v>28</v>
      </c>
      <c r="N40">
        <v>0</v>
      </c>
      <c r="O40">
        <v>0</v>
      </c>
      <c r="P40">
        <v>8</v>
      </c>
      <c r="Q40">
        <v>39</v>
      </c>
      <c r="R40">
        <v>0.28000000000000003</v>
      </c>
      <c r="S40">
        <v>0.32100000000000001</v>
      </c>
      <c r="T40">
        <v>0.53100000000000003</v>
      </c>
      <c r="U40">
        <v>0.85199999999999998</v>
      </c>
      <c r="V40">
        <v>100</v>
      </c>
    </row>
    <row r="41" spans="2:22" x14ac:dyDescent="0.3">
      <c r="B41" t="s">
        <v>269</v>
      </c>
      <c r="C41" t="s">
        <v>270</v>
      </c>
      <c r="D41" t="s">
        <v>79</v>
      </c>
      <c r="E41" t="s">
        <v>79</v>
      </c>
      <c r="F41">
        <v>19</v>
      </c>
      <c r="G41">
        <v>49</v>
      </c>
      <c r="H41">
        <v>215</v>
      </c>
      <c r="I41">
        <v>183</v>
      </c>
      <c r="J41">
        <v>40</v>
      </c>
      <c r="K41">
        <v>53</v>
      </c>
      <c r="L41">
        <v>3</v>
      </c>
      <c r="M41">
        <v>18</v>
      </c>
      <c r="N41">
        <v>8</v>
      </c>
      <c r="O41">
        <v>1</v>
      </c>
      <c r="P41">
        <v>24</v>
      </c>
      <c r="Q41">
        <v>40</v>
      </c>
      <c r="R41">
        <v>0.28999999999999998</v>
      </c>
      <c r="S41">
        <v>0.38100000000000001</v>
      </c>
      <c r="T41">
        <v>0.41499999999999998</v>
      </c>
      <c r="U41">
        <v>0.79600000000000004</v>
      </c>
      <c r="V41">
        <v>100</v>
      </c>
    </row>
    <row r="42" spans="2:22" x14ac:dyDescent="0.3">
      <c r="B42" t="s">
        <v>619</v>
      </c>
      <c r="C42" t="s">
        <v>255</v>
      </c>
      <c r="D42" t="s">
        <v>80</v>
      </c>
      <c r="E42" t="s">
        <v>80</v>
      </c>
      <c r="F42">
        <v>18.7</v>
      </c>
      <c r="G42">
        <v>49</v>
      </c>
      <c r="H42">
        <v>213</v>
      </c>
      <c r="I42">
        <v>197</v>
      </c>
      <c r="J42">
        <v>26</v>
      </c>
      <c r="K42">
        <v>52</v>
      </c>
      <c r="L42">
        <v>9</v>
      </c>
      <c r="M42">
        <v>34</v>
      </c>
      <c r="N42">
        <v>2</v>
      </c>
      <c r="O42">
        <v>1</v>
      </c>
      <c r="P42">
        <v>14</v>
      </c>
      <c r="Q42">
        <v>46</v>
      </c>
      <c r="R42">
        <v>0.26400000000000001</v>
      </c>
      <c r="S42">
        <v>0.31</v>
      </c>
      <c r="T42">
        <v>0.437</v>
      </c>
      <c r="U42">
        <v>0.747</v>
      </c>
      <c r="V42">
        <v>100</v>
      </c>
    </row>
    <row r="43" spans="2:22" x14ac:dyDescent="0.3">
      <c r="B43" t="s">
        <v>277</v>
      </c>
      <c r="C43" t="s">
        <v>278</v>
      </c>
      <c r="D43" t="s">
        <v>1529</v>
      </c>
      <c r="E43" t="s">
        <v>1529</v>
      </c>
      <c r="F43">
        <v>18.5</v>
      </c>
      <c r="G43">
        <v>42</v>
      </c>
      <c r="H43">
        <v>148</v>
      </c>
      <c r="I43">
        <v>134</v>
      </c>
      <c r="J43">
        <v>28</v>
      </c>
      <c r="K43">
        <v>32</v>
      </c>
      <c r="L43">
        <v>6</v>
      </c>
      <c r="M43">
        <v>22</v>
      </c>
      <c r="N43">
        <v>14</v>
      </c>
      <c r="O43">
        <v>0</v>
      </c>
      <c r="P43">
        <v>10</v>
      </c>
      <c r="Q43">
        <v>32</v>
      </c>
      <c r="R43">
        <v>0.23899999999999999</v>
      </c>
      <c r="S43">
        <v>0.29099999999999998</v>
      </c>
      <c r="T43">
        <v>0.41799999999999998</v>
      </c>
      <c r="U43">
        <v>0.70899999999999996</v>
      </c>
      <c r="V43">
        <v>99</v>
      </c>
    </row>
    <row r="44" spans="2:22" x14ac:dyDescent="0.3">
      <c r="B44" t="s">
        <v>400</v>
      </c>
      <c r="C44" t="s">
        <v>264</v>
      </c>
      <c r="D44" t="s">
        <v>1527</v>
      </c>
      <c r="E44" t="s">
        <v>1527</v>
      </c>
      <c r="F44">
        <v>18.5</v>
      </c>
      <c r="G44">
        <v>49</v>
      </c>
      <c r="H44">
        <v>219</v>
      </c>
      <c r="I44">
        <v>193</v>
      </c>
      <c r="J44">
        <v>37</v>
      </c>
      <c r="K44">
        <v>56</v>
      </c>
      <c r="L44">
        <v>5</v>
      </c>
      <c r="M44">
        <v>29</v>
      </c>
      <c r="N44">
        <v>0</v>
      </c>
      <c r="O44">
        <v>0</v>
      </c>
      <c r="P44">
        <v>24</v>
      </c>
      <c r="Q44">
        <v>44</v>
      </c>
      <c r="R44">
        <v>0.28999999999999998</v>
      </c>
      <c r="S44">
        <v>0.37</v>
      </c>
      <c r="T44">
        <v>0.46100000000000002</v>
      </c>
      <c r="U44">
        <v>0.83099999999999996</v>
      </c>
      <c r="V44">
        <v>100</v>
      </c>
    </row>
    <row r="45" spans="2:22" x14ac:dyDescent="0.3">
      <c r="B45" t="s">
        <v>777</v>
      </c>
      <c r="C45" t="s">
        <v>264</v>
      </c>
      <c r="D45" t="s">
        <v>1531</v>
      </c>
      <c r="E45" t="s">
        <v>1531</v>
      </c>
      <c r="F45">
        <v>18.2</v>
      </c>
      <c r="G45">
        <v>42</v>
      </c>
      <c r="H45">
        <v>169</v>
      </c>
      <c r="I45">
        <v>154</v>
      </c>
      <c r="J45">
        <v>27</v>
      </c>
      <c r="K45">
        <v>42</v>
      </c>
      <c r="L45">
        <v>6</v>
      </c>
      <c r="M45">
        <v>33</v>
      </c>
      <c r="N45">
        <v>2</v>
      </c>
      <c r="O45">
        <v>0</v>
      </c>
      <c r="P45">
        <v>13</v>
      </c>
      <c r="Q45">
        <v>32</v>
      </c>
      <c r="R45">
        <v>0.27300000000000002</v>
      </c>
      <c r="S45">
        <v>0.33100000000000002</v>
      </c>
      <c r="T45">
        <v>0.44800000000000001</v>
      </c>
      <c r="U45">
        <v>0.77900000000000003</v>
      </c>
      <c r="V45">
        <v>100</v>
      </c>
    </row>
    <row r="46" spans="2:22" x14ac:dyDescent="0.3">
      <c r="B46" t="s">
        <v>230</v>
      </c>
      <c r="C46" t="s">
        <v>231</v>
      </c>
      <c r="D46" t="s">
        <v>1655</v>
      </c>
      <c r="E46" t="s">
        <v>1655</v>
      </c>
      <c r="F46">
        <v>18.2</v>
      </c>
      <c r="G46">
        <v>47</v>
      </c>
      <c r="H46">
        <v>202</v>
      </c>
      <c r="I46">
        <v>181</v>
      </c>
      <c r="J46">
        <v>27</v>
      </c>
      <c r="K46">
        <v>51</v>
      </c>
      <c r="L46">
        <v>6</v>
      </c>
      <c r="M46">
        <v>28</v>
      </c>
      <c r="N46">
        <v>6</v>
      </c>
      <c r="O46">
        <v>0</v>
      </c>
      <c r="P46">
        <v>14</v>
      </c>
      <c r="Q46">
        <v>36</v>
      </c>
      <c r="R46">
        <v>0.28199999999999997</v>
      </c>
      <c r="S46">
        <v>0.33200000000000002</v>
      </c>
      <c r="T46">
        <v>0.48099999999999998</v>
      </c>
      <c r="U46">
        <v>0.81299999999999994</v>
      </c>
      <c r="V46">
        <v>100</v>
      </c>
    </row>
    <row r="47" spans="2:22" x14ac:dyDescent="0.3">
      <c r="B47" t="s">
        <v>225</v>
      </c>
      <c r="C47" t="s">
        <v>226</v>
      </c>
      <c r="D47" t="s">
        <v>1531</v>
      </c>
      <c r="E47" t="s">
        <v>1531</v>
      </c>
      <c r="F47">
        <v>18.2</v>
      </c>
      <c r="G47">
        <v>33</v>
      </c>
      <c r="H47">
        <v>148</v>
      </c>
      <c r="I47">
        <v>120</v>
      </c>
      <c r="J47">
        <v>26</v>
      </c>
      <c r="K47">
        <v>38</v>
      </c>
      <c r="L47">
        <v>7</v>
      </c>
      <c r="M47">
        <v>27</v>
      </c>
      <c r="N47">
        <v>1</v>
      </c>
      <c r="O47">
        <v>0</v>
      </c>
      <c r="P47">
        <v>22</v>
      </c>
      <c r="Q47">
        <v>12</v>
      </c>
      <c r="R47">
        <v>0.317</v>
      </c>
      <c r="S47">
        <v>0.41199999999999998</v>
      </c>
      <c r="T47">
        <v>0.55000000000000004</v>
      </c>
      <c r="U47">
        <v>0.96199999999999997</v>
      </c>
      <c r="V47">
        <v>100</v>
      </c>
    </row>
    <row r="48" spans="2:22" x14ac:dyDescent="0.3">
      <c r="B48" t="s">
        <v>352</v>
      </c>
      <c r="C48" t="s">
        <v>274</v>
      </c>
      <c r="D48" t="s">
        <v>1655</v>
      </c>
      <c r="E48" t="s">
        <v>1655</v>
      </c>
      <c r="F48">
        <v>17.600000000000001</v>
      </c>
      <c r="G48">
        <v>45</v>
      </c>
      <c r="H48">
        <v>192</v>
      </c>
      <c r="I48">
        <v>164</v>
      </c>
      <c r="J48">
        <v>31</v>
      </c>
      <c r="K48">
        <v>39</v>
      </c>
      <c r="L48">
        <v>10</v>
      </c>
      <c r="M48">
        <v>23</v>
      </c>
      <c r="N48">
        <v>6</v>
      </c>
      <c r="O48">
        <v>0</v>
      </c>
      <c r="P48">
        <v>25</v>
      </c>
      <c r="Q48">
        <v>54</v>
      </c>
      <c r="R48">
        <v>0.23799999999999999</v>
      </c>
      <c r="S48">
        <v>0.34399999999999997</v>
      </c>
      <c r="T48">
        <v>0.48799999999999999</v>
      </c>
      <c r="U48">
        <v>0.83199999999999996</v>
      </c>
      <c r="V48">
        <v>100</v>
      </c>
    </row>
    <row r="49" spans="2:22" x14ac:dyDescent="0.3">
      <c r="B49" t="s">
        <v>751</v>
      </c>
      <c r="C49" t="s">
        <v>1520</v>
      </c>
      <c r="D49" t="s">
        <v>1663</v>
      </c>
      <c r="E49" t="s">
        <v>1663</v>
      </c>
      <c r="F49">
        <v>17.600000000000001</v>
      </c>
      <c r="G49">
        <v>50</v>
      </c>
      <c r="H49">
        <v>219</v>
      </c>
      <c r="I49">
        <v>207</v>
      </c>
      <c r="J49">
        <v>31</v>
      </c>
      <c r="K49">
        <v>47</v>
      </c>
      <c r="L49">
        <v>7</v>
      </c>
      <c r="M49">
        <v>20</v>
      </c>
      <c r="N49">
        <v>14</v>
      </c>
      <c r="O49">
        <v>1</v>
      </c>
      <c r="P49">
        <v>11</v>
      </c>
      <c r="Q49">
        <v>47</v>
      </c>
      <c r="R49">
        <v>0.22700000000000001</v>
      </c>
      <c r="S49">
        <v>0.26500000000000001</v>
      </c>
      <c r="T49">
        <v>0.40100000000000002</v>
      </c>
      <c r="U49">
        <v>0.66600000000000004</v>
      </c>
      <c r="V49">
        <v>100</v>
      </c>
    </row>
    <row r="50" spans="2:22" x14ac:dyDescent="0.3">
      <c r="B50" t="s">
        <v>334</v>
      </c>
      <c r="C50" t="s">
        <v>221</v>
      </c>
      <c r="D50" t="s">
        <v>1655</v>
      </c>
      <c r="E50" t="s">
        <v>1655</v>
      </c>
      <c r="F50">
        <v>17.600000000000001</v>
      </c>
      <c r="G50">
        <v>42</v>
      </c>
      <c r="H50">
        <v>185</v>
      </c>
      <c r="I50">
        <v>164</v>
      </c>
      <c r="J50">
        <v>27</v>
      </c>
      <c r="K50">
        <v>49</v>
      </c>
      <c r="L50">
        <v>6</v>
      </c>
      <c r="M50">
        <v>29</v>
      </c>
      <c r="N50">
        <v>3</v>
      </c>
      <c r="O50">
        <v>0</v>
      </c>
      <c r="P50">
        <v>17</v>
      </c>
      <c r="Q50">
        <v>17</v>
      </c>
      <c r="R50">
        <v>0.29899999999999999</v>
      </c>
      <c r="S50">
        <v>0.373</v>
      </c>
      <c r="T50">
        <v>0.48199999999999998</v>
      </c>
      <c r="U50">
        <v>0.85499999999999998</v>
      </c>
      <c r="V50">
        <v>100</v>
      </c>
    </row>
    <row r="51" spans="2:22" x14ac:dyDescent="0.3">
      <c r="B51" t="s">
        <v>606</v>
      </c>
      <c r="C51" t="s">
        <v>248</v>
      </c>
      <c r="D51" t="s">
        <v>1655</v>
      </c>
      <c r="E51" t="s">
        <v>1655</v>
      </c>
      <c r="F51">
        <v>17.5</v>
      </c>
      <c r="G51">
        <v>37</v>
      </c>
      <c r="H51">
        <v>163</v>
      </c>
      <c r="I51">
        <v>144</v>
      </c>
      <c r="J51">
        <v>29</v>
      </c>
      <c r="K51">
        <v>39</v>
      </c>
      <c r="L51">
        <v>7</v>
      </c>
      <c r="M51">
        <v>20</v>
      </c>
      <c r="N51">
        <v>9</v>
      </c>
      <c r="O51">
        <v>0</v>
      </c>
      <c r="P51">
        <v>14</v>
      </c>
      <c r="Q51">
        <v>31</v>
      </c>
      <c r="R51">
        <v>0.27100000000000002</v>
      </c>
      <c r="S51">
        <v>0.33700000000000002</v>
      </c>
      <c r="T51">
        <v>0.49299999999999999</v>
      </c>
      <c r="U51">
        <v>0.83</v>
      </c>
      <c r="V51">
        <v>100</v>
      </c>
    </row>
    <row r="52" spans="2:22" x14ac:dyDescent="0.3">
      <c r="B52" t="s">
        <v>931</v>
      </c>
      <c r="C52" t="s">
        <v>325</v>
      </c>
      <c r="D52" t="s">
        <v>1655</v>
      </c>
      <c r="E52" t="s">
        <v>1655</v>
      </c>
      <c r="F52">
        <v>17.5</v>
      </c>
      <c r="G52">
        <v>44</v>
      </c>
      <c r="H52">
        <v>178</v>
      </c>
      <c r="I52">
        <v>149</v>
      </c>
      <c r="J52">
        <v>21</v>
      </c>
      <c r="K52">
        <v>41</v>
      </c>
      <c r="L52">
        <v>11</v>
      </c>
      <c r="M52">
        <v>32</v>
      </c>
      <c r="N52">
        <v>1</v>
      </c>
      <c r="O52">
        <v>0</v>
      </c>
      <c r="P52">
        <v>24</v>
      </c>
      <c r="Q52">
        <v>46</v>
      </c>
      <c r="R52">
        <v>0.27500000000000002</v>
      </c>
      <c r="S52">
        <v>0.38200000000000001</v>
      </c>
      <c r="T52">
        <v>0.54400000000000004</v>
      </c>
      <c r="U52">
        <v>0.92600000000000005</v>
      </c>
      <c r="V52">
        <v>100</v>
      </c>
    </row>
    <row r="53" spans="2:22" x14ac:dyDescent="0.3">
      <c r="B53" t="s">
        <v>223</v>
      </c>
      <c r="C53" t="s">
        <v>224</v>
      </c>
      <c r="D53" t="s">
        <v>1655</v>
      </c>
      <c r="E53" t="s">
        <v>1655</v>
      </c>
      <c r="F53">
        <v>17.3</v>
      </c>
      <c r="G53">
        <v>49</v>
      </c>
      <c r="H53">
        <v>202</v>
      </c>
      <c r="I53">
        <v>174</v>
      </c>
      <c r="J53">
        <v>18</v>
      </c>
      <c r="K53">
        <v>48</v>
      </c>
      <c r="L53">
        <v>7</v>
      </c>
      <c r="M53">
        <v>33</v>
      </c>
      <c r="N53">
        <v>7</v>
      </c>
      <c r="O53">
        <v>0</v>
      </c>
      <c r="P53">
        <v>24</v>
      </c>
      <c r="Q53">
        <v>31</v>
      </c>
      <c r="R53">
        <v>0.27600000000000002</v>
      </c>
      <c r="S53">
        <v>0.35599999999999998</v>
      </c>
      <c r="T53">
        <v>0.44800000000000001</v>
      </c>
      <c r="U53">
        <v>0.80400000000000005</v>
      </c>
      <c r="V53">
        <v>100</v>
      </c>
    </row>
    <row r="54" spans="2:22" x14ac:dyDescent="0.3">
      <c r="B54" t="s">
        <v>229</v>
      </c>
      <c r="C54" t="s">
        <v>226</v>
      </c>
      <c r="D54" t="s">
        <v>1655</v>
      </c>
      <c r="E54" t="s">
        <v>1655</v>
      </c>
      <c r="F54">
        <v>17.3</v>
      </c>
      <c r="G54">
        <v>49</v>
      </c>
      <c r="H54">
        <v>186</v>
      </c>
      <c r="I54">
        <v>163</v>
      </c>
      <c r="J54">
        <v>28</v>
      </c>
      <c r="K54">
        <v>40</v>
      </c>
      <c r="L54">
        <v>9</v>
      </c>
      <c r="M54">
        <v>28</v>
      </c>
      <c r="N54">
        <v>5</v>
      </c>
      <c r="O54">
        <v>0</v>
      </c>
      <c r="P54">
        <v>18</v>
      </c>
      <c r="Q54">
        <v>63</v>
      </c>
      <c r="R54">
        <v>0.245</v>
      </c>
      <c r="S54">
        <v>0.33300000000000002</v>
      </c>
      <c r="T54">
        <v>0.497</v>
      </c>
      <c r="U54">
        <v>0.83</v>
      </c>
      <c r="V54">
        <v>100</v>
      </c>
    </row>
    <row r="55" spans="2:22" x14ac:dyDescent="0.3">
      <c r="B55" t="s">
        <v>233</v>
      </c>
      <c r="C55" t="s">
        <v>234</v>
      </c>
      <c r="D55" t="s">
        <v>80</v>
      </c>
      <c r="E55" t="s">
        <v>80</v>
      </c>
      <c r="F55">
        <v>17.100000000000001</v>
      </c>
      <c r="G55">
        <v>49</v>
      </c>
      <c r="H55">
        <v>211</v>
      </c>
      <c r="I55">
        <v>186</v>
      </c>
      <c r="J55">
        <v>26</v>
      </c>
      <c r="K55">
        <v>56</v>
      </c>
      <c r="L55">
        <v>7</v>
      </c>
      <c r="M55">
        <v>27</v>
      </c>
      <c r="N55">
        <v>2</v>
      </c>
      <c r="O55">
        <v>0</v>
      </c>
      <c r="P55">
        <v>22</v>
      </c>
      <c r="Q55">
        <v>55</v>
      </c>
      <c r="R55">
        <v>0.30099999999999999</v>
      </c>
      <c r="S55">
        <v>0.379</v>
      </c>
      <c r="T55">
        <v>0.51600000000000001</v>
      </c>
      <c r="U55">
        <v>0.89500000000000002</v>
      </c>
      <c r="V55">
        <v>100</v>
      </c>
    </row>
    <row r="56" spans="2:22" x14ac:dyDescent="0.3">
      <c r="B56" t="s">
        <v>875</v>
      </c>
      <c r="C56" t="s">
        <v>235</v>
      </c>
      <c r="D56" t="s">
        <v>1655</v>
      </c>
      <c r="E56" t="s">
        <v>1655</v>
      </c>
      <c r="F56">
        <v>16.600000000000001</v>
      </c>
      <c r="G56">
        <v>49</v>
      </c>
      <c r="H56">
        <v>209</v>
      </c>
      <c r="I56">
        <v>191</v>
      </c>
      <c r="J56">
        <v>30</v>
      </c>
      <c r="K56">
        <v>49</v>
      </c>
      <c r="L56">
        <v>10</v>
      </c>
      <c r="M56">
        <v>29</v>
      </c>
      <c r="N56">
        <v>0</v>
      </c>
      <c r="O56">
        <v>0</v>
      </c>
      <c r="P56">
        <v>16</v>
      </c>
      <c r="Q56">
        <v>44</v>
      </c>
      <c r="R56">
        <v>0.25700000000000001</v>
      </c>
      <c r="S56">
        <v>0.311</v>
      </c>
      <c r="T56">
        <v>0.46600000000000003</v>
      </c>
      <c r="U56">
        <v>0.77700000000000002</v>
      </c>
      <c r="V56">
        <v>100</v>
      </c>
    </row>
    <row r="57" spans="2:22" x14ac:dyDescent="0.3">
      <c r="B57" t="s">
        <v>776</v>
      </c>
      <c r="C57" t="s">
        <v>311</v>
      </c>
      <c r="D57" t="s">
        <v>1655</v>
      </c>
      <c r="E57" t="s">
        <v>1655</v>
      </c>
      <c r="F57">
        <v>16.5</v>
      </c>
      <c r="G57">
        <v>49</v>
      </c>
      <c r="H57">
        <v>206</v>
      </c>
      <c r="I57">
        <v>190</v>
      </c>
      <c r="J57">
        <v>33</v>
      </c>
      <c r="K57">
        <v>55</v>
      </c>
      <c r="L57">
        <v>5</v>
      </c>
      <c r="M57">
        <v>26</v>
      </c>
      <c r="N57">
        <v>2</v>
      </c>
      <c r="O57">
        <v>2</v>
      </c>
      <c r="P57">
        <v>15</v>
      </c>
      <c r="Q57">
        <v>54</v>
      </c>
      <c r="R57">
        <v>0.28899999999999998</v>
      </c>
      <c r="S57">
        <v>0.34</v>
      </c>
      <c r="T57">
        <v>0.45300000000000001</v>
      </c>
      <c r="U57">
        <v>0.79300000000000004</v>
      </c>
      <c r="V57">
        <v>100</v>
      </c>
    </row>
    <row r="58" spans="2:22" x14ac:dyDescent="0.3">
      <c r="B58" t="s">
        <v>656</v>
      </c>
      <c r="C58" t="s">
        <v>255</v>
      </c>
      <c r="D58" t="s">
        <v>1659</v>
      </c>
      <c r="E58" t="s">
        <v>1659</v>
      </c>
      <c r="F58">
        <v>15.3</v>
      </c>
      <c r="G58">
        <v>47</v>
      </c>
      <c r="H58">
        <v>170</v>
      </c>
      <c r="I58">
        <v>155</v>
      </c>
      <c r="J58">
        <v>27</v>
      </c>
      <c r="K58">
        <v>44</v>
      </c>
      <c r="L58">
        <v>6</v>
      </c>
      <c r="M58">
        <v>21</v>
      </c>
      <c r="N58">
        <v>7</v>
      </c>
      <c r="O58">
        <v>0</v>
      </c>
      <c r="P58">
        <v>12</v>
      </c>
      <c r="Q58">
        <v>25</v>
      </c>
      <c r="R58">
        <v>0.28399999999999997</v>
      </c>
      <c r="S58">
        <v>0.33500000000000002</v>
      </c>
      <c r="T58">
        <v>0.48399999999999999</v>
      </c>
      <c r="U58">
        <v>0.81899999999999995</v>
      </c>
      <c r="V58">
        <v>100</v>
      </c>
    </row>
    <row r="59" spans="2:22" x14ac:dyDescent="0.3">
      <c r="B59" t="s">
        <v>312</v>
      </c>
      <c r="C59" t="s">
        <v>221</v>
      </c>
      <c r="D59" t="s">
        <v>1655</v>
      </c>
      <c r="E59" t="s">
        <v>1655</v>
      </c>
      <c r="F59">
        <v>15.1</v>
      </c>
      <c r="G59">
        <v>48</v>
      </c>
      <c r="H59">
        <v>209</v>
      </c>
      <c r="I59">
        <v>187</v>
      </c>
      <c r="J59">
        <v>37</v>
      </c>
      <c r="K59">
        <v>53</v>
      </c>
      <c r="L59">
        <v>5</v>
      </c>
      <c r="M59">
        <v>19</v>
      </c>
      <c r="N59">
        <v>3</v>
      </c>
      <c r="O59">
        <v>0</v>
      </c>
      <c r="P59">
        <v>18</v>
      </c>
      <c r="Q59">
        <v>28</v>
      </c>
      <c r="R59">
        <v>0.28299999999999997</v>
      </c>
      <c r="S59">
        <v>0.35899999999999999</v>
      </c>
      <c r="T59">
        <v>0.45500000000000002</v>
      </c>
      <c r="U59">
        <v>0.81399999999999995</v>
      </c>
      <c r="V59">
        <v>100</v>
      </c>
    </row>
    <row r="60" spans="2:22" x14ac:dyDescent="0.3">
      <c r="B60" t="s">
        <v>523</v>
      </c>
      <c r="C60" t="s">
        <v>1523</v>
      </c>
      <c r="D60" t="s">
        <v>1655</v>
      </c>
      <c r="E60" t="s">
        <v>1655</v>
      </c>
      <c r="F60">
        <v>14.9</v>
      </c>
      <c r="G60">
        <v>49</v>
      </c>
      <c r="H60">
        <v>215</v>
      </c>
      <c r="I60">
        <v>171</v>
      </c>
      <c r="J60">
        <v>27</v>
      </c>
      <c r="K60">
        <v>44</v>
      </c>
      <c r="L60">
        <v>9</v>
      </c>
      <c r="M60">
        <v>22</v>
      </c>
      <c r="N60">
        <v>5</v>
      </c>
      <c r="O60">
        <v>0</v>
      </c>
      <c r="P60">
        <v>44</v>
      </c>
      <c r="Q60">
        <v>47</v>
      </c>
      <c r="R60">
        <v>0.25700000000000001</v>
      </c>
      <c r="S60">
        <v>0.40899999999999997</v>
      </c>
      <c r="T60">
        <v>0.49099999999999999</v>
      </c>
      <c r="U60">
        <v>0.9</v>
      </c>
      <c r="V60">
        <v>100</v>
      </c>
    </row>
    <row r="61" spans="2:22" x14ac:dyDescent="0.3">
      <c r="B61" t="s">
        <v>840</v>
      </c>
      <c r="C61" t="s">
        <v>234</v>
      </c>
      <c r="D61" t="s">
        <v>1665</v>
      </c>
      <c r="E61" t="s">
        <v>1665</v>
      </c>
      <c r="F61">
        <v>14.6</v>
      </c>
      <c r="G61">
        <v>43</v>
      </c>
      <c r="H61">
        <v>175</v>
      </c>
      <c r="I61">
        <v>160</v>
      </c>
      <c r="J61">
        <v>24</v>
      </c>
      <c r="K61">
        <v>46</v>
      </c>
      <c r="L61">
        <v>2</v>
      </c>
      <c r="M61">
        <v>19</v>
      </c>
      <c r="N61">
        <v>14</v>
      </c>
      <c r="O61">
        <v>0</v>
      </c>
      <c r="P61">
        <v>12</v>
      </c>
      <c r="Q61">
        <v>31</v>
      </c>
      <c r="R61">
        <v>0.28799999999999998</v>
      </c>
      <c r="S61">
        <v>0.33700000000000002</v>
      </c>
      <c r="T61">
        <v>0.38800000000000001</v>
      </c>
      <c r="U61">
        <v>0.72499999999999998</v>
      </c>
      <c r="V61">
        <v>100</v>
      </c>
    </row>
    <row r="62" spans="2:22" x14ac:dyDescent="0.3">
      <c r="B62" t="s">
        <v>372</v>
      </c>
      <c r="C62" t="s">
        <v>339</v>
      </c>
      <c r="D62" t="s">
        <v>1529</v>
      </c>
      <c r="E62" t="s">
        <v>1529</v>
      </c>
      <c r="F62">
        <v>14.3</v>
      </c>
      <c r="G62">
        <v>50</v>
      </c>
      <c r="H62">
        <v>217</v>
      </c>
      <c r="I62">
        <v>194</v>
      </c>
      <c r="J62">
        <v>29</v>
      </c>
      <c r="K62">
        <v>44</v>
      </c>
      <c r="L62">
        <v>7</v>
      </c>
      <c r="M62">
        <v>33</v>
      </c>
      <c r="N62">
        <v>4</v>
      </c>
      <c r="O62">
        <v>0</v>
      </c>
      <c r="P62">
        <v>17</v>
      </c>
      <c r="Q62">
        <v>50</v>
      </c>
      <c r="R62">
        <v>0.22700000000000001</v>
      </c>
      <c r="S62">
        <v>0.30399999999999999</v>
      </c>
      <c r="T62">
        <v>0.41199999999999998</v>
      </c>
      <c r="U62">
        <v>0.71599999999999997</v>
      </c>
      <c r="V62">
        <v>100</v>
      </c>
    </row>
    <row r="63" spans="2:22" x14ac:dyDescent="0.3">
      <c r="B63" t="s">
        <v>843</v>
      </c>
      <c r="C63" t="s">
        <v>234</v>
      </c>
      <c r="D63" t="s">
        <v>1655</v>
      </c>
      <c r="E63" t="s">
        <v>1655</v>
      </c>
      <c r="F63">
        <v>14.2</v>
      </c>
      <c r="G63">
        <v>48</v>
      </c>
      <c r="H63">
        <v>211</v>
      </c>
      <c r="I63">
        <v>192</v>
      </c>
      <c r="J63">
        <v>27</v>
      </c>
      <c r="K63">
        <v>48</v>
      </c>
      <c r="L63">
        <v>7</v>
      </c>
      <c r="M63">
        <v>22</v>
      </c>
      <c r="N63">
        <v>8</v>
      </c>
      <c r="O63">
        <v>0</v>
      </c>
      <c r="P63">
        <v>18</v>
      </c>
      <c r="Q63">
        <v>32</v>
      </c>
      <c r="R63">
        <v>0.25</v>
      </c>
      <c r="S63">
        <v>0.318</v>
      </c>
      <c r="T63">
        <v>0.38</v>
      </c>
      <c r="U63">
        <v>0.69799999999999995</v>
      </c>
      <c r="V63">
        <v>100</v>
      </c>
    </row>
    <row r="64" spans="2:22" x14ac:dyDescent="0.3">
      <c r="B64" t="s">
        <v>700</v>
      </c>
      <c r="C64" t="s">
        <v>1522</v>
      </c>
      <c r="D64" t="s">
        <v>1666</v>
      </c>
      <c r="E64" t="s">
        <v>1666</v>
      </c>
      <c r="F64">
        <v>14.1</v>
      </c>
      <c r="G64">
        <v>45</v>
      </c>
      <c r="H64">
        <v>172</v>
      </c>
      <c r="I64">
        <v>154</v>
      </c>
      <c r="J64">
        <v>25</v>
      </c>
      <c r="K64">
        <v>42</v>
      </c>
      <c r="L64">
        <v>7</v>
      </c>
      <c r="M64">
        <v>33</v>
      </c>
      <c r="N64">
        <v>0</v>
      </c>
      <c r="O64">
        <v>0</v>
      </c>
      <c r="P64">
        <v>11</v>
      </c>
      <c r="Q64">
        <v>29</v>
      </c>
      <c r="R64">
        <v>0.27300000000000002</v>
      </c>
      <c r="S64">
        <v>0.34899999999999998</v>
      </c>
      <c r="T64">
        <v>0.46800000000000003</v>
      </c>
      <c r="U64">
        <v>0.81699999999999995</v>
      </c>
      <c r="V64">
        <v>99</v>
      </c>
    </row>
    <row r="65" spans="2:22" x14ac:dyDescent="0.3">
      <c r="B65" t="s">
        <v>687</v>
      </c>
      <c r="C65" t="s">
        <v>250</v>
      </c>
      <c r="D65" t="s">
        <v>79</v>
      </c>
      <c r="E65" t="s">
        <v>79</v>
      </c>
      <c r="F65">
        <v>13.9</v>
      </c>
      <c r="G65">
        <v>49</v>
      </c>
      <c r="H65">
        <v>204</v>
      </c>
      <c r="I65">
        <v>189</v>
      </c>
      <c r="J65">
        <v>21</v>
      </c>
      <c r="K65">
        <v>48</v>
      </c>
      <c r="L65">
        <v>10</v>
      </c>
      <c r="M65">
        <v>32</v>
      </c>
      <c r="N65">
        <v>1</v>
      </c>
      <c r="O65">
        <v>0</v>
      </c>
      <c r="P65">
        <v>10</v>
      </c>
      <c r="Q65">
        <v>33</v>
      </c>
      <c r="R65">
        <v>0.254</v>
      </c>
      <c r="S65">
        <v>0.29899999999999999</v>
      </c>
      <c r="T65">
        <v>0.47599999999999998</v>
      </c>
      <c r="U65">
        <v>0.77500000000000002</v>
      </c>
      <c r="V65">
        <v>100</v>
      </c>
    </row>
    <row r="66" spans="2:22" x14ac:dyDescent="0.3">
      <c r="B66" t="s">
        <v>1661</v>
      </c>
      <c r="C66" t="s">
        <v>244</v>
      </c>
      <c r="D66" t="s">
        <v>1655</v>
      </c>
      <c r="E66" t="s">
        <v>1655</v>
      </c>
      <c r="F66">
        <v>13.7</v>
      </c>
      <c r="G66">
        <v>47</v>
      </c>
      <c r="H66">
        <v>214</v>
      </c>
      <c r="I66">
        <v>194</v>
      </c>
      <c r="J66">
        <v>32</v>
      </c>
      <c r="K66">
        <v>43</v>
      </c>
      <c r="L66">
        <v>7</v>
      </c>
      <c r="M66">
        <v>23</v>
      </c>
      <c r="N66">
        <v>8</v>
      </c>
      <c r="O66">
        <v>1</v>
      </c>
      <c r="P66">
        <v>17</v>
      </c>
      <c r="Q66">
        <v>60</v>
      </c>
      <c r="R66">
        <v>0.222</v>
      </c>
      <c r="S66">
        <v>0.29399999999999998</v>
      </c>
      <c r="T66">
        <v>0.39200000000000002</v>
      </c>
      <c r="U66">
        <v>0.68600000000000005</v>
      </c>
      <c r="V66">
        <v>100</v>
      </c>
    </row>
    <row r="67" spans="2:22" x14ac:dyDescent="0.3">
      <c r="B67" t="s">
        <v>1675</v>
      </c>
      <c r="C67" t="s">
        <v>266</v>
      </c>
      <c r="D67" t="s">
        <v>1531</v>
      </c>
      <c r="E67" t="s">
        <v>1531</v>
      </c>
      <c r="F67">
        <v>13.3</v>
      </c>
      <c r="G67">
        <v>43</v>
      </c>
      <c r="H67">
        <v>159</v>
      </c>
      <c r="I67">
        <v>143</v>
      </c>
      <c r="J67">
        <v>19</v>
      </c>
      <c r="K67">
        <v>49</v>
      </c>
      <c r="L67">
        <v>5</v>
      </c>
      <c r="M67">
        <v>25</v>
      </c>
      <c r="N67">
        <v>0</v>
      </c>
      <c r="O67">
        <v>0</v>
      </c>
      <c r="P67">
        <v>13</v>
      </c>
      <c r="Q67">
        <v>27</v>
      </c>
      <c r="R67">
        <v>0.34300000000000003</v>
      </c>
      <c r="S67">
        <v>0.39600000000000002</v>
      </c>
      <c r="T67">
        <v>0.51700000000000002</v>
      </c>
      <c r="U67">
        <v>0.91300000000000003</v>
      </c>
      <c r="V67">
        <v>100</v>
      </c>
    </row>
    <row r="68" spans="2:22" x14ac:dyDescent="0.3">
      <c r="B68" t="s">
        <v>530</v>
      </c>
      <c r="C68" t="s">
        <v>1522</v>
      </c>
      <c r="D68" t="s">
        <v>1683</v>
      </c>
      <c r="E68" t="s">
        <v>1683</v>
      </c>
      <c r="F68">
        <v>13.2</v>
      </c>
      <c r="G68">
        <v>39</v>
      </c>
      <c r="H68">
        <v>133</v>
      </c>
      <c r="I68">
        <v>115</v>
      </c>
      <c r="J68">
        <v>25</v>
      </c>
      <c r="K68">
        <v>29</v>
      </c>
      <c r="L68">
        <v>7</v>
      </c>
      <c r="M68">
        <v>19</v>
      </c>
      <c r="N68">
        <v>9</v>
      </c>
      <c r="O68">
        <v>0</v>
      </c>
      <c r="P68">
        <v>17</v>
      </c>
      <c r="Q68">
        <v>34</v>
      </c>
      <c r="R68">
        <v>0.252</v>
      </c>
      <c r="S68">
        <v>0.35299999999999998</v>
      </c>
      <c r="T68">
        <v>0.51300000000000001</v>
      </c>
      <c r="U68">
        <v>0.86599999999999999</v>
      </c>
      <c r="V68">
        <v>98</v>
      </c>
    </row>
    <row r="69" spans="2:22" x14ac:dyDescent="0.3">
      <c r="B69" t="s">
        <v>1673</v>
      </c>
      <c r="C69" t="s">
        <v>251</v>
      </c>
      <c r="D69" t="s">
        <v>80</v>
      </c>
      <c r="E69" t="s">
        <v>80</v>
      </c>
      <c r="F69">
        <v>12.6</v>
      </c>
      <c r="G69">
        <v>46</v>
      </c>
      <c r="H69">
        <v>201</v>
      </c>
      <c r="I69">
        <v>173</v>
      </c>
      <c r="J69">
        <v>25</v>
      </c>
      <c r="K69">
        <v>46</v>
      </c>
      <c r="L69">
        <v>6</v>
      </c>
      <c r="M69">
        <v>25</v>
      </c>
      <c r="N69">
        <v>5</v>
      </c>
      <c r="O69">
        <v>0</v>
      </c>
      <c r="P69">
        <v>24</v>
      </c>
      <c r="Q69">
        <v>16</v>
      </c>
      <c r="R69">
        <v>0.26600000000000001</v>
      </c>
      <c r="S69">
        <v>0.34799999999999998</v>
      </c>
      <c r="T69">
        <v>0.46200000000000002</v>
      </c>
      <c r="U69">
        <v>0.81</v>
      </c>
      <c r="V69">
        <v>100</v>
      </c>
    </row>
    <row r="70" spans="2:22" x14ac:dyDescent="0.3">
      <c r="B70" t="s">
        <v>327</v>
      </c>
      <c r="C70" t="s">
        <v>278</v>
      </c>
      <c r="D70" t="s">
        <v>1665</v>
      </c>
      <c r="E70" t="s">
        <v>1665</v>
      </c>
      <c r="F70">
        <v>12.4</v>
      </c>
      <c r="G70">
        <v>48</v>
      </c>
      <c r="H70">
        <v>167</v>
      </c>
      <c r="I70">
        <v>149</v>
      </c>
      <c r="J70">
        <v>27</v>
      </c>
      <c r="K70">
        <v>38</v>
      </c>
      <c r="L70">
        <v>6</v>
      </c>
      <c r="M70">
        <v>23</v>
      </c>
      <c r="N70">
        <v>6</v>
      </c>
      <c r="O70">
        <v>1</v>
      </c>
      <c r="P70">
        <v>17</v>
      </c>
      <c r="Q70">
        <v>16</v>
      </c>
      <c r="R70">
        <v>0.255</v>
      </c>
      <c r="S70">
        <v>0.33500000000000002</v>
      </c>
      <c r="T70">
        <v>0.43</v>
      </c>
      <c r="U70">
        <v>0.76500000000000001</v>
      </c>
      <c r="V70">
        <v>28</v>
      </c>
    </row>
    <row r="71" spans="2:22" x14ac:dyDescent="0.3">
      <c r="B71" t="s">
        <v>891</v>
      </c>
      <c r="C71" t="s">
        <v>239</v>
      </c>
      <c r="D71" t="s">
        <v>1527</v>
      </c>
      <c r="E71" t="s">
        <v>1527</v>
      </c>
      <c r="F71">
        <v>12.3</v>
      </c>
      <c r="G71">
        <v>45</v>
      </c>
      <c r="H71">
        <v>167</v>
      </c>
      <c r="I71">
        <v>144</v>
      </c>
      <c r="J71">
        <v>20</v>
      </c>
      <c r="K71">
        <v>37</v>
      </c>
      <c r="L71">
        <v>12</v>
      </c>
      <c r="M71">
        <v>26</v>
      </c>
      <c r="N71">
        <v>0</v>
      </c>
      <c r="O71">
        <v>0</v>
      </c>
      <c r="P71">
        <v>21</v>
      </c>
      <c r="Q71">
        <v>41</v>
      </c>
      <c r="R71">
        <v>0.25700000000000001</v>
      </c>
      <c r="S71">
        <v>0.34699999999999998</v>
      </c>
      <c r="T71">
        <v>0.53500000000000003</v>
      </c>
      <c r="U71">
        <v>0.88200000000000001</v>
      </c>
      <c r="V71">
        <v>100</v>
      </c>
    </row>
    <row r="72" spans="2:22" x14ac:dyDescent="0.3">
      <c r="B72" t="s">
        <v>285</v>
      </c>
      <c r="C72" t="s">
        <v>286</v>
      </c>
      <c r="D72" t="s">
        <v>1529</v>
      </c>
      <c r="E72" t="s">
        <v>1663</v>
      </c>
      <c r="F72">
        <v>12.1</v>
      </c>
      <c r="G72">
        <v>38</v>
      </c>
      <c r="H72">
        <v>126</v>
      </c>
      <c r="I72">
        <v>108</v>
      </c>
      <c r="J72">
        <v>24</v>
      </c>
      <c r="K72">
        <v>34</v>
      </c>
      <c r="L72">
        <v>4</v>
      </c>
      <c r="M72">
        <v>23</v>
      </c>
      <c r="N72">
        <v>5</v>
      </c>
      <c r="O72">
        <v>0</v>
      </c>
      <c r="P72">
        <v>16</v>
      </c>
      <c r="Q72">
        <v>23</v>
      </c>
      <c r="R72">
        <v>0.315</v>
      </c>
      <c r="S72">
        <v>0.41299999999999998</v>
      </c>
      <c r="T72">
        <v>0.51900000000000002</v>
      </c>
      <c r="U72">
        <v>0.93200000000000005</v>
      </c>
      <c r="V72">
        <v>25</v>
      </c>
    </row>
    <row r="73" spans="2:22" x14ac:dyDescent="0.3">
      <c r="B73" t="s">
        <v>449</v>
      </c>
      <c r="C73" t="s">
        <v>270</v>
      </c>
      <c r="D73" t="s">
        <v>1655</v>
      </c>
      <c r="E73" t="s">
        <v>1655</v>
      </c>
      <c r="F73">
        <v>12</v>
      </c>
      <c r="G73">
        <v>44</v>
      </c>
      <c r="H73">
        <v>154</v>
      </c>
      <c r="I73">
        <v>133</v>
      </c>
      <c r="J73">
        <v>16</v>
      </c>
      <c r="K73">
        <v>36</v>
      </c>
      <c r="L73">
        <v>5</v>
      </c>
      <c r="M73">
        <v>33</v>
      </c>
      <c r="N73">
        <v>6</v>
      </c>
      <c r="O73">
        <v>1</v>
      </c>
      <c r="P73">
        <v>19</v>
      </c>
      <c r="Q73">
        <v>27</v>
      </c>
      <c r="R73">
        <v>0.27100000000000002</v>
      </c>
      <c r="S73">
        <v>0.36399999999999999</v>
      </c>
      <c r="T73">
        <v>0.436</v>
      </c>
      <c r="U73">
        <v>0.8</v>
      </c>
      <c r="V73">
        <v>99</v>
      </c>
    </row>
    <row r="74" spans="2:22" x14ac:dyDescent="0.3">
      <c r="B74" t="s">
        <v>317</v>
      </c>
      <c r="C74" t="s">
        <v>311</v>
      </c>
      <c r="D74" t="s">
        <v>1657</v>
      </c>
      <c r="E74" t="s">
        <v>1657</v>
      </c>
      <c r="F74">
        <v>12</v>
      </c>
      <c r="G74">
        <v>49</v>
      </c>
      <c r="H74">
        <v>200</v>
      </c>
      <c r="I74">
        <v>182</v>
      </c>
      <c r="J74">
        <v>22</v>
      </c>
      <c r="K74">
        <v>48</v>
      </c>
      <c r="L74">
        <v>5</v>
      </c>
      <c r="M74">
        <v>35</v>
      </c>
      <c r="N74">
        <v>2</v>
      </c>
      <c r="O74">
        <v>0</v>
      </c>
      <c r="P74">
        <v>14</v>
      </c>
      <c r="Q74">
        <v>32</v>
      </c>
      <c r="R74">
        <v>0.26400000000000001</v>
      </c>
      <c r="S74">
        <v>0.32</v>
      </c>
      <c r="T74">
        <v>0.39</v>
      </c>
      <c r="U74">
        <v>0.71</v>
      </c>
      <c r="V74">
        <v>100</v>
      </c>
    </row>
    <row r="75" spans="2:22" x14ac:dyDescent="0.3">
      <c r="B75" t="s">
        <v>665</v>
      </c>
      <c r="C75" t="s">
        <v>226</v>
      </c>
      <c r="D75" t="s">
        <v>1526</v>
      </c>
      <c r="E75" t="s">
        <v>1526</v>
      </c>
      <c r="F75">
        <v>11.8</v>
      </c>
      <c r="G75">
        <v>35</v>
      </c>
      <c r="H75">
        <v>151</v>
      </c>
      <c r="I75">
        <v>138</v>
      </c>
      <c r="J75">
        <v>20</v>
      </c>
      <c r="K75">
        <v>37</v>
      </c>
      <c r="L75">
        <v>9</v>
      </c>
      <c r="M75">
        <v>30</v>
      </c>
      <c r="N75">
        <v>0</v>
      </c>
      <c r="O75">
        <v>0</v>
      </c>
      <c r="P75">
        <v>8</v>
      </c>
      <c r="Q75">
        <v>42</v>
      </c>
      <c r="R75">
        <v>0.26800000000000002</v>
      </c>
      <c r="S75">
        <v>0.311</v>
      </c>
      <c r="T75">
        <v>0.57999999999999996</v>
      </c>
      <c r="U75">
        <v>0.89100000000000001</v>
      </c>
      <c r="V75">
        <v>100</v>
      </c>
    </row>
    <row r="76" spans="2:22" x14ac:dyDescent="0.3">
      <c r="B76" t="s">
        <v>272</v>
      </c>
      <c r="C76" t="s">
        <v>248</v>
      </c>
      <c r="D76" t="s">
        <v>80</v>
      </c>
      <c r="E76" t="s">
        <v>1668</v>
      </c>
      <c r="F76">
        <v>11.7</v>
      </c>
      <c r="G76">
        <v>42</v>
      </c>
      <c r="H76">
        <v>160</v>
      </c>
      <c r="I76">
        <v>141</v>
      </c>
      <c r="J76">
        <v>25</v>
      </c>
      <c r="K76">
        <v>31</v>
      </c>
      <c r="L76">
        <v>12</v>
      </c>
      <c r="M76">
        <v>23</v>
      </c>
      <c r="N76">
        <v>2</v>
      </c>
      <c r="O76">
        <v>0</v>
      </c>
      <c r="P76">
        <v>18</v>
      </c>
      <c r="Q76">
        <v>63</v>
      </c>
      <c r="R76">
        <v>0.22</v>
      </c>
      <c r="S76">
        <v>0.312</v>
      </c>
      <c r="T76">
        <v>0.53200000000000003</v>
      </c>
      <c r="U76">
        <v>0.84399999999999997</v>
      </c>
      <c r="V76">
        <v>87</v>
      </c>
    </row>
    <row r="77" spans="2:22" x14ac:dyDescent="0.3">
      <c r="B77" t="s">
        <v>968</v>
      </c>
      <c r="C77" t="s">
        <v>286</v>
      </c>
      <c r="D77" t="s">
        <v>79</v>
      </c>
      <c r="E77" t="s">
        <v>79</v>
      </c>
      <c r="F77">
        <v>11.7</v>
      </c>
      <c r="G77">
        <v>47</v>
      </c>
      <c r="H77">
        <v>205</v>
      </c>
      <c r="I77">
        <v>183</v>
      </c>
      <c r="J77">
        <v>27</v>
      </c>
      <c r="K77">
        <v>51</v>
      </c>
      <c r="L77">
        <v>6</v>
      </c>
      <c r="M77">
        <v>20</v>
      </c>
      <c r="N77">
        <v>4</v>
      </c>
      <c r="O77">
        <v>0</v>
      </c>
      <c r="P77">
        <v>15</v>
      </c>
      <c r="Q77">
        <v>33</v>
      </c>
      <c r="R77">
        <v>0.27900000000000003</v>
      </c>
      <c r="S77">
        <v>0.34100000000000003</v>
      </c>
      <c r="T77">
        <v>0.46400000000000002</v>
      </c>
      <c r="U77">
        <v>0.80500000000000005</v>
      </c>
      <c r="V77">
        <v>100</v>
      </c>
    </row>
    <row r="78" spans="2:22" x14ac:dyDescent="0.3">
      <c r="B78" t="s">
        <v>526</v>
      </c>
      <c r="C78" t="s">
        <v>278</v>
      </c>
      <c r="D78" t="s">
        <v>1531</v>
      </c>
      <c r="E78" t="s">
        <v>1531</v>
      </c>
      <c r="F78">
        <v>11.5</v>
      </c>
      <c r="G78">
        <v>49</v>
      </c>
      <c r="H78">
        <v>220</v>
      </c>
      <c r="I78">
        <v>178</v>
      </c>
      <c r="J78">
        <v>24</v>
      </c>
      <c r="K78">
        <v>48</v>
      </c>
      <c r="L78">
        <v>7</v>
      </c>
      <c r="M78">
        <v>25</v>
      </c>
      <c r="N78">
        <v>0</v>
      </c>
      <c r="O78">
        <v>0</v>
      </c>
      <c r="P78">
        <v>40</v>
      </c>
      <c r="Q78">
        <v>30</v>
      </c>
      <c r="R78">
        <v>0.27</v>
      </c>
      <c r="S78">
        <v>0.4</v>
      </c>
      <c r="T78">
        <v>0.42699999999999999</v>
      </c>
      <c r="U78">
        <v>0.82699999999999996</v>
      </c>
      <c r="V78">
        <v>100</v>
      </c>
    </row>
    <row r="79" spans="2:22" x14ac:dyDescent="0.3">
      <c r="B79" t="s">
        <v>849</v>
      </c>
      <c r="C79" t="s">
        <v>264</v>
      </c>
      <c r="D79" t="s">
        <v>1663</v>
      </c>
      <c r="E79" t="s">
        <v>1683</v>
      </c>
      <c r="F79">
        <v>10.9</v>
      </c>
      <c r="G79">
        <v>40</v>
      </c>
      <c r="H79">
        <v>144</v>
      </c>
      <c r="I79">
        <v>136</v>
      </c>
      <c r="J79">
        <v>19</v>
      </c>
      <c r="K79">
        <v>41</v>
      </c>
      <c r="L79">
        <v>7</v>
      </c>
      <c r="M79">
        <v>23</v>
      </c>
      <c r="N79">
        <v>3</v>
      </c>
      <c r="O79">
        <v>0</v>
      </c>
      <c r="P79">
        <v>4</v>
      </c>
      <c r="Q79">
        <v>34</v>
      </c>
      <c r="R79">
        <v>0.30099999999999999</v>
      </c>
      <c r="S79">
        <v>0.34</v>
      </c>
      <c r="T79">
        <v>0.51500000000000001</v>
      </c>
      <c r="U79">
        <v>0.85499999999999998</v>
      </c>
      <c r="V79">
        <v>100</v>
      </c>
    </row>
    <row r="80" spans="2:22" x14ac:dyDescent="0.3">
      <c r="B80" t="s">
        <v>378</v>
      </c>
      <c r="C80" t="s">
        <v>346</v>
      </c>
      <c r="D80" t="s">
        <v>1655</v>
      </c>
      <c r="E80" t="s">
        <v>1655</v>
      </c>
      <c r="F80">
        <v>10.3</v>
      </c>
      <c r="G80">
        <v>46</v>
      </c>
      <c r="H80">
        <v>199</v>
      </c>
      <c r="I80">
        <v>182</v>
      </c>
      <c r="J80">
        <v>25</v>
      </c>
      <c r="K80">
        <v>53</v>
      </c>
      <c r="L80">
        <v>5</v>
      </c>
      <c r="M80">
        <v>17</v>
      </c>
      <c r="N80">
        <v>5</v>
      </c>
      <c r="O80">
        <v>0</v>
      </c>
      <c r="P80">
        <v>17</v>
      </c>
      <c r="Q80">
        <v>57</v>
      </c>
      <c r="R80">
        <v>0.29099999999999998</v>
      </c>
      <c r="S80">
        <v>0.35199999999999998</v>
      </c>
      <c r="T80">
        <v>0.434</v>
      </c>
      <c r="U80">
        <v>0.78600000000000003</v>
      </c>
      <c r="V80">
        <v>100</v>
      </c>
    </row>
    <row r="81" spans="2:22" x14ac:dyDescent="0.3">
      <c r="B81" t="s">
        <v>366</v>
      </c>
      <c r="C81" t="s">
        <v>339</v>
      </c>
      <c r="D81" t="s">
        <v>1655</v>
      </c>
      <c r="E81" t="s">
        <v>1655</v>
      </c>
      <c r="F81">
        <v>9.9</v>
      </c>
      <c r="G81">
        <v>49</v>
      </c>
      <c r="H81">
        <v>219</v>
      </c>
      <c r="I81">
        <v>190</v>
      </c>
      <c r="J81">
        <v>27</v>
      </c>
      <c r="K81">
        <v>56</v>
      </c>
      <c r="L81">
        <v>4</v>
      </c>
      <c r="M81">
        <v>19</v>
      </c>
      <c r="N81">
        <v>3</v>
      </c>
      <c r="O81">
        <v>0</v>
      </c>
      <c r="P81">
        <v>22</v>
      </c>
      <c r="Q81">
        <v>42</v>
      </c>
      <c r="R81">
        <v>0.29499999999999998</v>
      </c>
      <c r="S81">
        <v>0.374</v>
      </c>
      <c r="T81">
        <v>0.42099999999999999</v>
      </c>
      <c r="U81">
        <v>0.79500000000000004</v>
      </c>
      <c r="V81">
        <v>100</v>
      </c>
    </row>
    <row r="82" spans="2:22" x14ac:dyDescent="0.3">
      <c r="B82" t="s">
        <v>240</v>
      </c>
      <c r="C82" t="s">
        <v>1523</v>
      </c>
      <c r="D82" t="s">
        <v>1529</v>
      </c>
      <c r="E82" t="s">
        <v>1529</v>
      </c>
      <c r="F82">
        <v>9.6</v>
      </c>
      <c r="G82">
        <v>48</v>
      </c>
      <c r="H82">
        <v>208</v>
      </c>
      <c r="I82">
        <v>180</v>
      </c>
      <c r="J82">
        <v>28</v>
      </c>
      <c r="K82">
        <v>46</v>
      </c>
      <c r="L82">
        <v>7</v>
      </c>
      <c r="M82">
        <v>18</v>
      </c>
      <c r="N82">
        <v>4</v>
      </c>
      <c r="O82">
        <v>0</v>
      </c>
      <c r="P82">
        <v>24</v>
      </c>
      <c r="Q82">
        <v>38</v>
      </c>
      <c r="R82">
        <v>0.25600000000000001</v>
      </c>
      <c r="S82">
        <v>0.35099999999999998</v>
      </c>
      <c r="T82">
        <v>0.41099999999999998</v>
      </c>
      <c r="U82">
        <v>0.76200000000000001</v>
      </c>
      <c r="V82">
        <v>100</v>
      </c>
    </row>
    <row r="83" spans="2:22" x14ac:dyDescent="0.3">
      <c r="B83" t="s">
        <v>349</v>
      </c>
      <c r="C83" t="s">
        <v>1521</v>
      </c>
      <c r="D83" t="s">
        <v>1655</v>
      </c>
      <c r="E83" t="s">
        <v>1655</v>
      </c>
      <c r="F83">
        <v>9.5</v>
      </c>
      <c r="G83">
        <v>44</v>
      </c>
      <c r="H83">
        <v>175</v>
      </c>
      <c r="I83">
        <v>151</v>
      </c>
      <c r="J83">
        <v>27</v>
      </c>
      <c r="K83">
        <v>33</v>
      </c>
      <c r="L83">
        <v>10</v>
      </c>
      <c r="M83">
        <v>24</v>
      </c>
      <c r="N83">
        <v>1</v>
      </c>
      <c r="O83">
        <v>0</v>
      </c>
      <c r="P83">
        <v>21</v>
      </c>
      <c r="Q83">
        <v>48</v>
      </c>
      <c r="R83">
        <v>0.219</v>
      </c>
      <c r="S83">
        <v>0.32</v>
      </c>
      <c r="T83">
        <v>0.437</v>
      </c>
      <c r="U83">
        <v>0.75700000000000001</v>
      </c>
      <c r="V83">
        <v>98</v>
      </c>
    </row>
    <row r="84" spans="2:22" x14ac:dyDescent="0.3">
      <c r="B84" t="s">
        <v>960</v>
      </c>
      <c r="C84" t="s">
        <v>278</v>
      </c>
      <c r="D84" t="s">
        <v>1655</v>
      </c>
      <c r="E84" t="s">
        <v>1655</v>
      </c>
      <c r="F84">
        <v>9.5</v>
      </c>
      <c r="G84">
        <v>46</v>
      </c>
      <c r="H84">
        <v>199</v>
      </c>
      <c r="I84">
        <v>173</v>
      </c>
      <c r="J84">
        <v>22</v>
      </c>
      <c r="K84">
        <v>44</v>
      </c>
      <c r="L84">
        <v>8</v>
      </c>
      <c r="M84">
        <v>27</v>
      </c>
      <c r="N84">
        <v>1</v>
      </c>
      <c r="O84">
        <v>0</v>
      </c>
      <c r="P84">
        <v>21</v>
      </c>
      <c r="Q84">
        <v>50</v>
      </c>
      <c r="R84">
        <v>0.254</v>
      </c>
      <c r="S84">
        <v>0.33700000000000002</v>
      </c>
      <c r="T84">
        <v>0.46200000000000002</v>
      </c>
      <c r="U84">
        <v>0.79900000000000004</v>
      </c>
      <c r="V84">
        <v>100</v>
      </c>
    </row>
    <row r="85" spans="2:22" x14ac:dyDescent="0.3">
      <c r="B85" t="s">
        <v>320</v>
      </c>
      <c r="C85" t="s">
        <v>231</v>
      </c>
      <c r="D85" t="s">
        <v>1655</v>
      </c>
      <c r="E85" t="s">
        <v>1655</v>
      </c>
      <c r="F85">
        <v>9.5</v>
      </c>
      <c r="G85">
        <v>43</v>
      </c>
      <c r="H85">
        <v>179</v>
      </c>
      <c r="I85">
        <v>151</v>
      </c>
      <c r="J85">
        <v>23</v>
      </c>
      <c r="K85">
        <v>40</v>
      </c>
      <c r="L85">
        <v>7</v>
      </c>
      <c r="M85">
        <v>19</v>
      </c>
      <c r="N85">
        <v>5</v>
      </c>
      <c r="O85">
        <v>1</v>
      </c>
      <c r="P85">
        <v>24</v>
      </c>
      <c r="Q85">
        <v>37</v>
      </c>
      <c r="R85">
        <v>0.26500000000000001</v>
      </c>
      <c r="S85">
        <v>0.36299999999999999</v>
      </c>
      <c r="T85">
        <v>0.44400000000000001</v>
      </c>
      <c r="U85">
        <v>0.80700000000000005</v>
      </c>
      <c r="V85">
        <v>99</v>
      </c>
    </row>
    <row r="86" spans="2:22" x14ac:dyDescent="0.3">
      <c r="B86" t="s">
        <v>315</v>
      </c>
      <c r="C86" t="s">
        <v>250</v>
      </c>
      <c r="D86" t="s">
        <v>80</v>
      </c>
      <c r="E86" t="s">
        <v>80</v>
      </c>
      <c r="F86">
        <v>9.1999999999999993</v>
      </c>
      <c r="G86">
        <v>49</v>
      </c>
      <c r="H86">
        <v>214</v>
      </c>
      <c r="I86">
        <v>188</v>
      </c>
      <c r="J86">
        <v>28</v>
      </c>
      <c r="K86">
        <v>49</v>
      </c>
      <c r="L86">
        <v>7</v>
      </c>
      <c r="M86">
        <v>23</v>
      </c>
      <c r="N86">
        <v>0</v>
      </c>
      <c r="O86">
        <v>0</v>
      </c>
      <c r="P86">
        <v>22</v>
      </c>
      <c r="Q86">
        <v>56</v>
      </c>
      <c r="R86">
        <v>0.26100000000000001</v>
      </c>
      <c r="S86">
        <v>0.33600000000000002</v>
      </c>
      <c r="T86">
        <v>0.42599999999999999</v>
      </c>
      <c r="U86">
        <v>0.76200000000000001</v>
      </c>
      <c r="V86">
        <v>100</v>
      </c>
    </row>
    <row r="87" spans="2:22" x14ac:dyDescent="0.3">
      <c r="B87" t="s">
        <v>495</v>
      </c>
      <c r="C87" t="s">
        <v>222</v>
      </c>
      <c r="D87" t="s">
        <v>1529</v>
      </c>
      <c r="E87" t="s">
        <v>1529</v>
      </c>
      <c r="F87">
        <v>9.1</v>
      </c>
      <c r="G87">
        <v>51</v>
      </c>
      <c r="H87">
        <v>200</v>
      </c>
      <c r="I87">
        <v>177</v>
      </c>
      <c r="J87">
        <v>21</v>
      </c>
      <c r="K87">
        <v>36</v>
      </c>
      <c r="L87">
        <v>7</v>
      </c>
      <c r="M87">
        <v>20</v>
      </c>
      <c r="N87">
        <v>13</v>
      </c>
      <c r="O87">
        <v>0</v>
      </c>
      <c r="P87">
        <v>21</v>
      </c>
      <c r="Q87">
        <v>61</v>
      </c>
      <c r="R87">
        <v>0.20300000000000001</v>
      </c>
      <c r="S87">
        <v>0.28999999999999998</v>
      </c>
      <c r="T87">
        <v>0.373</v>
      </c>
      <c r="U87">
        <v>0.66300000000000003</v>
      </c>
      <c r="V87">
        <v>100</v>
      </c>
    </row>
    <row r="88" spans="2:22" x14ac:dyDescent="0.3">
      <c r="B88" t="s">
        <v>807</v>
      </c>
      <c r="C88" t="s">
        <v>1520</v>
      </c>
      <c r="D88" t="s">
        <v>1527</v>
      </c>
      <c r="E88" t="s">
        <v>1527</v>
      </c>
      <c r="F88">
        <v>9.1</v>
      </c>
      <c r="G88">
        <v>50</v>
      </c>
      <c r="H88">
        <v>213</v>
      </c>
      <c r="I88">
        <v>187</v>
      </c>
      <c r="J88">
        <v>22</v>
      </c>
      <c r="K88">
        <v>49</v>
      </c>
      <c r="L88">
        <v>9</v>
      </c>
      <c r="M88">
        <v>24</v>
      </c>
      <c r="N88">
        <v>0</v>
      </c>
      <c r="O88">
        <v>0</v>
      </c>
      <c r="P88">
        <v>23</v>
      </c>
      <c r="Q88">
        <v>27</v>
      </c>
      <c r="R88">
        <v>0.26200000000000001</v>
      </c>
      <c r="S88">
        <v>0.34699999999999998</v>
      </c>
      <c r="T88">
        <v>0.48099999999999998</v>
      </c>
      <c r="U88">
        <v>0.82799999999999996</v>
      </c>
      <c r="V88">
        <v>100</v>
      </c>
    </row>
    <row r="89" spans="2:22" x14ac:dyDescent="0.3">
      <c r="B89" t="s">
        <v>1669</v>
      </c>
      <c r="C89" t="s">
        <v>224</v>
      </c>
      <c r="D89" t="s">
        <v>1529</v>
      </c>
      <c r="E89" t="s">
        <v>1529</v>
      </c>
      <c r="F89">
        <v>9</v>
      </c>
      <c r="G89">
        <v>49</v>
      </c>
      <c r="H89">
        <v>203</v>
      </c>
      <c r="I89">
        <v>190</v>
      </c>
      <c r="J89">
        <v>25</v>
      </c>
      <c r="K89">
        <v>46</v>
      </c>
      <c r="L89">
        <v>6</v>
      </c>
      <c r="M89">
        <v>22</v>
      </c>
      <c r="N89">
        <v>6</v>
      </c>
      <c r="O89">
        <v>2</v>
      </c>
      <c r="P89">
        <v>7</v>
      </c>
      <c r="Q89">
        <v>48</v>
      </c>
      <c r="R89">
        <v>0.24199999999999999</v>
      </c>
      <c r="S89">
        <v>0.28599999999999998</v>
      </c>
      <c r="T89">
        <v>0.40500000000000003</v>
      </c>
      <c r="U89">
        <v>0.69099999999999995</v>
      </c>
      <c r="V89">
        <v>100</v>
      </c>
    </row>
    <row r="90" spans="2:22" x14ac:dyDescent="0.3">
      <c r="B90" t="s">
        <v>238</v>
      </c>
      <c r="C90" t="s">
        <v>239</v>
      </c>
      <c r="D90" t="s">
        <v>1660</v>
      </c>
      <c r="E90" t="s">
        <v>1660</v>
      </c>
      <c r="F90">
        <v>8.9</v>
      </c>
      <c r="G90">
        <v>47</v>
      </c>
      <c r="H90">
        <v>186</v>
      </c>
      <c r="I90">
        <v>161</v>
      </c>
      <c r="J90">
        <v>24</v>
      </c>
      <c r="K90">
        <v>39</v>
      </c>
      <c r="L90">
        <v>8</v>
      </c>
      <c r="M90">
        <v>28</v>
      </c>
      <c r="N90">
        <v>0</v>
      </c>
      <c r="O90">
        <v>0</v>
      </c>
      <c r="P90">
        <v>21</v>
      </c>
      <c r="Q90">
        <v>50</v>
      </c>
      <c r="R90">
        <v>0.24199999999999999</v>
      </c>
      <c r="S90">
        <v>0.33300000000000002</v>
      </c>
      <c r="T90">
        <v>0.441</v>
      </c>
      <c r="U90">
        <v>0.77400000000000002</v>
      </c>
      <c r="V90">
        <v>74</v>
      </c>
    </row>
    <row r="91" spans="2:22" x14ac:dyDescent="0.3">
      <c r="B91" t="s">
        <v>903</v>
      </c>
      <c r="C91" t="s">
        <v>246</v>
      </c>
      <c r="D91" t="s">
        <v>1665</v>
      </c>
      <c r="E91" t="s">
        <v>1665</v>
      </c>
      <c r="F91">
        <v>8.9</v>
      </c>
      <c r="G91">
        <v>39</v>
      </c>
      <c r="H91">
        <v>158</v>
      </c>
      <c r="I91">
        <v>144</v>
      </c>
      <c r="J91">
        <v>16</v>
      </c>
      <c r="K91">
        <v>33</v>
      </c>
      <c r="L91">
        <v>7</v>
      </c>
      <c r="M91">
        <v>16</v>
      </c>
      <c r="N91">
        <v>14</v>
      </c>
      <c r="O91">
        <v>0</v>
      </c>
      <c r="P91">
        <v>12</v>
      </c>
      <c r="Q91">
        <v>52</v>
      </c>
      <c r="R91">
        <v>0.22900000000000001</v>
      </c>
      <c r="S91">
        <v>0.29099999999999998</v>
      </c>
      <c r="T91">
        <v>0.40300000000000002</v>
      </c>
      <c r="U91">
        <v>0.69399999999999995</v>
      </c>
      <c r="V91">
        <v>100</v>
      </c>
    </row>
    <row r="92" spans="2:22" x14ac:dyDescent="0.3">
      <c r="B92" t="s">
        <v>3094</v>
      </c>
      <c r="C92" t="s">
        <v>255</v>
      </c>
      <c r="D92" t="s">
        <v>1529</v>
      </c>
      <c r="E92" t="s">
        <v>1529</v>
      </c>
      <c r="F92">
        <v>8.6999999999999993</v>
      </c>
      <c r="G92">
        <v>25</v>
      </c>
      <c r="H92">
        <v>97</v>
      </c>
      <c r="I92">
        <v>86</v>
      </c>
      <c r="J92">
        <v>21</v>
      </c>
      <c r="K92">
        <v>25</v>
      </c>
      <c r="L92">
        <v>8</v>
      </c>
      <c r="M92">
        <v>18</v>
      </c>
      <c r="N92">
        <v>3</v>
      </c>
      <c r="O92">
        <v>0</v>
      </c>
      <c r="P92">
        <v>8</v>
      </c>
      <c r="Q92">
        <v>26</v>
      </c>
      <c r="R92">
        <v>0.29099999999999998</v>
      </c>
      <c r="S92">
        <v>0.371</v>
      </c>
      <c r="T92">
        <v>0.61599999999999999</v>
      </c>
      <c r="U92">
        <v>0.98699999999999999</v>
      </c>
      <c r="V92">
        <v>44</v>
      </c>
    </row>
    <row r="93" spans="2:22" x14ac:dyDescent="0.3">
      <c r="B93" t="s">
        <v>362</v>
      </c>
      <c r="C93" t="s">
        <v>1521</v>
      </c>
      <c r="D93" t="s">
        <v>80</v>
      </c>
      <c r="E93" t="s">
        <v>1657</v>
      </c>
      <c r="F93">
        <v>8.5</v>
      </c>
      <c r="G93">
        <v>45</v>
      </c>
      <c r="H93">
        <v>169</v>
      </c>
      <c r="I93">
        <v>147</v>
      </c>
      <c r="J93">
        <v>18</v>
      </c>
      <c r="K93">
        <v>41</v>
      </c>
      <c r="L93">
        <v>8</v>
      </c>
      <c r="M93">
        <v>26</v>
      </c>
      <c r="N93">
        <v>0</v>
      </c>
      <c r="O93">
        <v>0</v>
      </c>
      <c r="P93">
        <v>16</v>
      </c>
      <c r="Q93">
        <v>44</v>
      </c>
      <c r="R93">
        <v>0.27900000000000003</v>
      </c>
      <c r="S93">
        <v>0.35499999999999998</v>
      </c>
      <c r="T93">
        <v>0.48299999999999998</v>
      </c>
      <c r="U93">
        <v>0.83799999999999997</v>
      </c>
      <c r="V93">
        <v>96</v>
      </c>
    </row>
    <row r="94" spans="2:22" x14ac:dyDescent="0.3">
      <c r="B94" t="s">
        <v>314</v>
      </c>
      <c r="C94" t="s">
        <v>311</v>
      </c>
      <c r="D94" t="s">
        <v>1659</v>
      </c>
      <c r="E94" t="s">
        <v>1659</v>
      </c>
      <c r="F94">
        <v>8.3000000000000007</v>
      </c>
      <c r="G94">
        <v>47</v>
      </c>
      <c r="H94">
        <v>209</v>
      </c>
      <c r="I94">
        <v>196</v>
      </c>
      <c r="J94">
        <v>19</v>
      </c>
      <c r="K94">
        <v>57</v>
      </c>
      <c r="L94">
        <v>5</v>
      </c>
      <c r="M94">
        <v>19</v>
      </c>
      <c r="N94">
        <v>5</v>
      </c>
      <c r="O94">
        <v>0</v>
      </c>
      <c r="P94">
        <v>10</v>
      </c>
      <c r="Q94">
        <v>34</v>
      </c>
      <c r="R94">
        <v>0.29099999999999998</v>
      </c>
      <c r="S94">
        <v>0.32500000000000001</v>
      </c>
      <c r="T94">
        <v>0.40799999999999997</v>
      </c>
      <c r="U94">
        <v>0.73299999999999998</v>
      </c>
      <c r="V94">
        <v>96</v>
      </c>
    </row>
    <row r="95" spans="2:22" x14ac:dyDescent="0.3">
      <c r="B95" t="s">
        <v>401</v>
      </c>
      <c r="C95" t="s">
        <v>239</v>
      </c>
      <c r="D95" t="s">
        <v>1529</v>
      </c>
      <c r="E95" t="s">
        <v>1529</v>
      </c>
      <c r="F95">
        <v>8</v>
      </c>
      <c r="G95">
        <v>49</v>
      </c>
      <c r="H95">
        <v>207</v>
      </c>
      <c r="I95">
        <v>181</v>
      </c>
      <c r="J95">
        <v>23</v>
      </c>
      <c r="K95">
        <v>37</v>
      </c>
      <c r="L95">
        <v>9</v>
      </c>
      <c r="M95">
        <v>27</v>
      </c>
      <c r="N95">
        <v>4</v>
      </c>
      <c r="O95">
        <v>1</v>
      </c>
      <c r="P95">
        <v>22</v>
      </c>
      <c r="Q95">
        <v>54</v>
      </c>
      <c r="R95">
        <v>0.20399999999999999</v>
      </c>
      <c r="S95">
        <v>0.28999999999999998</v>
      </c>
      <c r="T95">
        <v>0.38100000000000001</v>
      </c>
      <c r="U95">
        <v>0.67100000000000004</v>
      </c>
      <c r="V95">
        <v>100</v>
      </c>
    </row>
    <row r="96" spans="2:22" x14ac:dyDescent="0.3">
      <c r="B96" t="s">
        <v>364</v>
      </c>
      <c r="C96" t="s">
        <v>278</v>
      </c>
      <c r="D96" t="s">
        <v>1655</v>
      </c>
      <c r="E96" t="s">
        <v>1655</v>
      </c>
      <c r="F96">
        <v>8</v>
      </c>
      <c r="G96">
        <v>44</v>
      </c>
      <c r="H96">
        <v>171</v>
      </c>
      <c r="I96">
        <v>159</v>
      </c>
      <c r="J96">
        <v>25</v>
      </c>
      <c r="K96">
        <v>49</v>
      </c>
      <c r="L96">
        <v>5</v>
      </c>
      <c r="M96">
        <v>17</v>
      </c>
      <c r="N96">
        <v>1</v>
      </c>
      <c r="O96">
        <v>0</v>
      </c>
      <c r="P96">
        <v>11</v>
      </c>
      <c r="Q96">
        <v>43</v>
      </c>
      <c r="R96">
        <v>0.308</v>
      </c>
      <c r="S96">
        <v>0.35099999999999998</v>
      </c>
      <c r="T96">
        <v>0.48399999999999999</v>
      </c>
      <c r="U96">
        <v>0.83499999999999996</v>
      </c>
      <c r="V96">
        <v>100</v>
      </c>
    </row>
    <row r="97" spans="2:22" x14ac:dyDescent="0.3">
      <c r="B97" t="s">
        <v>306</v>
      </c>
      <c r="C97" t="s">
        <v>1522</v>
      </c>
      <c r="D97" t="s">
        <v>1679</v>
      </c>
      <c r="E97" t="s">
        <v>1679</v>
      </c>
      <c r="F97">
        <v>8</v>
      </c>
      <c r="G97">
        <v>37</v>
      </c>
      <c r="H97">
        <v>125</v>
      </c>
      <c r="I97">
        <v>111</v>
      </c>
      <c r="J97">
        <v>17</v>
      </c>
      <c r="K97">
        <v>28</v>
      </c>
      <c r="L97">
        <v>10</v>
      </c>
      <c r="M97">
        <v>19</v>
      </c>
      <c r="N97">
        <v>4</v>
      </c>
      <c r="O97">
        <v>0</v>
      </c>
      <c r="P97">
        <v>6</v>
      </c>
      <c r="Q97">
        <v>41</v>
      </c>
      <c r="R97">
        <v>0.252</v>
      </c>
      <c r="S97">
        <v>0.32800000000000001</v>
      </c>
      <c r="T97">
        <v>0.57699999999999996</v>
      </c>
      <c r="U97">
        <v>0.90500000000000003</v>
      </c>
      <c r="V97">
        <v>28</v>
      </c>
    </row>
    <row r="98" spans="2:22" x14ac:dyDescent="0.3">
      <c r="B98" t="s">
        <v>632</v>
      </c>
      <c r="C98" t="s">
        <v>244</v>
      </c>
      <c r="D98" t="s">
        <v>1531</v>
      </c>
      <c r="E98" t="s">
        <v>1531</v>
      </c>
      <c r="F98">
        <v>7.9</v>
      </c>
      <c r="G98">
        <v>42</v>
      </c>
      <c r="H98">
        <v>164</v>
      </c>
      <c r="I98">
        <v>145</v>
      </c>
      <c r="J98">
        <v>25</v>
      </c>
      <c r="K98">
        <v>34</v>
      </c>
      <c r="L98">
        <v>7</v>
      </c>
      <c r="M98">
        <v>24</v>
      </c>
      <c r="N98">
        <v>0</v>
      </c>
      <c r="O98">
        <v>0</v>
      </c>
      <c r="P98">
        <v>19</v>
      </c>
      <c r="Q98">
        <v>46</v>
      </c>
      <c r="R98">
        <v>0.23400000000000001</v>
      </c>
      <c r="S98">
        <v>0.32300000000000001</v>
      </c>
      <c r="T98">
        <v>0.441</v>
      </c>
      <c r="U98">
        <v>0.76400000000000001</v>
      </c>
      <c r="V98">
        <v>100</v>
      </c>
    </row>
    <row r="99" spans="2:22" x14ac:dyDescent="0.3">
      <c r="B99" t="s">
        <v>1678</v>
      </c>
      <c r="C99" t="s">
        <v>1522</v>
      </c>
      <c r="D99" t="s">
        <v>1679</v>
      </c>
      <c r="E99" t="s">
        <v>1679</v>
      </c>
      <c r="F99">
        <v>7.7</v>
      </c>
      <c r="G99">
        <v>38</v>
      </c>
      <c r="H99">
        <v>145</v>
      </c>
      <c r="I99">
        <v>134</v>
      </c>
      <c r="J99">
        <v>20</v>
      </c>
      <c r="K99">
        <v>40</v>
      </c>
      <c r="L99">
        <v>7</v>
      </c>
      <c r="M99">
        <v>20</v>
      </c>
      <c r="N99">
        <v>1</v>
      </c>
      <c r="O99">
        <v>1</v>
      </c>
      <c r="P99">
        <v>10</v>
      </c>
      <c r="Q99">
        <v>30</v>
      </c>
      <c r="R99">
        <v>0.29899999999999999</v>
      </c>
      <c r="S99">
        <v>0.35199999999999998</v>
      </c>
      <c r="T99">
        <v>0.51500000000000001</v>
      </c>
      <c r="U99">
        <v>0.86699999999999999</v>
      </c>
      <c r="V99">
        <v>99</v>
      </c>
    </row>
    <row r="100" spans="2:22" x14ac:dyDescent="0.3">
      <c r="B100" t="s">
        <v>1689</v>
      </c>
      <c r="C100" t="s">
        <v>244</v>
      </c>
      <c r="D100" t="s">
        <v>1655</v>
      </c>
      <c r="E100" t="s">
        <v>1655</v>
      </c>
      <c r="F100">
        <v>7.6</v>
      </c>
      <c r="G100">
        <v>49</v>
      </c>
      <c r="H100">
        <v>204</v>
      </c>
      <c r="I100">
        <v>191</v>
      </c>
      <c r="J100">
        <v>21</v>
      </c>
      <c r="K100">
        <v>45</v>
      </c>
      <c r="L100">
        <v>9</v>
      </c>
      <c r="M100">
        <v>25</v>
      </c>
      <c r="N100">
        <v>2</v>
      </c>
      <c r="O100">
        <v>0</v>
      </c>
      <c r="P100">
        <v>7</v>
      </c>
      <c r="Q100">
        <v>71</v>
      </c>
      <c r="R100">
        <v>0.23599999999999999</v>
      </c>
      <c r="S100">
        <v>0.27500000000000002</v>
      </c>
      <c r="T100">
        <v>0.41399999999999998</v>
      </c>
      <c r="U100">
        <v>0.68899999999999995</v>
      </c>
      <c r="V100">
        <v>100</v>
      </c>
    </row>
    <row r="101" spans="2:22" x14ac:dyDescent="0.3">
      <c r="B101" t="s">
        <v>359</v>
      </c>
      <c r="C101" t="s">
        <v>270</v>
      </c>
      <c r="D101" t="s">
        <v>1657</v>
      </c>
      <c r="E101" t="s">
        <v>1657</v>
      </c>
      <c r="F101">
        <v>7.6</v>
      </c>
      <c r="G101">
        <v>46</v>
      </c>
      <c r="H101">
        <v>197</v>
      </c>
      <c r="I101">
        <v>176</v>
      </c>
      <c r="J101">
        <v>24</v>
      </c>
      <c r="K101">
        <v>48</v>
      </c>
      <c r="L101">
        <v>6</v>
      </c>
      <c r="M101">
        <v>22</v>
      </c>
      <c r="N101">
        <v>1</v>
      </c>
      <c r="O101">
        <v>0</v>
      </c>
      <c r="P101">
        <v>18</v>
      </c>
      <c r="Q101">
        <v>43</v>
      </c>
      <c r="R101">
        <v>0.27300000000000002</v>
      </c>
      <c r="S101">
        <v>0.34499999999999997</v>
      </c>
      <c r="T101">
        <v>0.45500000000000002</v>
      </c>
      <c r="U101">
        <v>0.8</v>
      </c>
      <c r="V101">
        <v>85</v>
      </c>
    </row>
    <row r="102" spans="2:22" x14ac:dyDescent="0.3">
      <c r="B102" t="s">
        <v>247</v>
      </c>
      <c r="C102" t="s">
        <v>248</v>
      </c>
      <c r="D102" t="s">
        <v>1529</v>
      </c>
      <c r="E102" t="s">
        <v>1529</v>
      </c>
      <c r="F102">
        <v>7</v>
      </c>
      <c r="G102">
        <v>47</v>
      </c>
      <c r="H102">
        <v>215</v>
      </c>
      <c r="I102">
        <v>185</v>
      </c>
      <c r="J102">
        <v>26</v>
      </c>
      <c r="K102">
        <v>49</v>
      </c>
      <c r="L102">
        <v>4</v>
      </c>
      <c r="M102">
        <v>20</v>
      </c>
      <c r="N102">
        <v>4</v>
      </c>
      <c r="O102">
        <v>0</v>
      </c>
      <c r="P102">
        <v>29</v>
      </c>
      <c r="Q102">
        <v>47</v>
      </c>
      <c r="R102">
        <v>0.26500000000000001</v>
      </c>
      <c r="S102">
        <v>0.36699999999999999</v>
      </c>
      <c r="T102">
        <v>0.40500000000000003</v>
      </c>
      <c r="U102">
        <v>0.77200000000000002</v>
      </c>
      <c r="V102">
        <v>100</v>
      </c>
    </row>
    <row r="103" spans="2:22" x14ac:dyDescent="0.3">
      <c r="B103" t="s">
        <v>281</v>
      </c>
      <c r="C103" t="s">
        <v>234</v>
      </c>
      <c r="D103" t="s">
        <v>1674</v>
      </c>
      <c r="E103" t="s">
        <v>1674</v>
      </c>
      <c r="F103">
        <v>7</v>
      </c>
      <c r="G103">
        <v>49</v>
      </c>
      <c r="H103">
        <v>204</v>
      </c>
      <c r="I103">
        <v>184</v>
      </c>
      <c r="J103">
        <v>22</v>
      </c>
      <c r="K103">
        <v>40</v>
      </c>
      <c r="L103">
        <v>7</v>
      </c>
      <c r="M103">
        <v>20</v>
      </c>
      <c r="N103">
        <v>6</v>
      </c>
      <c r="O103">
        <v>1</v>
      </c>
      <c r="P103">
        <v>16</v>
      </c>
      <c r="Q103">
        <v>46</v>
      </c>
      <c r="R103">
        <v>0.217</v>
      </c>
      <c r="S103">
        <v>0.28399999999999997</v>
      </c>
      <c r="T103">
        <v>0.375</v>
      </c>
      <c r="U103">
        <v>0.65900000000000003</v>
      </c>
      <c r="V103">
        <v>100</v>
      </c>
    </row>
    <row r="104" spans="2:22" x14ac:dyDescent="0.3">
      <c r="B104" t="s">
        <v>520</v>
      </c>
      <c r="C104" t="s">
        <v>255</v>
      </c>
      <c r="D104" t="s">
        <v>1655</v>
      </c>
      <c r="E104" t="s">
        <v>1655</v>
      </c>
      <c r="F104">
        <v>6.9</v>
      </c>
      <c r="G104">
        <v>37</v>
      </c>
      <c r="H104">
        <v>164</v>
      </c>
      <c r="I104">
        <v>136</v>
      </c>
      <c r="J104">
        <v>23</v>
      </c>
      <c r="K104">
        <v>37</v>
      </c>
      <c r="L104">
        <v>4</v>
      </c>
      <c r="M104">
        <v>20</v>
      </c>
      <c r="N104">
        <v>5</v>
      </c>
      <c r="O104">
        <v>0</v>
      </c>
      <c r="P104">
        <v>27</v>
      </c>
      <c r="Q104">
        <v>33</v>
      </c>
      <c r="R104">
        <v>0.27200000000000002</v>
      </c>
      <c r="S104">
        <v>0.39</v>
      </c>
      <c r="T104">
        <v>0.40400000000000003</v>
      </c>
      <c r="U104">
        <v>0.79400000000000004</v>
      </c>
      <c r="V104">
        <v>100</v>
      </c>
    </row>
    <row r="105" spans="2:22" x14ac:dyDescent="0.3">
      <c r="B105" t="s">
        <v>316</v>
      </c>
      <c r="C105" t="s">
        <v>246</v>
      </c>
      <c r="D105" t="s">
        <v>1671</v>
      </c>
      <c r="E105" t="s">
        <v>1671</v>
      </c>
      <c r="F105">
        <v>6.7</v>
      </c>
      <c r="G105">
        <v>46</v>
      </c>
      <c r="H105">
        <v>187</v>
      </c>
      <c r="I105">
        <v>170</v>
      </c>
      <c r="J105">
        <v>17</v>
      </c>
      <c r="K105">
        <v>63</v>
      </c>
      <c r="L105">
        <v>1</v>
      </c>
      <c r="M105">
        <v>18</v>
      </c>
      <c r="N105">
        <v>1</v>
      </c>
      <c r="O105">
        <v>0</v>
      </c>
      <c r="P105">
        <v>15</v>
      </c>
      <c r="Q105">
        <v>9</v>
      </c>
      <c r="R105">
        <v>0.371</v>
      </c>
      <c r="S105">
        <v>0.42199999999999999</v>
      </c>
      <c r="T105">
        <v>0.46500000000000002</v>
      </c>
      <c r="U105">
        <v>0.88700000000000001</v>
      </c>
      <c r="V105">
        <v>100</v>
      </c>
    </row>
    <row r="106" spans="2:22" x14ac:dyDescent="0.3">
      <c r="B106" t="s">
        <v>625</v>
      </c>
      <c r="C106" t="s">
        <v>231</v>
      </c>
      <c r="D106" t="s">
        <v>1665</v>
      </c>
      <c r="E106" t="s">
        <v>1665</v>
      </c>
      <c r="F106">
        <v>6.7</v>
      </c>
      <c r="G106">
        <v>45</v>
      </c>
      <c r="H106">
        <v>139</v>
      </c>
      <c r="I106">
        <v>129</v>
      </c>
      <c r="J106">
        <v>21</v>
      </c>
      <c r="K106">
        <v>34</v>
      </c>
      <c r="L106">
        <v>2</v>
      </c>
      <c r="M106">
        <v>12</v>
      </c>
      <c r="N106">
        <v>14</v>
      </c>
      <c r="O106">
        <v>3</v>
      </c>
      <c r="P106">
        <v>9</v>
      </c>
      <c r="Q106">
        <v>35</v>
      </c>
      <c r="R106">
        <v>0.26400000000000001</v>
      </c>
      <c r="S106">
        <v>0.317</v>
      </c>
      <c r="T106">
        <v>0.34899999999999998</v>
      </c>
      <c r="U106">
        <v>0.66600000000000004</v>
      </c>
      <c r="V106">
        <v>96</v>
      </c>
    </row>
    <row r="107" spans="2:22" x14ac:dyDescent="0.3">
      <c r="B107" t="s">
        <v>947</v>
      </c>
      <c r="C107" t="s">
        <v>1524</v>
      </c>
      <c r="D107" t="s">
        <v>1529</v>
      </c>
      <c r="E107" t="s">
        <v>1659</v>
      </c>
      <c r="F107">
        <v>6.7</v>
      </c>
      <c r="G107">
        <v>46</v>
      </c>
      <c r="H107">
        <v>166</v>
      </c>
      <c r="I107">
        <v>156</v>
      </c>
      <c r="J107">
        <v>19</v>
      </c>
      <c r="K107">
        <v>38</v>
      </c>
      <c r="L107">
        <v>5</v>
      </c>
      <c r="M107">
        <v>25</v>
      </c>
      <c r="N107">
        <v>6</v>
      </c>
      <c r="O107">
        <v>0</v>
      </c>
      <c r="P107">
        <v>7</v>
      </c>
      <c r="Q107">
        <v>39</v>
      </c>
      <c r="R107">
        <v>0.24399999999999999</v>
      </c>
      <c r="S107">
        <v>0.28899999999999998</v>
      </c>
      <c r="T107">
        <v>0.41</v>
      </c>
      <c r="U107">
        <v>0.69899999999999995</v>
      </c>
      <c r="V107">
        <v>72</v>
      </c>
    </row>
    <row r="108" spans="2:22" x14ac:dyDescent="0.3">
      <c r="B108" t="s">
        <v>914</v>
      </c>
      <c r="C108" t="s">
        <v>246</v>
      </c>
      <c r="D108" t="s">
        <v>1655</v>
      </c>
      <c r="E108" t="s">
        <v>1655</v>
      </c>
      <c r="F108">
        <v>6.6</v>
      </c>
      <c r="G108">
        <v>46</v>
      </c>
      <c r="H108">
        <v>178</v>
      </c>
      <c r="I108">
        <v>165</v>
      </c>
      <c r="J108">
        <v>20</v>
      </c>
      <c r="K108">
        <v>49</v>
      </c>
      <c r="L108">
        <v>5</v>
      </c>
      <c r="M108">
        <v>18</v>
      </c>
      <c r="N108">
        <v>3</v>
      </c>
      <c r="O108">
        <v>0</v>
      </c>
      <c r="P108">
        <v>12</v>
      </c>
      <c r="Q108">
        <v>49</v>
      </c>
      <c r="R108">
        <v>0.29699999999999999</v>
      </c>
      <c r="S108">
        <v>0.34300000000000003</v>
      </c>
      <c r="T108">
        <v>0.44800000000000001</v>
      </c>
      <c r="U108">
        <v>0.79100000000000004</v>
      </c>
      <c r="V108">
        <v>98</v>
      </c>
    </row>
    <row r="109" spans="2:22" x14ac:dyDescent="0.3">
      <c r="B109" t="s">
        <v>360</v>
      </c>
      <c r="C109" t="s">
        <v>221</v>
      </c>
      <c r="D109" t="s">
        <v>1657</v>
      </c>
      <c r="E109" t="s">
        <v>1657</v>
      </c>
      <c r="F109">
        <v>6.2</v>
      </c>
      <c r="G109">
        <v>48</v>
      </c>
      <c r="H109">
        <v>205</v>
      </c>
      <c r="I109">
        <v>175</v>
      </c>
      <c r="J109">
        <v>28</v>
      </c>
      <c r="K109">
        <v>46</v>
      </c>
      <c r="L109">
        <v>5</v>
      </c>
      <c r="M109">
        <v>18</v>
      </c>
      <c r="N109">
        <v>2</v>
      </c>
      <c r="O109">
        <v>0</v>
      </c>
      <c r="P109">
        <v>24</v>
      </c>
      <c r="Q109">
        <v>31</v>
      </c>
      <c r="R109">
        <v>0.26300000000000001</v>
      </c>
      <c r="S109">
        <v>0.36099999999999999</v>
      </c>
      <c r="T109">
        <v>0.4</v>
      </c>
      <c r="U109">
        <v>0.76100000000000001</v>
      </c>
      <c r="V109">
        <v>100</v>
      </c>
    </row>
    <row r="110" spans="2:22" x14ac:dyDescent="0.3">
      <c r="B110" t="s">
        <v>3309</v>
      </c>
      <c r="C110" t="s">
        <v>248</v>
      </c>
      <c r="D110" t="s">
        <v>1665</v>
      </c>
      <c r="E110" t="s">
        <v>1717</v>
      </c>
      <c r="F110">
        <v>6.2</v>
      </c>
      <c r="G110">
        <v>13</v>
      </c>
      <c r="H110">
        <v>56</v>
      </c>
      <c r="I110">
        <v>53</v>
      </c>
      <c r="J110">
        <v>17</v>
      </c>
      <c r="K110">
        <v>19</v>
      </c>
      <c r="L110">
        <v>9</v>
      </c>
      <c r="M110">
        <v>15</v>
      </c>
      <c r="N110">
        <v>1</v>
      </c>
      <c r="O110">
        <v>1</v>
      </c>
      <c r="P110">
        <v>3</v>
      </c>
      <c r="Q110">
        <v>21</v>
      </c>
      <c r="R110">
        <v>0.35799999999999998</v>
      </c>
      <c r="S110">
        <v>0.39300000000000002</v>
      </c>
      <c r="T110">
        <v>0.92500000000000004</v>
      </c>
      <c r="U110">
        <v>1.3180000000000001</v>
      </c>
      <c r="V110">
        <v>100</v>
      </c>
    </row>
    <row r="111" spans="2:22" x14ac:dyDescent="0.3">
      <c r="B111" t="s">
        <v>344</v>
      </c>
      <c r="C111" t="s">
        <v>255</v>
      </c>
      <c r="D111" t="s">
        <v>1531</v>
      </c>
      <c r="E111" t="s">
        <v>1531</v>
      </c>
      <c r="F111">
        <v>6.1</v>
      </c>
      <c r="G111">
        <v>49</v>
      </c>
      <c r="H111">
        <v>203</v>
      </c>
      <c r="I111">
        <v>180</v>
      </c>
      <c r="J111">
        <v>21</v>
      </c>
      <c r="K111">
        <v>41</v>
      </c>
      <c r="L111">
        <v>5</v>
      </c>
      <c r="M111">
        <v>25</v>
      </c>
      <c r="N111">
        <v>4</v>
      </c>
      <c r="O111">
        <v>0</v>
      </c>
      <c r="P111">
        <v>21</v>
      </c>
      <c r="Q111">
        <v>46</v>
      </c>
      <c r="R111">
        <v>0.22800000000000001</v>
      </c>
      <c r="S111">
        <v>0.31</v>
      </c>
      <c r="T111">
        <v>0.378</v>
      </c>
      <c r="U111">
        <v>0.68799999999999994</v>
      </c>
      <c r="V111">
        <v>100</v>
      </c>
    </row>
    <row r="112" spans="2:22" x14ac:dyDescent="0.3">
      <c r="B112" t="s">
        <v>303</v>
      </c>
      <c r="C112" t="s">
        <v>1522</v>
      </c>
      <c r="D112" t="s">
        <v>1655</v>
      </c>
      <c r="E112" t="s">
        <v>1655</v>
      </c>
      <c r="F112">
        <v>6.1</v>
      </c>
      <c r="G112">
        <v>27</v>
      </c>
      <c r="H112">
        <v>97</v>
      </c>
      <c r="I112">
        <v>88</v>
      </c>
      <c r="J112">
        <v>19</v>
      </c>
      <c r="K112">
        <v>22</v>
      </c>
      <c r="L112">
        <v>8</v>
      </c>
      <c r="M112">
        <v>18</v>
      </c>
      <c r="N112">
        <v>4</v>
      </c>
      <c r="O112">
        <v>0</v>
      </c>
      <c r="P112">
        <v>7</v>
      </c>
      <c r="Q112">
        <v>28</v>
      </c>
      <c r="R112">
        <v>0.25</v>
      </c>
      <c r="S112">
        <v>0.29899999999999999</v>
      </c>
      <c r="T112">
        <v>0.56799999999999995</v>
      </c>
      <c r="U112">
        <v>0.86699999999999999</v>
      </c>
      <c r="V112">
        <v>96</v>
      </c>
    </row>
    <row r="113" spans="2:22" x14ac:dyDescent="0.3">
      <c r="B113" t="s">
        <v>373</v>
      </c>
      <c r="C113" t="s">
        <v>274</v>
      </c>
      <c r="D113" t="s">
        <v>1679</v>
      </c>
      <c r="E113" t="s">
        <v>1679</v>
      </c>
      <c r="F113">
        <v>5.9</v>
      </c>
      <c r="G113">
        <v>39</v>
      </c>
      <c r="H113">
        <v>134</v>
      </c>
      <c r="I113">
        <v>114</v>
      </c>
      <c r="J113">
        <v>20</v>
      </c>
      <c r="K113">
        <v>24</v>
      </c>
      <c r="L113">
        <v>11</v>
      </c>
      <c r="M113">
        <v>23</v>
      </c>
      <c r="N113">
        <v>0</v>
      </c>
      <c r="O113">
        <v>0</v>
      </c>
      <c r="P113">
        <v>19</v>
      </c>
      <c r="Q113">
        <v>45</v>
      </c>
      <c r="R113">
        <v>0.21099999999999999</v>
      </c>
      <c r="S113">
        <v>0.32800000000000001</v>
      </c>
      <c r="T113">
        <v>0.56100000000000005</v>
      </c>
      <c r="U113">
        <v>0.88900000000000001</v>
      </c>
      <c r="V113">
        <v>98</v>
      </c>
    </row>
    <row r="114" spans="2:22" x14ac:dyDescent="0.3">
      <c r="B114" t="s">
        <v>3010</v>
      </c>
      <c r="C114" t="s">
        <v>221</v>
      </c>
      <c r="D114" t="s">
        <v>1655</v>
      </c>
      <c r="E114" t="s">
        <v>1655</v>
      </c>
      <c r="F114">
        <v>5.4</v>
      </c>
      <c r="G114">
        <v>34</v>
      </c>
      <c r="H114">
        <v>133</v>
      </c>
      <c r="I114">
        <v>120</v>
      </c>
      <c r="J114">
        <v>16</v>
      </c>
      <c r="K114">
        <v>36</v>
      </c>
      <c r="L114">
        <v>3</v>
      </c>
      <c r="M114">
        <v>19</v>
      </c>
      <c r="N114">
        <v>7</v>
      </c>
      <c r="O114">
        <v>0</v>
      </c>
      <c r="P114">
        <v>9</v>
      </c>
      <c r="Q114">
        <v>36</v>
      </c>
      <c r="R114">
        <v>0.3</v>
      </c>
      <c r="S114">
        <v>0.35299999999999998</v>
      </c>
      <c r="T114">
        <v>0.48299999999999998</v>
      </c>
      <c r="U114">
        <v>0.83599999999999997</v>
      </c>
      <c r="V114">
        <v>100</v>
      </c>
    </row>
    <row r="115" spans="2:22" x14ac:dyDescent="0.3">
      <c r="B115" t="s">
        <v>377</v>
      </c>
      <c r="C115" t="s">
        <v>234</v>
      </c>
      <c r="D115" t="s">
        <v>1655</v>
      </c>
      <c r="E115" t="s">
        <v>1655</v>
      </c>
      <c r="F115">
        <v>5.2</v>
      </c>
      <c r="G115">
        <v>40</v>
      </c>
      <c r="H115">
        <v>146</v>
      </c>
      <c r="I115">
        <v>134</v>
      </c>
      <c r="J115">
        <v>21</v>
      </c>
      <c r="K115">
        <v>42</v>
      </c>
      <c r="L115">
        <v>3</v>
      </c>
      <c r="M115">
        <v>14</v>
      </c>
      <c r="N115">
        <v>5</v>
      </c>
      <c r="O115">
        <v>0</v>
      </c>
      <c r="P115">
        <v>10</v>
      </c>
      <c r="Q115">
        <v>29</v>
      </c>
      <c r="R115">
        <v>0.313</v>
      </c>
      <c r="S115">
        <v>0.36299999999999999</v>
      </c>
      <c r="T115">
        <v>0.47799999999999998</v>
      </c>
      <c r="U115">
        <v>0.84099999999999997</v>
      </c>
      <c r="V115">
        <v>10</v>
      </c>
    </row>
    <row r="116" spans="2:22" x14ac:dyDescent="0.3">
      <c r="B116" t="s">
        <v>562</v>
      </c>
      <c r="C116" t="s">
        <v>243</v>
      </c>
      <c r="D116" t="s">
        <v>80</v>
      </c>
      <c r="E116" t="s">
        <v>80</v>
      </c>
      <c r="F116">
        <v>5.2</v>
      </c>
      <c r="G116">
        <v>33</v>
      </c>
      <c r="H116">
        <v>115</v>
      </c>
      <c r="I116">
        <v>104</v>
      </c>
      <c r="J116">
        <v>14</v>
      </c>
      <c r="K116">
        <v>26</v>
      </c>
      <c r="L116">
        <v>10</v>
      </c>
      <c r="M116">
        <v>24</v>
      </c>
      <c r="N116">
        <v>0</v>
      </c>
      <c r="O116">
        <v>1</v>
      </c>
      <c r="P116">
        <v>7</v>
      </c>
      <c r="Q116">
        <v>38</v>
      </c>
      <c r="R116">
        <v>0.25</v>
      </c>
      <c r="S116">
        <v>0.30399999999999999</v>
      </c>
      <c r="T116">
        <v>0.61499999999999999</v>
      </c>
      <c r="U116">
        <v>0.91900000000000004</v>
      </c>
      <c r="V116">
        <v>97</v>
      </c>
    </row>
    <row r="117" spans="2:22" x14ac:dyDescent="0.3">
      <c r="B117" t="s">
        <v>876</v>
      </c>
      <c r="C117" t="s">
        <v>311</v>
      </c>
      <c r="D117" t="s">
        <v>1655</v>
      </c>
      <c r="E117" t="s">
        <v>1655</v>
      </c>
      <c r="F117">
        <v>4.9000000000000004</v>
      </c>
      <c r="G117">
        <v>49</v>
      </c>
      <c r="H117">
        <v>208</v>
      </c>
      <c r="I117">
        <v>171</v>
      </c>
      <c r="J117">
        <v>27</v>
      </c>
      <c r="K117">
        <v>29</v>
      </c>
      <c r="L117">
        <v>12</v>
      </c>
      <c r="M117">
        <v>24</v>
      </c>
      <c r="N117">
        <v>0</v>
      </c>
      <c r="O117">
        <v>0</v>
      </c>
      <c r="P117">
        <v>34</v>
      </c>
      <c r="Q117">
        <v>59</v>
      </c>
      <c r="R117">
        <v>0.17</v>
      </c>
      <c r="S117">
        <v>0.317</v>
      </c>
      <c r="T117">
        <v>0.40400000000000003</v>
      </c>
      <c r="U117">
        <v>0.72099999999999997</v>
      </c>
      <c r="V117">
        <v>100</v>
      </c>
    </row>
    <row r="118" spans="2:22" x14ac:dyDescent="0.3">
      <c r="B118" t="s">
        <v>757</v>
      </c>
      <c r="C118" t="s">
        <v>1522</v>
      </c>
      <c r="D118" t="s">
        <v>79</v>
      </c>
      <c r="E118" t="s">
        <v>79</v>
      </c>
      <c r="F118">
        <v>4.7</v>
      </c>
      <c r="G118">
        <v>42</v>
      </c>
      <c r="H118">
        <v>167</v>
      </c>
      <c r="I118">
        <v>145</v>
      </c>
      <c r="J118">
        <v>24</v>
      </c>
      <c r="K118">
        <v>29</v>
      </c>
      <c r="L118">
        <v>8</v>
      </c>
      <c r="M118">
        <v>24</v>
      </c>
      <c r="N118">
        <v>2</v>
      </c>
      <c r="O118">
        <v>0</v>
      </c>
      <c r="P118">
        <v>21</v>
      </c>
      <c r="Q118">
        <v>48</v>
      </c>
      <c r="R118">
        <v>0.2</v>
      </c>
      <c r="S118">
        <v>0.29899999999999999</v>
      </c>
      <c r="T118">
        <v>0.41399999999999998</v>
      </c>
      <c r="U118">
        <v>0.71299999999999997</v>
      </c>
      <c r="V118">
        <v>100</v>
      </c>
    </row>
    <row r="119" spans="2:22" x14ac:dyDescent="0.3">
      <c r="B119" t="s">
        <v>1755</v>
      </c>
      <c r="C119" t="s">
        <v>270</v>
      </c>
      <c r="D119" t="s">
        <v>1660</v>
      </c>
      <c r="E119" t="s">
        <v>1660</v>
      </c>
      <c r="F119">
        <v>4.7</v>
      </c>
      <c r="G119">
        <v>36</v>
      </c>
      <c r="H119">
        <v>145</v>
      </c>
      <c r="I119">
        <v>129</v>
      </c>
      <c r="J119">
        <v>21</v>
      </c>
      <c r="K119">
        <v>34</v>
      </c>
      <c r="L119">
        <v>4</v>
      </c>
      <c r="M119">
        <v>21</v>
      </c>
      <c r="N119">
        <v>4</v>
      </c>
      <c r="O119">
        <v>1</v>
      </c>
      <c r="P119">
        <v>13</v>
      </c>
      <c r="Q119">
        <v>28</v>
      </c>
      <c r="R119">
        <v>0.26400000000000001</v>
      </c>
      <c r="S119">
        <v>0.33100000000000002</v>
      </c>
      <c r="T119">
        <v>0.40300000000000002</v>
      </c>
      <c r="U119">
        <v>0.73399999999999999</v>
      </c>
      <c r="V119">
        <v>95</v>
      </c>
    </row>
    <row r="120" spans="2:22" x14ac:dyDescent="0.3">
      <c r="B120" t="s">
        <v>514</v>
      </c>
      <c r="C120" t="s">
        <v>243</v>
      </c>
      <c r="D120" t="s">
        <v>1679</v>
      </c>
      <c r="E120" t="s">
        <v>1679</v>
      </c>
      <c r="F120">
        <v>4.7</v>
      </c>
      <c r="G120">
        <v>49</v>
      </c>
      <c r="H120">
        <v>210</v>
      </c>
      <c r="I120">
        <v>186</v>
      </c>
      <c r="J120">
        <v>22</v>
      </c>
      <c r="K120">
        <v>44</v>
      </c>
      <c r="L120">
        <v>5</v>
      </c>
      <c r="M120">
        <v>31</v>
      </c>
      <c r="N120">
        <v>0</v>
      </c>
      <c r="O120">
        <v>0</v>
      </c>
      <c r="P120">
        <v>18</v>
      </c>
      <c r="Q120">
        <v>42</v>
      </c>
      <c r="R120">
        <v>0.23699999999999999</v>
      </c>
      <c r="S120">
        <v>0.31900000000000001</v>
      </c>
      <c r="T120">
        <v>0.39800000000000002</v>
      </c>
      <c r="U120">
        <v>0.71699999999999997</v>
      </c>
      <c r="V120">
        <v>100</v>
      </c>
    </row>
    <row r="121" spans="2:22" x14ac:dyDescent="0.3">
      <c r="B121" t="s">
        <v>380</v>
      </c>
      <c r="C121" t="s">
        <v>251</v>
      </c>
      <c r="D121" t="s">
        <v>1527</v>
      </c>
      <c r="E121" t="s">
        <v>1679</v>
      </c>
      <c r="F121">
        <v>4.5</v>
      </c>
      <c r="G121">
        <v>42</v>
      </c>
      <c r="H121">
        <v>161</v>
      </c>
      <c r="I121">
        <v>147</v>
      </c>
      <c r="J121">
        <v>12</v>
      </c>
      <c r="K121">
        <v>33</v>
      </c>
      <c r="L121">
        <v>7</v>
      </c>
      <c r="M121">
        <v>32</v>
      </c>
      <c r="N121">
        <v>3</v>
      </c>
      <c r="O121">
        <v>0</v>
      </c>
      <c r="P121">
        <v>11</v>
      </c>
      <c r="Q121">
        <v>29</v>
      </c>
      <c r="R121">
        <v>0.224</v>
      </c>
      <c r="S121">
        <v>0.27300000000000002</v>
      </c>
      <c r="T121">
        <v>0.40100000000000002</v>
      </c>
      <c r="U121">
        <v>0.67400000000000004</v>
      </c>
      <c r="V121">
        <v>100</v>
      </c>
    </row>
    <row r="122" spans="2:22" x14ac:dyDescent="0.3">
      <c r="B122" t="s">
        <v>803</v>
      </c>
      <c r="C122" t="s">
        <v>224</v>
      </c>
      <c r="D122" t="s">
        <v>80</v>
      </c>
      <c r="E122" t="s">
        <v>80</v>
      </c>
      <c r="F122">
        <v>4.3</v>
      </c>
      <c r="G122">
        <v>49</v>
      </c>
      <c r="H122">
        <v>218</v>
      </c>
      <c r="I122">
        <v>187</v>
      </c>
      <c r="J122">
        <v>29</v>
      </c>
      <c r="K122">
        <v>41</v>
      </c>
      <c r="L122">
        <v>6</v>
      </c>
      <c r="M122">
        <v>23</v>
      </c>
      <c r="N122">
        <v>1</v>
      </c>
      <c r="O122">
        <v>0</v>
      </c>
      <c r="P122">
        <v>28</v>
      </c>
      <c r="Q122">
        <v>22</v>
      </c>
      <c r="R122">
        <v>0.219</v>
      </c>
      <c r="S122">
        <v>0.32600000000000001</v>
      </c>
      <c r="T122">
        <v>0.35799999999999998</v>
      </c>
      <c r="U122">
        <v>0.68400000000000005</v>
      </c>
      <c r="V122">
        <v>100</v>
      </c>
    </row>
    <row r="123" spans="2:22" x14ac:dyDescent="0.3">
      <c r="B123" t="s">
        <v>261</v>
      </c>
      <c r="C123" t="s">
        <v>248</v>
      </c>
      <c r="D123" t="s">
        <v>1655</v>
      </c>
      <c r="E123" t="s">
        <v>1655</v>
      </c>
      <c r="F123">
        <v>4.3</v>
      </c>
      <c r="G123">
        <v>47</v>
      </c>
      <c r="H123">
        <v>208</v>
      </c>
      <c r="I123">
        <v>170</v>
      </c>
      <c r="J123">
        <v>17</v>
      </c>
      <c r="K123">
        <v>49</v>
      </c>
      <c r="L123">
        <v>4</v>
      </c>
      <c r="M123">
        <v>19</v>
      </c>
      <c r="N123">
        <v>4</v>
      </c>
      <c r="O123">
        <v>0</v>
      </c>
      <c r="P123">
        <v>35</v>
      </c>
      <c r="Q123">
        <v>51</v>
      </c>
      <c r="R123">
        <v>0.28799999999999998</v>
      </c>
      <c r="S123">
        <v>0.40899999999999997</v>
      </c>
      <c r="T123">
        <v>0.435</v>
      </c>
      <c r="U123">
        <v>0.84399999999999997</v>
      </c>
      <c r="V123">
        <v>100</v>
      </c>
    </row>
    <row r="124" spans="2:22" x14ac:dyDescent="0.3">
      <c r="B124" t="s">
        <v>660</v>
      </c>
      <c r="C124" t="s">
        <v>264</v>
      </c>
      <c r="D124" t="s">
        <v>1655</v>
      </c>
      <c r="E124" t="s">
        <v>1655</v>
      </c>
      <c r="F124">
        <v>4.0999999999999996</v>
      </c>
      <c r="G124">
        <v>42</v>
      </c>
      <c r="H124">
        <v>174</v>
      </c>
      <c r="I124">
        <v>157</v>
      </c>
      <c r="J124">
        <v>25</v>
      </c>
      <c r="K124">
        <v>37</v>
      </c>
      <c r="L124">
        <v>5</v>
      </c>
      <c r="M124">
        <v>26</v>
      </c>
      <c r="N124">
        <v>0</v>
      </c>
      <c r="O124">
        <v>0</v>
      </c>
      <c r="P124">
        <v>12</v>
      </c>
      <c r="Q124">
        <v>49</v>
      </c>
      <c r="R124">
        <v>0.23599999999999999</v>
      </c>
      <c r="S124">
        <v>0.28699999999999998</v>
      </c>
      <c r="T124">
        <v>0.36899999999999999</v>
      </c>
      <c r="U124">
        <v>0.65600000000000003</v>
      </c>
      <c r="V124">
        <v>31</v>
      </c>
    </row>
    <row r="125" spans="2:22" x14ac:dyDescent="0.3">
      <c r="B125" t="s">
        <v>518</v>
      </c>
      <c r="C125" t="s">
        <v>311</v>
      </c>
      <c r="D125" t="s">
        <v>1531</v>
      </c>
      <c r="E125" t="s">
        <v>1531</v>
      </c>
      <c r="F125">
        <v>4</v>
      </c>
      <c r="G125">
        <v>43</v>
      </c>
      <c r="H125">
        <v>169</v>
      </c>
      <c r="I125">
        <v>156</v>
      </c>
      <c r="J125">
        <v>14</v>
      </c>
      <c r="K125">
        <v>43</v>
      </c>
      <c r="L125">
        <v>3</v>
      </c>
      <c r="M125">
        <v>17</v>
      </c>
      <c r="N125">
        <v>7</v>
      </c>
      <c r="O125">
        <v>0</v>
      </c>
      <c r="P125">
        <v>8</v>
      </c>
      <c r="Q125">
        <v>38</v>
      </c>
      <c r="R125">
        <v>0.27600000000000002</v>
      </c>
      <c r="S125">
        <v>0.314</v>
      </c>
      <c r="T125">
        <v>0.45500000000000002</v>
      </c>
      <c r="U125">
        <v>0.76900000000000002</v>
      </c>
      <c r="V125">
        <v>100</v>
      </c>
    </row>
    <row r="126" spans="2:22" x14ac:dyDescent="0.3">
      <c r="B126" t="s">
        <v>310</v>
      </c>
      <c r="C126" t="s">
        <v>311</v>
      </c>
      <c r="D126" t="s">
        <v>1529</v>
      </c>
      <c r="E126" t="s">
        <v>1529</v>
      </c>
      <c r="F126">
        <v>3.9</v>
      </c>
      <c r="G126">
        <v>48</v>
      </c>
      <c r="H126">
        <v>217</v>
      </c>
      <c r="I126">
        <v>204</v>
      </c>
      <c r="J126">
        <v>25</v>
      </c>
      <c r="K126">
        <v>51</v>
      </c>
      <c r="L126">
        <v>5</v>
      </c>
      <c r="M126">
        <v>13</v>
      </c>
      <c r="N126">
        <v>6</v>
      </c>
      <c r="O126">
        <v>0</v>
      </c>
      <c r="P126">
        <v>13</v>
      </c>
      <c r="Q126">
        <v>58</v>
      </c>
      <c r="R126">
        <v>0.25</v>
      </c>
      <c r="S126">
        <v>0.29499999999999998</v>
      </c>
      <c r="T126">
        <v>0.39200000000000002</v>
      </c>
      <c r="U126">
        <v>0.68700000000000006</v>
      </c>
      <c r="V126">
        <v>100</v>
      </c>
    </row>
    <row r="127" spans="2:22" x14ac:dyDescent="0.3">
      <c r="B127" t="s">
        <v>951</v>
      </c>
      <c r="C127" t="s">
        <v>248</v>
      </c>
      <c r="D127" t="s">
        <v>1531</v>
      </c>
      <c r="E127" t="s">
        <v>1531</v>
      </c>
      <c r="F127">
        <v>3.7</v>
      </c>
      <c r="G127">
        <v>27</v>
      </c>
      <c r="H127">
        <v>103</v>
      </c>
      <c r="I127">
        <v>96</v>
      </c>
      <c r="J127">
        <v>14</v>
      </c>
      <c r="K127">
        <v>28</v>
      </c>
      <c r="L127">
        <v>6</v>
      </c>
      <c r="M127">
        <v>19</v>
      </c>
      <c r="N127">
        <v>1</v>
      </c>
      <c r="O127">
        <v>0</v>
      </c>
      <c r="P127">
        <v>3</v>
      </c>
      <c r="Q127">
        <v>18</v>
      </c>
      <c r="R127">
        <v>0.29199999999999998</v>
      </c>
      <c r="S127">
        <v>0.311</v>
      </c>
      <c r="T127">
        <v>0.49</v>
      </c>
      <c r="U127">
        <v>0.80100000000000005</v>
      </c>
      <c r="V127">
        <v>86</v>
      </c>
    </row>
    <row r="128" spans="2:22" x14ac:dyDescent="0.3">
      <c r="B128" t="s">
        <v>271</v>
      </c>
      <c r="C128" t="s">
        <v>244</v>
      </c>
      <c r="D128" t="s">
        <v>1527</v>
      </c>
      <c r="E128" t="s">
        <v>1657</v>
      </c>
      <c r="F128">
        <v>3.6</v>
      </c>
      <c r="G128">
        <v>48</v>
      </c>
      <c r="H128">
        <v>208</v>
      </c>
      <c r="I128">
        <v>184</v>
      </c>
      <c r="J128">
        <v>27</v>
      </c>
      <c r="K128">
        <v>48</v>
      </c>
      <c r="L128">
        <v>3</v>
      </c>
      <c r="M128">
        <v>21</v>
      </c>
      <c r="N128">
        <v>1</v>
      </c>
      <c r="O128">
        <v>0</v>
      </c>
      <c r="P128">
        <v>15</v>
      </c>
      <c r="Q128">
        <v>28</v>
      </c>
      <c r="R128">
        <v>0.26100000000000001</v>
      </c>
      <c r="S128">
        <v>0.34100000000000003</v>
      </c>
      <c r="T128">
        <v>0.38</v>
      </c>
      <c r="U128">
        <v>0.72099999999999997</v>
      </c>
      <c r="V128">
        <v>99</v>
      </c>
    </row>
    <row r="129" spans="2:22" x14ac:dyDescent="0.3">
      <c r="B129" t="s">
        <v>485</v>
      </c>
      <c r="C129" t="s">
        <v>239</v>
      </c>
      <c r="D129" t="s">
        <v>1671</v>
      </c>
      <c r="E129" t="s">
        <v>1671</v>
      </c>
      <c r="F129">
        <v>3.5</v>
      </c>
      <c r="G129">
        <v>34</v>
      </c>
      <c r="H129">
        <v>109</v>
      </c>
      <c r="I129">
        <v>104</v>
      </c>
      <c r="J129">
        <v>16</v>
      </c>
      <c r="K129">
        <v>36</v>
      </c>
      <c r="L129">
        <v>4</v>
      </c>
      <c r="M129">
        <v>11</v>
      </c>
      <c r="N129">
        <v>5</v>
      </c>
      <c r="O129">
        <v>0</v>
      </c>
      <c r="P129">
        <v>4</v>
      </c>
      <c r="Q129">
        <v>16</v>
      </c>
      <c r="R129">
        <v>0.34599999999999997</v>
      </c>
      <c r="S129">
        <v>0.36699999999999999</v>
      </c>
      <c r="T129">
        <v>0.54800000000000004</v>
      </c>
      <c r="U129">
        <v>0.91500000000000004</v>
      </c>
      <c r="V129">
        <v>5</v>
      </c>
    </row>
    <row r="130" spans="2:22" x14ac:dyDescent="0.3">
      <c r="B130" t="s">
        <v>702</v>
      </c>
      <c r="C130" t="s">
        <v>251</v>
      </c>
      <c r="D130" t="s">
        <v>1655</v>
      </c>
      <c r="E130" t="s">
        <v>1655</v>
      </c>
      <c r="F130">
        <v>3.4</v>
      </c>
      <c r="G130">
        <v>49</v>
      </c>
      <c r="H130">
        <v>219</v>
      </c>
      <c r="I130">
        <v>189</v>
      </c>
      <c r="J130">
        <v>26</v>
      </c>
      <c r="K130">
        <v>48</v>
      </c>
      <c r="L130">
        <v>1</v>
      </c>
      <c r="M130">
        <v>14</v>
      </c>
      <c r="N130">
        <v>9</v>
      </c>
      <c r="O130">
        <v>0</v>
      </c>
      <c r="P130">
        <v>27</v>
      </c>
      <c r="Q130">
        <v>23</v>
      </c>
      <c r="R130">
        <v>0.254</v>
      </c>
      <c r="S130">
        <v>0.34200000000000003</v>
      </c>
      <c r="T130">
        <v>0.33900000000000002</v>
      </c>
      <c r="U130">
        <v>0.68100000000000005</v>
      </c>
      <c r="V130">
        <v>100</v>
      </c>
    </row>
    <row r="131" spans="2:22" x14ac:dyDescent="0.3">
      <c r="B131" t="s">
        <v>1747</v>
      </c>
      <c r="C131" t="s">
        <v>264</v>
      </c>
      <c r="D131" t="s">
        <v>1655</v>
      </c>
      <c r="E131" t="s">
        <v>1655</v>
      </c>
      <c r="F131">
        <v>3.2</v>
      </c>
      <c r="G131">
        <v>36</v>
      </c>
      <c r="H131">
        <v>139</v>
      </c>
      <c r="I131">
        <v>125</v>
      </c>
      <c r="J131">
        <v>21</v>
      </c>
      <c r="K131">
        <v>38</v>
      </c>
      <c r="L131">
        <v>1</v>
      </c>
      <c r="M131">
        <v>17</v>
      </c>
      <c r="N131">
        <v>5</v>
      </c>
      <c r="O131">
        <v>0</v>
      </c>
      <c r="P131">
        <v>12</v>
      </c>
      <c r="Q131">
        <v>30</v>
      </c>
      <c r="R131">
        <v>0.30399999999999999</v>
      </c>
      <c r="S131">
        <v>0.36699999999999999</v>
      </c>
      <c r="T131">
        <v>0.40799999999999997</v>
      </c>
      <c r="U131">
        <v>0.77500000000000002</v>
      </c>
      <c r="V131">
        <v>65</v>
      </c>
    </row>
    <row r="132" spans="2:22" x14ac:dyDescent="0.3">
      <c r="B132" t="s">
        <v>293</v>
      </c>
      <c r="C132" t="s">
        <v>1521</v>
      </c>
      <c r="D132" t="s">
        <v>1679</v>
      </c>
      <c r="E132" t="s">
        <v>1679</v>
      </c>
      <c r="F132">
        <v>3.1</v>
      </c>
      <c r="G132">
        <v>47</v>
      </c>
      <c r="H132">
        <v>174</v>
      </c>
      <c r="I132">
        <v>136</v>
      </c>
      <c r="J132">
        <v>22</v>
      </c>
      <c r="K132">
        <v>36</v>
      </c>
      <c r="L132">
        <v>7</v>
      </c>
      <c r="M132">
        <v>15</v>
      </c>
      <c r="N132">
        <v>1</v>
      </c>
      <c r="O132">
        <v>0</v>
      </c>
      <c r="P132">
        <v>34</v>
      </c>
      <c r="Q132">
        <v>31</v>
      </c>
      <c r="R132">
        <v>0.26500000000000001</v>
      </c>
      <c r="S132">
        <v>0.42499999999999999</v>
      </c>
      <c r="T132">
        <v>0.46300000000000002</v>
      </c>
      <c r="U132">
        <v>0.88800000000000001</v>
      </c>
      <c r="V132">
        <v>92</v>
      </c>
    </row>
    <row r="133" spans="2:22" x14ac:dyDescent="0.3">
      <c r="B133" t="s">
        <v>885</v>
      </c>
      <c r="C133" t="s">
        <v>235</v>
      </c>
      <c r="D133" t="s">
        <v>1666</v>
      </c>
      <c r="E133" t="s">
        <v>1666</v>
      </c>
      <c r="F133">
        <v>2.7</v>
      </c>
      <c r="G133">
        <v>46</v>
      </c>
      <c r="H133">
        <v>179</v>
      </c>
      <c r="I133">
        <v>166</v>
      </c>
      <c r="J133">
        <v>20</v>
      </c>
      <c r="K133">
        <v>40</v>
      </c>
      <c r="L133">
        <v>7</v>
      </c>
      <c r="M133">
        <v>23</v>
      </c>
      <c r="N133">
        <v>0</v>
      </c>
      <c r="O133">
        <v>0</v>
      </c>
      <c r="P133">
        <v>7</v>
      </c>
      <c r="Q133">
        <v>50</v>
      </c>
      <c r="R133">
        <v>0.24099999999999999</v>
      </c>
      <c r="S133">
        <v>0.27900000000000003</v>
      </c>
      <c r="T133">
        <v>0.45800000000000002</v>
      </c>
      <c r="U133">
        <v>0.73699999999999999</v>
      </c>
      <c r="V133">
        <v>96</v>
      </c>
    </row>
    <row r="134" spans="2:22" x14ac:dyDescent="0.3">
      <c r="B134" t="s">
        <v>570</v>
      </c>
      <c r="C134" t="s">
        <v>231</v>
      </c>
      <c r="D134" t="s">
        <v>1679</v>
      </c>
      <c r="E134" t="s">
        <v>1679</v>
      </c>
      <c r="F134">
        <v>2.6</v>
      </c>
      <c r="G134">
        <v>42</v>
      </c>
      <c r="H134">
        <v>152</v>
      </c>
      <c r="I134">
        <v>132</v>
      </c>
      <c r="J134">
        <v>24</v>
      </c>
      <c r="K134">
        <v>35</v>
      </c>
      <c r="L134">
        <v>5</v>
      </c>
      <c r="M134">
        <v>15</v>
      </c>
      <c r="N134">
        <v>2</v>
      </c>
      <c r="O134">
        <v>0</v>
      </c>
      <c r="P134">
        <v>17</v>
      </c>
      <c r="Q134">
        <v>43</v>
      </c>
      <c r="R134">
        <v>0.26500000000000001</v>
      </c>
      <c r="S134">
        <v>0.36199999999999999</v>
      </c>
      <c r="T134">
        <v>0.5</v>
      </c>
      <c r="U134">
        <v>0.86199999999999999</v>
      </c>
      <c r="V134">
        <v>28</v>
      </c>
    </row>
    <row r="135" spans="2:22" x14ac:dyDescent="0.3">
      <c r="B135" t="s">
        <v>659</v>
      </c>
      <c r="C135" t="s">
        <v>231</v>
      </c>
      <c r="D135" t="s">
        <v>1655</v>
      </c>
      <c r="E135" t="s">
        <v>1655</v>
      </c>
      <c r="F135">
        <v>2.6</v>
      </c>
      <c r="G135">
        <v>41</v>
      </c>
      <c r="H135">
        <v>155</v>
      </c>
      <c r="I135">
        <v>128</v>
      </c>
      <c r="J135">
        <v>14</v>
      </c>
      <c r="K135">
        <v>28</v>
      </c>
      <c r="L135">
        <v>7</v>
      </c>
      <c r="M135">
        <v>23</v>
      </c>
      <c r="N135">
        <v>5</v>
      </c>
      <c r="O135">
        <v>0</v>
      </c>
      <c r="P135">
        <v>24</v>
      </c>
      <c r="Q135">
        <v>49</v>
      </c>
      <c r="R135">
        <v>0.219</v>
      </c>
      <c r="S135">
        <v>0.34200000000000003</v>
      </c>
      <c r="T135">
        <v>0.438</v>
      </c>
      <c r="U135">
        <v>0.78</v>
      </c>
      <c r="V135">
        <v>79</v>
      </c>
    </row>
    <row r="136" spans="2:22" x14ac:dyDescent="0.3">
      <c r="B136" t="s">
        <v>2202</v>
      </c>
      <c r="C136" t="s">
        <v>248</v>
      </c>
      <c r="D136" t="s">
        <v>1655</v>
      </c>
      <c r="E136" t="s">
        <v>1655</v>
      </c>
      <c r="F136">
        <v>2.5</v>
      </c>
      <c r="G136">
        <v>36</v>
      </c>
      <c r="H136">
        <v>150</v>
      </c>
      <c r="I136">
        <v>130</v>
      </c>
      <c r="J136">
        <v>16</v>
      </c>
      <c r="K136">
        <v>37</v>
      </c>
      <c r="L136">
        <v>6</v>
      </c>
      <c r="M136">
        <v>19</v>
      </c>
      <c r="N136">
        <v>1</v>
      </c>
      <c r="O136">
        <v>0</v>
      </c>
      <c r="P136">
        <v>18</v>
      </c>
      <c r="Q136">
        <v>37</v>
      </c>
      <c r="R136">
        <v>0.28499999999999998</v>
      </c>
      <c r="S136">
        <v>0.373</v>
      </c>
      <c r="T136">
        <v>0.5</v>
      </c>
      <c r="U136">
        <v>0.873</v>
      </c>
      <c r="V136">
        <v>100</v>
      </c>
    </row>
    <row r="137" spans="2:22" x14ac:dyDescent="0.3">
      <c r="B137" t="s">
        <v>290</v>
      </c>
      <c r="C137" t="s">
        <v>270</v>
      </c>
      <c r="D137" t="s">
        <v>1655</v>
      </c>
      <c r="E137" t="s">
        <v>1655</v>
      </c>
      <c r="F137">
        <v>2.2999999999999998</v>
      </c>
      <c r="G137">
        <v>38</v>
      </c>
      <c r="H137">
        <v>139</v>
      </c>
      <c r="I137">
        <v>128</v>
      </c>
      <c r="J137">
        <v>14</v>
      </c>
      <c r="K137">
        <v>40</v>
      </c>
      <c r="L137">
        <v>3</v>
      </c>
      <c r="M137">
        <v>18</v>
      </c>
      <c r="N137">
        <v>4</v>
      </c>
      <c r="O137">
        <v>0</v>
      </c>
      <c r="P137">
        <v>8</v>
      </c>
      <c r="Q137">
        <v>29</v>
      </c>
      <c r="R137">
        <v>0.312</v>
      </c>
      <c r="S137">
        <v>0.36</v>
      </c>
      <c r="T137">
        <v>0.48399999999999999</v>
      </c>
      <c r="U137">
        <v>0.84399999999999997</v>
      </c>
      <c r="V137">
        <v>85</v>
      </c>
    </row>
    <row r="138" spans="2:22" x14ac:dyDescent="0.3">
      <c r="B138" t="s">
        <v>260</v>
      </c>
      <c r="C138" t="s">
        <v>226</v>
      </c>
      <c r="D138" t="s">
        <v>1671</v>
      </c>
      <c r="E138" t="s">
        <v>1671</v>
      </c>
      <c r="F138">
        <v>2.2000000000000002</v>
      </c>
      <c r="G138">
        <v>46</v>
      </c>
      <c r="H138">
        <v>182</v>
      </c>
      <c r="I138">
        <v>156</v>
      </c>
      <c r="J138">
        <v>23</v>
      </c>
      <c r="K138">
        <v>37</v>
      </c>
      <c r="L138">
        <v>4</v>
      </c>
      <c r="M138">
        <v>23</v>
      </c>
      <c r="N138">
        <v>2</v>
      </c>
      <c r="O138">
        <v>1</v>
      </c>
      <c r="P138">
        <v>23</v>
      </c>
      <c r="Q138">
        <v>33</v>
      </c>
      <c r="R138">
        <v>0.23699999999999999</v>
      </c>
      <c r="S138">
        <v>0.34100000000000003</v>
      </c>
      <c r="T138">
        <v>0.42299999999999999</v>
      </c>
      <c r="U138">
        <v>0.76400000000000001</v>
      </c>
      <c r="V138">
        <v>100</v>
      </c>
    </row>
    <row r="139" spans="2:22" x14ac:dyDescent="0.3">
      <c r="B139" t="s">
        <v>569</v>
      </c>
      <c r="C139" t="s">
        <v>311</v>
      </c>
      <c r="D139" t="s">
        <v>1655</v>
      </c>
      <c r="E139" t="s">
        <v>1655</v>
      </c>
      <c r="F139">
        <v>2.1</v>
      </c>
      <c r="G139">
        <v>46</v>
      </c>
      <c r="H139">
        <v>159</v>
      </c>
      <c r="I139">
        <v>134</v>
      </c>
      <c r="J139">
        <v>20</v>
      </c>
      <c r="K139">
        <v>36</v>
      </c>
      <c r="L139">
        <v>4</v>
      </c>
      <c r="M139">
        <v>18</v>
      </c>
      <c r="N139">
        <v>3</v>
      </c>
      <c r="O139">
        <v>0</v>
      </c>
      <c r="P139">
        <v>24</v>
      </c>
      <c r="Q139">
        <v>47</v>
      </c>
      <c r="R139">
        <v>0.26900000000000002</v>
      </c>
      <c r="S139">
        <v>0.38400000000000001</v>
      </c>
      <c r="T139">
        <v>0.47799999999999998</v>
      </c>
      <c r="U139">
        <v>0.86199999999999999</v>
      </c>
      <c r="V139">
        <v>77</v>
      </c>
    </row>
    <row r="140" spans="2:22" x14ac:dyDescent="0.3">
      <c r="B140" t="s">
        <v>967</v>
      </c>
      <c r="C140" t="s">
        <v>1524</v>
      </c>
      <c r="D140" t="s">
        <v>1679</v>
      </c>
      <c r="E140" t="s">
        <v>1679</v>
      </c>
      <c r="F140">
        <v>2</v>
      </c>
      <c r="G140">
        <v>46</v>
      </c>
      <c r="H140">
        <v>202</v>
      </c>
      <c r="I140">
        <v>193</v>
      </c>
      <c r="J140">
        <v>17</v>
      </c>
      <c r="K140">
        <v>57</v>
      </c>
      <c r="L140">
        <v>2</v>
      </c>
      <c r="M140">
        <v>24</v>
      </c>
      <c r="N140">
        <v>0</v>
      </c>
      <c r="O140">
        <v>0</v>
      </c>
      <c r="P140">
        <v>9</v>
      </c>
      <c r="Q140">
        <v>42</v>
      </c>
      <c r="R140">
        <v>0.29499999999999998</v>
      </c>
      <c r="S140">
        <v>0.32700000000000001</v>
      </c>
      <c r="T140">
        <v>0.38900000000000001</v>
      </c>
      <c r="U140">
        <v>0.71599999999999997</v>
      </c>
      <c r="V140">
        <v>100</v>
      </c>
    </row>
    <row r="141" spans="2:22" x14ac:dyDescent="0.3">
      <c r="B141" t="s">
        <v>1686</v>
      </c>
      <c r="C141" t="s">
        <v>224</v>
      </c>
      <c r="D141" t="s">
        <v>1662</v>
      </c>
      <c r="E141" t="s">
        <v>1662</v>
      </c>
      <c r="F141">
        <v>1.7</v>
      </c>
      <c r="G141">
        <v>40</v>
      </c>
      <c r="H141">
        <v>167</v>
      </c>
      <c r="I141">
        <v>158</v>
      </c>
      <c r="J141">
        <v>29</v>
      </c>
      <c r="K141">
        <v>47</v>
      </c>
      <c r="L141">
        <v>1</v>
      </c>
      <c r="M141">
        <v>9</v>
      </c>
      <c r="N141">
        <v>3</v>
      </c>
      <c r="O141">
        <v>0</v>
      </c>
      <c r="P141">
        <v>7</v>
      </c>
      <c r="Q141">
        <v>22</v>
      </c>
      <c r="R141">
        <v>0.29699999999999999</v>
      </c>
      <c r="S141">
        <v>0.32900000000000001</v>
      </c>
      <c r="T141">
        <v>0.39200000000000002</v>
      </c>
      <c r="U141">
        <v>0.72099999999999997</v>
      </c>
      <c r="V141">
        <v>37</v>
      </c>
    </row>
    <row r="142" spans="2:22" x14ac:dyDescent="0.3">
      <c r="B142" t="s">
        <v>407</v>
      </c>
      <c r="C142" t="s">
        <v>266</v>
      </c>
      <c r="D142" t="s">
        <v>1655</v>
      </c>
      <c r="E142" t="s">
        <v>1655</v>
      </c>
      <c r="F142">
        <v>1.7</v>
      </c>
      <c r="G142">
        <v>44</v>
      </c>
      <c r="H142">
        <v>191</v>
      </c>
      <c r="I142">
        <v>163</v>
      </c>
      <c r="J142">
        <v>25</v>
      </c>
      <c r="K142">
        <v>45</v>
      </c>
      <c r="L142">
        <v>3</v>
      </c>
      <c r="M142">
        <v>18</v>
      </c>
      <c r="N142">
        <v>0</v>
      </c>
      <c r="O142">
        <v>0</v>
      </c>
      <c r="P142">
        <v>19</v>
      </c>
      <c r="Q142">
        <v>27</v>
      </c>
      <c r="R142">
        <v>0.27600000000000002</v>
      </c>
      <c r="S142">
        <v>0.36599999999999999</v>
      </c>
      <c r="T142">
        <v>0.42899999999999999</v>
      </c>
      <c r="U142">
        <v>0.79500000000000004</v>
      </c>
      <c r="V142">
        <v>93</v>
      </c>
    </row>
    <row r="143" spans="2:22" x14ac:dyDescent="0.3">
      <c r="B143" t="s">
        <v>3073</v>
      </c>
      <c r="C143" t="s">
        <v>1523</v>
      </c>
      <c r="D143" t="s">
        <v>1687</v>
      </c>
      <c r="E143" t="s">
        <v>1687</v>
      </c>
      <c r="F143">
        <v>1.6</v>
      </c>
      <c r="G143">
        <v>29</v>
      </c>
      <c r="H143">
        <v>133</v>
      </c>
      <c r="I143">
        <v>124</v>
      </c>
      <c r="J143">
        <v>17</v>
      </c>
      <c r="K143">
        <v>32</v>
      </c>
      <c r="L143">
        <v>7</v>
      </c>
      <c r="M143">
        <v>15</v>
      </c>
      <c r="N143">
        <v>3</v>
      </c>
      <c r="O143">
        <v>0</v>
      </c>
      <c r="P143">
        <v>8</v>
      </c>
      <c r="Q143">
        <v>24</v>
      </c>
      <c r="R143">
        <v>0.25800000000000001</v>
      </c>
      <c r="S143">
        <v>0.30099999999999999</v>
      </c>
      <c r="T143">
        <v>0.46800000000000003</v>
      </c>
      <c r="U143">
        <v>0.76900000000000002</v>
      </c>
      <c r="V143">
        <v>100</v>
      </c>
    </row>
    <row r="144" spans="2:22" x14ac:dyDescent="0.3">
      <c r="B144" t="s">
        <v>641</v>
      </c>
      <c r="C144" t="s">
        <v>1524</v>
      </c>
      <c r="D144" t="s">
        <v>80</v>
      </c>
      <c r="E144" t="s">
        <v>80</v>
      </c>
      <c r="F144">
        <v>1.2</v>
      </c>
      <c r="G144">
        <v>47</v>
      </c>
      <c r="H144">
        <v>200</v>
      </c>
      <c r="I144">
        <v>182</v>
      </c>
      <c r="J144">
        <v>20</v>
      </c>
      <c r="K144">
        <v>47</v>
      </c>
      <c r="L144">
        <v>6</v>
      </c>
      <c r="M144">
        <v>19</v>
      </c>
      <c r="N144">
        <v>0</v>
      </c>
      <c r="O144">
        <v>0</v>
      </c>
      <c r="P144">
        <v>13</v>
      </c>
      <c r="Q144">
        <v>38</v>
      </c>
      <c r="R144">
        <v>0.25800000000000001</v>
      </c>
      <c r="S144">
        <v>0.315</v>
      </c>
      <c r="T144">
        <v>0.44</v>
      </c>
      <c r="U144">
        <v>0.755</v>
      </c>
      <c r="V144">
        <v>14</v>
      </c>
    </row>
    <row r="145" spans="2:22" x14ac:dyDescent="0.3">
      <c r="B145" t="s">
        <v>387</v>
      </c>
      <c r="C145" t="s">
        <v>235</v>
      </c>
      <c r="D145" t="s">
        <v>1657</v>
      </c>
      <c r="E145" t="s">
        <v>1657</v>
      </c>
      <c r="F145">
        <v>1</v>
      </c>
      <c r="G145">
        <v>47</v>
      </c>
      <c r="H145">
        <v>175</v>
      </c>
      <c r="I145">
        <v>167</v>
      </c>
      <c r="J145">
        <v>18</v>
      </c>
      <c r="K145">
        <v>50</v>
      </c>
      <c r="L145">
        <v>1</v>
      </c>
      <c r="M145">
        <v>20</v>
      </c>
      <c r="N145">
        <v>2</v>
      </c>
      <c r="O145">
        <v>0</v>
      </c>
      <c r="P145">
        <v>6</v>
      </c>
      <c r="Q145">
        <v>26</v>
      </c>
      <c r="R145">
        <v>0.29899999999999999</v>
      </c>
      <c r="S145">
        <v>0.32</v>
      </c>
      <c r="T145">
        <v>0.35299999999999998</v>
      </c>
      <c r="U145">
        <v>0.67300000000000004</v>
      </c>
      <c r="V145">
        <v>10</v>
      </c>
    </row>
    <row r="146" spans="2:22" x14ac:dyDescent="0.3">
      <c r="B146" t="s">
        <v>927</v>
      </c>
      <c r="C146" t="s">
        <v>234</v>
      </c>
      <c r="D146" t="s">
        <v>1531</v>
      </c>
      <c r="E146" t="s">
        <v>1531</v>
      </c>
      <c r="F146">
        <v>1</v>
      </c>
      <c r="G146">
        <v>36</v>
      </c>
      <c r="H146">
        <v>132</v>
      </c>
      <c r="I146">
        <v>121</v>
      </c>
      <c r="J146">
        <v>16</v>
      </c>
      <c r="K146">
        <v>25</v>
      </c>
      <c r="L146">
        <v>6</v>
      </c>
      <c r="M146">
        <v>26</v>
      </c>
      <c r="N146">
        <v>0</v>
      </c>
      <c r="O146">
        <v>0</v>
      </c>
      <c r="P146">
        <v>11</v>
      </c>
      <c r="Q146">
        <v>28</v>
      </c>
      <c r="R146">
        <v>0.20699999999999999</v>
      </c>
      <c r="S146">
        <v>0.27300000000000002</v>
      </c>
      <c r="T146">
        <v>0.41299999999999998</v>
      </c>
      <c r="U146">
        <v>0.68600000000000005</v>
      </c>
      <c r="V146">
        <v>96</v>
      </c>
    </row>
    <row r="147" spans="2:22" x14ac:dyDescent="0.3">
      <c r="B147" t="s">
        <v>1682</v>
      </c>
      <c r="C147" t="s">
        <v>244</v>
      </c>
      <c r="D147" t="s">
        <v>80</v>
      </c>
      <c r="E147" t="s">
        <v>80</v>
      </c>
      <c r="F147">
        <v>0.9</v>
      </c>
      <c r="G147">
        <v>49</v>
      </c>
      <c r="H147">
        <v>214</v>
      </c>
      <c r="I147">
        <v>183</v>
      </c>
      <c r="J147">
        <v>19</v>
      </c>
      <c r="K147">
        <v>41</v>
      </c>
      <c r="L147">
        <v>5</v>
      </c>
      <c r="M147">
        <v>28</v>
      </c>
      <c r="N147">
        <v>1</v>
      </c>
      <c r="O147">
        <v>0</v>
      </c>
      <c r="P147">
        <v>25</v>
      </c>
      <c r="Q147">
        <v>61</v>
      </c>
      <c r="R147">
        <v>0.224</v>
      </c>
      <c r="S147">
        <v>0.32700000000000001</v>
      </c>
      <c r="T147">
        <v>0.33300000000000002</v>
      </c>
      <c r="U147">
        <v>0.66</v>
      </c>
      <c r="V147">
        <v>100</v>
      </c>
    </row>
    <row r="148" spans="2:22" x14ac:dyDescent="0.3">
      <c r="B148" t="s">
        <v>440</v>
      </c>
      <c r="C148" t="s">
        <v>339</v>
      </c>
      <c r="D148" t="s">
        <v>1655</v>
      </c>
      <c r="E148" t="s">
        <v>1655</v>
      </c>
      <c r="F148">
        <v>0.7</v>
      </c>
      <c r="G148">
        <v>45</v>
      </c>
      <c r="H148">
        <v>172</v>
      </c>
      <c r="I148">
        <v>157</v>
      </c>
      <c r="J148">
        <v>17</v>
      </c>
      <c r="K148">
        <v>37</v>
      </c>
      <c r="L148">
        <v>2</v>
      </c>
      <c r="M148">
        <v>12</v>
      </c>
      <c r="N148">
        <v>13</v>
      </c>
      <c r="O148">
        <v>2</v>
      </c>
      <c r="P148">
        <v>11</v>
      </c>
      <c r="Q148">
        <v>32</v>
      </c>
      <c r="R148">
        <v>0.23599999999999999</v>
      </c>
      <c r="S148">
        <v>0.30199999999999999</v>
      </c>
      <c r="T148">
        <v>0.29899999999999999</v>
      </c>
      <c r="U148">
        <v>0.60099999999999998</v>
      </c>
      <c r="V148">
        <v>100</v>
      </c>
    </row>
    <row r="149" spans="2:22" x14ac:dyDescent="0.3">
      <c r="B149" t="s">
        <v>890</v>
      </c>
      <c r="C149" t="s">
        <v>1522</v>
      </c>
      <c r="D149" t="s">
        <v>1692</v>
      </c>
      <c r="E149" t="s">
        <v>1692</v>
      </c>
      <c r="F149">
        <v>0.2</v>
      </c>
      <c r="G149">
        <v>34</v>
      </c>
      <c r="H149">
        <v>113</v>
      </c>
      <c r="I149">
        <v>107</v>
      </c>
      <c r="J149">
        <v>17</v>
      </c>
      <c r="K149">
        <v>26</v>
      </c>
      <c r="L149">
        <v>7</v>
      </c>
      <c r="M149">
        <v>15</v>
      </c>
      <c r="N149">
        <v>0</v>
      </c>
      <c r="O149">
        <v>0</v>
      </c>
      <c r="P149">
        <v>5</v>
      </c>
      <c r="Q149">
        <v>32</v>
      </c>
      <c r="R149">
        <v>0.24299999999999999</v>
      </c>
      <c r="S149">
        <v>0.27400000000000002</v>
      </c>
      <c r="T149">
        <v>0.495</v>
      </c>
      <c r="U149">
        <v>0.76900000000000002</v>
      </c>
      <c r="V149">
        <v>90</v>
      </c>
    </row>
    <row r="150" spans="2:22" x14ac:dyDescent="0.3">
      <c r="B150" t="s">
        <v>963</v>
      </c>
      <c r="C150" t="s">
        <v>266</v>
      </c>
      <c r="D150" t="s">
        <v>1655</v>
      </c>
      <c r="E150" t="s">
        <v>1655</v>
      </c>
      <c r="F150">
        <v>0.2</v>
      </c>
      <c r="G150">
        <v>43</v>
      </c>
      <c r="H150">
        <v>191</v>
      </c>
      <c r="I150">
        <v>168</v>
      </c>
      <c r="J150">
        <v>21</v>
      </c>
      <c r="K150">
        <v>42</v>
      </c>
      <c r="L150">
        <v>5</v>
      </c>
      <c r="M150">
        <v>20</v>
      </c>
      <c r="N150">
        <v>0</v>
      </c>
      <c r="O150">
        <v>0</v>
      </c>
      <c r="P150">
        <v>21</v>
      </c>
      <c r="Q150">
        <v>35</v>
      </c>
      <c r="R150">
        <v>0.25</v>
      </c>
      <c r="S150">
        <v>0.33</v>
      </c>
      <c r="T150">
        <v>0.41099999999999998</v>
      </c>
      <c r="U150">
        <v>0.74099999999999999</v>
      </c>
      <c r="V150">
        <v>96</v>
      </c>
    </row>
    <row r="151" spans="2:22" x14ac:dyDescent="0.3">
      <c r="B151" t="s">
        <v>915</v>
      </c>
      <c r="C151" t="s">
        <v>235</v>
      </c>
      <c r="D151" t="s">
        <v>80</v>
      </c>
      <c r="E151" t="s">
        <v>80</v>
      </c>
      <c r="F151">
        <v>0.1</v>
      </c>
      <c r="G151">
        <v>30</v>
      </c>
      <c r="H151">
        <v>130</v>
      </c>
      <c r="I151">
        <v>103</v>
      </c>
      <c r="J151">
        <v>19</v>
      </c>
      <c r="K151">
        <v>31</v>
      </c>
      <c r="L151">
        <v>1</v>
      </c>
      <c r="M151">
        <v>20</v>
      </c>
      <c r="N151">
        <v>2</v>
      </c>
      <c r="O151">
        <v>0</v>
      </c>
      <c r="P151">
        <v>19</v>
      </c>
      <c r="Q151">
        <v>15</v>
      </c>
      <c r="R151">
        <v>0.30099999999999999</v>
      </c>
      <c r="S151">
        <v>0.41499999999999998</v>
      </c>
      <c r="T151">
        <v>0.36899999999999999</v>
      </c>
      <c r="U151">
        <v>0.78400000000000003</v>
      </c>
      <c r="V151">
        <v>96</v>
      </c>
    </row>
    <row r="152" spans="2:22" x14ac:dyDescent="0.3">
      <c r="B152" t="s">
        <v>1721</v>
      </c>
      <c r="C152" t="s">
        <v>346</v>
      </c>
      <c r="D152" t="s">
        <v>1529</v>
      </c>
      <c r="E152" t="s">
        <v>1529</v>
      </c>
      <c r="F152">
        <v>0.1</v>
      </c>
      <c r="G152">
        <v>45</v>
      </c>
      <c r="H152">
        <v>187</v>
      </c>
      <c r="I152">
        <v>173</v>
      </c>
      <c r="J152">
        <v>19</v>
      </c>
      <c r="K152">
        <v>42</v>
      </c>
      <c r="L152">
        <v>3</v>
      </c>
      <c r="M152">
        <v>23</v>
      </c>
      <c r="N152">
        <v>3</v>
      </c>
      <c r="O152">
        <v>0</v>
      </c>
      <c r="P152">
        <v>9</v>
      </c>
      <c r="Q152">
        <v>34</v>
      </c>
      <c r="R152">
        <v>0.24299999999999999</v>
      </c>
      <c r="S152">
        <v>0.29399999999999998</v>
      </c>
      <c r="T152">
        <v>0.33500000000000002</v>
      </c>
      <c r="U152">
        <v>0.629</v>
      </c>
      <c r="V152">
        <v>99</v>
      </c>
    </row>
    <row r="153" spans="2:22" x14ac:dyDescent="0.3">
      <c r="B153" t="s">
        <v>731</v>
      </c>
      <c r="C153" t="s">
        <v>246</v>
      </c>
      <c r="D153" t="s">
        <v>1683</v>
      </c>
      <c r="E153" t="s">
        <v>1717</v>
      </c>
      <c r="F153">
        <v>0</v>
      </c>
      <c r="G153">
        <v>45</v>
      </c>
      <c r="H153">
        <v>157</v>
      </c>
      <c r="I153">
        <v>144</v>
      </c>
      <c r="J153">
        <v>20</v>
      </c>
      <c r="K153">
        <v>40</v>
      </c>
      <c r="L153">
        <v>2</v>
      </c>
      <c r="M153">
        <v>10</v>
      </c>
      <c r="N153">
        <v>7</v>
      </c>
      <c r="O153">
        <v>1</v>
      </c>
      <c r="P153">
        <v>11</v>
      </c>
      <c r="Q153">
        <v>30</v>
      </c>
      <c r="R153">
        <v>0.27800000000000002</v>
      </c>
      <c r="S153">
        <v>0.32500000000000001</v>
      </c>
      <c r="T153">
        <v>0.35399999999999998</v>
      </c>
      <c r="U153">
        <v>0.67900000000000005</v>
      </c>
      <c r="V153">
        <v>91</v>
      </c>
    </row>
    <row r="154" spans="2:22" x14ac:dyDescent="0.3">
      <c r="B154" t="s">
        <v>825</v>
      </c>
      <c r="C154" t="s">
        <v>266</v>
      </c>
      <c r="D154" t="s">
        <v>1655</v>
      </c>
      <c r="E154" t="s">
        <v>1655</v>
      </c>
      <c r="F154">
        <v>-0.1</v>
      </c>
      <c r="G154">
        <v>45</v>
      </c>
      <c r="H154">
        <v>191</v>
      </c>
      <c r="I154">
        <v>171</v>
      </c>
      <c r="J154">
        <v>17</v>
      </c>
      <c r="K154">
        <v>48</v>
      </c>
      <c r="L154">
        <v>5</v>
      </c>
      <c r="M154">
        <v>17</v>
      </c>
      <c r="N154">
        <v>0</v>
      </c>
      <c r="O154">
        <v>0</v>
      </c>
      <c r="P154">
        <v>17</v>
      </c>
      <c r="Q154">
        <v>32</v>
      </c>
      <c r="R154">
        <v>0.28100000000000003</v>
      </c>
      <c r="S154">
        <v>0.35599999999999998</v>
      </c>
      <c r="T154">
        <v>0.40400000000000003</v>
      </c>
      <c r="U154">
        <v>0.76</v>
      </c>
      <c r="V154">
        <v>100</v>
      </c>
    </row>
    <row r="155" spans="2:22" x14ac:dyDescent="0.3">
      <c r="B155" t="s">
        <v>870</v>
      </c>
      <c r="C155" t="s">
        <v>231</v>
      </c>
      <c r="D155" t="s">
        <v>1527</v>
      </c>
      <c r="E155" t="s">
        <v>1527</v>
      </c>
      <c r="F155">
        <v>-0.1</v>
      </c>
      <c r="G155">
        <v>46</v>
      </c>
      <c r="H155">
        <v>193</v>
      </c>
      <c r="I155">
        <v>166</v>
      </c>
      <c r="J155">
        <v>19</v>
      </c>
      <c r="K155">
        <v>39</v>
      </c>
      <c r="L155">
        <v>2</v>
      </c>
      <c r="M155">
        <v>23</v>
      </c>
      <c r="N155">
        <v>5</v>
      </c>
      <c r="O155">
        <v>0</v>
      </c>
      <c r="P155">
        <v>25</v>
      </c>
      <c r="Q155">
        <v>34</v>
      </c>
      <c r="R155">
        <v>0.23499999999999999</v>
      </c>
      <c r="S155">
        <v>0.33200000000000002</v>
      </c>
      <c r="T155">
        <v>0.35499999999999998</v>
      </c>
      <c r="U155">
        <v>0.68700000000000006</v>
      </c>
      <c r="V155">
        <v>12</v>
      </c>
    </row>
    <row r="156" spans="2:22" x14ac:dyDescent="0.3">
      <c r="B156" t="s">
        <v>741</v>
      </c>
      <c r="C156" t="s">
        <v>1524</v>
      </c>
      <c r="D156" t="s">
        <v>1659</v>
      </c>
      <c r="E156" t="s">
        <v>1659</v>
      </c>
      <c r="F156">
        <v>-0.2</v>
      </c>
      <c r="G156">
        <v>42</v>
      </c>
      <c r="H156">
        <v>174</v>
      </c>
      <c r="I156">
        <v>159</v>
      </c>
      <c r="J156">
        <v>20</v>
      </c>
      <c r="K156">
        <v>41</v>
      </c>
      <c r="L156">
        <v>3</v>
      </c>
      <c r="M156">
        <v>18</v>
      </c>
      <c r="N156">
        <v>3</v>
      </c>
      <c r="O156">
        <v>1</v>
      </c>
      <c r="P156">
        <v>12</v>
      </c>
      <c r="Q156">
        <v>20</v>
      </c>
      <c r="R156">
        <v>0.25800000000000001</v>
      </c>
      <c r="S156">
        <v>0.30499999999999999</v>
      </c>
      <c r="T156">
        <v>0.35799999999999998</v>
      </c>
      <c r="U156">
        <v>0.66300000000000003</v>
      </c>
      <c r="V156">
        <v>37</v>
      </c>
    </row>
    <row r="157" spans="2:22" x14ac:dyDescent="0.3">
      <c r="B157" t="s">
        <v>932</v>
      </c>
      <c r="C157" t="s">
        <v>250</v>
      </c>
      <c r="D157" t="s">
        <v>1655</v>
      </c>
      <c r="E157" t="s">
        <v>1655</v>
      </c>
      <c r="F157">
        <v>-0.5</v>
      </c>
      <c r="G157">
        <v>35</v>
      </c>
      <c r="H157">
        <v>139</v>
      </c>
      <c r="I157">
        <v>123</v>
      </c>
      <c r="J157">
        <v>16</v>
      </c>
      <c r="K157">
        <v>26</v>
      </c>
      <c r="L157">
        <v>9</v>
      </c>
      <c r="M157">
        <v>20</v>
      </c>
      <c r="N157">
        <v>0</v>
      </c>
      <c r="O157">
        <v>0</v>
      </c>
      <c r="P157">
        <v>16</v>
      </c>
      <c r="Q157">
        <v>34</v>
      </c>
      <c r="R157">
        <v>0.21099999999999999</v>
      </c>
      <c r="S157">
        <v>0.30199999999999999</v>
      </c>
      <c r="T157">
        <v>0.45500000000000002</v>
      </c>
      <c r="U157">
        <v>0.75700000000000001</v>
      </c>
      <c r="V157">
        <v>72</v>
      </c>
    </row>
    <row r="158" spans="2:22" x14ac:dyDescent="0.3">
      <c r="B158" t="s">
        <v>273</v>
      </c>
      <c r="C158" t="s">
        <v>274</v>
      </c>
      <c r="D158" t="s">
        <v>1655</v>
      </c>
      <c r="E158" t="s">
        <v>1655</v>
      </c>
      <c r="F158">
        <v>-0.6</v>
      </c>
      <c r="G158">
        <v>39</v>
      </c>
      <c r="H158">
        <v>152</v>
      </c>
      <c r="I158">
        <v>130</v>
      </c>
      <c r="J158">
        <v>18</v>
      </c>
      <c r="K158">
        <v>28</v>
      </c>
      <c r="L158">
        <v>5</v>
      </c>
      <c r="M158">
        <v>27</v>
      </c>
      <c r="N158">
        <v>0</v>
      </c>
      <c r="O158">
        <v>0</v>
      </c>
      <c r="P158">
        <v>20</v>
      </c>
      <c r="Q158">
        <v>53</v>
      </c>
      <c r="R158">
        <v>0.215</v>
      </c>
      <c r="S158">
        <v>0.316</v>
      </c>
      <c r="T158">
        <v>0.39200000000000002</v>
      </c>
      <c r="U158">
        <v>0.70799999999999996</v>
      </c>
      <c r="V158">
        <v>21</v>
      </c>
    </row>
    <row r="159" spans="2:22" x14ac:dyDescent="0.3">
      <c r="B159" t="s">
        <v>471</v>
      </c>
      <c r="C159" t="s">
        <v>286</v>
      </c>
      <c r="D159" t="s">
        <v>1667</v>
      </c>
      <c r="E159" t="s">
        <v>1667</v>
      </c>
      <c r="F159">
        <v>-0.8</v>
      </c>
      <c r="G159">
        <v>41</v>
      </c>
      <c r="H159">
        <v>155</v>
      </c>
      <c r="I159">
        <v>138</v>
      </c>
      <c r="J159">
        <v>20</v>
      </c>
      <c r="K159">
        <v>35</v>
      </c>
      <c r="L159">
        <v>0</v>
      </c>
      <c r="M159">
        <v>21</v>
      </c>
      <c r="N159">
        <v>5</v>
      </c>
      <c r="O159">
        <v>0</v>
      </c>
      <c r="P159">
        <v>13</v>
      </c>
      <c r="Q159">
        <v>35</v>
      </c>
      <c r="R159">
        <v>0.254</v>
      </c>
      <c r="S159">
        <v>0.316</v>
      </c>
      <c r="T159">
        <v>0.34100000000000003</v>
      </c>
      <c r="U159">
        <v>0.65700000000000003</v>
      </c>
      <c r="V159">
        <v>69</v>
      </c>
    </row>
    <row r="160" spans="2:22" x14ac:dyDescent="0.3">
      <c r="B160" t="s">
        <v>432</v>
      </c>
      <c r="C160" t="s">
        <v>244</v>
      </c>
      <c r="D160" t="s">
        <v>1529</v>
      </c>
      <c r="E160" t="s">
        <v>1529</v>
      </c>
      <c r="F160">
        <v>-0.9</v>
      </c>
      <c r="G160">
        <v>47</v>
      </c>
      <c r="H160">
        <v>185</v>
      </c>
      <c r="I160">
        <v>156</v>
      </c>
      <c r="J160">
        <v>24</v>
      </c>
      <c r="K160">
        <v>39</v>
      </c>
      <c r="L160">
        <v>2</v>
      </c>
      <c r="M160">
        <v>20</v>
      </c>
      <c r="N160">
        <v>1</v>
      </c>
      <c r="O160">
        <v>0</v>
      </c>
      <c r="P160">
        <v>28</v>
      </c>
      <c r="Q160">
        <v>36</v>
      </c>
      <c r="R160">
        <v>0.25</v>
      </c>
      <c r="S160">
        <v>0.36799999999999999</v>
      </c>
      <c r="T160">
        <v>0.35299999999999998</v>
      </c>
      <c r="U160">
        <v>0.72099999999999997</v>
      </c>
      <c r="V160">
        <v>2</v>
      </c>
    </row>
    <row r="161" spans="2:22" x14ac:dyDescent="0.3">
      <c r="B161" t="s">
        <v>854</v>
      </c>
      <c r="C161" t="s">
        <v>243</v>
      </c>
      <c r="D161" t="s">
        <v>1655</v>
      </c>
      <c r="E161" t="s">
        <v>1655</v>
      </c>
      <c r="F161">
        <v>-0.9</v>
      </c>
      <c r="G161">
        <v>47</v>
      </c>
      <c r="H161">
        <v>197</v>
      </c>
      <c r="I161">
        <v>180</v>
      </c>
      <c r="J161">
        <v>25</v>
      </c>
      <c r="K161">
        <v>49</v>
      </c>
      <c r="L161">
        <v>0</v>
      </c>
      <c r="M161">
        <v>12</v>
      </c>
      <c r="N161">
        <v>5</v>
      </c>
      <c r="O161">
        <v>0</v>
      </c>
      <c r="P161">
        <v>15</v>
      </c>
      <c r="Q161">
        <v>30</v>
      </c>
      <c r="R161">
        <v>0.27200000000000002</v>
      </c>
      <c r="S161">
        <v>0.33</v>
      </c>
      <c r="T161">
        <v>0.35</v>
      </c>
      <c r="U161">
        <v>0.68</v>
      </c>
      <c r="V161">
        <v>88</v>
      </c>
    </row>
    <row r="162" spans="2:22" x14ac:dyDescent="0.3">
      <c r="B162" t="s">
        <v>295</v>
      </c>
      <c r="C162" t="s">
        <v>235</v>
      </c>
      <c r="D162" t="s">
        <v>1655</v>
      </c>
      <c r="E162" t="s">
        <v>1655</v>
      </c>
      <c r="F162">
        <v>-0.9</v>
      </c>
      <c r="G162">
        <v>48</v>
      </c>
      <c r="H162">
        <v>200</v>
      </c>
      <c r="I162">
        <v>177</v>
      </c>
      <c r="J162">
        <v>28</v>
      </c>
      <c r="K162">
        <v>40</v>
      </c>
      <c r="L162">
        <v>4</v>
      </c>
      <c r="M162">
        <v>17</v>
      </c>
      <c r="N162">
        <v>1</v>
      </c>
      <c r="O162">
        <v>0</v>
      </c>
      <c r="P162">
        <v>17</v>
      </c>
      <c r="Q162">
        <v>42</v>
      </c>
      <c r="R162">
        <v>0.22600000000000001</v>
      </c>
      <c r="S162">
        <v>0.3</v>
      </c>
      <c r="T162">
        <v>0.32200000000000001</v>
      </c>
      <c r="U162">
        <v>0.622</v>
      </c>
      <c r="V162">
        <v>98</v>
      </c>
    </row>
    <row r="163" spans="2:22" x14ac:dyDescent="0.3">
      <c r="B163" t="s">
        <v>883</v>
      </c>
      <c r="C163" t="s">
        <v>325</v>
      </c>
      <c r="D163" t="s">
        <v>1531</v>
      </c>
      <c r="E163" t="s">
        <v>1531</v>
      </c>
      <c r="F163">
        <v>-0.9</v>
      </c>
      <c r="G163">
        <v>43</v>
      </c>
      <c r="H163">
        <v>171</v>
      </c>
      <c r="I163">
        <v>154</v>
      </c>
      <c r="J163">
        <v>17</v>
      </c>
      <c r="K163">
        <v>32</v>
      </c>
      <c r="L163">
        <v>7</v>
      </c>
      <c r="M163">
        <v>21</v>
      </c>
      <c r="N163">
        <v>0</v>
      </c>
      <c r="O163">
        <v>1</v>
      </c>
      <c r="P163">
        <v>13</v>
      </c>
      <c r="Q163">
        <v>50</v>
      </c>
      <c r="R163">
        <v>0.20799999999999999</v>
      </c>
      <c r="S163">
        <v>0.28100000000000003</v>
      </c>
      <c r="T163">
        <v>0.39</v>
      </c>
      <c r="U163">
        <v>0.67100000000000004</v>
      </c>
      <c r="V163">
        <v>96</v>
      </c>
    </row>
    <row r="164" spans="2:22" x14ac:dyDescent="0.3">
      <c r="B164" t="s">
        <v>405</v>
      </c>
      <c r="C164" t="s">
        <v>1523</v>
      </c>
      <c r="D164" t="s">
        <v>1683</v>
      </c>
      <c r="E164" t="s">
        <v>1683</v>
      </c>
      <c r="F164">
        <v>-0.9</v>
      </c>
      <c r="G164">
        <v>45</v>
      </c>
      <c r="H164">
        <v>171</v>
      </c>
      <c r="I164">
        <v>152</v>
      </c>
      <c r="J164">
        <v>15</v>
      </c>
      <c r="K164">
        <v>36</v>
      </c>
      <c r="L164">
        <v>5</v>
      </c>
      <c r="M164">
        <v>16</v>
      </c>
      <c r="N164">
        <v>6</v>
      </c>
      <c r="O164">
        <v>1</v>
      </c>
      <c r="P164">
        <v>17</v>
      </c>
      <c r="Q164">
        <v>42</v>
      </c>
      <c r="R164">
        <v>0.23699999999999999</v>
      </c>
      <c r="S164">
        <v>0.316</v>
      </c>
      <c r="T164">
        <v>0.38200000000000001</v>
      </c>
      <c r="U164">
        <v>0.69799999999999995</v>
      </c>
      <c r="V164">
        <v>75</v>
      </c>
    </row>
    <row r="165" spans="2:22" x14ac:dyDescent="0.3">
      <c r="B165" t="s">
        <v>333</v>
      </c>
      <c r="C165" t="s">
        <v>222</v>
      </c>
      <c r="D165" t="s">
        <v>1666</v>
      </c>
      <c r="E165" t="s">
        <v>1666</v>
      </c>
      <c r="F165">
        <v>-0.9</v>
      </c>
      <c r="G165">
        <v>45</v>
      </c>
      <c r="H165">
        <v>182</v>
      </c>
      <c r="I165">
        <v>164</v>
      </c>
      <c r="J165">
        <v>20</v>
      </c>
      <c r="K165">
        <v>41</v>
      </c>
      <c r="L165">
        <v>5</v>
      </c>
      <c r="M165">
        <v>19</v>
      </c>
      <c r="N165">
        <v>0</v>
      </c>
      <c r="O165">
        <v>1</v>
      </c>
      <c r="P165">
        <v>15</v>
      </c>
      <c r="Q165">
        <v>49</v>
      </c>
      <c r="R165">
        <v>0.25</v>
      </c>
      <c r="S165">
        <v>0.31900000000000001</v>
      </c>
      <c r="T165">
        <v>0.40200000000000002</v>
      </c>
      <c r="U165">
        <v>0.72099999999999997</v>
      </c>
      <c r="V165">
        <v>97</v>
      </c>
    </row>
    <row r="166" spans="2:22" x14ac:dyDescent="0.3">
      <c r="B166" t="s">
        <v>942</v>
      </c>
      <c r="C166" t="s">
        <v>226</v>
      </c>
      <c r="D166" t="s">
        <v>1717</v>
      </c>
      <c r="E166" t="s">
        <v>1717</v>
      </c>
      <c r="F166">
        <v>-1.1000000000000001</v>
      </c>
      <c r="G166">
        <v>37</v>
      </c>
      <c r="H166">
        <v>125</v>
      </c>
      <c r="I166">
        <v>115</v>
      </c>
      <c r="J166">
        <v>17</v>
      </c>
      <c r="K166">
        <v>22</v>
      </c>
      <c r="L166">
        <v>7</v>
      </c>
      <c r="M166">
        <v>18</v>
      </c>
      <c r="N166">
        <v>4</v>
      </c>
      <c r="O166">
        <v>0</v>
      </c>
      <c r="P166">
        <v>7</v>
      </c>
      <c r="Q166">
        <v>46</v>
      </c>
      <c r="R166">
        <v>0.191</v>
      </c>
      <c r="S166">
        <v>0.248</v>
      </c>
      <c r="T166">
        <v>0.435</v>
      </c>
      <c r="U166">
        <v>0.68300000000000005</v>
      </c>
      <c r="V166">
        <v>34</v>
      </c>
    </row>
    <row r="167" spans="2:22" x14ac:dyDescent="0.3">
      <c r="B167" t="s">
        <v>910</v>
      </c>
      <c r="C167" t="s">
        <v>339</v>
      </c>
      <c r="D167" t="s">
        <v>1665</v>
      </c>
      <c r="E167" t="s">
        <v>1665</v>
      </c>
      <c r="F167">
        <v>-1.3</v>
      </c>
      <c r="G167">
        <v>50</v>
      </c>
      <c r="H167">
        <v>203</v>
      </c>
      <c r="I167">
        <v>178</v>
      </c>
      <c r="J167">
        <v>19</v>
      </c>
      <c r="K167">
        <v>50</v>
      </c>
      <c r="L167">
        <v>2</v>
      </c>
      <c r="M167">
        <v>16</v>
      </c>
      <c r="N167">
        <v>2</v>
      </c>
      <c r="O167">
        <v>0</v>
      </c>
      <c r="P167">
        <v>18</v>
      </c>
      <c r="Q167">
        <v>20</v>
      </c>
      <c r="R167">
        <v>0.28100000000000003</v>
      </c>
      <c r="S167">
        <v>0.36</v>
      </c>
      <c r="T167">
        <v>0.36</v>
      </c>
      <c r="U167">
        <v>0.72</v>
      </c>
      <c r="V167">
        <v>99</v>
      </c>
    </row>
    <row r="168" spans="2:22" x14ac:dyDescent="0.3">
      <c r="B168" t="s">
        <v>1720</v>
      </c>
      <c r="C168" t="s">
        <v>231</v>
      </c>
      <c r="D168" t="s">
        <v>80</v>
      </c>
      <c r="E168" t="s">
        <v>80</v>
      </c>
      <c r="F168">
        <v>-1.4</v>
      </c>
      <c r="G168">
        <v>48</v>
      </c>
      <c r="H168">
        <v>197</v>
      </c>
      <c r="I168">
        <v>181</v>
      </c>
      <c r="J168">
        <v>25</v>
      </c>
      <c r="K168">
        <v>42</v>
      </c>
      <c r="L168">
        <v>1</v>
      </c>
      <c r="M168">
        <v>16</v>
      </c>
      <c r="N168">
        <v>6</v>
      </c>
      <c r="O168">
        <v>1</v>
      </c>
      <c r="P168">
        <v>15</v>
      </c>
      <c r="Q168">
        <v>28</v>
      </c>
      <c r="R168">
        <v>0.23200000000000001</v>
      </c>
      <c r="S168">
        <v>0.28899999999999998</v>
      </c>
      <c r="T168">
        <v>0.34799999999999998</v>
      </c>
      <c r="U168">
        <v>0.63700000000000001</v>
      </c>
      <c r="V168">
        <v>99</v>
      </c>
    </row>
    <row r="169" spans="2:22" x14ac:dyDescent="0.3">
      <c r="B169" t="s">
        <v>867</v>
      </c>
      <c r="C169" t="s">
        <v>286</v>
      </c>
      <c r="D169" t="s">
        <v>1531</v>
      </c>
      <c r="E169" t="s">
        <v>1531</v>
      </c>
      <c r="F169">
        <v>-1.4</v>
      </c>
      <c r="G169">
        <v>38</v>
      </c>
      <c r="H169">
        <v>135</v>
      </c>
      <c r="I169">
        <v>125</v>
      </c>
      <c r="J169">
        <v>9</v>
      </c>
      <c r="K169">
        <v>38</v>
      </c>
      <c r="L169">
        <v>2</v>
      </c>
      <c r="M169">
        <v>19</v>
      </c>
      <c r="N169">
        <v>2</v>
      </c>
      <c r="O169">
        <v>0</v>
      </c>
      <c r="P169">
        <v>8</v>
      </c>
      <c r="Q169">
        <v>28</v>
      </c>
      <c r="R169">
        <v>0.30399999999999999</v>
      </c>
      <c r="S169">
        <v>0.34100000000000003</v>
      </c>
      <c r="T169">
        <v>0.4</v>
      </c>
      <c r="U169">
        <v>0.74099999999999999</v>
      </c>
      <c r="V169">
        <v>100</v>
      </c>
    </row>
    <row r="170" spans="2:22" x14ac:dyDescent="0.3">
      <c r="B170" t="s">
        <v>644</v>
      </c>
      <c r="C170" t="s">
        <v>274</v>
      </c>
      <c r="D170" t="s">
        <v>1655</v>
      </c>
      <c r="E170" t="s">
        <v>1655</v>
      </c>
      <c r="F170">
        <v>-1.5</v>
      </c>
      <c r="G170">
        <v>44</v>
      </c>
      <c r="H170">
        <v>132</v>
      </c>
      <c r="I170">
        <v>124</v>
      </c>
      <c r="J170">
        <v>16</v>
      </c>
      <c r="K170">
        <v>26</v>
      </c>
      <c r="L170">
        <v>6</v>
      </c>
      <c r="M170">
        <v>15</v>
      </c>
      <c r="N170">
        <v>6</v>
      </c>
      <c r="O170">
        <v>0</v>
      </c>
      <c r="P170">
        <v>6</v>
      </c>
      <c r="Q170">
        <v>48</v>
      </c>
      <c r="R170">
        <v>0.21</v>
      </c>
      <c r="S170">
        <v>0.25800000000000001</v>
      </c>
      <c r="T170">
        <v>0.38700000000000001</v>
      </c>
      <c r="U170">
        <v>0.64500000000000002</v>
      </c>
      <c r="V170">
        <v>1</v>
      </c>
    </row>
    <row r="171" spans="2:22" x14ac:dyDescent="0.3">
      <c r="B171" t="s">
        <v>441</v>
      </c>
      <c r="C171" t="s">
        <v>266</v>
      </c>
      <c r="D171" t="s">
        <v>1527</v>
      </c>
      <c r="E171" t="s">
        <v>1527</v>
      </c>
      <c r="F171">
        <v>-1.5</v>
      </c>
      <c r="G171">
        <v>36</v>
      </c>
      <c r="H171">
        <v>148</v>
      </c>
      <c r="I171">
        <v>136</v>
      </c>
      <c r="J171">
        <v>19</v>
      </c>
      <c r="K171">
        <v>31</v>
      </c>
      <c r="L171">
        <v>6</v>
      </c>
      <c r="M171">
        <v>20</v>
      </c>
      <c r="N171">
        <v>0</v>
      </c>
      <c r="O171">
        <v>0</v>
      </c>
      <c r="P171">
        <v>10</v>
      </c>
      <c r="Q171">
        <v>35</v>
      </c>
      <c r="R171">
        <v>0.22800000000000001</v>
      </c>
      <c r="S171">
        <v>0.27700000000000002</v>
      </c>
      <c r="T171">
        <v>0.42599999999999999</v>
      </c>
      <c r="U171">
        <v>0.70299999999999996</v>
      </c>
      <c r="V171">
        <v>98</v>
      </c>
    </row>
    <row r="172" spans="2:22" x14ac:dyDescent="0.3">
      <c r="B172" t="s">
        <v>3127</v>
      </c>
      <c r="C172" t="s">
        <v>266</v>
      </c>
      <c r="D172" t="s">
        <v>1655</v>
      </c>
      <c r="E172" t="s">
        <v>1655</v>
      </c>
      <c r="F172">
        <v>-1.8</v>
      </c>
      <c r="G172">
        <v>24</v>
      </c>
      <c r="H172">
        <v>75</v>
      </c>
      <c r="I172">
        <v>71</v>
      </c>
      <c r="J172">
        <v>14</v>
      </c>
      <c r="K172">
        <v>17</v>
      </c>
      <c r="L172">
        <v>4</v>
      </c>
      <c r="M172">
        <v>13</v>
      </c>
      <c r="N172">
        <v>7</v>
      </c>
      <c r="O172">
        <v>0</v>
      </c>
      <c r="P172">
        <v>4</v>
      </c>
      <c r="Q172">
        <v>27</v>
      </c>
      <c r="R172">
        <v>0.23899999999999999</v>
      </c>
      <c r="S172">
        <v>0.28000000000000003</v>
      </c>
      <c r="T172">
        <v>0.47899999999999998</v>
      </c>
      <c r="U172">
        <v>0.75900000000000001</v>
      </c>
      <c r="V172">
        <v>78</v>
      </c>
    </row>
    <row r="173" spans="2:22" x14ac:dyDescent="0.3">
      <c r="B173" t="s">
        <v>1696</v>
      </c>
      <c r="C173" t="s">
        <v>221</v>
      </c>
      <c r="D173" t="s">
        <v>1687</v>
      </c>
      <c r="E173" t="s">
        <v>1662</v>
      </c>
      <c r="F173">
        <v>-1.9</v>
      </c>
      <c r="G173">
        <v>45</v>
      </c>
      <c r="H173">
        <v>178</v>
      </c>
      <c r="I173">
        <v>161</v>
      </c>
      <c r="J173">
        <v>24</v>
      </c>
      <c r="K173">
        <v>38</v>
      </c>
      <c r="L173">
        <v>3</v>
      </c>
      <c r="M173">
        <v>17</v>
      </c>
      <c r="N173">
        <v>2</v>
      </c>
      <c r="O173">
        <v>0</v>
      </c>
      <c r="P173">
        <v>13</v>
      </c>
      <c r="Q173">
        <v>36</v>
      </c>
      <c r="R173">
        <v>0.23599999999999999</v>
      </c>
      <c r="S173">
        <v>0.29799999999999999</v>
      </c>
      <c r="T173">
        <v>0.34799999999999998</v>
      </c>
      <c r="U173">
        <v>0.64600000000000002</v>
      </c>
      <c r="V173">
        <v>24</v>
      </c>
    </row>
    <row r="174" spans="2:22" x14ac:dyDescent="0.3">
      <c r="B174" t="s">
        <v>878</v>
      </c>
      <c r="C174" t="s">
        <v>1523</v>
      </c>
      <c r="D174" t="s">
        <v>80</v>
      </c>
      <c r="E174" t="s">
        <v>80</v>
      </c>
      <c r="F174">
        <v>-2.1</v>
      </c>
      <c r="G174">
        <v>40</v>
      </c>
      <c r="H174">
        <v>170</v>
      </c>
      <c r="I174">
        <v>156</v>
      </c>
      <c r="J174">
        <v>18</v>
      </c>
      <c r="K174">
        <v>36</v>
      </c>
      <c r="L174">
        <v>5</v>
      </c>
      <c r="M174">
        <v>19</v>
      </c>
      <c r="N174">
        <v>2</v>
      </c>
      <c r="O174">
        <v>0</v>
      </c>
      <c r="P174">
        <v>11</v>
      </c>
      <c r="Q174">
        <v>35</v>
      </c>
      <c r="R174">
        <v>0.23100000000000001</v>
      </c>
      <c r="S174">
        <v>0.28199999999999997</v>
      </c>
      <c r="T174">
        <v>0.372</v>
      </c>
      <c r="U174">
        <v>0.65400000000000003</v>
      </c>
      <c r="V174">
        <v>100</v>
      </c>
    </row>
    <row r="175" spans="2:22" x14ac:dyDescent="0.3">
      <c r="B175" t="s">
        <v>3160</v>
      </c>
      <c r="C175" t="s">
        <v>222</v>
      </c>
      <c r="D175" t="s">
        <v>1655</v>
      </c>
      <c r="E175" t="s">
        <v>1655</v>
      </c>
      <c r="F175">
        <v>-2.1</v>
      </c>
      <c r="G175">
        <v>21</v>
      </c>
      <c r="H175">
        <v>77</v>
      </c>
      <c r="I175">
        <v>73</v>
      </c>
      <c r="J175">
        <v>11</v>
      </c>
      <c r="K175">
        <v>20</v>
      </c>
      <c r="L175">
        <v>5</v>
      </c>
      <c r="M175">
        <v>17</v>
      </c>
      <c r="N175">
        <v>3</v>
      </c>
      <c r="O175">
        <v>0</v>
      </c>
      <c r="P175">
        <v>2</v>
      </c>
      <c r="Q175">
        <v>8</v>
      </c>
      <c r="R175">
        <v>0.27400000000000002</v>
      </c>
      <c r="S175">
        <v>0.29899999999999999</v>
      </c>
      <c r="T175">
        <v>0.53400000000000003</v>
      </c>
      <c r="U175">
        <v>0.83299999999999996</v>
      </c>
      <c r="V175">
        <v>100</v>
      </c>
    </row>
    <row r="176" spans="2:22" x14ac:dyDescent="0.3">
      <c r="B176" t="s">
        <v>371</v>
      </c>
      <c r="C176" t="s">
        <v>325</v>
      </c>
      <c r="D176" t="s">
        <v>1527</v>
      </c>
      <c r="E176" t="s">
        <v>1527</v>
      </c>
      <c r="F176">
        <v>-2.1</v>
      </c>
      <c r="G176">
        <v>46</v>
      </c>
      <c r="H176">
        <v>157</v>
      </c>
      <c r="I176">
        <v>121</v>
      </c>
      <c r="J176">
        <v>24</v>
      </c>
      <c r="K176">
        <v>27</v>
      </c>
      <c r="L176">
        <v>4</v>
      </c>
      <c r="M176">
        <v>15</v>
      </c>
      <c r="N176">
        <v>2</v>
      </c>
      <c r="O176">
        <v>0</v>
      </c>
      <c r="P176">
        <v>32</v>
      </c>
      <c r="Q176">
        <v>50</v>
      </c>
      <c r="R176">
        <v>0.223</v>
      </c>
      <c r="S176">
        <v>0.39500000000000002</v>
      </c>
      <c r="T176">
        <v>0.41299999999999998</v>
      </c>
      <c r="U176">
        <v>0.80800000000000005</v>
      </c>
      <c r="V176">
        <v>4</v>
      </c>
    </row>
    <row r="177" spans="2:22" x14ac:dyDescent="0.3">
      <c r="B177" t="s">
        <v>396</v>
      </c>
      <c r="C177" t="s">
        <v>255</v>
      </c>
      <c r="D177" t="s">
        <v>1680</v>
      </c>
      <c r="E177" t="s">
        <v>1681</v>
      </c>
      <c r="F177">
        <v>-2.2000000000000002</v>
      </c>
      <c r="G177">
        <v>45</v>
      </c>
      <c r="H177">
        <v>163</v>
      </c>
      <c r="I177">
        <v>143</v>
      </c>
      <c r="J177">
        <v>21</v>
      </c>
      <c r="K177">
        <v>36</v>
      </c>
      <c r="L177">
        <v>4</v>
      </c>
      <c r="M177">
        <v>12</v>
      </c>
      <c r="N177">
        <v>3</v>
      </c>
      <c r="O177">
        <v>0</v>
      </c>
      <c r="P177">
        <v>17</v>
      </c>
      <c r="Q177">
        <v>27</v>
      </c>
      <c r="R177">
        <v>0.252</v>
      </c>
      <c r="S177">
        <v>0.33700000000000002</v>
      </c>
      <c r="T177">
        <v>0.36399999999999999</v>
      </c>
      <c r="U177">
        <v>0.70099999999999996</v>
      </c>
      <c r="V177">
        <v>59</v>
      </c>
    </row>
    <row r="178" spans="2:22" x14ac:dyDescent="0.3">
      <c r="B178" t="s">
        <v>505</v>
      </c>
      <c r="C178" t="s">
        <v>266</v>
      </c>
      <c r="D178" t="s">
        <v>1667</v>
      </c>
      <c r="E178" t="s">
        <v>1667</v>
      </c>
      <c r="F178">
        <v>-2.2999999999999998</v>
      </c>
      <c r="G178">
        <v>48</v>
      </c>
      <c r="H178">
        <v>190</v>
      </c>
      <c r="I178">
        <v>170</v>
      </c>
      <c r="J178">
        <v>21</v>
      </c>
      <c r="K178">
        <v>36</v>
      </c>
      <c r="L178">
        <v>4</v>
      </c>
      <c r="M178">
        <v>19</v>
      </c>
      <c r="N178">
        <v>4</v>
      </c>
      <c r="O178">
        <v>2</v>
      </c>
      <c r="P178">
        <v>19</v>
      </c>
      <c r="Q178">
        <v>62</v>
      </c>
      <c r="R178">
        <v>0.21199999999999999</v>
      </c>
      <c r="S178">
        <v>0.28899999999999998</v>
      </c>
      <c r="T178">
        <v>0.371</v>
      </c>
      <c r="U178">
        <v>0.66</v>
      </c>
      <c r="V178">
        <v>100</v>
      </c>
    </row>
    <row r="179" spans="2:22" x14ac:dyDescent="0.3">
      <c r="B179" t="s">
        <v>689</v>
      </c>
      <c r="C179" t="s">
        <v>346</v>
      </c>
      <c r="D179" t="s">
        <v>1680</v>
      </c>
      <c r="E179" t="s">
        <v>1717</v>
      </c>
      <c r="F179">
        <v>-2.5</v>
      </c>
      <c r="G179">
        <v>40</v>
      </c>
      <c r="H179">
        <v>129</v>
      </c>
      <c r="I179">
        <v>110</v>
      </c>
      <c r="J179">
        <v>18</v>
      </c>
      <c r="K179">
        <v>30</v>
      </c>
      <c r="L179">
        <v>3</v>
      </c>
      <c r="M179">
        <v>8</v>
      </c>
      <c r="N179">
        <v>6</v>
      </c>
      <c r="O179">
        <v>0</v>
      </c>
      <c r="P179">
        <v>17</v>
      </c>
      <c r="Q179">
        <v>24</v>
      </c>
      <c r="R179">
        <v>0.27300000000000002</v>
      </c>
      <c r="S179">
        <v>0.372</v>
      </c>
      <c r="T179">
        <v>0.4</v>
      </c>
      <c r="U179">
        <v>0.77200000000000002</v>
      </c>
      <c r="V179">
        <v>23</v>
      </c>
    </row>
    <row r="180" spans="2:22" x14ac:dyDescent="0.3">
      <c r="B180" t="s">
        <v>484</v>
      </c>
      <c r="C180" t="s">
        <v>1521</v>
      </c>
      <c r="D180" t="s">
        <v>1674</v>
      </c>
      <c r="E180" t="s">
        <v>1674</v>
      </c>
      <c r="F180">
        <v>-2.5</v>
      </c>
      <c r="G180">
        <v>34</v>
      </c>
      <c r="H180">
        <v>113</v>
      </c>
      <c r="I180">
        <v>102</v>
      </c>
      <c r="J180">
        <v>11</v>
      </c>
      <c r="K180">
        <v>28</v>
      </c>
      <c r="L180">
        <v>5</v>
      </c>
      <c r="M180">
        <v>13</v>
      </c>
      <c r="N180">
        <v>2</v>
      </c>
      <c r="O180">
        <v>0</v>
      </c>
      <c r="P180">
        <v>9</v>
      </c>
      <c r="Q180">
        <v>40</v>
      </c>
      <c r="R180">
        <v>0.27500000000000002</v>
      </c>
      <c r="S180">
        <v>0.34499999999999997</v>
      </c>
      <c r="T180">
        <v>0.47099999999999997</v>
      </c>
      <c r="U180">
        <v>0.81599999999999995</v>
      </c>
      <c r="V180">
        <v>68</v>
      </c>
    </row>
    <row r="181" spans="2:22" x14ac:dyDescent="0.3">
      <c r="B181" t="s">
        <v>576</v>
      </c>
      <c r="C181" t="s">
        <v>270</v>
      </c>
      <c r="D181" t="s">
        <v>1531</v>
      </c>
      <c r="E181" t="s">
        <v>1531</v>
      </c>
      <c r="F181">
        <v>-2.6</v>
      </c>
      <c r="G181">
        <v>47</v>
      </c>
      <c r="H181">
        <v>189</v>
      </c>
      <c r="I181">
        <v>166</v>
      </c>
      <c r="J181">
        <v>20</v>
      </c>
      <c r="K181">
        <v>41</v>
      </c>
      <c r="L181">
        <v>2</v>
      </c>
      <c r="M181">
        <v>19</v>
      </c>
      <c r="N181">
        <v>0</v>
      </c>
      <c r="O181">
        <v>0</v>
      </c>
      <c r="P181">
        <v>20</v>
      </c>
      <c r="Q181">
        <v>52</v>
      </c>
      <c r="R181">
        <v>0.247</v>
      </c>
      <c r="S181">
        <v>0.33900000000000002</v>
      </c>
      <c r="T181">
        <v>0.33100000000000002</v>
      </c>
      <c r="U181">
        <v>0.67</v>
      </c>
      <c r="V181">
        <v>100</v>
      </c>
    </row>
    <row r="182" spans="2:22" x14ac:dyDescent="0.3">
      <c r="B182" t="s">
        <v>1658</v>
      </c>
      <c r="C182" t="s">
        <v>251</v>
      </c>
      <c r="D182" t="s">
        <v>79</v>
      </c>
      <c r="E182" t="s">
        <v>1659</v>
      </c>
      <c r="F182">
        <v>-2.6</v>
      </c>
      <c r="G182">
        <v>46</v>
      </c>
      <c r="H182">
        <v>181</v>
      </c>
      <c r="I182">
        <v>165</v>
      </c>
      <c r="J182">
        <v>22</v>
      </c>
      <c r="K182">
        <v>39</v>
      </c>
      <c r="L182">
        <v>3</v>
      </c>
      <c r="M182">
        <v>9</v>
      </c>
      <c r="N182">
        <v>7</v>
      </c>
      <c r="O182">
        <v>0</v>
      </c>
      <c r="P182">
        <v>8</v>
      </c>
      <c r="Q182">
        <v>31</v>
      </c>
      <c r="R182">
        <v>0.23599999999999999</v>
      </c>
      <c r="S182">
        <v>0.30399999999999999</v>
      </c>
      <c r="T182">
        <v>0.34499999999999997</v>
      </c>
      <c r="U182">
        <v>0.64900000000000002</v>
      </c>
      <c r="V182">
        <v>98</v>
      </c>
    </row>
    <row r="183" spans="2:22" x14ac:dyDescent="0.3">
      <c r="B183" t="s">
        <v>527</v>
      </c>
      <c r="C183" t="s">
        <v>224</v>
      </c>
      <c r="D183" t="s">
        <v>1655</v>
      </c>
      <c r="E183" t="s">
        <v>1655</v>
      </c>
      <c r="F183">
        <v>-2.7</v>
      </c>
      <c r="G183">
        <v>34</v>
      </c>
      <c r="H183">
        <v>126</v>
      </c>
      <c r="I183">
        <v>122</v>
      </c>
      <c r="J183">
        <v>16</v>
      </c>
      <c r="K183">
        <v>32</v>
      </c>
      <c r="L183">
        <v>3</v>
      </c>
      <c r="M183">
        <v>13</v>
      </c>
      <c r="N183">
        <v>5</v>
      </c>
      <c r="O183">
        <v>0</v>
      </c>
      <c r="P183">
        <v>3</v>
      </c>
      <c r="Q183">
        <v>37</v>
      </c>
      <c r="R183">
        <v>0.26200000000000001</v>
      </c>
      <c r="S183">
        <v>0.27800000000000002</v>
      </c>
      <c r="T183">
        <v>0.38500000000000001</v>
      </c>
      <c r="U183">
        <v>0.66300000000000003</v>
      </c>
      <c r="V183">
        <v>2</v>
      </c>
    </row>
    <row r="184" spans="2:22" x14ac:dyDescent="0.3">
      <c r="B184" t="s">
        <v>365</v>
      </c>
      <c r="C184" t="s">
        <v>243</v>
      </c>
      <c r="D184" t="s">
        <v>1531</v>
      </c>
      <c r="E184" t="s">
        <v>1531</v>
      </c>
      <c r="F184">
        <v>-3.2</v>
      </c>
      <c r="G184">
        <v>41</v>
      </c>
      <c r="H184">
        <v>150</v>
      </c>
      <c r="I184">
        <v>136</v>
      </c>
      <c r="J184">
        <v>14</v>
      </c>
      <c r="K184">
        <v>38</v>
      </c>
      <c r="L184">
        <v>4</v>
      </c>
      <c r="M184">
        <v>13</v>
      </c>
      <c r="N184">
        <v>0</v>
      </c>
      <c r="O184">
        <v>0</v>
      </c>
      <c r="P184">
        <v>12</v>
      </c>
      <c r="Q184">
        <v>31</v>
      </c>
      <c r="R184">
        <v>0.27900000000000003</v>
      </c>
      <c r="S184">
        <v>0.34699999999999998</v>
      </c>
      <c r="T184">
        <v>0.434</v>
      </c>
      <c r="U184">
        <v>0.78100000000000003</v>
      </c>
      <c r="V184">
        <v>91</v>
      </c>
    </row>
    <row r="185" spans="2:22" x14ac:dyDescent="0.3">
      <c r="B185" t="s">
        <v>283</v>
      </c>
      <c r="C185" t="s">
        <v>250</v>
      </c>
      <c r="D185" t="s">
        <v>1659</v>
      </c>
      <c r="E185" t="s">
        <v>1662</v>
      </c>
      <c r="F185">
        <v>-3.3</v>
      </c>
      <c r="G185">
        <v>28</v>
      </c>
      <c r="H185">
        <v>105</v>
      </c>
      <c r="I185">
        <v>96</v>
      </c>
      <c r="J185">
        <v>15</v>
      </c>
      <c r="K185">
        <v>30</v>
      </c>
      <c r="L185">
        <v>4</v>
      </c>
      <c r="M185">
        <v>13</v>
      </c>
      <c r="N185">
        <v>0</v>
      </c>
      <c r="O185">
        <v>0</v>
      </c>
      <c r="P185">
        <v>8</v>
      </c>
      <c r="Q185">
        <v>19</v>
      </c>
      <c r="R185">
        <v>0.312</v>
      </c>
      <c r="S185">
        <v>0.371</v>
      </c>
      <c r="T185">
        <v>0.51</v>
      </c>
      <c r="U185">
        <v>0.88100000000000001</v>
      </c>
      <c r="V185">
        <v>76</v>
      </c>
    </row>
    <row r="186" spans="2:22" x14ac:dyDescent="0.3">
      <c r="B186" t="s">
        <v>345</v>
      </c>
      <c r="C186" t="s">
        <v>346</v>
      </c>
      <c r="D186" t="s">
        <v>1655</v>
      </c>
      <c r="E186" t="s">
        <v>1660</v>
      </c>
      <c r="F186">
        <v>-3.3</v>
      </c>
      <c r="G186">
        <v>42</v>
      </c>
      <c r="H186">
        <v>161</v>
      </c>
      <c r="I186">
        <v>150</v>
      </c>
      <c r="J186">
        <v>14</v>
      </c>
      <c r="K186">
        <v>38</v>
      </c>
      <c r="L186">
        <v>4</v>
      </c>
      <c r="M186">
        <v>15</v>
      </c>
      <c r="N186">
        <v>4</v>
      </c>
      <c r="O186">
        <v>0</v>
      </c>
      <c r="P186">
        <v>9</v>
      </c>
      <c r="Q186">
        <v>34</v>
      </c>
      <c r="R186">
        <v>0.253</v>
      </c>
      <c r="S186">
        <v>0.30399999999999999</v>
      </c>
      <c r="T186">
        <v>0.373</v>
      </c>
      <c r="U186">
        <v>0.67700000000000005</v>
      </c>
      <c r="V186">
        <v>4</v>
      </c>
    </row>
    <row r="187" spans="2:22" x14ac:dyDescent="0.3">
      <c r="B187" t="s">
        <v>957</v>
      </c>
      <c r="C187" t="s">
        <v>231</v>
      </c>
      <c r="D187" t="s">
        <v>1683</v>
      </c>
      <c r="E187" t="s">
        <v>1683</v>
      </c>
      <c r="F187">
        <v>-3.4</v>
      </c>
      <c r="G187">
        <v>44</v>
      </c>
      <c r="H187">
        <v>134</v>
      </c>
      <c r="I187">
        <v>114</v>
      </c>
      <c r="J187">
        <v>14</v>
      </c>
      <c r="K187">
        <v>30</v>
      </c>
      <c r="L187">
        <v>5</v>
      </c>
      <c r="M187">
        <v>16</v>
      </c>
      <c r="N187">
        <v>1</v>
      </c>
      <c r="O187">
        <v>1</v>
      </c>
      <c r="P187">
        <v>15</v>
      </c>
      <c r="Q187">
        <v>33</v>
      </c>
      <c r="R187">
        <v>0.26300000000000001</v>
      </c>
      <c r="S187">
        <v>0.36599999999999999</v>
      </c>
      <c r="T187">
        <v>0.439</v>
      </c>
      <c r="U187">
        <v>0.80500000000000005</v>
      </c>
      <c r="V187">
        <v>20</v>
      </c>
    </row>
    <row r="188" spans="2:22" x14ac:dyDescent="0.3">
      <c r="B188" t="s">
        <v>354</v>
      </c>
      <c r="C188" t="s">
        <v>1521</v>
      </c>
      <c r="D188" t="s">
        <v>1655</v>
      </c>
      <c r="E188" t="s">
        <v>1655</v>
      </c>
      <c r="F188">
        <v>-3.5</v>
      </c>
      <c r="G188">
        <v>32</v>
      </c>
      <c r="H188">
        <v>129</v>
      </c>
      <c r="I188">
        <v>119</v>
      </c>
      <c r="J188">
        <v>19</v>
      </c>
      <c r="K188">
        <v>30</v>
      </c>
      <c r="L188">
        <v>5</v>
      </c>
      <c r="M188">
        <v>14</v>
      </c>
      <c r="N188">
        <v>0</v>
      </c>
      <c r="O188">
        <v>1</v>
      </c>
      <c r="P188">
        <v>9</v>
      </c>
      <c r="Q188">
        <v>35</v>
      </c>
      <c r="R188">
        <v>0.252</v>
      </c>
      <c r="S188">
        <v>0.31</v>
      </c>
      <c r="T188">
        <v>0.44500000000000001</v>
      </c>
      <c r="U188">
        <v>0.755</v>
      </c>
      <c r="V188">
        <v>27</v>
      </c>
    </row>
    <row r="189" spans="2:22" x14ac:dyDescent="0.3">
      <c r="B189" t="s">
        <v>732</v>
      </c>
      <c r="C189" t="s">
        <v>1520</v>
      </c>
      <c r="D189" t="s">
        <v>1674</v>
      </c>
      <c r="E189" t="s">
        <v>1674</v>
      </c>
      <c r="F189">
        <v>-3.6</v>
      </c>
      <c r="G189">
        <v>46</v>
      </c>
      <c r="H189">
        <v>190</v>
      </c>
      <c r="I189">
        <v>169</v>
      </c>
      <c r="J189">
        <v>20</v>
      </c>
      <c r="K189">
        <v>35</v>
      </c>
      <c r="L189">
        <v>4</v>
      </c>
      <c r="M189">
        <v>21</v>
      </c>
      <c r="N189">
        <v>0</v>
      </c>
      <c r="O189">
        <v>1</v>
      </c>
      <c r="P189">
        <v>18</v>
      </c>
      <c r="Q189">
        <v>62</v>
      </c>
      <c r="R189">
        <v>0.20699999999999999</v>
      </c>
      <c r="S189">
        <v>0.28399999999999997</v>
      </c>
      <c r="T189">
        <v>0.34899999999999998</v>
      </c>
      <c r="U189">
        <v>0.63300000000000001</v>
      </c>
      <c r="V189">
        <v>100</v>
      </c>
    </row>
    <row r="190" spans="2:22" x14ac:dyDescent="0.3">
      <c r="B190" t="s">
        <v>2210</v>
      </c>
      <c r="C190" t="s">
        <v>235</v>
      </c>
      <c r="D190" t="s">
        <v>1529</v>
      </c>
      <c r="E190" t="s">
        <v>1529</v>
      </c>
      <c r="F190">
        <v>-3.6</v>
      </c>
      <c r="G190">
        <v>36</v>
      </c>
      <c r="H190">
        <v>138</v>
      </c>
      <c r="I190">
        <v>124</v>
      </c>
      <c r="J190">
        <v>15</v>
      </c>
      <c r="K190">
        <v>33</v>
      </c>
      <c r="L190">
        <v>3</v>
      </c>
      <c r="M190">
        <v>17</v>
      </c>
      <c r="N190">
        <v>2</v>
      </c>
      <c r="O190">
        <v>0</v>
      </c>
      <c r="P190">
        <v>5</v>
      </c>
      <c r="Q190">
        <v>25</v>
      </c>
      <c r="R190">
        <v>0.26600000000000001</v>
      </c>
      <c r="S190">
        <v>0.33300000000000002</v>
      </c>
      <c r="T190">
        <v>0.41099999999999998</v>
      </c>
      <c r="U190">
        <v>0.74399999999999999</v>
      </c>
      <c r="V190">
        <v>62</v>
      </c>
    </row>
    <row r="191" spans="2:22" x14ac:dyDescent="0.3">
      <c r="B191" t="s">
        <v>220</v>
      </c>
      <c r="C191" t="s">
        <v>221</v>
      </c>
      <c r="D191" t="s">
        <v>1655</v>
      </c>
      <c r="E191" t="s">
        <v>1655</v>
      </c>
      <c r="F191">
        <v>-3.7</v>
      </c>
      <c r="G191">
        <v>8</v>
      </c>
      <c r="H191">
        <v>37</v>
      </c>
      <c r="I191">
        <v>33</v>
      </c>
      <c r="J191">
        <v>11</v>
      </c>
      <c r="K191">
        <v>15</v>
      </c>
      <c r="L191">
        <v>4</v>
      </c>
      <c r="M191">
        <v>14</v>
      </c>
      <c r="N191">
        <v>0</v>
      </c>
      <c r="O191">
        <v>0</v>
      </c>
      <c r="P191">
        <v>3</v>
      </c>
      <c r="Q191">
        <v>5</v>
      </c>
      <c r="R191">
        <v>0.45500000000000002</v>
      </c>
      <c r="S191">
        <v>0.51400000000000001</v>
      </c>
      <c r="T191">
        <v>0.999</v>
      </c>
      <c r="U191">
        <v>1.544</v>
      </c>
      <c r="V191">
        <v>40</v>
      </c>
    </row>
    <row r="192" spans="2:22" x14ac:dyDescent="0.3">
      <c r="B192" t="s">
        <v>974</v>
      </c>
      <c r="C192" t="s">
        <v>251</v>
      </c>
      <c r="D192" t="s">
        <v>1529</v>
      </c>
      <c r="E192" t="s">
        <v>1687</v>
      </c>
      <c r="F192">
        <v>-3.7</v>
      </c>
      <c r="G192">
        <v>43</v>
      </c>
      <c r="H192">
        <v>189</v>
      </c>
      <c r="I192">
        <v>177</v>
      </c>
      <c r="J192">
        <v>22</v>
      </c>
      <c r="K192">
        <v>42</v>
      </c>
      <c r="L192">
        <v>1</v>
      </c>
      <c r="M192">
        <v>10</v>
      </c>
      <c r="N192">
        <v>8</v>
      </c>
      <c r="O192">
        <v>0</v>
      </c>
      <c r="P192">
        <v>9</v>
      </c>
      <c r="Q192">
        <v>48</v>
      </c>
      <c r="R192">
        <v>0.23699999999999999</v>
      </c>
      <c r="S192">
        <v>0.27500000000000002</v>
      </c>
      <c r="T192">
        <v>0.32800000000000001</v>
      </c>
      <c r="U192">
        <v>0.60299999999999998</v>
      </c>
      <c r="V192">
        <v>99</v>
      </c>
    </row>
    <row r="193" spans="2:22" x14ac:dyDescent="0.3">
      <c r="B193" t="s">
        <v>907</v>
      </c>
      <c r="C193" t="s">
        <v>346</v>
      </c>
      <c r="D193" t="s">
        <v>1527</v>
      </c>
      <c r="E193" t="s">
        <v>1527</v>
      </c>
      <c r="F193">
        <v>-3.7</v>
      </c>
      <c r="G193">
        <v>46</v>
      </c>
      <c r="H193">
        <v>195</v>
      </c>
      <c r="I193">
        <v>175</v>
      </c>
      <c r="J193">
        <v>17</v>
      </c>
      <c r="K193">
        <v>41</v>
      </c>
      <c r="L193">
        <v>4</v>
      </c>
      <c r="M193">
        <v>21</v>
      </c>
      <c r="N193">
        <v>1</v>
      </c>
      <c r="O193">
        <v>0</v>
      </c>
      <c r="P193">
        <v>15</v>
      </c>
      <c r="Q193">
        <v>40</v>
      </c>
      <c r="R193">
        <v>0.23400000000000001</v>
      </c>
      <c r="S193">
        <v>0.29699999999999999</v>
      </c>
      <c r="T193">
        <v>0.36599999999999999</v>
      </c>
      <c r="U193">
        <v>0.66300000000000003</v>
      </c>
      <c r="V193">
        <v>73</v>
      </c>
    </row>
    <row r="194" spans="2:22" x14ac:dyDescent="0.3">
      <c r="B194" t="s">
        <v>916</v>
      </c>
      <c r="C194" t="s">
        <v>221</v>
      </c>
      <c r="D194" t="s">
        <v>1531</v>
      </c>
      <c r="E194" t="s">
        <v>1531</v>
      </c>
      <c r="F194">
        <v>-3.8</v>
      </c>
      <c r="G194">
        <v>36</v>
      </c>
      <c r="H194">
        <v>112</v>
      </c>
      <c r="I194">
        <v>104</v>
      </c>
      <c r="J194">
        <v>17</v>
      </c>
      <c r="K194">
        <v>24</v>
      </c>
      <c r="L194">
        <v>5</v>
      </c>
      <c r="M194">
        <v>12</v>
      </c>
      <c r="N194">
        <v>1</v>
      </c>
      <c r="O194">
        <v>0</v>
      </c>
      <c r="P194">
        <v>6</v>
      </c>
      <c r="Q194">
        <v>34</v>
      </c>
      <c r="R194">
        <v>0.23100000000000001</v>
      </c>
      <c r="S194">
        <v>0.28599999999999998</v>
      </c>
      <c r="T194">
        <v>0.45200000000000001</v>
      </c>
      <c r="U194">
        <v>0.73799999999999999</v>
      </c>
      <c r="V194">
        <v>30</v>
      </c>
    </row>
    <row r="195" spans="2:22" x14ac:dyDescent="0.3">
      <c r="B195" t="s">
        <v>457</v>
      </c>
      <c r="C195" t="s">
        <v>1520</v>
      </c>
      <c r="D195" t="s">
        <v>1655</v>
      </c>
      <c r="E195" t="s">
        <v>1655</v>
      </c>
      <c r="F195">
        <v>-3.9</v>
      </c>
      <c r="G195">
        <v>39</v>
      </c>
      <c r="H195">
        <v>148</v>
      </c>
      <c r="I195">
        <v>135</v>
      </c>
      <c r="J195">
        <v>21</v>
      </c>
      <c r="K195">
        <v>32</v>
      </c>
      <c r="L195">
        <v>3</v>
      </c>
      <c r="M195">
        <v>10</v>
      </c>
      <c r="N195">
        <v>5</v>
      </c>
      <c r="O195">
        <v>0</v>
      </c>
      <c r="P195">
        <v>9</v>
      </c>
      <c r="Q195">
        <v>25</v>
      </c>
      <c r="R195">
        <v>0.23699999999999999</v>
      </c>
      <c r="S195">
        <v>0.30399999999999999</v>
      </c>
      <c r="T195">
        <v>0.38500000000000001</v>
      </c>
      <c r="U195">
        <v>0.68899999999999995</v>
      </c>
      <c r="V195">
        <v>13</v>
      </c>
    </row>
    <row r="196" spans="2:22" x14ac:dyDescent="0.3">
      <c r="B196" t="s">
        <v>750</v>
      </c>
      <c r="C196" t="s">
        <v>1522</v>
      </c>
      <c r="D196" t="s">
        <v>1655</v>
      </c>
      <c r="E196" t="s">
        <v>1655</v>
      </c>
      <c r="F196">
        <v>-4.0999999999999996</v>
      </c>
      <c r="G196">
        <v>39</v>
      </c>
      <c r="H196">
        <v>130</v>
      </c>
      <c r="I196">
        <v>114</v>
      </c>
      <c r="J196">
        <v>16</v>
      </c>
      <c r="K196">
        <v>29</v>
      </c>
      <c r="L196">
        <v>2</v>
      </c>
      <c r="M196">
        <v>12</v>
      </c>
      <c r="N196">
        <v>6</v>
      </c>
      <c r="O196">
        <v>0</v>
      </c>
      <c r="P196">
        <v>11</v>
      </c>
      <c r="Q196">
        <v>19</v>
      </c>
      <c r="R196">
        <v>0.254</v>
      </c>
      <c r="S196">
        <v>0.33100000000000002</v>
      </c>
      <c r="T196">
        <v>0.36</v>
      </c>
      <c r="U196">
        <v>0.69099999999999995</v>
      </c>
      <c r="V196">
        <v>16</v>
      </c>
    </row>
    <row r="197" spans="2:22" x14ac:dyDescent="0.3">
      <c r="B197" t="s">
        <v>356</v>
      </c>
      <c r="C197" t="s">
        <v>1523</v>
      </c>
      <c r="D197" t="s">
        <v>1671</v>
      </c>
      <c r="E197" t="s">
        <v>1688</v>
      </c>
      <c r="F197">
        <v>-4.0999999999999996</v>
      </c>
      <c r="G197">
        <v>48</v>
      </c>
      <c r="H197">
        <v>200</v>
      </c>
      <c r="I197">
        <v>167</v>
      </c>
      <c r="J197">
        <v>20</v>
      </c>
      <c r="K197">
        <v>35</v>
      </c>
      <c r="L197">
        <v>5</v>
      </c>
      <c r="M197">
        <v>18</v>
      </c>
      <c r="N197">
        <v>2</v>
      </c>
      <c r="O197">
        <v>0</v>
      </c>
      <c r="P197">
        <v>28</v>
      </c>
      <c r="Q197">
        <v>45</v>
      </c>
      <c r="R197">
        <v>0.21</v>
      </c>
      <c r="S197">
        <v>0.33</v>
      </c>
      <c r="T197">
        <v>0.38300000000000001</v>
      </c>
      <c r="U197">
        <v>0.71299999999999997</v>
      </c>
      <c r="V197">
        <v>95</v>
      </c>
    </row>
    <row r="198" spans="2:22" x14ac:dyDescent="0.3">
      <c r="B198" t="s">
        <v>554</v>
      </c>
      <c r="C198" t="s">
        <v>1524</v>
      </c>
      <c r="D198" t="s">
        <v>1655</v>
      </c>
      <c r="E198" t="s">
        <v>1655</v>
      </c>
      <c r="F198">
        <v>-4.0999999999999996</v>
      </c>
      <c r="G198">
        <v>47</v>
      </c>
      <c r="H198">
        <v>189</v>
      </c>
      <c r="I198">
        <v>165</v>
      </c>
      <c r="J198">
        <v>20</v>
      </c>
      <c r="K198">
        <v>36</v>
      </c>
      <c r="L198">
        <v>3</v>
      </c>
      <c r="M198">
        <v>19</v>
      </c>
      <c r="N198">
        <v>3</v>
      </c>
      <c r="O198">
        <v>0</v>
      </c>
      <c r="P198">
        <v>20</v>
      </c>
      <c r="Q198">
        <v>42</v>
      </c>
      <c r="R198">
        <v>0.218</v>
      </c>
      <c r="S198">
        <v>0.307</v>
      </c>
      <c r="T198">
        <v>0.32100000000000001</v>
      </c>
      <c r="U198">
        <v>0.628</v>
      </c>
      <c r="V198">
        <v>2</v>
      </c>
    </row>
    <row r="199" spans="2:22" x14ac:dyDescent="0.3">
      <c r="B199" t="s">
        <v>553</v>
      </c>
      <c r="C199" t="s">
        <v>250</v>
      </c>
      <c r="D199" t="s">
        <v>1655</v>
      </c>
      <c r="E199" t="s">
        <v>1655</v>
      </c>
      <c r="F199">
        <v>-4.2</v>
      </c>
      <c r="G199">
        <v>42</v>
      </c>
      <c r="H199">
        <v>150</v>
      </c>
      <c r="I199">
        <v>143</v>
      </c>
      <c r="J199">
        <v>16</v>
      </c>
      <c r="K199">
        <v>34</v>
      </c>
      <c r="L199">
        <v>5</v>
      </c>
      <c r="M199">
        <v>17</v>
      </c>
      <c r="N199">
        <v>1</v>
      </c>
      <c r="O199">
        <v>1</v>
      </c>
      <c r="P199">
        <v>7</v>
      </c>
      <c r="Q199">
        <v>37</v>
      </c>
      <c r="R199">
        <v>0.23799999999999999</v>
      </c>
      <c r="S199">
        <v>0.27300000000000002</v>
      </c>
      <c r="T199">
        <v>0.41299999999999998</v>
      </c>
      <c r="U199">
        <v>0.68600000000000005</v>
      </c>
      <c r="V199">
        <v>14</v>
      </c>
    </row>
    <row r="200" spans="2:22" x14ac:dyDescent="0.3">
      <c r="B200" t="s">
        <v>858</v>
      </c>
      <c r="C200" t="s">
        <v>264</v>
      </c>
      <c r="D200" t="s">
        <v>1529</v>
      </c>
      <c r="E200" t="s">
        <v>1529</v>
      </c>
      <c r="F200">
        <v>-4.4000000000000004</v>
      </c>
      <c r="G200">
        <v>18</v>
      </c>
      <c r="H200">
        <v>79</v>
      </c>
      <c r="I200">
        <v>66</v>
      </c>
      <c r="J200">
        <v>13</v>
      </c>
      <c r="K200">
        <v>23</v>
      </c>
      <c r="L200">
        <v>3</v>
      </c>
      <c r="M200">
        <v>14</v>
      </c>
      <c r="N200">
        <v>0</v>
      </c>
      <c r="O200">
        <v>0</v>
      </c>
      <c r="P200">
        <v>10</v>
      </c>
      <c r="Q200">
        <v>15</v>
      </c>
      <c r="R200">
        <v>0.34799999999999998</v>
      </c>
      <c r="S200">
        <v>0.41799999999999998</v>
      </c>
      <c r="T200">
        <v>0.59099999999999997</v>
      </c>
      <c r="U200">
        <v>1.0089999999999999</v>
      </c>
      <c r="V200">
        <v>100</v>
      </c>
    </row>
    <row r="201" spans="2:22" x14ac:dyDescent="0.3">
      <c r="B201" t="s">
        <v>746</v>
      </c>
      <c r="C201" t="s">
        <v>243</v>
      </c>
      <c r="D201" t="s">
        <v>1655</v>
      </c>
      <c r="E201" t="s">
        <v>1679</v>
      </c>
      <c r="F201">
        <v>-4.4000000000000004</v>
      </c>
      <c r="G201">
        <v>37</v>
      </c>
      <c r="H201">
        <v>119</v>
      </c>
      <c r="I201">
        <v>106</v>
      </c>
      <c r="J201">
        <v>13</v>
      </c>
      <c r="K201">
        <v>26</v>
      </c>
      <c r="L201">
        <v>6</v>
      </c>
      <c r="M201">
        <v>17</v>
      </c>
      <c r="N201">
        <v>0</v>
      </c>
      <c r="O201">
        <v>0</v>
      </c>
      <c r="P201">
        <v>12</v>
      </c>
      <c r="Q201">
        <v>20</v>
      </c>
      <c r="R201">
        <v>0.245</v>
      </c>
      <c r="S201">
        <v>0.31900000000000001</v>
      </c>
      <c r="T201">
        <v>0.42499999999999999</v>
      </c>
      <c r="U201">
        <v>0.74399999999999999</v>
      </c>
      <c r="V201">
        <v>18</v>
      </c>
    </row>
    <row r="202" spans="2:22" x14ac:dyDescent="0.3">
      <c r="B202" t="s">
        <v>594</v>
      </c>
      <c r="C202" t="s">
        <v>274</v>
      </c>
      <c r="D202" t="s">
        <v>1529</v>
      </c>
      <c r="E202" t="s">
        <v>1529</v>
      </c>
      <c r="F202">
        <v>-4.5</v>
      </c>
      <c r="G202">
        <v>44</v>
      </c>
      <c r="H202">
        <v>192</v>
      </c>
      <c r="I202">
        <v>169</v>
      </c>
      <c r="J202">
        <v>14</v>
      </c>
      <c r="K202">
        <v>36</v>
      </c>
      <c r="L202">
        <v>6</v>
      </c>
      <c r="M202">
        <v>24</v>
      </c>
      <c r="N202">
        <v>0</v>
      </c>
      <c r="O202">
        <v>0</v>
      </c>
      <c r="P202">
        <v>22</v>
      </c>
      <c r="Q202">
        <v>45</v>
      </c>
      <c r="R202">
        <v>0.21299999999999999</v>
      </c>
      <c r="S202">
        <v>0.30199999999999999</v>
      </c>
      <c r="T202">
        <v>0.39600000000000002</v>
      </c>
      <c r="U202">
        <v>0.69799999999999995</v>
      </c>
      <c r="V202">
        <v>100</v>
      </c>
    </row>
    <row r="203" spans="2:22" x14ac:dyDescent="0.3">
      <c r="B203" t="s">
        <v>1710</v>
      </c>
      <c r="C203" t="s">
        <v>339</v>
      </c>
      <c r="D203" t="s">
        <v>1531</v>
      </c>
      <c r="E203" t="s">
        <v>1531</v>
      </c>
      <c r="F203">
        <v>-4.5</v>
      </c>
      <c r="G203">
        <v>29</v>
      </c>
      <c r="H203">
        <v>95</v>
      </c>
      <c r="I203">
        <v>87</v>
      </c>
      <c r="J203">
        <v>11</v>
      </c>
      <c r="K203">
        <v>22</v>
      </c>
      <c r="L203">
        <v>6</v>
      </c>
      <c r="M203">
        <v>13</v>
      </c>
      <c r="N203">
        <v>0</v>
      </c>
      <c r="O203">
        <v>0</v>
      </c>
      <c r="P203">
        <v>7</v>
      </c>
      <c r="Q203">
        <v>23</v>
      </c>
      <c r="R203">
        <v>0.253</v>
      </c>
      <c r="S203">
        <v>0.316</v>
      </c>
      <c r="T203">
        <v>0.50600000000000001</v>
      </c>
      <c r="U203">
        <v>0.82199999999999995</v>
      </c>
      <c r="V203">
        <v>100</v>
      </c>
    </row>
    <row r="204" spans="2:22" x14ac:dyDescent="0.3">
      <c r="B204" t="s">
        <v>836</v>
      </c>
      <c r="C204" t="s">
        <v>278</v>
      </c>
      <c r="D204" t="s">
        <v>80</v>
      </c>
      <c r="E204" t="s">
        <v>1663</v>
      </c>
      <c r="F204">
        <v>-4.8</v>
      </c>
      <c r="G204">
        <v>43</v>
      </c>
      <c r="H204">
        <v>163</v>
      </c>
      <c r="I204">
        <v>136</v>
      </c>
      <c r="J204">
        <v>26</v>
      </c>
      <c r="K204">
        <v>28</v>
      </c>
      <c r="L204">
        <v>5</v>
      </c>
      <c r="M204">
        <v>11</v>
      </c>
      <c r="N204">
        <v>1</v>
      </c>
      <c r="O204">
        <v>0</v>
      </c>
      <c r="P204">
        <v>26</v>
      </c>
      <c r="Q204">
        <v>51</v>
      </c>
      <c r="R204">
        <v>0.20599999999999999</v>
      </c>
      <c r="S204">
        <v>0.33700000000000002</v>
      </c>
      <c r="T204">
        <v>0.39</v>
      </c>
      <c r="U204">
        <v>0.72699999999999998</v>
      </c>
      <c r="V204">
        <v>97</v>
      </c>
    </row>
    <row r="205" spans="2:22" x14ac:dyDescent="0.3">
      <c r="B205" t="s">
        <v>291</v>
      </c>
      <c r="C205" t="s">
        <v>239</v>
      </c>
      <c r="D205" t="s">
        <v>1659</v>
      </c>
      <c r="E205" t="s">
        <v>1659</v>
      </c>
      <c r="F205">
        <v>-4.9000000000000004</v>
      </c>
      <c r="G205">
        <v>46</v>
      </c>
      <c r="H205">
        <v>145</v>
      </c>
      <c r="I205">
        <v>135</v>
      </c>
      <c r="J205">
        <v>15</v>
      </c>
      <c r="K205">
        <v>31</v>
      </c>
      <c r="L205">
        <v>3</v>
      </c>
      <c r="M205">
        <v>12</v>
      </c>
      <c r="N205">
        <v>7</v>
      </c>
      <c r="O205">
        <v>2</v>
      </c>
      <c r="P205">
        <v>10</v>
      </c>
      <c r="Q205">
        <v>40</v>
      </c>
      <c r="R205">
        <v>0.23</v>
      </c>
      <c r="S205">
        <v>0.28299999999999997</v>
      </c>
      <c r="T205">
        <v>0.32600000000000001</v>
      </c>
      <c r="U205">
        <v>0.60899999999999999</v>
      </c>
      <c r="V205">
        <v>31</v>
      </c>
    </row>
    <row r="206" spans="2:22" x14ac:dyDescent="0.3">
      <c r="B206" t="s">
        <v>343</v>
      </c>
      <c r="C206" t="s">
        <v>1521</v>
      </c>
      <c r="D206" t="s">
        <v>1666</v>
      </c>
      <c r="E206" t="s">
        <v>1666</v>
      </c>
      <c r="F206">
        <v>-5</v>
      </c>
      <c r="G206">
        <v>38</v>
      </c>
      <c r="H206">
        <v>131</v>
      </c>
      <c r="I206">
        <v>121</v>
      </c>
      <c r="J206">
        <v>15</v>
      </c>
      <c r="K206">
        <v>29</v>
      </c>
      <c r="L206">
        <v>6</v>
      </c>
      <c r="M206">
        <v>15</v>
      </c>
      <c r="N206">
        <v>0</v>
      </c>
      <c r="O206">
        <v>0</v>
      </c>
      <c r="P206">
        <v>9</v>
      </c>
      <c r="Q206">
        <v>25</v>
      </c>
      <c r="R206">
        <v>0.24</v>
      </c>
      <c r="S206">
        <v>0.28999999999999998</v>
      </c>
      <c r="T206">
        <v>0.438</v>
      </c>
      <c r="U206">
        <v>0.72799999999999998</v>
      </c>
      <c r="V206">
        <v>19</v>
      </c>
    </row>
    <row r="207" spans="2:22" x14ac:dyDescent="0.3">
      <c r="B207" t="s">
        <v>944</v>
      </c>
      <c r="C207" t="s">
        <v>248</v>
      </c>
      <c r="D207" t="s">
        <v>1679</v>
      </c>
      <c r="E207" t="s">
        <v>1679</v>
      </c>
      <c r="F207">
        <v>-5.0999999999999996</v>
      </c>
      <c r="G207">
        <v>41</v>
      </c>
      <c r="H207">
        <v>152</v>
      </c>
      <c r="I207">
        <v>136</v>
      </c>
      <c r="J207">
        <v>18</v>
      </c>
      <c r="K207">
        <v>35</v>
      </c>
      <c r="L207">
        <v>3</v>
      </c>
      <c r="M207">
        <v>16</v>
      </c>
      <c r="N207">
        <v>0</v>
      </c>
      <c r="O207">
        <v>0</v>
      </c>
      <c r="P207">
        <v>14</v>
      </c>
      <c r="Q207">
        <v>41</v>
      </c>
      <c r="R207">
        <v>0.25700000000000001</v>
      </c>
      <c r="S207">
        <v>0.32900000000000001</v>
      </c>
      <c r="T207">
        <v>0.35299999999999998</v>
      </c>
      <c r="U207">
        <v>0.68200000000000005</v>
      </c>
      <c r="V207">
        <v>47</v>
      </c>
    </row>
    <row r="208" spans="2:22" x14ac:dyDescent="0.3">
      <c r="B208" t="s">
        <v>252</v>
      </c>
      <c r="C208" t="s">
        <v>239</v>
      </c>
      <c r="D208" t="s">
        <v>1655</v>
      </c>
      <c r="E208" t="s">
        <v>1655</v>
      </c>
      <c r="F208">
        <v>-5.0999999999999996</v>
      </c>
      <c r="G208">
        <v>47</v>
      </c>
      <c r="H208">
        <v>153</v>
      </c>
      <c r="I208">
        <v>140</v>
      </c>
      <c r="J208">
        <v>17</v>
      </c>
      <c r="K208">
        <v>28</v>
      </c>
      <c r="L208">
        <v>5</v>
      </c>
      <c r="M208">
        <v>14</v>
      </c>
      <c r="N208">
        <v>5</v>
      </c>
      <c r="O208">
        <v>0</v>
      </c>
      <c r="P208">
        <v>12</v>
      </c>
      <c r="Q208">
        <v>42</v>
      </c>
      <c r="R208">
        <v>0.2</v>
      </c>
      <c r="S208">
        <v>0.26100000000000001</v>
      </c>
      <c r="T208">
        <v>0.35699999999999998</v>
      </c>
      <c r="U208">
        <v>0.61799999999999999</v>
      </c>
      <c r="V208">
        <v>18</v>
      </c>
    </row>
    <row r="209" spans="2:22" x14ac:dyDescent="0.3">
      <c r="B209" t="s">
        <v>674</v>
      </c>
      <c r="C209" t="s">
        <v>239</v>
      </c>
      <c r="D209" t="s">
        <v>1531</v>
      </c>
      <c r="E209" t="s">
        <v>1531</v>
      </c>
      <c r="F209">
        <v>-5.6</v>
      </c>
      <c r="G209">
        <v>38</v>
      </c>
      <c r="H209">
        <v>156</v>
      </c>
      <c r="I209">
        <v>137</v>
      </c>
      <c r="J209">
        <v>15</v>
      </c>
      <c r="K209">
        <v>34</v>
      </c>
      <c r="L209">
        <v>4</v>
      </c>
      <c r="M209">
        <v>13</v>
      </c>
      <c r="N209">
        <v>0</v>
      </c>
      <c r="O209">
        <v>0</v>
      </c>
      <c r="P209">
        <v>18</v>
      </c>
      <c r="Q209">
        <v>31</v>
      </c>
      <c r="R209">
        <v>0.248</v>
      </c>
      <c r="S209">
        <v>0.34</v>
      </c>
      <c r="T209">
        <v>0.39400000000000002</v>
      </c>
      <c r="U209">
        <v>0.73399999999999999</v>
      </c>
      <c r="V209">
        <v>100</v>
      </c>
    </row>
    <row r="210" spans="2:22" x14ac:dyDescent="0.3">
      <c r="B210" t="s">
        <v>893</v>
      </c>
      <c r="C210" t="s">
        <v>266</v>
      </c>
      <c r="D210" t="s">
        <v>1529</v>
      </c>
      <c r="E210" t="s">
        <v>1529</v>
      </c>
      <c r="F210">
        <v>-5.6</v>
      </c>
      <c r="G210">
        <v>46</v>
      </c>
      <c r="H210">
        <v>167</v>
      </c>
      <c r="I210">
        <v>159</v>
      </c>
      <c r="J210">
        <v>20</v>
      </c>
      <c r="K210">
        <v>35</v>
      </c>
      <c r="L210">
        <v>3</v>
      </c>
      <c r="M210">
        <v>19</v>
      </c>
      <c r="N210">
        <v>1</v>
      </c>
      <c r="O210">
        <v>0</v>
      </c>
      <c r="P210">
        <v>6</v>
      </c>
      <c r="Q210">
        <v>49</v>
      </c>
      <c r="R210">
        <v>0.22</v>
      </c>
      <c r="S210">
        <v>0.25700000000000001</v>
      </c>
      <c r="T210">
        <v>0.35799999999999998</v>
      </c>
      <c r="U210">
        <v>0.61499999999999999</v>
      </c>
      <c r="V210">
        <v>82</v>
      </c>
    </row>
    <row r="211" spans="2:22" x14ac:dyDescent="0.3">
      <c r="B211" t="s">
        <v>719</v>
      </c>
      <c r="C211" t="s">
        <v>1524</v>
      </c>
      <c r="D211" t="s">
        <v>1527</v>
      </c>
      <c r="E211" t="s">
        <v>1527</v>
      </c>
      <c r="F211">
        <v>-5.8</v>
      </c>
      <c r="G211">
        <v>46</v>
      </c>
      <c r="H211">
        <v>193</v>
      </c>
      <c r="I211">
        <v>169</v>
      </c>
      <c r="J211">
        <v>20</v>
      </c>
      <c r="K211">
        <v>47</v>
      </c>
      <c r="L211">
        <v>1</v>
      </c>
      <c r="M211">
        <v>13</v>
      </c>
      <c r="N211">
        <v>0</v>
      </c>
      <c r="O211">
        <v>0</v>
      </c>
      <c r="P211">
        <v>21</v>
      </c>
      <c r="Q211">
        <v>29</v>
      </c>
      <c r="R211">
        <v>0.27800000000000002</v>
      </c>
      <c r="S211">
        <v>0.36299999999999999</v>
      </c>
      <c r="T211">
        <v>0.314</v>
      </c>
      <c r="U211">
        <v>0.67700000000000005</v>
      </c>
      <c r="V211">
        <v>1</v>
      </c>
    </row>
    <row r="212" spans="2:22" x14ac:dyDescent="0.3">
      <c r="B212" t="s">
        <v>2205</v>
      </c>
      <c r="C212" t="s">
        <v>244</v>
      </c>
      <c r="D212" t="s">
        <v>1659</v>
      </c>
      <c r="E212" t="s">
        <v>1659</v>
      </c>
      <c r="F212">
        <v>-5.9</v>
      </c>
      <c r="G212">
        <v>25</v>
      </c>
      <c r="H212">
        <v>74</v>
      </c>
      <c r="I212">
        <v>60</v>
      </c>
      <c r="J212">
        <v>12</v>
      </c>
      <c r="K212">
        <v>17</v>
      </c>
      <c r="L212">
        <v>2</v>
      </c>
      <c r="M212">
        <v>10</v>
      </c>
      <c r="N212">
        <v>6</v>
      </c>
      <c r="O212">
        <v>0</v>
      </c>
      <c r="P212">
        <v>10</v>
      </c>
      <c r="Q212">
        <v>16</v>
      </c>
      <c r="R212">
        <v>0.28299999999999997</v>
      </c>
      <c r="S212">
        <v>0.39200000000000002</v>
      </c>
      <c r="T212">
        <v>0.433</v>
      </c>
      <c r="U212">
        <v>0.82499999999999996</v>
      </c>
      <c r="V212">
        <v>9</v>
      </c>
    </row>
    <row r="213" spans="2:22" x14ac:dyDescent="0.3">
      <c r="B213" t="s">
        <v>451</v>
      </c>
      <c r="C213" t="s">
        <v>1521</v>
      </c>
      <c r="D213" t="s">
        <v>1655</v>
      </c>
      <c r="E213" t="s">
        <v>1655</v>
      </c>
      <c r="F213">
        <v>-6</v>
      </c>
      <c r="G213">
        <v>26</v>
      </c>
      <c r="H213">
        <v>97</v>
      </c>
      <c r="I213">
        <v>81</v>
      </c>
      <c r="J213">
        <v>12</v>
      </c>
      <c r="K213">
        <v>19</v>
      </c>
      <c r="L213">
        <v>5</v>
      </c>
      <c r="M213">
        <v>18</v>
      </c>
      <c r="N213">
        <v>0</v>
      </c>
      <c r="O213">
        <v>0</v>
      </c>
      <c r="P213">
        <v>14</v>
      </c>
      <c r="Q213">
        <v>22</v>
      </c>
      <c r="R213">
        <v>0.23499999999999999</v>
      </c>
      <c r="S213">
        <v>0.35099999999999998</v>
      </c>
      <c r="T213">
        <v>0.49399999999999999</v>
      </c>
      <c r="U213">
        <v>0.84499999999999997</v>
      </c>
      <c r="V213">
        <v>76</v>
      </c>
    </row>
    <row r="214" spans="2:22" x14ac:dyDescent="0.3">
      <c r="B214" t="s">
        <v>814</v>
      </c>
      <c r="C214" t="s">
        <v>274</v>
      </c>
      <c r="D214" t="s">
        <v>1655</v>
      </c>
      <c r="E214" t="s">
        <v>1655</v>
      </c>
      <c r="F214">
        <v>-6</v>
      </c>
      <c r="G214">
        <v>28</v>
      </c>
      <c r="H214">
        <v>114</v>
      </c>
      <c r="I214">
        <v>99</v>
      </c>
      <c r="J214">
        <v>17</v>
      </c>
      <c r="K214">
        <v>21</v>
      </c>
      <c r="L214">
        <v>6</v>
      </c>
      <c r="M214">
        <v>14</v>
      </c>
      <c r="N214">
        <v>0</v>
      </c>
      <c r="O214">
        <v>0</v>
      </c>
      <c r="P214">
        <v>10</v>
      </c>
      <c r="Q214">
        <v>22</v>
      </c>
      <c r="R214">
        <v>0.21199999999999999</v>
      </c>
      <c r="S214">
        <v>0.29799999999999999</v>
      </c>
      <c r="T214">
        <v>0.44400000000000001</v>
      </c>
      <c r="U214">
        <v>0.74199999999999999</v>
      </c>
      <c r="V214">
        <v>11</v>
      </c>
    </row>
    <row r="215" spans="2:22" x14ac:dyDescent="0.3">
      <c r="B215" t="s">
        <v>549</v>
      </c>
      <c r="C215" t="s">
        <v>250</v>
      </c>
      <c r="D215" t="s">
        <v>1655</v>
      </c>
      <c r="E215" t="s">
        <v>1655</v>
      </c>
      <c r="F215">
        <v>-6</v>
      </c>
      <c r="G215">
        <v>27</v>
      </c>
      <c r="H215">
        <v>83</v>
      </c>
      <c r="I215">
        <v>78</v>
      </c>
      <c r="J215">
        <v>11</v>
      </c>
      <c r="K215">
        <v>20</v>
      </c>
      <c r="L215">
        <v>5</v>
      </c>
      <c r="M215">
        <v>13</v>
      </c>
      <c r="N215">
        <v>2</v>
      </c>
      <c r="O215">
        <v>0</v>
      </c>
      <c r="P215">
        <v>4</v>
      </c>
      <c r="Q215">
        <v>19</v>
      </c>
      <c r="R215">
        <v>0.25600000000000001</v>
      </c>
      <c r="S215">
        <v>0.28899999999999998</v>
      </c>
      <c r="T215">
        <v>0.48699999999999999</v>
      </c>
      <c r="U215">
        <v>0.77600000000000002</v>
      </c>
      <c r="V215">
        <v>0</v>
      </c>
    </row>
    <row r="216" spans="2:22" x14ac:dyDescent="0.3">
      <c r="B216" t="s">
        <v>391</v>
      </c>
      <c r="C216" t="s">
        <v>1524</v>
      </c>
      <c r="D216" t="s">
        <v>1655</v>
      </c>
      <c r="E216" t="s">
        <v>1655</v>
      </c>
      <c r="F216">
        <v>-6</v>
      </c>
      <c r="G216">
        <v>31</v>
      </c>
      <c r="H216">
        <v>103</v>
      </c>
      <c r="I216">
        <v>89</v>
      </c>
      <c r="J216">
        <v>13</v>
      </c>
      <c r="K216">
        <v>26</v>
      </c>
      <c r="L216">
        <v>0</v>
      </c>
      <c r="M216">
        <v>8</v>
      </c>
      <c r="N216">
        <v>8</v>
      </c>
      <c r="O216">
        <v>0</v>
      </c>
      <c r="P216">
        <v>10</v>
      </c>
      <c r="Q216">
        <v>14</v>
      </c>
      <c r="R216">
        <v>0.29199999999999998</v>
      </c>
      <c r="S216">
        <v>0.38800000000000001</v>
      </c>
      <c r="T216">
        <v>0.36</v>
      </c>
      <c r="U216">
        <v>0.748</v>
      </c>
      <c r="V216">
        <v>9</v>
      </c>
    </row>
    <row r="217" spans="2:22" x14ac:dyDescent="0.3">
      <c r="B217" t="s">
        <v>705</v>
      </c>
      <c r="C217" t="s">
        <v>274</v>
      </c>
      <c r="D217" t="s">
        <v>1663</v>
      </c>
      <c r="E217" t="s">
        <v>1663</v>
      </c>
      <c r="F217">
        <v>-6.1</v>
      </c>
      <c r="G217">
        <v>25</v>
      </c>
      <c r="H217">
        <v>92</v>
      </c>
      <c r="I217">
        <v>84</v>
      </c>
      <c r="J217">
        <v>16</v>
      </c>
      <c r="K217">
        <v>23</v>
      </c>
      <c r="L217">
        <v>3</v>
      </c>
      <c r="M217">
        <v>14</v>
      </c>
      <c r="N217">
        <v>0</v>
      </c>
      <c r="O217">
        <v>0</v>
      </c>
      <c r="P217">
        <v>5</v>
      </c>
      <c r="Q217">
        <v>24</v>
      </c>
      <c r="R217">
        <v>0.27400000000000002</v>
      </c>
      <c r="S217">
        <v>0.32600000000000001</v>
      </c>
      <c r="T217">
        <v>0.40500000000000003</v>
      </c>
      <c r="U217">
        <v>0.73099999999999998</v>
      </c>
      <c r="V217">
        <v>25</v>
      </c>
    </row>
    <row r="218" spans="2:22" x14ac:dyDescent="0.3">
      <c r="B218" t="s">
        <v>262</v>
      </c>
      <c r="C218" t="s">
        <v>251</v>
      </c>
      <c r="D218" t="s">
        <v>1655</v>
      </c>
      <c r="E218" t="s">
        <v>1655</v>
      </c>
      <c r="F218">
        <v>-6.1</v>
      </c>
      <c r="G218">
        <v>47</v>
      </c>
      <c r="H218">
        <v>171</v>
      </c>
      <c r="I218">
        <v>151</v>
      </c>
      <c r="J218">
        <v>18</v>
      </c>
      <c r="K218">
        <v>34</v>
      </c>
      <c r="L218">
        <v>0</v>
      </c>
      <c r="M218">
        <v>10</v>
      </c>
      <c r="N218">
        <v>10</v>
      </c>
      <c r="O218">
        <v>0</v>
      </c>
      <c r="P218">
        <v>18</v>
      </c>
      <c r="Q218">
        <v>30</v>
      </c>
      <c r="R218">
        <v>0.22500000000000001</v>
      </c>
      <c r="S218">
        <v>0.31</v>
      </c>
      <c r="T218">
        <v>0.28499999999999998</v>
      </c>
      <c r="U218">
        <v>0.59499999999999997</v>
      </c>
      <c r="V218">
        <v>44</v>
      </c>
    </row>
    <row r="219" spans="2:22" x14ac:dyDescent="0.3">
      <c r="B219" t="s">
        <v>1590</v>
      </c>
      <c r="C219" t="s">
        <v>286</v>
      </c>
      <c r="D219" t="s">
        <v>1655</v>
      </c>
      <c r="E219" t="s">
        <v>1679</v>
      </c>
      <c r="F219">
        <v>-6.2</v>
      </c>
      <c r="G219">
        <v>35</v>
      </c>
      <c r="H219">
        <v>116</v>
      </c>
      <c r="I219">
        <v>100</v>
      </c>
      <c r="J219">
        <v>15</v>
      </c>
      <c r="K219">
        <v>23</v>
      </c>
      <c r="L219">
        <v>4</v>
      </c>
      <c r="M219">
        <v>18</v>
      </c>
      <c r="N219">
        <v>0</v>
      </c>
      <c r="O219">
        <v>0</v>
      </c>
      <c r="P219">
        <v>16</v>
      </c>
      <c r="Q219">
        <v>25</v>
      </c>
      <c r="R219">
        <v>0.23</v>
      </c>
      <c r="S219">
        <v>0.33600000000000002</v>
      </c>
      <c r="T219">
        <v>0.39</v>
      </c>
      <c r="U219">
        <v>0.72599999999999998</v>
      </c>
      <c r="V219">
        <v>1</v>
      </c>
    </row>
    <row r="220" spans="2:22" x14ac:dyDescent="0.3">
      <c r="B220" t="s">
        <v>3082</v>
      </c>
      <c r="C220" t="s">
        <v>274</v>
      </c>
      <c r="D220" t="s">
        <v>79</v>
      </c>
      <c r="E220" t="s">
        <v>79</v>
      </c>
      <c r="F220">
        <v>-6.4</v>
      </c>
      <c r="G220">
        <v>23</v>
      </c>
      <c r="H220">
        <v>101</v>
      </c>
      <c r="I220">
        <v>95</v>
      </c>
      <c r="J220">
        <v>10</v>
      </c>
      <c r="K220">
        <v>27</v>
      </c>
      <c r="L220">
        <v>4</v>
      </c>
      <c r="M220">
        <v>14</v>
      </c>
      <c r="N220">
        <v>1</v>
      </c>
      <c r="O220">
        <v>0</v>
      </c>
      <c r="P220">
        <v>6</v>
      </c>
      <c r="Q220">
        <v>24</v>
      </c>
      <c r="R220">
        <v>0.28399999999999997</v>
      </c>
      <c r="S220">
        <v>0.32700000000000001</v>
      </c>
      <c r="T220">
        <v>0.48399999999999999</v>
      </c>
      <c r="U220">
        <v>0.81100000000000005</v>
      </c>
      <c r="V220">
        <v>99</v>
      </c>
    </row>
    <row r="221" spans="2:22" x14ac:dyDescent="0.3">
      <c r="B221" t="s">
        <v>857</v>
      </c>
      <c r="C221" t="s">
        <v>224</v>
      </c>
      <c r="D221" t="s">
        <v>1655</v>
      </c>
      <c r="E221" t="s">
        <v>1655</v>
      </c>
      <c r="F221">
        <v>-6.4</v>
      </c>
      <c r="G221">
        <v>40</v>
      </c>
      <c r="H221">
        <v>137</v>
      </c>
      <c r="I221">
        <v>121</v>
      </c>
      <c r="J221">
        <v>16</v>
      </c>
      <c r="K221">
        <v>31</v>
      </c>
      <c r="L221">
        <v>3</v>
      </c>
      <c r="M221">
        <v>14</v>
      </c>
      <c r="N221">
        <v>1</v>
      </c>
      <c r="O221">
        <v>0</v>
      </c>
      <c r="P221">
        <v>12</v>
      </c>
      <c r="Q221">
        <v>37</v>
      </c>
      <c r="R221">
        <v>0.25600000000000001</v>
      </c>
      <c r="S221">
        <v>0.34300000000000003</v>
      </c>
      <c r="T221">
        <v>0.40500000000000003</v>
      </c>
      <c r="U221">
        <v>0.748</v>
      </c>
      <c r="V221">
        <v>0</v>
      </c>
    </row>
    <row r="222" spans="2:22" x14ac:dyDescent="0.3">
      <c r="B222" t="s">
        <v>368</v>
      </c>
      <c r="C222" t="s">
        <v>226</v>
      </c>
      <c r="D222" t="s">
        <v>1655</v>
      </c>
      <c r="E222" t="s">
        <v>1655</v>
      </c>
      <c r="F222">
        <v>-6.6</v>
      </c>
      <c r="G222">
        <v>38</v>
      </c>
      <c r="H222">
        <v>109</v>
      </c>
      <c r="I222">
        <v>92</v>
      </c>
      <c r="J222">
        <v>17</v>
      </c>
      <c r="K222">
        <v>21</v>
      </c>
      <c r="L222">
        <v>5</v>
      </c>
      <c r="M222">
        <v>11</v>
      </c>
      <c r="N222">
        <v>1</v>
      </c>
      <c r="O222">
        <v>0</v>
      </c>
      <c r="P222">
        <v>16</v>
      </c>
      <c r="Q222">
        <v>21</v>
      </c>
      <c r="R222">
        <v>0.22800000000000001</v>
      </c>
      <c r="S222">
        <v>0.33900000000000002</v>
      </c>
      <c r="T222">
        <v>0.46700000000000003</v>
      </c>
      <c r="U222">
        <v>0.80600000000000005</v>
      </c>
      <c r="V222">
        <v>1</v>
      </c>
    </row>
    <row r="223" spans="2:22" x14ac:dyDescent="0.3">
      <c r="B223" t="s">
        <v>753</v>
      </c>
      <c r="C223" t="s">
        <v>222</v>
      </c>
      <c r="D223" t="s">
        <v>1655</v>
      </c>
      <c r="E223" t="s">
        <v>1687</v>
      </c>
      <c r="F223">
        <v>-6.9</v>
      </c>
      <c r="G223">
        <v>44</v>
      </c>
      <c r="H223">
        <v>156</v>
      </c>
      <c r="I223">
        <v>143</v>
      </c>
      <c r="J223">
        <v>17</v>
      </c>
      <c r="K223">
        <v>29</v>
      </c>
      <c r="L223">
        <v>3</v>
      </c>
      <c r="M223">
        <v>15</v>
      </c>
      <c r="N223">
        <v>5</v>
      </c>
      <c r="O223">
        <v>0</v>
      </c>
      <c r="P223">
        <v>10</v>
      </c>
      <c r="Q223">
        <v>31</v>
      </c>
      <c r="R223">
        <v>0.20300000000000001</v>
      </c>
      <c r="S223">
        <v>0.25600000000000001</v>
      </c>
      <c r="T223">
        <v>0.308</v>
      </c>
      <c r="U223">
        <v>0.56399999999999995</v>
      </c>
      <c r="V223">
        <v>18</v>
      </c>
    </row>
    <row r="224" spans="2:22" x14ac:dyDescent="0.3">
      <c r="B224" t="s">
        <v>769</v>
      </c>
      <c r="C224" t="s">
        <v>339</v>
      </c>
      <c r="D224" t="s">
        <v>1655</v>
      </c>
      <c r="E224" t="s">
        <v>1655</v>
      </c>
      <c r="F224">
        <v>-7.1</v>
      </c>
      <c r="G224">
        <v>44</v>
      </c>
      <c r="H224">
        <v>160</v>
      </c>
      <c r="I224">
        <v>141</v>
      </c>
      <c r="J224">
        <v>19</v>
      </c>
      <c r="K224">
        <v>33</v>
      </c>
      <c r="L224">
        <v>3</v>
      </c>
      <c r="M224">
        <v>12</v>
      </c>
      <c r="N224">
        <v>2</v>
      </c>
      <c r="O224">
        <v>0</v>
      </c>
      <c r="P224">
        <v>13</v>
      </c>
      <c r="Q224">
        <v>27</v>
      </c>
      <c r="R224">
        <v>0.23400000000000001</v>
      </c>
      <c r="S224">
        <v>0.30599999999999999</v>
      </c>
      <c r="T224">
        <v>0.36899999999999999</v>
      </c>
      <c r="U224">
        <v>0.67500000000000004</v>
      </c>
      <c r="V224">
        <v>12</v>
      </c>
    </row>
    <row r="225" spans="2:22" x14ac:dyDescent="0.3">
      <c r="B225" t="s">
        <v>872</v>
      </c>
      <c r="C225" t="s">
        <v>235</v>
      </c>
      <c r="D225" t="s">
        <v>1531</v>
      </c>
      <c r="E225" t="s">
        <v>1692</v>
      </c>
      <c r="F225">
        <v>-7.2</v>
      </c>
      <c r="G225">
        <v>32</v>
      </c>
      <c r="H225">
        <v>91</v>
      </c>
      <c r="I225">
        <v>79</v>
      </c>
      <c r="J225">
        <v>14</v>
      </c>
      <c r="K225">
        <v>23</v>
      </c>
      <c r="L225">
        <v>2</v>
      </c>
      <c r="M225">
        <v>10</v>
      </c>
      <c r="N225">
        <v>0</v>
      </c>
      <c r="O225">
        <v>0</v>
      </c>
      <c r="P225">
        <v>9</v>
      </c>
      <c r="Q225">
        <v>26</v>
      </c>
      <c r="R225">
        <v>0.29099999999999998</v>
      </c>
      <c r="S225">
        <v>0.374</v>
      </c>
      <c r="T225">
        <v>0.41799999999999998</v>
      </c>
      <c r="U225">
        <v>0.79200000000000004</v>
      </c>
      <c r="V225">
        <v>10</v>
      </c>
    </row>
    <row r="226" spans="2:22" x14ac:dyDescent="0.3">
      <c r="B226" t="s">
        <v>3166</v>
      </c>
      <c r="C226" t="s">
        <v>311</v>
      </c>
      <c r="D226" t="s">
        <v>1526</v>
      </c>
      <c r="E226" t="s">
        <v>1655</v>
      </c>
      <c r="F226">
        <v>-7.3</v>
      </c>
      <c r="G226">
        <v>19</v>
      </c>
      <c r="H226">
        <v>83</v>
      </c>
      <c r="I226">
        <v>71</v>
      </c>
      <c r="J226">
        <v>16</v>
      </c>
      <c r="K226">
        <v>23</v>
      </c>
      <c r="L226">
        <v>2</v>
      </c>
      <c r="M226">
        <v>6</v>
      </c>
      <c r="N226">
        <v>2</v>
      </c>
      <c r="O226">
        <v>1</v>
      </c>
      <c r="P226">
        <v>12</v>
      </c>
      <c r="Q226">
        <v>21</v>
      </c>
      <c r="R226">
        <v>0.32400000000000001</v>
      </c>
      <c r="S226">
        <v>0.42199999999999999</v>
      </c>
      <c r="T226">
        <v>0.49299999999999999</v>
      </c>
      <c r="U226">
        <v>0.91500000000000004</v>
      </c>
      <c r="V226">
        <v>100</v>
      </c>
    </row>
    <row r="227" spans="2:22" x14ac:dyDescent="0.3">
      <c r="B227" t="s">
        <v>412</v>
      </c>
      <c r="C227" t="s">
        <v>1524</v>
      </c>
      <c r="D227" t="s">
        <v>1531</v>
      </c>
      <c r="E227" t="s">
        <v>1531</v>
      </c>
      <c r="F227">
        <v>-7.3</v>
      </c>
      <c r="G227">
        <v>41</v>
      </c>
      <c r="H227">
        <v>173</v>
      </c>
      <c r="I227">
        <v>157</v>
      </c>
      <c r="J227">
        <v>12</v>
      </c>
      <c r="K227">
        <v>36</v>
      </c>
      <c r="L227">
        <v>4</v>
      </c>
      <c r="M227">
        <v>17</v>
      </c>
      <c r="N227">
        <v>0</v>
      </c>
      <c r="O227">
        <v>0</v>
      </c>
      <c r="P227">
        <v>11</v>
      </c>
      <c r="Q227">
        <v>14</v>
      </c>
      <c r="R227">
        <v>0.22900000000000001</v>
      </c>
      <c r="S227">
        <v>0.29499999999999998</v>
      </c>
      <c r="T227">
        <v>0.35</v>
      </c>
      <c r="U227">
        <v>0.64500000000000002</v>
      </c>
      <c r="V227">
        <v>99</v>
      </c>
    </row>
    <row r="228" spans="2:22" x14ac:dyDescent="0.3">
      <c r="B228" t="s">
        <v>443</v>
      </c>
      <c r="C228" t="s">
        <v>264</v>
      </c>
      <c r="D228" t="s">
        <v>1655</v>
      </c>
      <c r="E228" t="s">
        <v>1655</v>
      </c>
      <c r="F228">
        <v>-7.4</v>
      </c>
      <c r="G228">
        <v>25</v>
      </c>
      <c r="H228">
        <v>76</v>
      </c>
      <c r="I228">
        <v>68</v>
      </c>
      <c r="J228">
        <v>14</v>
      </c>
      <c r="K228">
        <v>21</v>
      </c>
      <c r="L228">
        <v>0</v>
      </c>
      <c r="M228">
        <v>9</v>
      </c>
      <c r="N228">
        <v>5</v>
      </c>
      <c r="O228">
        <v>0</v>
      </c>
      <c r="P228">
        <v>7</v>
      </c>
      <c r="Q228">
        <v>15</v>
      </c>
      <c r="R228">
        <v>0.309</v>
      </c>
      <c r="S228">
        <v>0.38200000000000001</v>
      </c>
      <c r="T228">
        <v>0.41199999999999998</v>
      </c>
      <c r="U228">
        <v>0.79400000000000004</v>
      </c>
      <c r="V228">
        <v>0</v>
      </c>
    </row>
    <row r="229" spans="2:22" x14ac:dyDescent="0.3">
      <c r="B229" t="s">
        <v>1690</v>
      </c>
      <c r="C229" t="s">
        <v>278</v>
      </c>
      <c r="D229" t="s">
        <v>1667</v>
      </c>
      <c r="E229" t="s">
        <v>1667</v>
      </c>
      <c r="F229">
        <v>-7.4</v>
      </c>
      <c r="G229">
        <v>30</v>
      </c>
      <c r="H229">
        <v>112</v>
      </c>
      <c r="I229">
        <v>97</v>
      </c>
      <c r="J229">
        <v>12</v>
      </c>
      <c r="K229">
        <v>27</v>
      </c>
      <c r="L229">
        <v>1</v>
      </c>
      <c r="M229">
        <v>16</v>
      </c>
      <c r="N229">
        <v>2</v>
      </c>
      <c r="O229">
        <v>0</v>
      </c>
      <c r="P229">
        <v>11</v>
      </c>
      <c r="Q229">
        <v>29</v>
      </c>
      <c r="R229">
        <v>0.27800000000000002</v>
      </c>
      <c r="S229">
        <v>0.375</v>
      </c>
      <c r="T229">
        <v>0.38100000000000001</v>
      </c>
      <c r="U229">
        <v>0.75600000000000001</v>
      </c>
      <c r="V229">
        <v>1</v>
      </c>
    </row>
    <row r="230" spans="2:22" x14ac:dyDescent="0.3">
      <c r="B230" t="s">
        <v>1704</v>
      </c>
      <c r="C230" t="s">
        <v>243</v>
      </c>
      <c r="D230" t="s">
        <v>1655</v>
      </c>
      <c r="E230" t="s">
        <v>1655</v>
      </c>
      <c r="F230">
        <v>-7.5</v>
      </c>
      <c r="G230">
        <v>25</v>
      </c>
      <c r="H230">
        <v>106</v>
      </c>
      <c r="I230">
        <v>97</v>
      </c>
      <c r="J230">
        <v>12</v>
      </c>
      <c r="K230">
        <v>25</v>
      </c>
      <c r="L230">
        <v>4</v>
      </c>
      <c r="M230">
        <v>15</v>
      </c>
      <c r="N230">
        <v>0</v>
      </c>
      <c r="O230">
        <v>0</v>
      </c>
      <c r="P230">
        <v>9</v>
      </c>
      <c r="Q230">
        <v>28</v>
      </c>
      <c r="R230">
        <v>0.25800000000000001</v>
      </c>
      <c r="S230">
        <v>0.32100000000000001</v>
      </c>
      <c r="T230">
        <v>0.42299999999999999</v>
      </c>
      <c r="U230">
        <v>0.74399999999999999</v>
      </c>
      <c r="V230">
        <v>100</v>
      </c>
    </row>
    <row r="231" spans="2:22" x14ac:dyDescent="0.3">
      <c r="B231" t="s">
        <v>835</v>
      </c>
      <c r="C231" t="s">
        <v>235</v>
      </c>
      <c r="D231" t="s">
        <v>1667</v>
      </c>
      <c r="E231" t="s">
        <v>1683</v>
      </c>
      <c r="F231">
        <v>-7.5</v>
      </c>
      <c r="G231">
        <v>42</v>
      </c>
      <c r="H231">
        <v>141</v>
      </c>
      <c r="I231">
        <v>122</v>
      </c>
      <c r="J231">
        <v>17</v>
      </c>
      <c r="K231">
        <v>25</v>
      </c>
      <c r="L231">
        <v>2</v>
      </c>
      <c r="M231">
        <v>16</v>
      </c>
      <c r="N231">
        <v>4</v>
      </c>
      <c r="O231">
        <v>0</v>
      </c>
      <c r="P231">
        <v>16</v>
      </c>
      <c r="Q231">
        <v>27</v>
      </c>
      <c r="R231">
        <v>0.20499999999999999</v>
      </c>
      <c r="S231">
        <v>0.30499999999999999</v>
      </c>
      <c r="T231">
        <v>0.27</v>
      </c>
      <c r="U231">
        <v>0.57499999999999996</v>
      </c>
      <c r="V231">
        <v>12</v>
      </c>
    </row>
    <row r="232" spans="2:22" x14ac:dyDescent="0.3">
      <c r="B232" t="s">
        <v>722</v>
      </c>
      <c r="C232" t="s">
        <v>221</v>
      </c>
      <c r="D232" t="s">
        <v>1655</v>
      </c>
      <c r="E232" t="s">
        <v>1655</v>
      </c>
      <c r="F232">
        <v>-7.6</v>
      </c>
      <c r="G232">
        <v>30</v>
      </c>
      <c r="H232">
        <v>88</v>
      </c>
      <c r="I232">
        <v>73</v>
      </c>
      <c r="J232">
        <v>12</v>
      </c>
      <c r="K232">
        <v>21</v>
      </c>
      <c r="L232">
        <v>1</v>
      </c>
      <c r="M232">
        <v>17</v>
      </c>
      <c r="N232">
        <v>1</v>
      </c>
      <c r="O232">
        <v>0</v>
      </c>
      <c r="P232">
        <v>13</v>
      </c>
      <c r="Q232">
        <v>19</v>
      </c>
      <c r="R232">
        <v>0.28799999999999998</v>
      </c>
      <c r="S232">
        <v>0.40899999999999997</v>
      </c>
      <c r="T232">
        <v>0.38400000000000001</v>
      </c>
      <c r="U232">
        <v>0.79300000000000004</v>
      </c>
      <c r="V232">
        <v>0</v>
      </c>
    </row>
    <row r="233" spans="2:22" x14ac:dyDescent="0.3">
      <c r="B233" t="s">
        <v>616</v>
      </c>
      <c r="C233" t="s">
        <v>270</v>
      </c>
      <c r="D233" t="s">
        <v>1659</v>
      </c>
      <c r="E233" t="s">
        <v>1659</v>
      </c>
      <c r="F233">
        <v>-7.7</v>
      </c>
      <c r="G233">
        <v>34</v>
      </c>
      <c r="H233">
        <v>117</v>
      </c>
      <c r="I233">
        <v>109</v>
      </c>
      <c r="J233">
        <v>13</v>
      </c>
      <c r="K233">
        <v>28</v>
      </c>
      <c r="L233">
        <v>2</v>
      </c>
      <c r="M233">
        <v>15</v>
      </c>
      <c r="N233">
        <v>2</v>
      </c>
      <c r="O233">
        <v>0</v>
      </c>
      <c r="P233">
        <v>6</v>
      </c>
      <c r="Q233">
        <v>14</v>
      </c>
      <c r="R233">
        <v>0.25700000000000001</v>
      </c>
      <c r="S233">
        <v>0.29899999999999999</v>
      </c>
      <c r="T233">
        <v>0.33900000000000002</v>
      </c>
      <c r="U233">
        <v>0.63800000000000001</v>
      </c>
      <c r="V233">
        <v>0</v>
      </c>
    </row>
    <row r="234" spans="2:22" x14ac:dyDescent="0.3">
      <c r="B234" t="s">
        <v>824</v>
      </c>
      <c r="C234" t="s">
        <v>1520</v>
      </c>
      <c r="D234" t="s">
        <v>1679</v>
      </c>
      <c r="E234" t="s">
        <v>1679</v>
      </c>
      <c r="F234">
        <v>-7.9</v>
      </c>
      <c r="G234">
        <v>26</v>
      </c>
      <c r="H234">
        <v>103</v>
      </c>
      <c r="I234">
        <v>89</v>
      </c>
      <c r="J234">
        <v>12</v>
      </c>
      <c r="K234">
        <v>26</v>
      </c>
      <c r="L234">
        <v>2</v>
      </c>
      <c r="M234">
        <v>13</v>
      </c>
      <c r="N234">
        <v>1</v>
      </c>
      <c r="O234">
        <v>0</v>
      </c>
      <c r="P234">
        <v>12</v>
      </c>
      <c r="Q234">
        <v>34</v>
      </c>
      <c r="R234">
        <v>0.29199999999999998</v>
      </c>
      <c r="S234">
        <v>0.38800000000000001</v>
      </c>
      <c r="T234">
        <v>0.42699999999999999</v>
      </c>
      <c r="U234">
        <v>0.81499999999999995</v>
      </c>
      <c r="V234">
        <v>60</v>
      </c>
    </row>
    <row r="235" spans="2:22" x14ac:dyDescent="0.3">
      <c r="B235" t="s">
        <v>922</v>
      </c>
      <c r="C235" t="s">
        <v>221</v>
      </c>
      <c r="D235" t="s">
        <v>1527</v>
      </c>
      <c r="E235" t="s">
        <v>1527</v>
      </c>
      <c r="F235">
        <v>-8</v>
      </c>
      <c r="G235">
        <v>43</v>
      </c>
      <c r="H235">
        <v>154</v>
      </c>
      <c r="I235">
        <v>127</v>
      </c>
      <c r="J235">
        <v>19</v>
      </c>
      <c r="K235">
        <v>23</v>
      </c>
      <c r="L235">
        <v>6</v>
      </c>
      <c r="M235">
        <v>15</v>
      </c>
      <c r="N235">
        <v>0</v>
      </c>
      <c r="O235">
        <v>0</v>
      </c>
      <c r="P235">
        <v>25</v>
      </c>
      <c r="Q235">
        <v>42</v>
      </c>
      <c r="R235">
        <v>0.18099999999999999</v>
      </c>
      <c r="S235">
        <v>0.312</v>
      </c>
      <c r="T235">
        <v>0.35399999999999998</v>
      </c>
      <c r="U235">
        <v>0.66600000000000004</v>
      </c>
      <c r="V235">
        <v>54</v>
      </c>
    </row>
    <row r="236" spans="2:22" x14ac:dyDescent="0.3">
      <c r="B236" t="s">
        <v>959</v>
      </c>
      <c r="C236" t="s">
        <v>274</v>
      </c>
      <c r="D236" t="s">
        <v>1655</v>
      </c>
      <c r="E236" t="s">
        <v>1662</v>
      </c>
      <c r="F236">
        <v>-8.1</v>
      </c>
      <c r="G236">
        <v>37</v>
      </c>
      <c r="H236">
        <v>95</v>
      </c>
      <c r="I236">
        <v>87</v>
      </c>
      <c r="J236">
        <v>13</v>
      </c>
      <c r="K236">
        <v>21</v>
      </c>
      <c r="L236">
        <v>2</v>
      </c>
      <c r="M236">
        <v>7</v>
      </c>
      <c r="N236">
        <v>7</v>
      </c>
      <c r="O236">
        <v>0</v>
      </c>
      <c r="P236">
        <v>5</v>
      </c>
      <c r="Q236">
        <v>28</v>
      </c>
      <c r="R236">
        <v>0.24099999999999999</v>
      </c>
      <c r="S236">
        <v>0.30499999999999999</v>
      </c>
      <c r="T236">
        <v>0.379</v>
      </c>
      <c r="U236">
        <v>0.68400000000000005</v>
      </c>
      <c r="V236">
        <v>0</v>
      </c>
    </row>
    <row r="237" spans="2:22" x14ac:dyDescent="0.3">
      <c r="B237" t="s">
        <v>529</v>
      </c>
      <c r="C237" t="s">
        <v>246</v>
      </c>
      <c r="D237" t="s">
        <v>1527</v>
      </c>
      <c r="E237" t="s">
        <v>1527</v>
      </c>
      <c r="F237">
        <v>-8.1999999999999993</v>
      </c>
      <c r="G237">
        <v>28</v>
      </c>
      <c r="H237">
        <v>112</v>
      </c>
      <c r="I237">
        <v>103</v>
      </c>
      <c r="J237">
        <v>10</v>
      </c>
      <c r="K237">
        <v>30</v>
      </c>
      <c r="L237">
        <v>3</v>
      </c>
      <c r="M237">
        <v>10</v>
      </c>
      <c r="N237">
        <v>2</v>
      </c>
      <c r="O237">
        <v>0</v>
      </c>
      <c r="P237">
        <v>6</v>
      </c>
      <c r="Q237">
        <v>11</v>
      </c>
      <c r="R237">
        <v>0.29099999999999998</v>
      </c>
      <c r="S237">
        <v>0.33</v>
      </c>
      <c r="T237">
        <v>0.42699999999999999</v>
      </c>
      <c r="U237">
        <v>0.75700000000000001</v>
      </c>
      <c r="V237">
        <v>0</v>
      </c>
    </row>
    <row r="238" spans="2:22" x14ac:dyDescent="0.3">
      <c r="B238" t="s">
        <v>1706</v>
      </c>
      <c r="C238" t="s">
        <v>246</v>
      </c>
      <c r="D238" t="s">
        <v>1655</v>
      </c>
      <c r="E238" t="s">
        <v>1655</v>
      </c>
      <c r="F238">
        <v>-8.6</v>
      </c>
      <c r="G238">
        <v>29</v>
      </c>
      <c r="H238">
        <v>77</v>
      </c>
      <c r="I238">
        <v>69</v>
      </c>
      <c r="J238">
        <v>9</v>
      </c>
      <c r="K238">
        <v>20</v>
      </c>
      <c r="L238">
        <v>3</v>
      </c>
      <c r="M238">
        <v>10</v>
      </c>
      <c r="N238">
        <v>3</v>
      </c>
      <c r="O238">
        <v>0</v>
      </c>
      <c r="P238">
        <v>7</v>
      </c>
      <c r="Q238">
        <v>24</v>
      </c>
      <c r="R238">
        <v>0.28999999999999998</v>
      </c>
      <c r="S238">
        <v>0.36399999999999999</v>
      </c>
      <c r="T238">
        <v>0.55100000000000005</v>
      </c>
      <c r="U238">
        <v>0.91500000000000004</v>
      </c>
      <c r="V238">
        <v>2</v>
      </c>
    </row>
    <row r="239" spans="2:22" x14ac:dyDescent="0.3">
      <c r="B239" t="s">
        <v>921</v>
      </c>
      <c r="C239" t="s">
        <v>346</v>
      </c>
      <c r="D239" t="s">
        <v>1674</v>
      </c>
      <c r="E239" t="s">
        <v>1674</v>
      </c>
      <c r="F239">
        <v>-8.8000000000000007</v>
      </c>
      <c r="G239">
        <v>38</v>
      </c>
      <c r="H239">
        <v>131</v>
      </c>
      <c r="I239">
        <v>121</v>
      </c>
      <c r="J239">
        <v>11</v>
      </c>
      <c r="K239">
        <v>30</v>
      </c>
      <c r="L239">
        <v>2</v>
      </c>
      <c r="M239">
        <v>12</v>
      </c>
      <c r="N239">
        <v>2</v>
      </c>
      <c r="O239">
        <v>0</v>
      </c>
      <c r="P239">
        <v>10</v>
      </c>
      <c r="Q239">
        <v>35</v>
      </c>
      <c r="R239">
        <v>0.248</v>
      </c>
      <c r="S239">
        <v>0.30499999999999999</v>
      </c>
      <c r="T239">
        <v>0.33100000000000002</v>
      </c>
      <c r="U239">
        <v>0.63600000000000001</v>
      </c>
      <c r="V239">
        <v>87</v>
      </c>
    </row>
    <row r="240" spans="2:22" x14ac:dyDescent="0.3">
      <c r="B240" t="s">
        <v>3312</v>
      </c>
      <c r="C240" t="s">
        <v>235</v>
      </c>
      <c r="D240" t="s">
        <v>1655</v>
      </c>
      <c r="E240" t="s">
        <v>1655</v>
      </c>
      <c r="F240">
        <v>-8.8000000000000007</v>
      </c>
      <c r="G240">
        <v>10</v>
      </c>
      <c r="H240">
        <v>32</v>
      </c>
      <c r="I240">
        <v>31</v>
      </c>
      <c r="J240">
        <v>7</v>
      </c>
      <c r="K240">
        <v>13</v>
      </c>
      <c r="L240">
        <v>4</v>
      </c>
      <c r="M240">
        <v>7</v>
      </c>
      <c r="N240">
        <v>2</v>
      </c>
      <c r="O240">
        <v>0</v>
      </c>
      <c r="P240">
        <v>1</v>
      </c>
      <c r="Q240">
        <v>11</v>
      </c>
      <c r="R240">
        <v>0.41899999999999998</v>
      </c>
      <c r="S240">
        <v>0.438</v>
      </c>
      <c r="T240">
        <v>0.93500000000000005</v>
      </c>
      <c r="U240">
        <v>1.373</v>
      </c>
      <c r="V240">
        <v>39</v>
      </c>
    </row>
    <row r="241" spans="2:22" x14ac:dyDescent="0.3">
      <c r="B241" t="s">
        <v>1664</v>
      </c>
      <c r="C241" t="s">
        <v>235</v>
      </c>
      <c r="D241" t="s">
        <v>1531</v>
      </c>
      <c r="E241" t="s">
        <v>1531</v>
      </c>
      <c r="F241">
        <v>-8.9</v>
      </c>
      <c r="G241">
        <v>16</v>
      </c>
      <c r="H241">
        <v>59</v>
      </c>
      <c r="I241">
        <v>53</v>
      </c>
      <c r="J241">
        <v>5</v>
      </c>
      <c r="K241">
        <v>15</v>
      </c>
      <c r="L241">
        <v>4</v>
      </c>
      <c r="M241">
        <v>13</v>
      </c>
      <c r="N241">
        <v>0</v>
      </c>
      <c r="O241">
        <v>0</v>
      </c>
      <c r="P241">
        <v>4</v>
      </c>
      <c r="Q241">
        <v>15</v>
      </c>
      <c r="R241">
        <v>0.28299999999999997</v>
      </c>
      <c r="S241">
        <v>0.33900000000000002</v>
      </c>
      <c r="T241">
        <v>0.54700000000000004</v>
      </c>
      <c r="U241">
        <v>0.88600000000000001</v>
      </c>
      <c r="V241">
        <v>5</v>
      </c>
    </row>
    <row r="242" spans="2:22" x14ac:dyDescent="0.3">
      <c r="B242" t="s">
        <v>428</v>
      </c>
      <c r="C242" t="s">
        <v>1523</v>
      </c>
      <c r="D242" t="s">
        <v>1526</v>
      </c>
      <c r="E242" t="s">
        <v>1655</v>
      </c>
      <c r="F242">
        <v>-8.9</v>
      </c>
      <c r="G242">
        <v>36</v>
      </c>
      <c r="H242">
        <v>118</v>
      </c>
      <c r="I242">
        <v>96</v>
      </c>
      <c r="J242">
        <v>11</v>
      </c>
      <c r="K242">
        <v>19</v>
      </c>
      <c r="L242">
        <v>4</v>
      </c>
      <c r="M242">
        <v>21</v>
      </c>
      <c r="N242">
        <v>0</v>
      </c>
      <c r="O242">
        <v>0</v>
      </c>
      <c r="P242">
        <v>19</v>
      </c>
      <c r="Q242">
        <v>36</v>
      </c>
      <c r="R242">
        <v>0.19800000000000001</v>
      </c>
      <c r="S242">
        <v>0.33100000000000002</v>
      </c>
      <c r="T242">
        <v>0.39600000000000002</v>
      </c>
      <c r="U242">
        <v>0.72699999999999998</v>
      </c>
      <c r="V242">
        <v>0</v>
      </c>
    </row>
    <row r="243" spans="2:22" x14ac:dyDescent="0.3">
      <c r="B243" t="s">
        <v>1701</v>
      </c>
      <c r="C243" t="s">
        <v>325</v>
      </c>
      <c r="D243" t="s">
        <v>1531</v>
      </c>
      <c r="E243" t="s">
        <v>1531</v>
      </c>
      <c r="F243">
        <v>-9.1999999999999993</v>
      </c>
      <c r="G243">
        <v>29</v>
      </c>
      <c r="H243">
        <v>85</v>
      </c>
      <c r="I243">
        <v>75</v>
      </c>
      <c r="J243">
        <v>9</v>
      </c>
      <c r="K243">
        <v>22</v>
      </c>
      <c r="L243">
        <v>3</v>
      </c>
      <c r="M243">
        <v>9</v>
      </c>
      <c r="N243">
        <v>0</v>
      </c>
      <c r="O243">
        <v>0</v>
      </c>
      <c r="P243">
        <v>8</v>
      </c>
      <c r="Q243">
        <v>18</v>
      </c>
      <c r="R243">
        <v>0.29299999999999998</v>
      </c>
      <c r="S243">
        <v>0.36499999999999999</v>
      </c>
      <c r="T243">
        <v>0.44</v>
      </c>
      <c r="U243">
        <v>0.80500000000000005</v>
      </c>
      <c r="V243">
        <v>1</v>
      </c>
    </row>
    <row r="244" spans="2:22" x14ac:dyDescent="0.3">
      <c r="B244" t="s">
        <v>3156</v>
      </c>
      <c r="C244" t="s">
        <v>286</v>
      </c>
      <c r="D244" t="s">
        <v>1655</v>
      </c>
      <c r="E244" t="s">
        <v>1655</v>
      </c>
      <c r="F244">
        <v>-9.3000000000000007</v>
      </c>
      <c r="G244">
        <v>22</v>
      </c>
      <c r="H244">
        <v>83</v>
      </c>
      <c r="I244">
        <v>78</v>
      </c>
      <c r="J244">
        <v>10</v>
      </c>
      <c r="K244">
        <v>24</v>
      </c>
      <c r="L244">
        <v>2</v>
      </c>
      <c r="M244">
        <v>13</v>
      </c>
      <c r="N244">
        <v>0</v>
      </c>
      <c r="O244">
        <v>1</v>
      </c>
      <c r="P244">
        <v>5</v>
      </c>
      <c r="Q244">
        <v>17</v>
      </c>
      <c r="R244">
        <v>0.308</v>
      </c>
      <c r="S244">
        <v>0.34899999999999998</v>
      </c>
      <c r="T244">
        <v>0.47399999999999998</v>
      </c>
      <c r="U244">
        <v>0.82299999999999995</v>
      </c>
      <c r="V244">
        <v>60</v>
      </c>
    </row>
    <row r="245" spans="2:22" x14ac:dyDescent="0.3">
      <c r="B245" t="s">
        <v>464</v>
      </c>
      <c r="C245" t="s">
        <v>286</v>
      </c>
      <c r="D245" t="s">
        <v>80</v>
      </c>
      <c r="E245" t="s">
        <v>80</v>
      </c>
      <c r="F245">
        <v>-9.3000000000000007</v>
      </c>
      <c r="G245">
        <v>28</v>
      </c>
      <c r="H245">
        <v>93</v>
      </c>
      <c r="I245">
        <v>86</v>
      </c>
      <c r="J245">
        <v>13</v>
      </c>
      <c r="K245">
        <v>19</v>
      </c>
      <c r="L245">
        <v>6</v>
      </c>
      <c r="M245">
        <v>10</v>
      </c>
      <c r="N245">
        <v>0</v>
      </c>
      <c r="O245">
        <v>0</v>
      </c>
      <c r="P245">
        <v>6</v>
      </c>
      <c r="Q245">
        <v>31</v>
      </c>
      <c r="R245">
        <v>0.221</v>
      </c>
      <c r="S245">
        <v>0.26900000000000002</v>
      </c>
      <c r="T245">
        <v>0.47699999999999998</v>
      </c>
      <c r="U245">
        <v>0.746</v>
      </c>
      <c r="V245">
        <v>1</v>
      </c>
    </row>
    <row r="246" spans="2:22" x14ac:dyDescent="0.3">
      <c r="B246" t="s">
        <v>701</v>
      </c>
      <c r="C246" t="s">
        <v>311</v>
      </c>
      <c r="D246" t="s">
        <v>1663</v>
      </c>
      <c r="E246" t="s">
        <v>1663</v>
      </c>
      <c r="F246">
        <v>-9.6999999999999993</v>
      </c>
      <c r="G246">
        <v>37</v>
      </c>
      <c r="H246">
        <v>114</v>
      </c>
      <c r="I246">
        <v>109</v>
      </c>
      <c r="J246">
        <v>10</v>
      </c>
      <c r="K246">
        <v>30</v>
      </c>
      <c r="L246">
        <v>3</v>
      </c>
      <c r="M246">
        <v>11</v>
      </c>
      <c r="N246">
        <v>1</v>
      </c>
      <c r="O246">
        <v>0</v>
      </c>
      <c r="P246">
        <v>2</v>
      </c>
      <c r="Q246">
        <v>26</v>
      </c>
      <c r="R246">
        <v>0.27500000000000002</v>
      </c>
      <c r="S246">
        <v>0.29799999999999999</v>
      </c>
      <c r="T246">
        <v>0.42199999999999999</v>
      </c>
      <c r="U246">
        <v>0.72</v>
      </c>
      <c r="V246">
        <v>7</v>
      </c>
    </row>
    <row r="247" spans="2:22" x14ac:dyDescent="0.3">
      <c r="B247" t="s">
        <v>483</v>
      </c>
      <c r="C247" t="s">
        <v>270</v>
      </c>
      <c r="D247" t="s">
        <v>1655</v>
      </c>
      <c r="E247" t="s">
        <v>1655</v>
      </c>
      <c r="F247">
        <v>-9.6999999999999993</v>
      </c>
      <c r="G247">
        <v>43</v>
      </c>
      <c r="H247">
        <v>112</v>
      </c>
      <c r="I247">
        <v>95</v>
      </c>
      <c r="J247">
        <v>13</v>
      </c>
      <c r="K247">
        <v>22</v>
      </c>
      <c r="L247">
        <v>1</v>
      </c>
      <c r="M247">
        <v>13</v>
      </c>
      <c r="N247">
        <v>4</v>
      </c>
      <c r="O247">
        <v>0</v>
      </c>
      <c r="P247">
        <v>12</v>
      </c>
      <c r="Q247">
        <v>31</v>
      </c>
      <c r="R247">
        <v>0.23200000000000001</v>
      </c>
      <c r="S247">
        <v>0.33</v>
      </c>
      <c r="T247">
        <v>0.36799999999999999</v>
      </c>
      <c r="U247">
        <v>0.69799999999999995</v>
      </c>
      <c r="V247">
        <v>0</v>
      </c>
    </row>
    <row r="248" spans="2:22" x14ac:dyDescent="0.3">
      <c r="B248" t="s">
        <v>1685</v>
      </c>
      <c r="C248" t="s">
        <v>325</v>
      </c>
      <c r="D248" t="s">
        <v>1655</v>
      </c>
      <c r="E248" t="s">
        <v>1655</v>
      </c>
      <c r="F248">
        <v>-10</v>
      </c>
      <c r="G248">
        <v>36</v>
      </c>
      <c r="H248">
        <v>143</v>
      </c>
      <c r="I248">
        <v>136</v>
      </c>
      <c r="J248">
        <v>13</v>
      </c>
      <c r="K248">
        <v>28</v>
      </c>
      <c r="L248">
        <v>5</v>
      </c>
      <c r="M248">
        <v>11</v>
      </c>
      <c r="N248">
        <v>3</v>
      </c>
      <c r="O248">
        <v>0</v>
      </c>
      <c r="P248">
        <v>5</v>
      </c>
      <c r="Q248">
        <v>46</v>
      </c>
      <c r="R248">
        <v>0.20599999999999999</v>
      </c>
      <c r="S248">
        <v>0.245</v>
      </c>
      <c r="T248">
        <v>0.39700000000000002</v>
      </c>
      <c r="U248">
        <v>0.64200000000000002</v>
      </c>
      <c r="V248">
        <v>93</v>
      </c>
    </row>
    <row r="249" spans="2:22" x14ac:dyDescent="0.3">
      <c r="B249" t="s">
        <v>871</v>
      </c>
      <c r="C249" t="s">
        <v>1523</v>
      </c>
      <c r="D249" t="s">
        <v>1526</v>
      </c>
      <c r="E249" t="s">
        <v>1526</v>
      </c>
      <c r="F249">
        <v>-10.4</v>
      </c>
      <c r="G249">
        <v>32</v>
      </c>
      <c r="H249">
        <v>104</v>
      </c>
      <c r="I249">
        <v>99</v>
      </c>
      <c r="J249">
        <v>7</v>
      </c>
      <c r="K249">
        <v>25</v>
      </c>
      <c r="L249">
        <v>3</v>
      </c>
      <c r="M249">
        <v>16</v>
      </c>
      <c r="N249">
        <v>1</v>
      </c>
      <c r="O249">
        <v>0</v>
      </c>
      <c r="P249">
        <v>3</v>
      </c>
      <c r="Q249">
        <v>33</v>
      </c>
      <c r="R249">
        <v>0.253</v>
      </c>
      <c r="S249">
        <v>0.27900000000000003</v>
      </c>
      <c r="T249">
        <v>0.40400000000000003</v>
      </c>
      <c r="U249">
        <v>0.68300000000000005</v>
      </c>
      <c r="V249">
        <v>1</v>
      </c>
    </row>
    <row r="250" spans="2:22" x14ac:dyDescent="0.3">
      <c r="B250" t="s">
        <v>1244</v>
      </c>
      <c r="C250" t="s">
        <v>346</v>
      </c>
      <c r="D250" t="s">
        <v>1655</v>
      </c>
      <c r="E250" t="s">
        <v>1655</v>
      </c>
      <c r="F250">
        <v>-10.5</v>
      </c>
      <c r="G250">
        <v>36</v>
      </c>
      <c r="H250">
        <v>118</v>
      </c>
      <c r="I250">
        <v>102</v>
      </c>
      <c r="J250">
        <v>13</v>
      </c>
      <c r="K250">
        <v>25</v>
      </c>
      <c r="L250">
        <v>1</v>
      </c>
      <c r="M250">
        <v>10</v>
      </c>
      <c r="N250">
        <v>4</v>
      </c>
      <c r="O250">
        <v>0</v>
      </c>
      <c r="P250">
        <v>16</v>
      </c>
      <c r="Q250">
        <v>25</v>
      </c>
      <c r="R250">
        <v>0.245</v>
      </c>
      <c r="S250">
        <v>0.34699999999999998</v>
      </c>
      <c r="T250">
        <v>0.33300000000000002</v>
      </c>
      <c r="U250">
        <v>0.68</v>
      </c>
      <c r="V250">
        <v>1</v>
      </c>
    </row>
    <row r="251" spans="2:22" x14ac:dyDescent="0.3">
      <c r="B251" t="s">
        <v>905</v>
      </c>
      <c r="C251" t="s">
        <v>325</v>
      </c>
      <c r="D251" t="s">
        <v>80</v>
      </c>
      <c r="E251" t="s">
        <v>1660</v>
      </c>
      <c r="F251">
        <v>-10.8</v>
      </c>
      <c r="G251">
        <v>44</v>
      </c>
      <c r="H251">
        <v>155</v>
      </c>
      <c r="I251">
        <v>135</v>
      </c>
      <c r="J251">
        <v>13</v>
      </c>
      <c r="K251">
        <v>28</v>
      </c>
      <c r="L251">
        <v>3</v>
      </c>
      <c r="M251">
        <v>12</v>
      </c>
      <c r="N251">
        <v>4</v>
      </c>
      <c r="O251">
        <v>1</v>
      </c>
      <c r="P251">
        <v>18</v>
      </c>
      <c r="Q251">
        <v>41</v>
      </c>
      <c r="R251">
        <v>0.20699999999999999</v>
      </c>
      <c r="S251">
        <v>0.30299999999999999</v>
      </c>
      <c r="T251">
        <v>0.30399999999999999</v>
      </c>
      <c r="U251">
        <v>0.60699999999999998</v>
      </c>
      <c r="V251">
        <v>0</v>
      </c>
    </row>
    <row r="252" spans="2:22" x14ac:dyDescent="0.3">
      <c r="B252" t="s">
        <v>604</v>
      </c>
      <c r="C252" t="s">
        <v>250</v>
      </c>
      <c r="D252" t="s">
        <v>1655</v>
      </c>
      <c r="E252" t="s">
        <v>1655</v>
      </c>
      <c r="F252">
        <v>-10.8</v>
      </c>
      <c r="G252">
        <v>27</v>
      </c>
      <c r="H252">
        <v>75</v>
      </c>
      <c r="I252">
        <v>69</v>
      </c>
      <c r="J252">
        <v>11</v>
      </c>
      <c r="K252">
        <v>17</v>
      </c>
      <c r="L252">
        <v>3</v>
      </c>
      <c r="M252">
        <v>6</v>
      </c>
      <c r="N252">
        <v>4</v>
      </c>
      <c r="O252">
        <v>0</v>
      </c>
      <c r="P252">
        <v>6</v>
      </c>
      <c r="Q252">
        <v>32</v>
      </c>
      <c r="R252">
        <v>0.246</v>
      </c>
      <c r="S252">
        <v>0.307</v>
      </c>
      <c r="T252">
        <v>0.44900000000000001</v>
      </c>
      <c r="U252">
        <v>0.75600000000000001</v>
      </c>
      <c r="V252">
        <v>1</v>
      </c>
    </row>
    <row r="253" spans="2:22" x14ac:dyDescent="0.3">
      <c r="B253" t="s">
        <v>497</v>
      </c>
      <c r="C253" t="s">
        <v>221</v>
      </c>
      <c r="D253" t="s">
        <v>1655</v>
      </c>
      <c r="E253" t="s">
        <v>1655</v>
      </c>
      <c r="F253">
        <v>-10.9</v>
      </c>
      <c r="G253">
        <v>32</v>
      </c>
      <c r="H253">
        <v>76</v>
      </c>
      <c r="I253">
        <v>68</v>
      </c>
      <c r="J253">
        <v>11</v>
      </c>
      <c r="K253">
        <v>18</v>
      </c>
      <c r="L253">
        <v>1</v>
      </c>
      <c r="M253">
        <v>7</v>
      </c>
      <c r="N253">
        <v>5</v>
      </c>
      <c r="O253">
        <v>0</v>
      </c>
      <c r="P253">
        <v>8</v>
      </c>
      <c r="Q253">
        <v>15</v>
      </c>
      <c r="R253">
        <v>0.26500000000000001</v>
      </c>
      <c r="S253">
        <v>0.34200000000000003</v>
      </c>
      <c r="T253">
        <v>0.35299999999999998</v>
      </c>
      <c r="U253">
        <v>0.69499999999999995</v>
      </c>
      <c r="V253">
        <v>1</v>
      </c>
    </row>
    <row r="254" spans="2:22" x14ac:dyDescent="0.3">
      <c r="B254" t="s">
        <v>363</v>
      </c>
      <c r="C254" t="s">
        <v>255</v>
      </c>
      <c r="D254" t="s">
        <v>1655</v>
      </c>
      <c r="E254" t="s">
        <v>1655</v>
      </c>
      <c r="F254">
        <v>-10.9</v>
      </c>
      <c r="G254">
        <v>38</v>
      </c>
      <c r="H254">
        <v>122</v>
      </c>
      <c r="I254">
        <v>113</v>
      </c>
      <c r="J254">
        <v>15</v>
      </c>
      <c r="K254">
        <v>26</v>
      </c>
      <c r="L254">
        <v>3</v>
      </c>
      <c r="M254">
        <v>12</v>
      </c>
      <c r="N254">
        <v>0</v>
      </c>
      <c r="O254">
        <v>1</v>
      </c>
      <c r="P254">
        <v>8</v>
      </c>
      <c r="Q254">
        <v>14</v>
      </c>
      <c r="R254">
        <v>0.23</v>
      </c>
      <c r="S254">
        <v>0.28699999999999998</v>
      </c>
      <c r="T254">
        <v>0.38100000000000001</v>
      </c>
      <c r="U254">
        <v>0.66800000000000004</v>
      </c>
      <c r="V254">
        <v>1</v>
      </c>
    </row>
    <row r="255" spans="2:22" x14ac:dyDescent="0.3">
      <c r="B255" t="s">
        <v>912</v>
      </c>
      <c r="C255" t="s">
        <v>1520</v>
      </c>
      <c r="D255" t="s">
        <v>79</v>
      </c>
      <c r="E255" t="s">
        <v>79</v>
      </c>
      <c r="F255">
        <v>-10.9</v>
      </c>
      <c r="G255">
        <v>44</v>
      </c>
      <c r="H255">
        <v>148</v>
      </c>
      <c r="I255">
        <v>135</v>
      </c>
      <c r="J255">
        <v>13</v>
      </c>
      <c r="K255">
        <v>29</v>
      </c>
      <c r="L255">
        <v>3</v>
      </c>
      <c r="M255">
        <v>14</v>
      </c>
      <c r="N255">
        <v>2</v>
      </c>
      <c r="O255">
        <v>0</v>
      </c>
      <c r="P255">
        <v>8</v>
      </c>
      <c r="Q255">
        <v>49</v>
      </c>
      <c r="R255">
        <v>0.215</v>
      </c>
      <c r="S255">
        <v>0.26400000000000001</v>
      </c>
      <c r="T255">
        <v>0.311</v>
      </c>
      <c r="U255">
        <v>0.57499999999999996</v>
      </c>
      <c r="V255">
        <v>7</v>
      </c>
    </row>
    <row r="256" spans="2:22" x14ac:dyDescent="0.3">
      <c r="B256" t="s">
        <v>602</v>
      </c>
      <c r="C256" t="s">
        <v>246</v>
      </c>
      <c r="D256" t="s">
        <v>1527</v>
      </c>
      <c r="E256" t="s">
        <v>1527</v>
      </c>
      <c r="F256">
        <v>-11</v>
      </c>
      <c r="G256">
        <v>34</v>
      </c>
      <c r="H256">
        <v>142</v>
      </c>
      <c r="I256">
        <v>133</v>
      </c>
      <c r="J256">
        <v>8</v>
      </c>
      <c r="K256">
        <v>31</v>
      </c>
      <c r="L256">
        <v>4</v>
      </c>
      <c r="M256">
        <v>17</v>
      </c>
      <c r="N256">
        <v>0</v>
      </c>
      <c r="O256">
        <v>0</v>
      </c>
      <c r="P256">
        <v>7</v>
      </c>
      <c r="Q256">
        <v>42</v>
      </c>
      <c r="R256">
        <v>0.23300000000000001</v>
      </c>
      <c r="S256">
        <v>0.27500000000000002</v>
      </c>
      <c r="T256">
        <v>0.376</v>
      </c>
      <c r="U256">
        <v>0.65100000000000002</v>
      </c>
      <c r="V256">
        <v>25</v>
      </c>
    </row>
    <row r="257" spans="2:22" x14ac:dyDescent="0.3">
      <c r="B257" t="s">
        <v>3056</v>
      </c>
      <c r="C257" t="s">
        <v>221</v>
      </c>
      <c r="D257" t="s">
        <v>1708</v>
      </c>
      <c r="E257" t="s">
        <v>1708</v>
      </c>
      <c r="F257">
        <v>-11.1</v>
      </c>
      <c r="G257">
        <v>23</v>
      </c>
      <c r="H257">
        <v>71</v>
      </c>
      <c r="I257">
        <v>66</v>
      </c>
      <c r="J257">
        <v>6</v>
      </c>
      <c r="K257">
        <v>18</v>
      </c>
      <c r="L257">
        <v>3</v>
      </c>
      <c r="M257">
        <v>10</v>
      </c>
      <c r="N257">
        <v>3</v>
      </c>
      <c r="O257">
        <v>0</v>
      </c>
      <c r="P257">
        <v>4</v>
      </c>
      <c r="Q257">
        <v>17</v>
      </c>
      <c r="R257">
        <v>0.27300000000000002</v>
      </c>
      <c r="S257">
        <v>0.32400000000000001</v>
      </c>
      <c r="T257">
        <v>0.47</v>
      </c>
      <c r="U257">
        <v>0.79400000000000004</v>
      </c>
      <c r="V257">
        <v>16</v>
      </c>
    </row>
    <row r="258" spans="2:22" x14ac:dyDescent="0.3">
      <c r="B258" t="s">
        <v>3153</v>
      </c>
      <c r="C258" t="s">
        <v>266</v>
      </c>
      <c r="D258" t="s">
        <v>1655</v>
      </c>
      <c r="E258" t="s">
        <v>1655</v>
      </c>
      <c r="F258">
        <v>-11.3</v>
      </c>
      <c r="G258">
        <v>18</v>
      </c>
      <c r="H258">
        <v>77</v>
      </c>
      <c r="I258">
        <v>68</v>
      </c>
      <c r="J258">
        <v>12</v>
      </c>
      <c r="K258">
        <v>22</v>
      </c>
      <c r="L258">
        <v>1</v>
      </c>
      <c r="M258">
        <v>7</v>
      </c>
      <c r="N258">
        <v>1</v>
      </c>
      <c r="O258">
        <v>0</v>
      </c>
      <c r="P258">
        <v>8</v>
      </c>
      <c r="Q258">
        <v>15</v>
      </c>
      <c r="R258">
        <v>0.32400000000000001</v>
      </c>
      <c r="S258">
        <v>0.39</v>
      </c>
      <c r="T258">
        <v>0.441</v>
      </c>
      <c r="U258">
        <v>0.83099999999999996</v>
      </c>
      <c r="V258">
        <v>96</v>
      </c>
    </row>
    <row r="259" spans="2:22" x14ac:dyDescent="0.3">
      <c r="B259" t="s">
        <v>470</v>
      </c>
      <c r="C259" t="s">
        <v>243</v>
      </c>
      <c r="D259" t="s">
        <v>1529</v>
      </c>
      <c r="E259" t="s">
        <v>1529</v>
      </c>
      <c r="F259">
        <v>-11.3</v>
      </c>
      <c r="G259">
        <v>32</v>
      </c>
      <c r="H259">
        <v>138</v>
      </c>
      <c r="I259">
        <v>131</v>
      </c>
      <c r="J259">
        <v>14</v>
      </c>
      <c r="K259">
        <v>32</v>
      </c>
      <c r="L259">
        <v>0</v>
      </c>
      <c r="M259">
        <v>7</v>
      </c>
      <c r="N259">
        <v>6</v>
      </c>
      <c r="O259">
        <v>1</v>
      </c>
      <c r="P259">
        <v>7</v>
      </c>
      <c r="Q259">
        <v>26</v>
      </c>
      <c r="R259">
        <v>0.24399999999999999</v>
      </c>
      <c r="S259">
        <v>0.28299999999999997</v>
      </c>
      <c r="T259">
        <v>0.28199999999999997</v>
      </c>
      <c r="U259">
        <v>0.56499999999999995</v>
      </c>
      <c r="V259">
        <v>100</v>
      </c>
    </row>
    <row r="260" spans="2:22" x14ac:dyDescent="0.3">
      <c r="B260" t="s">
        <v>935</v>
      </c>
      <c r="C260" t="s">
        <v>339</v>
      </c>
      <c r="D260" t="s">
        <v>80</v>
      </c>
      <c r="E260" t="s">
        <v>80</v>
      </c>
      <c r="F260">
        <v>-11.4</v>
      </c>
      <c r="G260">
        <v>29</v>
      </c>
      <c r="H260">
        <v>89</v>
      </c>
      <c r="I260">
        <v>82</v>
      </c>
      <c r="J260">
        <v>10</v>
      </c>
      <c r="K260">
        <v>18</v>
      </c>
      <c r="L260">
        <v>4</v>
      </c>
      <c r="M260">
        <v>12</v>
      </c>
      <c r="N260">
        <v>1</v>
      </c>
      <c r="O260">
        <v>0</v>
      </c>
      <c r="P260">
        <v>6</v>
      </c>
      <c r="Q260">
        <v>17</v>
      </c>
      <c r="R260">
        <v>0.22</v>
      </c>
      <c r="S260">
        <v>0.27</v>
      </c>
      <c r="T260">
        <v>0.41499999999999998</v>
      </c>
      <c r="U260">
        <v>0.68500000000000005</v>
      </c>
      <c r="V260">
        <v>1</v>
      </c>
    </row>
    <row r="261" spans="2:22" x14ac:dyDescent="0.3">
      <c r="B261" t="s">
        <v>447</v>
      </c>
      <c r="C261" t="s">
        <v>231</v>
      </c>
      <c r="D261" t="s">
        <v>1531</v>
      </c>
      <c r="E261" t="s">
        <v>1531</v>
      </c>
      <c r="F261">
        <v>-11.4</v>
      </c>
      <c r="G261">
        <v>25</v>
      </c>
      <c r="H261">
        <v>70</v>
      </c>
      <c r="I261">
        <v>64</v>
      </c>
      <c r="J261">
        <v>7</v>
      </c>
      <c r="K261">
        <v>21</v>
      </c>
      <c r="L261">
        <v>1</v>
      </c>
      <c r="M261">
        <v>9</v>
      </c>
      <c r="N261">
        <v>0</v>
      </c>
      <c r="O261">
        <v>0</v>
      </c>
      <c r="P261">
        <v>4</v>
      </c>
      <c r="Q261">
        <v>13</v>
      </c>
      <c r="R261">
        <v>0.32800000000000001</v>
      </c>
      <c r="S261">
        <v>0.371</v>
      </c>
      <c r="T261">
        <v>0.46899999999999997</v>
      </c>
      <c r="U261">
        <v>0.84</v>
      </c>
      <c r="V261">
        <v>1</v>
      </c>
    </row>
    <row r="262" spans="2:22" x14ac:dyDescent="0.3">
      <c r="B262" t="s">
        <v>3313</v>
      </c>
      <c r="C262" t="s">
        <v>1521</v>
      </c>
      <c r="D262" t="s">
        <v>80</v>
      </c>
      <c r="E262" t="s">
        <v>1663</v>
      </c>
      <c r="F262">
        <v>-11.4</v>
      </c>
      <c r="G262">
        <v>15</v>
      </c>
      <c r="H262">
        <v>58</v>
      </c>
      <c r="I262">
        <v>58</v>
      </c>
      <c r="J262">
        <v>7</v>
      </c>
      <c r="K262">
        <v>19</v>
      </c>
      <c r="L262">
        <v>2</v>
      </c>
      <c r="M262">
        <v>10</v>
      </c>
      <c r="N262">
        <v>1</v>
      </c>
      <c r="O262">
        <v>1</v>
      </c>
      <c r="P262">
        <v>0</v>
      </c>
      <c r="Q262">
        <v>11</v>
      </c>
      <c r="R262">
        <v>0.32800000000000001</v>
      </c>
      <c r="S262">
        <v>0.32800000000000001</v>
      </c>
      <c r="T262">
        <v>0.5</v>
      </c>
      <c r="U262">
        <v>0.82799999999999996</v>
      </c>
      <c r="V262">
        <v>83</v>
      </c>
    </row>
    <row r="263" spans="2:22" x14ac:dyDescent="0.3">
      <c r="B263" t="s">
        <v>3021</v>
      </c>
      <c r="C263" t="s">
        <v>339</v>
      </c>
      <c r="D263" t="s">
        <v>80</v>
      </c>
      <c r="E263" t="s">
        <v>80</v>
      </c>
      <c r="F263">
        <v>-11.4</v>
      </c>
      <c r="G263">
        <v>31</v>
      </c>
      <c r="H263">
        <v>112</v>
      </c>
      <c r="I263">
        <v>100</v>
      </c>
      <c r="J263">
        <v>12</v>
      </c>
      <c r="K263">
        <v>24</v>
      </c>
      <c r="L263">
        <v>4</v>
      </c>
      <c r="M263">
        <v>10</v>
      </c>
      <c r="N263">
        <v>0</v>
      </c>
      <c r="O263">
        <v>0</v>
      </c>
      <c r="P263">
        <v>11</v>
      </c>
      <c r="Q263">
        <v>23</v>
      </c>
      <c r="R263">
        <v>0.24</v>
      </c>
      <c r="S263">
        <v>0.32100000000000001</v>
      </c>
      <c r="T263">
        <v>0.4</v>
      </c>
      <c r="U263">
        <v>0.72099999999999997</v>
      </c>
      <c r="V263">
        <v>99</v>
      </c>
    </row>
    <row r="264" spans="2:22" x14ac:dyDescent="0.3">
      <c r="B264" t="s">
        <v>787</v>
      </c>
      <c r="C264" t="s">
        <v>255</v>
      </c>
      <c r="D264" t="s">
        <v>1660</v>
      </c>
      <c r="E264" t="s">
        <v>1660</v>
      </c>
      <c r="F264">
        <v>-11.5</v>
      </c>
      <c r="G264">
        <v>20</v>
      </c>
      <c r="H264">
        <v>78</v>
      </c>
      <c r="I264">
        <v>73</v>
      </c>
      <c r="J264">
        <v>8</v>
      </c>
      <c r="K264">
        <v>20</v>
      </c>
      <c r="L264">
        <v>2</v>
      </c>
      <c r="M264">
        <v>11</v>
      </c>
      <c r="N264">
        <v>2</v>
      </c>
      <c r="O264">
        <v>0</v>
      </c>
      <c r="P264">
        <v>3</v>
      </c>
      <c r="Q264">
        <v>20</v>
      </c>
      <c r="R264">
        <v>0.27400000000000002</v>
      </c>
      <c r="S264">
        <v>0.32100000000000001</v>
      </c>
      <c r="T264">
        <v>0.39700000000000002</v>
      </c>
      <c r="U264">
        <v>0.71799999999999997</v>
      </c>
      <c r="V264">
        <v>86</v>
      </c>
    </row>
    <row r="265" spans="2:22" x14ac:dyDescent="0.3">
      <c r="B265" t="s">
        <v>429</v>
      </c>
      <c r="C265" t="s">
        <v>222</v>
      </c>
      <c r="D265" t="s">
        <v>1531</v>
      </c>
      <c r="E265" t="s">
        <v>1531</v>
      </c>
      <c r="F265">
        <v>-11.6</v>
      </c>
      <c r="G265">
        <v>30</v>
      </c>
      <c r="H265">
        <v>102</v>
      </c>
      <c r="I265">
        <v>96</v>
      </c>
      <c r="J265">
        <v>11</v>
      </c>
      <c r="K265">
        <v>21</v>
      </c>
      <c r="L265">
        <v>3</v>
      </c>
      <c r="M265">
        <v>11</v>
      </c>
      <c r="N265">
        <v>0</v>
      </c>
      <c r="O265">
        <v>0</v>
      </c>
      <c r="P265">
        <v>6</v>
      </c>
      <c r="Q265">
        <v>13</v>
      </c>
      <c r="R265">
        <v>0.219</v>
      </c>
      <c r="S265">
        <v>0.26500000000000001</v>
      </c>
      <c r="T265">
        <v>0.33300000000000002</v>
      </c>
      <c r="U265">
        <v>0.59799999999999998</v>
      </c>
      <c r="V265">
        <v>8</v>
      </c>
    </row>
    <row r="266" spans="2:22" x14ac:dyDescent="0.3">
      <c r="B266" t="s">
        <v>958</v>
      </c>
      <c r="C266" t="s">
        <v>234</v>
      </c>
      <c r="D266" t="s">
        <v>1527</v>
      </c>
      <c r="E266" t="s">
        <v>1527</v>
      </c>
      <c r="F266">
        <v>-11.7</v>
      </c>
      <c r="G266">
        <v>34</v>
      </c>
      <c r="H266">
        <v>127</v>
      </c>
      <c r="I266">
        <v>110</v>
      </c>
      <c r="J266">
        <v>13</v>
      </c>
      <c r="K266">
        <v>29</v>
      </c>
      <c r="L266">
        <v>2</v>
      </c>
      <c r="M266">
        <v>10</v>
      </c>
      <c r="N266">
        <v>0</v>
      </c>
      <c r="O266">
        <v>0</v>
      </c>
      <c r="P266">
        <v>16</v>
      </c>
      <c r="Q266">
        <v>49</v>
      </c>
      <c r="R266">
        <v>0.26400000000000001</v>
      </c>
      <c r="S266">
        <v>0.36199999999999999</v>
      </c>
      <c r="T266">
        <v>0.40899999999999997</v>
      </c>
      <c r="U266">
        <v>0.77100000000000002</v>
      </c>
      <c r="V266">
        <v>6</v>
      </c>
    </row>
    <row r="267" spans="2:22" x14ac:dyDescent="0.3">
      <c r="B267" t="s">
        <v>410</v>
      </c>
      <c r="C267" t="s">
        <v>346</v>
      </c>
      <c r="D267" t="s">
        <v>1531</v>
      </c>
      <c r="E267" t="s">
        <v>1531</v>
      </c>
      <c r="F267">
        <v>-11.7</v>
      </c>
      <c r="G267">
        <v>32</v>
      </c>
      <c r="H267">
        <v>97</v>
      </c>
      <c r="I267">
        <v>86</v>
      </c>
      <c r="J267">
        <v>9</v>
      </c>
      <c r="K267">
        <v>14</v>
      </c>
      <c r="L267">
        <v>5</v>
      </c>
      <c r="M267">
        <v>14</v>
      </c>
      <c r="N267">
        <v>0</v>
      </c>
      <c r="O267">
        <v>0</v>
      </c>
      <c r="P267">
        <v>10</v>
      </c>
      <c r="Q267">
        <v>35</v>
      </c>
      <c r="R267">
        <v>0.16300000000000001</v>
      </c>
      <c r="S267">
        <v>0.25800000000000001</v>
      </c>
      <c r="T267">
        <v>0.38400000000000001</v>
      </c>
      <c r="U267">
        <v>0.64200000000000002</v>
      </c>
      <c r="V267">
        <v>1</v>
      </c>
    </row>
    <row r="268" spans="2:22" x14ac:dyDescent="0.3">
      <c r="B268" t="s">
        <v>538</v>
      </c>
      <c r="C268" t="s">
        <v>222</v>
      </c>
      <c r="D268" t="s">
        <v>1655</v>
      </c>
      <c r="E268" t="s">
        <v>1655</v>
      </c>
      <c r="F268">
        <v>-11.8</v>
      </c>
      <c r="G268">
        <v>13</v>
      </c>
      <c r="H268">
        <v>54</v>
      </c>
      <c r="I268">
        <v>52</v>
      </c>
      <c r="J268">
        <v>7</v>
      </c>
      <c r="K268">
        <v>14</v>
      </c>
      <c r="L268">
        <v>4</v>
      </c>
      <c r="M268">
        <v>11</v>
      </c>
      <c r="N268">
        <v>0</v>
      </c>
      <c r="O268">
        <v>0</v>
      </c>
      <c r="P268">
        <v>2</v>
      </c>
      <c r="Q268">
        <v>11</v>
      </c>
      <c r="R268">
        <v>0.26900000000000002</v>
      </c>
      <c r="S268">
        <v>0.29599999999999999</v>
      </c>
      <c r="T268">
        <v>0.55800000000000005</v>
      </c>
      <c r="U268">
        <v>0.85399999999999998</v>
      </c>
      <c r="V268">
        <v>100</v>
      </c>
    </row>
    <row r="269" spans="2:22" x14ac:dyDescent="0.3">
      <c r="B269" t="s">
        <v>460</v>
      </c>
      <c r="C269" t="s">
        <v>251</v>
      </c>
      <c r="D269" t="s">
        <v>1655</v>
      </c>
      <c r="E269" t="s">
        <v>1655</v>
      </c>
      <c r="F269">
        <v>-11.8</v>
      </c>
      <c r="G269">
        <v>41</v>
      </c>
      <c r="H269">
        <v>115</v>
      </c>
      <c r="I269">
        <v>108</v>
      </c>
      <c r="J269">
        <v>12</v>
      </c>
      <c r="K269">
        <v>23</v>
      </c>
      <c r="L269">
        <v>2</v>
      </c>
      <c r="M269">
        <v>11</v>
      </c>
      <c r="N269">
        <v>4</v>
      </c>
      <c r="O269">
        <v>1</v>
      </c>
      <c r="P269">
        <v>4</v>
      </c>
      <c r="Q269">
        <v>18</v>
      </c>
      <c r="R269">
        <v>0.21299999999999999</v>
      </c>
      <c r="S269">
        <v>0.252</v>
      </c>
      <c r="T269">
        <v>0.30599999999999999</v>
      </c>
      <c r="U269">
        <v>0.55800000000000005</v>
      </c>
      <c r="V269">
        <v>1</v>
      </c>
    </row>
    <row r="270" spans="2:22" x14ac:dyDescent="0.3">
      <c r="B270" t="s">
        <v>961</v>
      </c>
      <c r="C270" t="s">
        <v>251</v>
      </c>
      <c r="D270" t="s">
        <v>1527</v>
      </c>
      <c r="E270" t="s">
        <v>1527</v>
      </c>
      <c r="F270">
        <v>-12</v>
      </c>
      <c r="G270">
        <v>47</v>
      </c>
      <c r="H270">
        <v>194</v>
      </c>
      <c r="I270">
        <v>164</v>
      </c>
      <c r="J270">
        <v>7</v>
      </c>
      <c r="K270">
        <v>37</v>
      </c>
      <c r="L270">
        <v>3</v>
      </c>
      <c r="M270">
        <v>21</v>
      </c>
      <c r="N270">
        <v>0</v>
      </c>
      <c r="O270">
        <v>0</v>
      </c>
      <c r="P270">
        <v>29</v>
      </c>
      <c r="Q270">
        <v>39</v>
      </c>
      <c r="R270">
        <v>0.22600000000000001</v>
      </c>
      <c r="S270">
        <v>0.34</v>
      </c>
      <c r="T270">
        <v>0.34100000000000003</v>
      </c>
      <c r="U270">
        <v>0.68100000000000005</v>
      </c>
      <c r="V270">
        <v>92</v>
      </c>
    </row>
    <row r="271" spans="2:22" x14ac:dyDescent="0.3">
      <c r="B271" t="s">
        <v>897</v>
      </c>
      <c r="C271" t="s">
        <v>226</v>
      </c>
      <c r="D271" t="s">
        <v>1655</v>
      </c>
      <c r="E271" t="s">
        <v>1655</v>
      </c>
      <c r="F271">
        <v>-12</v>
      </c>
      <c r="G271">
        <v>41</v>
      </c>
      <c r="H271">
        <v>124</v>
      </c>
      <c r="I271">
        <v>115</v>
      </c>
      <c r="J271">
        <v>11</v>
      </c>
      <c r="K271">
        <v>24</v>
      </c>
      <c r="L271">
        <v>2</v>
      </c>
      <c r="M271">
        <v>18</v>
      </c>
      <c r="N271">
        <v>1</v>
      </c>
      <c r="O271">
        <v>0</v>
      </c>
      <c r="P271">
        <v>7</v>
      </c>
      <c r="Q271">
        <v>21</v>
      </c>
      <c r="R271">
        <v>0.20899999999999999</v>
      </c>
      <c r="S271">
        <v>0.25</v>
      </c>
      <c r="T271">
        <v>0.32200000000000001</v>
      </c>
      <c r="U271">
        <v>0.57199999999999995</v>
      </c>
      <c r="V271">
        <v>0</v>
      </c>
    </row>
    <row r="272" spans="2:22" x14ac:dyDescent="0.3">
      <c r="B272" t="s">
        <v>3150</v>
      </c>
      <c r="C272" t="s">
        <v>286</v>
      </c>
      <c r="D272" t="s">
        <v>80</v>
      </c>
      <c r="E272" t="s">
        <v>80</v>
      </c>
      <c r="F272">
        <v>-12</v>
      </c>
      <c r="G272">
        <v>20</v>
      </c>
      <c r="H272">
        <v>65</v>
      </c>
      <c r="I272">
        <v>62</v>
      </c>
      <c r="J272">
        <v>10</v>
      </c>
      <c r="K272">
        <v>20</v>
      </c>
      <c r="L272">
        <v>1</v>
      </c>
      <c r="M272">
        <v>10</v>
      </c>
      <c r="N272">
        <v>0</v>
      </c>
      <c r="O272">
        <v>0</v>
      </c>
      <c r="P272">
        <v>3</v>
      </c>
      <c r="Q272">
        <v>7</v>
      </c>
      <c r="R272">
        <v>0.32300000000000001</v>
      </c>
      <c r="S272">
        <v>0.35399999999999998</v>
      </c>
      <c r="T272">
        <v>0.45200000000000001</v>
      </c>
      <c r="U272">
        <v>0.80600000000000005</v>
      </c>
      <c r="V272">
        <v>0</v>
      </c>
    </row>
    <row r="273" spans="2:22" x14ac:dyDescent="0.3">
      <c r="B273" t="s">
        <v>486</v>
      </c>
      <c r="C273" t="s">
        <v>1524</v>
      </c>
      <c r="D273" t="s">
        <v>1655</v>
      </c>
      <c r="E273" t="s">
        <v>1655</v>
      </c>
      <c r="F273">
        <v>-12.1</v>
      </c>
      <c r="G273">
        <v>24</v>
      </c>
      <c r="H273">
        <v>91</v>
      </c>
      <c r="I273">
        <v>83</v>
      </c>
      <c r="J273">
        <v>16</v>
      </c>
      <c r="K273">
        <v>21</v>
      </c>
      <c r="L273">
        <v>1</v>
      </c>
      <c r="M273">
        <v>8</v>
      </c>
      <c r="N273">
        <v>1</v>
      </c>
      <c r="O273">
        <v>0</v>
      </c>
      <c r="P273">
        <v>6</v>
      </c>
      <c r="Q273">
        <v>29</v>
      </c>
      <c r="R273">
        <v>0.253</v>
      </c>
      <c r="S273">
        <v>0.31900000000000001</v>
      </c>
      <c r="T273">
        <v>0.32500000000000001</v>
      </c>
      <c r="U273">
        <v>0.64400000000000002</v>
      </c>
      <c r="V273">
        <v>1</v>
      </c>
    </row>
    <row r="274" spans="2:22" x14ac:dyDescent="0.3">
      <c r="B274" t="s">
        <v>1245</v>
      </c>
      <c r="C274" t="s">
        <v>311</v>
      </c>
      <c r="D274" t="s">
        <v>1657</v>
      </c>
      <c r="E274" t="s">
        <v>1719</v>
      </c>
      <c r="F274">
        <v>-12.1</v>
      </c>
      <c r="G274">
        <v>23</v>
      </c>
      <c r="H274">
        <v>62</v>
      </c>
      <c r="I274">
        <v>57</v>
      </c>
      <c r="J274">
        <v>9</v>
      </c>
      <c r="K274">
        <v>14</v>
      </c>
      <c r="L274">
        <v>4</v>
      </c>
      <c r="M274">
        <v>10</v>
      </c>
      <c r="N274">
        <v>0</v>
      </c>
      <c r="O274">
        <v>0</v>
      </c>
      <c r="P274">
        <v>5</v>
      </c>
      <c r="Q274">
        <v>17</v>
      </c>
      <c r="R274">
        <v>0.246</v>
      </c>
      <c r="S274">
        <v>0.30599999999999999</v>
      </c>
      <c r="T274">
        <v>0.49099999999999999</v>
      </c>
      <c r="U274">
        <v>0.79700000000000004</v>
      </c>
      <c r="V274">
        <v>0</v>
      </c>
    </row>
    <row r="275" spans="2:22" x14ac:dyDescent="0.3">
      <c r="B275" t="s">
        <v>811</v>
      </c>
      <c r="C275" t="s">
        <v>255</v>
      </c>
      <c r="D275" t="s">
        <v>1531</v>
      </c>
      <c r="E275" t="s">
        <v>1531</v>
      </c>
      <c r="F275">
        <v>-12.1</v>
      </c>
      <c r="G275">
        <v>24</v>
      </c>
      <c r="H275">
        <v>73</v>
      </c>
      <c r="I275">
        <v>70</v>
      </c>
      <c r="J275">
        <v>10</v>
      </c>
      <c r="K275">
        <v>15</v>
      </c>
      <c r="L275">
        <v>3</v>
      </c>
      <c r="M275">
        <v>10</v>
      </c>
      <c r="N275">
        <v>0</v>
      </c>
      <c r="O275">
        <v>0</v>
      </c>
      <c r="P275">
        <v>3</v>
      </c>
      <c r="Q275">
        <v>20</v>
      </c>
      <c r="R275">
        <v>0.214</v>
      </c>
      <c r="S275">
        <v>0.247</v>
      </c>
      <c r="T275">
        <v>0.4</v>
      </c>
      <c r="U275">
        <v>0.64700000000000002</v>
      </c>
      <c r="V275">
        <v>1</v>
      </c>
    </row>
    <row r="276" spans="2:22" x14ac:dyDescent="0.3">
      <c r="B276" t="s">
        <v>1677</v>
      </c>
      <c r="C276" t="s">
        <v>243</v>
      </c>
      <c r="D276" t="s">
        <v>80</v>
      </c>
      <c r="E276" t="s">
        <v>80</v>
      </c>
      <c r="F276">
        <v>-12.3</v>
      </c>
      <c r="G276">
        <v>21</v>
      </c>
      <c r="H276">
        <v>86</v>
      </c>
      <c r="I276">
        <v>80</v>
      </c>
      <c r="J276">
        <v>10</v>
      </c>
      <c r="K276">
        <v>22</v>
      </c>
      <c r="L276">
        <v>2</v>
      </c>
      <c r="M276">
        <v>9</v>
      </c>
      <c r="N276">
        <v>1</v>
      </c>
      <c r="O276">
        <v>0</v>
      </c>
      <c r="P276">
        <v>4</v>
      </c>
      <c r="Q276">
        <v>18</v>
      </c>
      <c r="R276">
        <v>0.27500000000000002</v>
      </c>
      <c r="S276">
        <v>0.32600000000000001</v>
      </c>
      <c r="T276">
        <v>0.438</v>
      </c>
      <c r="U276">
        <v>0.76400000000000001</v>
      </c>
      <c r="V276">
        <v>96</v>
      </c>
    </row>
    <row r="277" spans="2:22" x14ac:dyDescent="0.3">
      <c r="B277" t="s">
        <v>873</v>
      </c>
      <c r="C277" t="s">
        <v>221</v>
      </c>
      <c r="D277" t="s">
        <v>79</v>
      </c>
      <c r="E277" t="s">
        <v>1681</v>
      </c>
      <c r="F277">
        <v>-12.4</v>
      </c>
      <c r="G277">
        <v>26</v>
      </c>
      <c r="H277">
        <v>78</v>
      </c>
      <c r="I277">
        <v>74</v>
      </c>
      <c r="J277">
        <v>12</v>
      </c>
      <c r="K277">
        <v>19</v>
      </c>
      <c r="L277">
        <v>1</v>
      </c>
      <c r="M277">
        <v>11</v>
      </c>
      <c r="N277">
        <v>1</v>
      </c>
      <c r="O277">
        <v>0</v>
      </c>
      <c r="P277">
        <v>4</v>
      </c>
      <c r="Q277">
        <v>17</v>
      </c>
      <c r="R277">
        <v>0.25700000000000001</v>
      </c>
      <c r="S277">
        <v>0.29499999999999998</v>
      </c>
      <c r="T277">
        <v>0.36499999999999999</v>
      </c>
      <c r="U277">
        <v>0.66</v>
      </c>
      <c r="V277">
        <v>0</v>
      </c>
    </row>
    <row r="278" spans="2:22" x14ac:dyDescent="0.3">
      <c r="B278" t="s">
        <v>2208</v>
      </c>
      <c r="C278" t="s">
        <v>231</v>
      </c>
      <c r="D278" t="s">
        <v>1662</v>
      </c>
      <c r="E278" t="s">
        <v>1662</v>
      </c>
      <c r="F278">
        <v>-12.4</v>
      </c>
      <c r="G278">
        <v>32</v>
      </c>
      <c r="H278">
        <v>83</v>
      </c>
      <c r="I278">
        <v>74</v>
      </c>
      <c r="J278">
        <v>10</v>
      </c>
      <c r="K278">
        <v>19</v>
      </c>
      <c r="L278">
        <v>2</v>
      </c>
      <c r="M278">
        <v>9</v>
      </c>
      <c r="N278">
        <v>2</v>
      </c>
      <c r="O278">
        <v>0</v>
      </c>
      <c r="P278">
        <v>6</v>
      </c>
      <c r="Q278">
        <v>10</v>
      </c>
      <c r="R278">
        <v>0.25700000000000001</v>
      </c>
      <c r="S278">
        <v>0.33700000000000002</v>
      </c>
      <c r="T278">
        <v>0.41899999999999998</v>
      </c>
      <c r="U278">
        <v>0.75600000000000001</v>
      </c>
      <c r="V278">
        <v>0</v>
      </c>
    </row>
    <row r="279" spans="2:22" x14ac:dyDescent="0.3">
      <c r="B279" t="s">
        <v>738</v>
      </c>
      <c r="C279" t="s">
        <v>234</v>
      </c>
      <c r="D279" t="s">
        <v>1531</v>
      </c>
      <c r="E279" t="s">
        <v>1531</v>
      </c>
      <c r="F279">
        <v>-12.5</v>
      </c>
      <c r="G279">
        <v>38</v>
      </c>
      <c r="H279">
        <v>135</v>
      </c>
      <c r="I279">
        <v>113</v>
      </c>
      <c r="J279">
        <v>10</v>
      </c>
      <c r="K279">
        <v>26</v>
      </c>
      <c r="L279">
        <v>2</v>
      </c>
      <c r="M279">
        <v>12</v>
      </c>
      <c r="N279">
        <v>0</v>
      </c>
      <c r="O279">
        <v>0</v>
      </c>
      <c r="P279">
        <v>19</v>
      </c>
      <c r="Q279">
        <v>18</v>
      </c>
      <c r="R279">
        <v>0.23</v>
      </c>
      <c r="S279">
        <v>0.34799999999999998</v>
      </c>
      <c r="T279">
        <v>0.31900000000000001</v>
      </c>
      <c r="U279">
        <v>0.66700000000000004</v>
      </c>
      <c r="V279">
        <v>98</v>
      </c>
    </row>
    <row r="280" spans="2:22" x14ac:dyDescent="0.3">
      <c r="B280" t="s">
        <v>917</v>
      </c>
      <c r="C280" t="s">
        <v>346</v>
      </c>
      <c r="D280" t="s">
        <v>1660</v>
      </c>
      <c r="E280" t="s">
        <v>1680</v>
      </c>
      <c r="F280">
        <v>-12.6</v>
      </c>
      <c r="G280">
        <v>44</v>
      </c>
      <c r="H280">
        <v>148</v>
      </c>
      <c r="I280">
        <v>126</v>
      </c>
      <c r="J280">
        <v>13</v>
      </c>
      <c r="K280">
        <v>21</v>
      </c>
      <c r="L280">
        <v>5</v>
      </c>
      <c r="M280">
        <v>17</v>
      </c>
      <c r="N280">
        <v>0</v>
      </c>
      <c r="O280">
        <v>0</v>
      </c>
      <c r="P280">
        <v>20</v>
      </c>
      <c r="Q280">
        <v>41</v>
      </c>
      <c r="R280">
        <v>0.16700000000000001</v>
      </c>
      <c r="S280">
        <v>0.28399999999999997</v>
      </c>
      <c r="T280">
        <v>0.33300000000000002</v>
      </c>
      <c r="U280">
        <v>0.61699999999999999</v>
      </c>
      <c r="V280">
        <v>1</v>
      </c>
    </row>
    <row r="281" spans="2:22" x14ac:dyDescent="0.3">
      <c r="B281" t="s">
        <v>341</v>
      </c>
      <c r="C281" t="s">
        <v>255</v>
      </c>
      <c r="D281" t="s">
        <v>1655</v>
      </c>
      <c r="E281" t="s">
        <v>1655</v>
      </c>
      <c r="F281">
        <v>-12.6</v>
      </c>
      <c r="G281">
        <v>32</v>
      </c>
      <c r="H281">
        <v>108</v>
      </c>
      <c r="I281">
        <v>100</v>
      </c>
      <c r="J281">
        <v>12</v>
      </c>
      <c r="K281">
        <v>23</v>
      </c>
      <c r="L281">
        <v>2</v>
      </c>
      <c r="M281">
        <v>12</v>
      </c>
      <c r="N281">
        <v>1</v>
      </c>
      <c r="O281">
        <v>0</v>
      </c>
      <c r="P281">
        <v>6</v>
      </c>
      <c r="Q281">
        <v>22</v>
      </c>
      <c r="R281">
        <v>0.23</v>
      </c>
      <c r="S281">
        <v>0.27800000000000002</v>
      </c>
      <c r="T281">
        <v>0.35</v>
      </c>
      <c r="U281">
        <v>0.628</v>
      </c>
      <c r="V281">
        <v>3</v>
      </c>
    </row>
    <row r="282" spans="2:22" x14ac:dyDescent="0.3">
      <c r="B282" t="s">
        <v>775</v>
      </c>
      <c r="C282" t="s">
        <v>266</v>
      </c>
      <c r="D282" t="s">
        <v>1657</v>
      </c>
      <c r="E282" t="s">
        <v>1657</v>
      </c>
      <c r="F282">
        <v>-12.9</v>
      </c>
      <c r="G282">
        <v>29</v>
      </c>
      <c r="H282">
        <v>87</v>
      </c>
      <c r="I282">
        <v>74</v>
      </c>
      <c r="J282">
        <v>13</v>
      </c>
      <c r="K282">
        <v>17</v>
      </c>
      <c r="L282">
        <v>2</v>
      </c>
      <c r="M282">
        <v>11</v>
      </c>
      <c r="N282">
        <v>0</v>
      </c>
      <c r="O282">
        <v>0</v>
      </c>
      <c r="P282">
        <v>10</v>
      </c>
      <c r="Q282">
        <v>22</v>
      </c>
      <c r="R282">
        <v>0.23</v>
      </c>
      <c r="S282">
        <v>0.31</v>
      </c>
      <c r="T282">
        <v>0.378</v>
      </c>
      <c r="U282">
        <v>0.68799999999999994</v>
      </c>
      <c r="V282">
        <v>1</v>
      </c>
    </row>
    <row r="283" spans="2:22" x14ac:dyDescent="0.3">
      <c r="B283" t="s">
        <v>326</v>
      </c>
      <c r="C283" t="s">
        <v>1523</v>
      </c>
      <c r="D283" t="s">
        <v>1655</v>
      </c>
      <c r="E283" t="s">
        <v>1655</v>
      </c>
      <c r="F283">
        <v>-12.9</v>
      </c>
      <c r="G283">
        <v>47</v>
      </c>
      <c r="H283">
        <v>178</v>
      </c>
      <c r="I283">
        <v>152</v>
      </c>
      <c r="J283">
        <v>18</v>
      </c>
      <c r="K283">
        <v>29</v>
      </c>
      <c r="L283">
        <v>4</v>
      </c>
      <c r="M283">
        <v>12</v>
      </c>
      <c r="N283">
        <v>0</v>
      </c>
      <c r="O283">
        <v>0</v>
      </c>
      <c r="P283">
        <v>25</v>
      </c>
      <c r="Q283">
        <v>54</v>
      </c>
      <c r="R283">
        <v>0.191</v>
      </c>
      <c r="S283">
        <v>0.309</v>
      </c>
      <c r="T283">
        <v>0.34899999999999998</v>
      </c>
      <c r="U283">
        <v>0.65800000000000003</v>
      </c>
      <c r="V283">
        <v>24</v>
      </c>
    </row>
    <row r="284" spans="2:22" x14ac:dyDescent="0.3">
      <c r="B284" t="s">
        <v>304</v>
      </c>
      <c r="C284" t="s">
        <v>224</v>
      </c>
      <c r="D284" t="s">
        <v>1655</v>
      </c>
      <c r="E284" t="s">
        <v>1655</v>
      </c>
      <c r="F284">
        <v>-13</v>
      </c>
      <c r="G284">
        <v>21</v>
      </c>
      <c r="H284">
        <v>81</v>
      </c>
      <c r="I284">
        <v>73</v>
      </c>
      <c r="J284">
        <v>7</v>
      </c>
      <c r="K284">
        <v>16</v>
      </c>
      <c r="L284">
        <v>2</v>
      </c>
      <c r="M284">
        <v>11</v>
      </c>
      <c r="N284">
        <v>4</v>
      </c>
      <c r="O284">
        <v>0</v>
      </c>
      <c r="P284">
        <v>7</v>
      </c>
      <c r="Q284">
        <v>19</v>
      </c>
      <c r="R284">
        <v>0.219</v>
      </c>
      <c r="S284">
        <v>0.29599999999999999</v>
      </c>
      <c r="T284">
        <v>0.38400000000000001</v>
      </c>
      <c r="U284">
        <v>0.68</v>
      </c>
      <c r="V284">
        <v>31</v>
      </c>
    </row>
    <row r="285" spans="2:22" x14ac:dyDescent="0.3">
      <c r="B285" t="s">
        <v>856</v>
      </c>
      <c r="C285" t="s">
        <v>270</v>
      </c>
      <c r="D285" t="s">
        <v>1531</v>
      </c>
      <c r="E285" t="s">
        <v>1531</v>
      </c>
      <c r="F285">
        <v>-13.2</v>
      </c>
      <c r="G285">
        <v>22</v>
      </c>
      <c r="H285">
        <v>52</v>
      </c>
      <c r="I285">
        <v>47</v>
      </c>
      <c r="J285">
        <v>6</v>
      </c>
      <c r="K285">
        <v>13</v>
      </c>
      <c r="L285">
        <v>3</v>
      </c>
      <c r="M285">
        <v>5</v>
      </c>
      <c r="N285">
        <v>1</v>
      </c>
      <c r="O285">
        <v>0</v>
      </c>
      <c r="P285">
        <v>3</v>
      </c>
      <c r="Q285">
        <v>15</v>
      </c>
      <c r="R285">
        <v>0.27700000000000002</v>
      </c>
      <c r="S285">
        <v>0.34599999999999997</v>
      </c>
      <c r="T285">
        <v>0.51100000000000001</v>
      </c>
      <c r="U285">
        <v>0.85699999999999998</v>
      </c>
      <c r="V285">
        <v>0</v>
      </c>
    </row>
    <row r="286" spans="2:22" x14ac:dyDescent="0.3">
      <c r="B286" t="s">
        <v>937</v>
      </c>
      <c r="C286" t="s">
        <v>222</v>
      </c>
      <c r="D286" t="s">
        <v>1687</v>
      </c>
      <c r="E286" t="s">
        <v>1687</v>
      </c>
      <c r="F286">
        <v>-13.2</v>
      </c>
      <c r="G286">
        <v>37</v>
      </c>
      <c r="H286">
        <v>97</v>
      </c>
      <c r="I286">
        <v>90</v>
      </c>
      <c r="J286">
        <v>11</v>
      </c>
      <c r="K286">
        <v>19</v>
      </c>
      <c r="L286">
        <v>3</v>
      </c>
      <c r="M286">
        <v>6</v>
      </c>
      <c r="N286">
        <v>4</v>
      </c>
      <c r="O286">
        <v>1</v>
      </c>
      <c r="P286">
        <v>6</v>
      </c>
      <c r="Q286">
        <v>14</v>
      </c>
      <c r="R286">
        <v>0.21099999999999999</v>
      </c>
      <c r="S286">
        <v>0.26800000000000002</v>
      </c>
      <c r="T286">
        <v>0.36699999999999999</v>
      </c>
      <c r="U286">
        <v>0.63500000000000001</v>
      </c>
      <c r="V286">
        <v>0</v>
      </c>
    </row>
    <row r="287" spans="2:22" x14ac:dyDescent="0.3">
      <c r="B287" t="s">
        <v>911</v>
      </c>
      <c r="C287" t="s">
        <v>270</v>
      </c>
      <c r="D287" t="s">
        <v>1529</v>
      </c>
      <c r="E287" t="s">
        <v>1529</v>
      </c>
      <c r="F287">
        <v>-13.2</v>
      </c>
      <c r="G287">
        <v>36</v>
      </c>
      <c r="H287">
        <v>122</v>
      </c>
      <c r="I287">
        <v>108</v>
      </c>
      <c r="J287">
        <v>11</v>
      </c>
      <c r="K287">
        <v>24</v>
      </c>
      <c r="L287">
        <v>1</v>
      </c>
      <c r="M287">
        <v>12</v>
      </c>
      <c r="N287">
        <v>3</v>
      </c>
      <c r="O287">
        <v>0</v>
      </c>
      <c r="P287">
        <v>13</v>
      </c>
      <c r="Q287">
        <v>37</v>
      </c>
      <c r="R287">
        <v>0.222</v>
      </c>
      <c r="S287">
        <v>0.30299999999999999</v>
      </c>
      <c r="T287">
        <v>0.315</v>
      </c>
      <c r="U287">
        <v>0.61799999999999999</v>
      </c>
      <c r="V287">
        <v>0</v>
      </c>
    </row>
    <row r="288" spans="2:22" x14ac:dyDescent="0.3">
      <c r="B288" t="s">
        <v>761</v>
      </c>
      <c r="C288" t="s">
        <v>243</v>
      </c>
      <c r="D288" t="s">
        <v>1667</v>
      </c>
      <c r="E288" t="s">
        <v>1667</v>
      </c>
      <c r="F288">
        <v>-13.3</v>
      </c>
      <c r="G288">
        <v>27</v>
      </c>
      <c r="H288">
        <v>79</v>
      </c>
      <c r="I288">
        <v>73</v>
      </c>
      <c r="J288">
        <v>10</v>
      </c>
      <c r="K288">
        <v>16</v>
      </c>
      <c r="L288">
        <v>3</v>
      </c>
      <c r="M288">
        <v>12</v>
      </c>
      <c r="N288">
        <v>0</v>
      </c>
      <c r="O288">
        <v>0</v>
      </c>
      <c r="P288">
        <v>4</v>
      </c>
      <c r="Q288">
        <v>12</v>
      </c>
      <c r="R288">
        <v>0.219</v>
      </c>
      <c r="S288">
        <v>0.26600000000000001</v>
      </c>
      <c r="T288">
        <v>0.39700000000000002</v>
      </c>
      <c r="U288">
        <v>0.66300000000000003</v>
      </c>
      <c r="V288">
        <v>0</v>
      </c>
    </row>
    <row r="289" spans="2:22" x14ac:dyDescent="0.3">
      <c r="B289" t="s">
        <v>808</v>
      </c>
      <c r="C289" t="s">
        <v>274</v>
      </c>
      <c r="D289" t="s">
        <v>1657</v>
      </c>
      <c r="E289" t="s">
        <v>1657</v>
      </c>
      <c r="F289">
        <v>-13.3</v>
      </c>
      <c r="G289">
        <v>35</v>
      </c>
      <c r="H289">
        <v>142</v>
      </c>
      <c r="I289">
        <v>132</v>
      </c>
      <c r="J289">
        <v>12</v>
      </c>
      <c r="K289">
        <v>29</v>
      </c>
      <c r="L289">
        <v>3</v>
      </c>
      <c r="M289">
        <v>13</v>
      </c>
      <c r="N289">
        <v>0</v>
      </c>
      <c r="O289">
        <v>0</v>
      </c>
      <c r="P289">
        <v>9</v>
      </c>
      <c r="Q289">
        <v>23</v>
      </c>
      <c r="R289">
        <v>0.22</v>
      </c>
      <c r="S289">
        <v>0.27500000000000002</v>
      </c>
      <c r="T289">
        <v>0.318</v>
      </c>
      <c r="U289">
        <v>0.59299999999999997</v>
      </c>
      <c r="V289">
        <v>21</v>
      </c>
    </row>
    <row r="290" spans="2:22" x14ac:dyDescent="0.3">
      <c r="B290" t="s">
        <v>783</v>
      </c>
      <c r="C290" t="s">
        <v>243</v>
      </c>
      <c r="D290" t="s">
        <v>1659</v>
      </c>
      <c r="E290" t="s">
        <v>1659</v>
      </c>
      <c r="F290">
        <v>-13.4</v>
      </c>
      <c r="G290">
        <v>39</v>
      </c>
      <c r="H290">
        <v>150</v>
      </c>
      <c r="I290">
        <v>134</v>
      </c>
      <c r="J290">
        <v>11</v>
      </c>
      <c r="K290">
        <v>27</v>
      </c>
      <c r="L290">
        <v>1</v>
      </c>
      <c r="M290">
        <v>13</v>
      </c>
      <c r="N290">
        <v>5</v>
      </c>
      <c r="O290">
        <v>0</v>
      </c>
      <c r="P290">
        <v>12</v>
      </c>
      <c r="Q290">
        <v>26</v>
      </c>
      <c r="R290">
        <v>0.20100000000000001</v>
      </c>
      <c r="S290">
        <v>0.28000000000000003</v>
      </c>
      <c r="T290">
        <v>0.254</v>
      </c>
      <c r="U290">
        <v>0.53400000000000003</v>
      </c>
      <c r="V290">
        <v>7</v>
      </c>
    </row>
    <row r="291" spans="2:22" x14ac:dyDescent="0.3">
      <c r="B291" t="s">
        <v>920</v>
      </c>
      <c r="C291" t="s">
        <v>266</v>
      </c>
      <c r="D291" t="s">
        <v>1666</v>
      </c>
      <c r="E291" t="s">
        <v>1705</v>
      </c>
      <c r="F291">
        <v>-13.6</v>
      </c>
      <c r="G291">
        <v>31</v>
      </c>
      <c r="H291">
        <v>92</v>
      </c>
      <c r="I291">
        <v>87</v>
      </c>
      <c r="J291">
        <v>9</v>
      </c>
      <c r="K291">
        <v>23</v>
      </c>
      <c r="L291">
        <v>0</v>
      </c>
      <c r="M291">
        <v>15</v>
      </c>
      <c r="N291">
        <v>0</v>
      </c>
      <c r="O291">
        <v>0</v>
      </c>
      <c r="P291">
        <v>3</v>
      </c>
      <c r="Q291">
        <v>16</v>
      </c>
      <c r="R291">
        <v>0.26400000000000001</v>
      </c>
      <c r="S291">
        <v>0.28299999999999997</v>
      </c>
      <c r="T291">
        <v>0.33300000000000002</v>
      </c>
      <c r="U291">
        <v>0.61599999999999999</v>
      </c>
      <c r="V291">
        <v>0</v>
      </c>
    </row>
    <row r="292" spans="2:22" x14ac:dyDescent="0.3">
      <c r="B292" t="s">
        <v>1698</v>
      </c>
      <c r="C292" t="s">
        <v>325</v>
      </c>
      <c r="D292" t="s">
        <v>1527</v>
      </c>
      <c r="E292" t="s">
        <v>1527</v>
      </c>
      <c r="F292">
        <v>-13.7</v>
      </c>
      <c r="G292">
        <v>34</v>
      </c>
      <c r="H292">
        <v>111</v>
      </c>
      <c r="I292">
        <v>101</v>
      </c>
      <c r="J292">
        <v>8</v>
      </c>
      <c r="K292">
        <v>23</v>
      </c>
      <c r="L292">
        <v>5</v>
      </c>
      <c r="M292">
        <v>9</v>
      </c>
      <c r="N292">
        <v>0</v>
      </c>
      <c r="O292">
        <v>0</v>
      </c>
      <c r="P292">
        <v>8</v>
      </c>
      <c r="Q292">
        <v>31</v>
      </c>
      <c r="R292">
        <v>0.22800000000000001</v>
      </c>
      <c r="S292">
        <v>0.28799999999999998</v>
      </c>
      <c r="T292">
        <v>0.39600000000000002</v>
      </c>
      <c r="U292">
        <v>0.68400000000000005</v>
      </c>
      <c r="V292">
        <v>1</v>
      </c>
    </row>
    <row r="293" spans="2:22" x14ac:dyDescent="0.3">
      <c r="B293" t="s">
        <v>941</v>
      </c>
      <c r="C293" t="s">
        <v>286</v>
      </c>
      <c r="D293" t="s">
        <v>1655</v>
      </c>
      <c r="E293" t="s">
        <v>1655</v>
      </c>
      <c r="F293">
        <v>-13.7</v>
      </c>
      <c r="G293">
        <v>39</v>
      </c>
      <c r="H293">
        <v>123</v>
      </c>
      <c r="I293">
        <v>113</v>
      </c>
      <c r="J293">
        <v>14</v>
      </c>
      <c r="K293">
        <v>22</v>
      </c>
      <c r="L293">
        <v>2</v>
      </c>
      <c r="M293">
        <v>10</v>
      </c>
      <c r="N293">
        <v>3</v>
      </c>
      <c r="O293">
        <v>0</v>
      </c>
      <c r="P293">
        <v>8</v>
      </c>
      <c r="Q293">
        <v>27</v>
      </c>
      <c r="R293">
        <v>0.19500000000000001</v>
      </c>
      <c r="S293">
        <v>0.252</v>
      </c>
      <c r="T293">
        <v>0.32700000000000001</v>
      </c>
      <c r="U293">
        <v>0.57899999999999996</v>
      </c>
      <c r="V293">
        <v>2</v>
      </c>
    </row>
    <row r="294" spans="2:22" x14ac:dyDescent="0.3">
      <c r="B294" t="s">
        <v>416</v>
      </c>
      <c r="C294" t="s">
        <v>286</v>
      </c>
      <c r="D294" t="s">
        <v>1529</v>
      </c>
      <c r="E294" t="s">
        <v>1529</v>
      </c>
      <c r="F294">
        <v>-13.8</v>
      </c>
      <c r="G294">
        <v>29</v>
      </c>
      <c r="H294">
        <v>88</v>
      </c>
      <c r="I294">
        <v>84</v>
      </c>
      <c r="J294">
        <v>9</v>
      </c>
      <c r="K294">
        <v>20</v>
      </c>
      <c r="L294">
        <v>1</v>
      </c>
      <c r="M294">
        <v>10</v>
      </c>
      <c r="N294">
        <v>3</v>
      </c>
      <c r="O294">
        <v>0</v>
      </c>
      <c r="P294">
        <v>4</v>
      </c>
      <c r="Q294">
        <v>19</v>
      </c>
      <c r="R294">
        <v>0.23799999999999999</v>
      </c>
      <c r="S294">
        <v>0.27300000000000002</v>
      </c>
      <c r="T294">
        <v>0.32100000000000001</v>
      </c>
      <c r="U294">
        <v>0.59399999999999997</v>
      </c>
      <c r="V294">
        <v>1</v>
      </c>
    </row>
    <row r="295" spans="2:22" x14ac:dyDescent="0.3">
      <c r="B295" t="s">
        <v>324</v>
      </c>
      <c r="C295" t="s">
        <v>274</v>
      </c>
      <c r="D295" t="s">
        <v>1531</v>
      </c>
      <c r="E295" t="s">
        <v>1531</v>
      </c>
      <c r="F295">
        <v>-13.8</v>
      </c>
      <c r="G295">
        <v>25</v>
      </c>
      <c r="H295">
        <v>76</v>
      </c>
      <c r="I295">
        <v>61</v>
      </c>
      <c r="J295">
        <v>11</v>
      </c>
      <c r="K295">
        <v>15</v>
      </c>
      <c r="L295">
        <v>2</v>
      </c>
      <c r="M295">
        <v>5</v>
      </c>
      <c r="N295">
        <v>0</v>
      </c>
      <c r="O295">
        <v>1</v>
      </c>
      <c r="P295">
        <v>10</v>
      </c>
      <c r="Q295">
        <v>21</v>
      </c>
      <c r="R295">
        <v>0.246</v>
      </c>
      <c r="S295">
        <v>0.39500000000000002</v>
      </c>
      <c r="T295">
        <v>0.42599999999999999</v>
      </c>
      <c r="U295">
        <v>0.82099999999999995</v>
      </c>
      <c r="V295">
        <v>2</v>
      </c>
    </row>
    <row r="296" spans="2:22" x14ac:dyDescent="0.3">
      <c r="B296" t="s">
        <v>794</v>
      </c>
      <c r="C296" t="s">
        <v>248</v>
      </c>
      <c r="D296" t="s">
        <v>1667</v>
      </c>
      <c r="E296" t="s">
        <v>1667</v>
      </c>
      <c r="F296">
        <v>-13.9</v>
      </c>
      <c r="G296">
        <v>34</v>
      </c>
      <c r="H296">
        <v>98</v>
      </c>
      <c r="I296">
        <v>93</v>
      </c>
      <c r="J296">
        <v>13</v>
      </c>
      <c r="K296">
        <v>23</v>
      </c>
      <c r="L296">
        <v>0</v>
      </c>
      <c r="M296">
        <v>9</v>
      </c>
      <c r="N296">
        <v>2</v>
      </c>
      <c r="O296">
        <v>0</v>
      </c>
      <c r="P296">
        <v>3</v>
      </c>
      <c r="Q296">
        <v>9</v>
      </c>
      <c r="R296">
        <v>0.247</v>
      </c>
      <c r="S296">
        <v>0.28599999999999998</v>
      </c>
      <c r="T296">
        <v>0.30099999999999999</v>
      </c>
      <c r="U296">
        <v>0.58699999999999997</v>
      </c>
      <c r="V296">
        <v>0</v>
      </c>
    </row>
    <row r="297" spans="2:22" x14ac:dyDescent="0.3">
      <c r="B297" t="s">
        <v>621</v>
      </c>
      <c r="C297" t="s">
        <v>339</v>
      </c>
      <c r="D297" t="s">
        <v>1526</v>
      </c>
      <c r="E297" t="s">
        <v>1526</v>
      </c>
      <c r="F297">
        <v>-14</v>
      </c>
      <c r="G297">
        <v>39</v>
      </c>
      <c r="H297">
        <v>117</v>
      </c>
      <c r="I297">
        <v>96</v>
      </c>
      <c r="J297">
        <v>10</v>
      </c>
      <c r="K297">
        <v>22</v>
      </c>
      <c r="L297">
        <v>2</v>
      </c>
      <c r="M297">
        <v>13</v>
      </c>
      <c r="N297">
        <v>0</v>
      </c>
      <c r="O297">
        <v>0</v>
      </c>
      <c r="P297">
        <v>21</v>
      </c>
      <c r="Q297">
        <v>29</v>
      </c>
      <c r="R297">
        <v>0.22900000000000001</v>
      </c>
      <c r="S297">
        <v>0.36799999999999999</v>
      </c>
      <c r="T297">
        <v>0.33300000000000002</v>
      </c>
      <c r="U297">
        <v>0.70099999999999996</v>
      </c>
      <c r="V297">
        <v>0</v>
      </c>
    </row>
    <row r="298" spans="2:22" x14ac:dyDescent="0.3">
      <c r="B298" t="s">
        <v>771</v>
      </c>
      <c r="C298" t="s">
        <v>246</v>
      </c>
      <c r="D298" t="s">
        <v>1687</v>
      </c>
      <c r="E298" t="s">
        <v>1717</v>
      </c>
      <c r="F298">
        <v>-14</v>
      </c>
      <c r="G298">
        <v>35</v>
      </c>
      <c r="H298">
        <v>97</v>
      </c>
      <c r="I298">
        <v>93</v>
      </c>
      <c r="J298">
        <v>12</v>
      </c>
      <c r="K298">
        <v>22</v>
      </c>
      <c r="L298">
        <v>1</v>
      </c>
      <c r="M298">
        <v>7</v>
      </c>
      <c r="N298">
        <v>3</v>
      </c>
      <c r="O298">
        <v>0</v>
      </c>
      <c r="P298">
        <v>3</v>
      </c>
      <c r="Q298">
        <v>27</v>
      </c>
      <c r="R298">
        <v>0.23699999999999999</v>
      </c>
      <c r="S298">
        <v>0.26800000000000002</v>
      </c>
      <c r="T298">
        <v>0.36599999999999999</v>
      </c>
      <c r="U298">
        <v>0.63400000000000001</v>
      </c>
      <c r="V298">
        <v>2</v>
      </c>
    </row>
    <row r="299" spans="2:22" x14ac:dyDescent="0.3">
      <c r="B299" t="s">
        <v>265</v>
      </c>
      <c r="C299" t="s">
        <v>239</v>
      </c>
      <c r="D299" t="s">
        <v>1655</v>
      </c>
      <c r="E299" t="s">
        <v>1655</v>
      </c>
      <c r="F299">
        <v>-14</v>
      </c>
      <c r="G299">
        <v>16</v>
      </c>
      <c r="H299">
        <v>62</v>
      </c>
      <c r="I299">
        <v>58</v>
      </c>
      <c r="J299">
        <v>9</v>
      </c>
      <c r="K299">
        <v>15</v>
      </c>
      <c r="L299">
        <v>3</v>
      </c>
      <c r="M299">
        <v>6</v>
      </c>
      <c r="N299">
        <v>1</v>
      </c>
      <c r="O299">
        <v>0</v>
      </c>
      <c r="P299">
        <v>4</v>
      </c>
      <c r="Q299">
        <v>24</v>
      </c>
      <c r="R299">
        <v>0.25900000000000001</v>
      </c>
      <c r="S299">
        <v>0.30599999999999999</v>
      </c>
      <c r="T299">
        <v>0.46600000000000003</v>
      </c>
      <c r="U299">
        <v>0.77200000000000002</v>
      </c>
      <c r="V299">
        <v>4</v>
      </c>
    </row>
    <row r="300" spans="2:22" x14ac:dyDescent="0.3">
      <c r="B300" t="s">
        <v>3158</v>
      </c>
      <c r="C300" t="s">
        <v>1520</v>
      </c>
      <c r="D300" t="s">
        <v>1663</v>
      </c>
      <c r="E300" t="s">
        <v>1663</v>
      </c>
      <c r="F300">
        <v>-14</v>
      </c>
      <c r="G300">
        <v>19</v>
      </c>
      <c r="H300">
        <v>78</v>
      </c>
      <c r="I300">
        <v>68</v>
      </c>
      <c r="J300">
        <v>6</v>
      </c>
      <c r="K300">
        <v>19</v>
      </c>
      <c r="L300">
        <v>0</v>
      </c>
      <c r="M300">
        <v>9</v>
      </c>
      <c r="N300">
        <v>4</v>
      </c>
      <c r="O300">
        <v>0</v>
      </c>
      <c r="P300">
        <v>7</v>
      </c>
      <c r="Q300">
        <v>17</v>
      </c>
      <c r="R300">
        <v>0.27900000000000003</v>
      </c>
      <c r="S300">
        <v>0.34599999999999997</v>
      </c>
      <c r="T300">
        <v>0.36799999999999999</v>
      </c>
      <c r="U300">
        <v>0.71399999999999997</v>
      </c>
      <c r="V300">
        <v>45</v>
      </c>
    </row>
    <row r="301" spans="2:22" x14ac:dyDescent="0.3">
      <c r="B301" t="s">
        <v>1691</v>
      </c>
      <c r="C301" t="s">
        <v>274</v>
      </c>
      <c r="D301" t="s">
        <v>1531</v>
      </c>
      <c r="E301" t="s">
        <v>1692</v>
      </c>
      <c r="F301">
        <v>-14.2</v>
      </c>
      <c r="G301">
        <v>33</v>
      </c>
      <c r="H301">
        <v>121</v>
      </c>
      <c r="I301">
        <v>108</v>
      </c>
      <c r="J301">
        <v>13</v>
      </c>
      <c r="K301">
        <v>25</v>
      </c>
      <c r="L301">
        <v>0</v>
      </c>
      <c r="M301">
        <v>10</v>
      </c>
      <c r="N301">
        <v>0</v>
      </c>
      <c r="O301">
        <v>0</v>
      </c>
      <c r="P301">
        <v>12</v>
      </c>
      <c r="Q301">
        <v>29</v>
      </c>
      <c r="R301">
        <v>0.23100000000000001</v>
      </c>
      <c r="S301">
        <v>0.30599999999999999</v>
      </c>
      <c r="T301">
        <v>0.25900000000000001</v>
      </c>
      <c r="U301">
        <v>0.56499999999999995</v>
      </c>
      <c r="V301">
        <v>52</v>
      </c>
    </row>
    <row r="302" spans="2:22" x14ac:dyDescent="0.3">
      <c r="B302" t="s">
        <v>3081</v>
      </c>
      <c r="C302" t="s">
        <v>235</v>
      </c>
      <c r="D302" t="s">
        <v>1531</v>
      </c>
      <c r="E302" t="s">
        <v>1531</v>
      </c>
      <c r="F302">
        <v>-14.3</v>
      </c>
      <c r="G302">
        <v>17</v>
      </c>
      <c r="H302">
        <v>51</v>
      </c>
      <c r="I302">
        <v>49</v>
      </c>
      <c r="J302">
        <v>7</v>
      </c>
      <c r="K302">
        <v>11</v>
      </c>
      <c r="L302">
        <v>3</v>
      </c>
      <c r="M302">
        <v>7</v>
      </c>
      <c r="N302">
        <v>0</v>
      </c>
      <c r="O302">
        <v>0</v>
      </c>
      <c r="P302">
        <v>2</v>
      </c>
      <c r="Q302">
        <v>18</v>
      </c>
      <c r="R302">
        <v>0.224</v>
      </c>
      <c r="S302">
        <v>0.255</v>
      </c>
      <c r="T302">
        <v>0.42899999999999999</v>
      </c>
      <c r="U302">
        <v>0.68400000000000005</v>
      </c>
      <c r="V302">
        <v>2</v>
      </c>
    </row>
    <row r="303" spans="2:22" x14ac:dyDescent="0.3">
      <c r="B303" t="s">
        <v>328</v>
      </c>
      <c r="C303" t="s">
        <v>246</v>
      </c>
      <c r="D303" t="s">
        <v>1531</v>
      </c>
      <c r="E303" t="s">
        <v>1531</v>
      </c>
      <c r="F303">
        <v>-14.4</v>
      </c>
      <c r="G303">
        <v>32</v>
      </c>
      <c r="H303">
        <v>100</v>
      </c>
      <c r="I303">
        <v>94</v>
      </c>
      <c r="J303">
        <v>8</v>
      </c>
      <c r="K303">
        <v>21</v>
      </c>
      <c r="L303">
        <v>2</v>
      </c>
      <c r="M303">
        <v>7</v>
      </c>
      <c r="N303">
        <v>2</v>
      </c>
      <c r="O303">
        <v>1</v>
      </c>
      <c r="P303">
        <v>6</v>
      </c>
      <c r="Q303">
        <v>20</v>
      </c>
      <c r="R303">
        <v>0.223</v>
      </c>
      <c r="S303">
        <v>0.27</v>
      </c>
      <c r="T303">
        <v>0.28699999999999998</v>
      </c>
      <c r="U303">
        <v>0.55700000000000005</v>
      </c>
      <c r="V303">
        <v>9</v>
      </c>
    </row>
    <row r="304" spans="2:22" x14ac:dyDescent="0.3">
      <c r="B304" t="s">
        <v>1700</v>
      </c>
      <c r="C304" t="s">
        <v>224</v>
      </c>
      <c r="D304" t="s">
        <v>1531</v>
      </c>
      <c r="E304" t="s">
        <v>1531</v>
      </c>
      <c r="F304">
        <v>-14.4</v>
      </c>
      <c r="G304">
        <v>36</v>
      </c>
      <c r="H304">
        <v>125</v>
      </c>
      <c r="I304">
        <v>111</v>
      </c>
      <c r="J304">
        <v>10</v>
      </c>
      <c r="K304">
        <v>24</v>
      </c>
      <c r="L304">
        <v>3</v>
      </c>
      <c r="M304">
        <v>8</v>
      </c>
      <c r="N304">
        <v>0</v>
      </c>
      <c r="O304">
        <v>0</v>
      </c>
      <c r="P304">
        <v>11</v>
      </c>
      <c r="Q304">
        <v>37</v>
      </c>
      <c r="R304">
        <v>0.216</v>
      </c>
      <c r="S304">
        <v>0.30399999999999999</v>
      </c>
      <c r="T304">
        <v>0.33300000000000002</v>
      </c>
      <c r="U304">
        <v>0.63700000000000001</v>
      </c>
      <c r="V304">
        <v>1</v>
      </c>
    </row>
    <row r="305" spans="2:22" x14ac:dyDescent="0.3">
      <c r="B305" t="s">
        <v>413</v>
      </c>
      <c r="C305" t="s">
        <v>244</v>
      </c>
      <c r="D305" t="s">
        <v>1655</v>
      </c>
      <c r="E305" t="s">
        <v>1655</v>
      </c>
      <c r="F305">
        <v>-14.4</v>
      </c>
      <c r="G305">
        <v>29</v>
      </c>
      <c r="H305">
        <v>94</v>
      </c>
      <c r="I305">
        <v>84</v>
      </c>
      <c r="J305">
        <v>11</v>
      </c>
      <c r="K305">
        <v>14</v>
      </c>
      <c r="L305">
        <v>4</v>
      </c>
      <c r="M305">
        <v>13</v>
      </c>
      <c r="N305">
        <v>0</v>
      </c>
      <c r="O305">
        <v>0</v>
      </c>
      <c r="P305">
        <v>8</v>
      </c>
      <c r="Q305">
        <v>20</v>
      </c>
      <c r="R305">
        <v>0.16700000000000001</v>
      </c>
      <c r="S305">
        <v>0.23400000000000001</v>
      </c>
      <c r="T305">
        <v>0.34499999999999997</v>
      </c>
      <c r="U305">
        <v>0.57899999999999996</v>
      </c>
      <c r="V305">
        <v>0</v>
      </c>
    </row>
    <row r="306" spans="2:22" x14ac:dyDescent="0.3">
      <c r="B306" t="s">
        <v>572</v>
      </c>
      <c r="C306" t="s">
        <v>278</v>
      </c>
      <c r="D306" t="s">
        <v>1655</v>
      </c>
      <c r="E306" t="s">
        <v>1655</v>
      </c>
      <c r="F306">
        <v>-14.7</v>
      </c>
      <c r="G306">
        <v>36</v>
      </c>
      <c r="H306">
        <v>56</v>
      </c>
      <c r="I306">
        <v>51</v>
      </c>
      <c r="J306">
        <v>10</v>
      </c>
      <c r="K306">
        <v>15</v>
      </c>
      <c r="L306">
        <v>1</v>
      </c>
      <c r="M306">
        <v>6</v>
      </c>
      <c r="N306">
        <v>1</v>
      </c>
      <c r="O306">
        <v>0</v>
      </c>
      <c r="P306">
        <v>2</v>
      </c>
      <c r="Q306">
        <v>16</v>
      </c>
      <c r="R306">
        <v>0.29399999999999998</v>
      </c>
      <c r="S306">
        <v>0.33900000000000002</v>
      </c>
      <c r="T306">
        <v>0.45100000000000001</v>
      </c>
      <c r="U306">
        <v>0.79</v>
      </c>
      <c r="V306">
        <v>0</v>
      </c>
    </row>
    <row r="307" spans="2:22" x14ac:dyDescent="0.3">
      <c r="B307" t="s">
        <v>444</v>
      </c>
      <c r="C307" t="s">
        <v>1709</v>
      </c>
      <c r="D307" t="s">
        <v>1527</v>
      </c>
      <c r="E307" t="s">
        <v>1527</v>
      </c>
      <c r="F307">
        <v>-14.8</v>
      </c>
      <c r="G307">
        <v>31</v>
      </c>
      <c r="H307">
        <v>100</v>
      </c>
      <c r="I307">
        <v>94</v>
      </c>
      <c r="J307">
        <v>7</v>
      </c>
      <c r="K307">
        <v>22</v>
      </c>
      <c r="L307">
        <v>2</v>
      </c>
      <c r="M307">
        <v>14</v>
      </c>
      <c r="N307">
        <v>0</v>
      </c>
      <c r="O307">
        <v>0</v>
      </c>
      <c r="P307">
        <v>6</v>
      </c>
      <c r="Q307">
        <v>25</v>
      </c>
      <c r="R307">
        <v>0.23400000000000001</v>
      </c>
      <c r="S307">
        <v>0.28000000000000003</v>
      </c>
      <c r="T307">
        <v>0.33</v>
      </c>
      <c r="U307">
        <v>0.61</v>
      </c>
      <c r="V307">
        <v>0</v>
      </c>
    </row>
    <row r="308" spans="2:22" x14ac:dyDescent="0.3">
      <c r="B308" t="s">
        <v>630</v>
      </c>
      <c r="C308" t="s">
        <v>221</v>
      </c>
      <c r="D308" t="s">
        <v>1531</v>
      </c>
      <c r="E308" t="s">
        <v>1531</v>
      </c>
      <c r="F308">
        <v>-14.9</v>
      </c>
      <c r="G308">
        <v>27</v>
      </c>
      <c r="H308">
        <v>77</v>
      </c>
      <c r="I308">
        <v>74</v>
      </c>
      <c r="J308">
        <v>6</v>
      </c>
      <c r="K308">
        <v>22</v>
      </c>
      <c r="L308">
        <v>0</v>
      </c>
      <c r="M308">
        <v>8</v>
      </c>
      <c r="N308">
        <v>0</v>
      </c>
      <c r="O308">
        <v>0</v>
      </c>
      <c r="P308">
        <v>3</v>
      </c>
      <c r="Q308">
        <v>24</v>
      </c>
      <c r="R308">
        <v>0.29699999999999999</v>
      </c>
      <c r="S308">
        <v>0.32500000000000001</v>
      </c>
      <c r="T308">
        <v>0.35099999999999998</v>
      </c>
      <c r="U308">
        <v>0.67600000000000005</v>
      </c>
      <c r="V308">
        <v>0</v>
      </c>
    </row>
    <row r="309" spans="2:22" x14ac:dyDescent="0.3">
      <c r="B309" t="s">
        <v>590</v>
      </c>
      <c r="C309" t="s">
        <v>222</v>
      </c>
      <c r="D309" t="s">
        <v>1531</v>
      </c>
      <c r="E309" t="s">
        <v>1531</v>
      </c>
      <c r="F309">
        <v>-15</v>
      </c>
      <c r="G309">
        <v>26</v>
      </c>
      <c r="H309">
        <v>78</v>
      </c>
      <c r="I309">
        <v>72</v>
      </c>
      <c r="J309">
        <v>7</v>
      </c>
      <c r="K309">
        <v>13</v>
      </c>
      <c r="L309">
        <v>3</v>
      </c>
      <c r="M309">
        <v>11</v>
      </c>
      <c r="N309">
        <v>0</v>
      </c>
      <c r="O309">
        <v>0</v>
      </c>
      <c r="P309">
        <v>6</v>
      </c>
      <c r="Q309">
        <v>27</v>
      </c>
      <c r="R309">
        <v>0.18099999999999999</v>
      </c>
      <c r="S309">
        <v>0.24399999999999999</v>
      </c>
      <c r="T309">
        <v>0.34699999999999998</v>
      </c>
      <c r="U309">
        <v>0.59099999999999997</v>
      </c>
      <c r="V309">
        <v>0</v>
      </c>
    </row>
    <row r="310" spans="2:22" x14ac:dyDescent="0.3">
      <c r="B310" t="s">
        <v>773</v>
      </c>
      <c r="C310" t="s">
        <v>270</v>
      </c>
      <c r="D310" t="s">
        <v>1679</v>
      </c>
      <c r="E310" t="s">
        <v>1679</v>
      </c>
      <c r="F310">
        <v>-15.1</v>
      </c>
      <c r="G310">
        <v>37</v>
      </c>
      <c r="H310">
        <v>140</v>
      </c>
      <c r="I310">
        <v>127</v>
      </c>
      <c r="J310">
        <v>11</v>
      </c>
      <c r="K310">
        <v>24</v>
      </c>
      <c r="L310">
        <v>3</v>
      </c>
      <c r="M310">
        <v>12</v>
      </c>
      <c r="N310">
        <v>2</v>
      </c>
      <c r="O310">
        <v>0</v>
      </c>
      <c r="P310">
        <v>12</v>
      </c>
      <c r="Q310">
        <v>48</v>
      </c>
      <c r="R310">
        <v>0.189</v>
      </c>
      <c r="S310">
        <v>0.25700000000000001</v>
      </c>
      <c r="T310">
        <v>0.28299999999999997</v>
      </c>
      <c r="U310">
        <v>0.54</v>
      </c>
      <c r="V310">
        <v>38</v>
      </c>
    </row>
    <row r="311" spans="2:22" x14ac:dyDescent="0.3">
      <c r="B311" t="s">
        <v>1693</v>
      </c>
      <c r="C311" t="s">
        <v>1522</v>
      </c>
      <c r="D311" t="s">
        <v>1531</v>
      </c>
      <c r="E311" t="s">
        <v>1531</v>
      </c>
      <c r="F311">
        <v>-15.1</v>
      </c>
      <c r="G311">
        <v>23</v>
      </c>
      <c r="H311">
        <v>82</v>
      </c>
      <c r="I311">
        <v>74</v>
      </c>
      <c r="J311">
        <v>13</v>
      </c>
      <c r="K311">
        <v>16</v>
      </c>
      <c r="L311">
        <v>1</v>
      </c>
      <c r="M311">
        <v>6</v>
      </c>
      <c r="N311">
        <v>0</v>
      </c>
      <c r="O311">
        <v>0</v>
      </c>
      <c r="P311">
        <v>6</v>
      </c>
      <c r="Q311">
        <v>19</v>
      </c>
      <c r="R311">
        <v>0.216</v>
      </c>
      <c r="S311">
        <v>0.26800000000000002</v>
      </c>
      <c r="T311">
        <v>0.33800000000000002</v>
      </c>
      <c r="U311">
        <v>0.60599999999999998</v>
      </c>
      <c r="V311">
        <v>1</v>
      </c>
    </row>
    <row r="312" spans="2:22" x14ac:dyDescent="0.3">
      <c r="B312" t="s">
        <v>403</v>
      </c>
      <c r="C312" t="s">
        <v>339</v>
      </c>
      <c r="D312" t="s">
        <v>1655</v>
      </c>
      <c r="E312" t="s">
        <v>1655</v>
      </c>
      <c r="F312">
        <v>-15.1</v>
      </c>
      <c r="G312">
        <v>34</v>
      </c>
      <c r="H312">
        <v>94</v>
      </c>
      <c r="I312">
        <v>81</v>
      </c>
      <c r="J312">
        <v>5</v>
      </c>
      <c r="K312">
        <v>17</v>
      </c>
      <c r="L312">
        <v>3</v>
      </c>
      <c r="M312">
        <v>10</v>
      </c>
      <c r="N312">
        <v>3</v>
      </c>
      <c r="O312">
        <v>0</v>
      </c>
      <c r="P312">
        <v>11</v>
      </c>
      <c r="Q312">
        <v>21</v>
      </c>
      <c r="R312">
        <v>0.21</v>
      </c>
      <c r="S312">
        <v>0.29799999999999999</v>
      </c>
      <c r="T312">
        <v>0.35799999999999998</v>
      </c>
      <c r="U312">
        <v>0.65600000000000003</v>
      </c>
      <c r="V312">
        <v>2</v>
      </c>
    </row>
    <row r="313" spans="2:22" x14ac:dyDescent="0.3">
      <c r="B313" t="s">
        <v>453</v>
      </c>
      <c r="C313" t="s">
        <v>1521</v>
      </c>
      <c r="D313" t="s">
        <v>1529</v>
      </c>
      <c r="E313" t="s">
        <v>1529</v>
      </c>
      <c r="F313">
        <v>-15.1</v>
      </c>
      <c r="G313">
        <v>29</v>
      </c>
      <c r="H313">
        <v>103</v>
      </c>
      <c r="I313">
        <v>93</v>
      </c>
      <c r="J313">
        <v>6</v>
      </c>
      <c r="K313">
        <v>16</v>
      </c>
      <c r="L313">
        <v>4</v>
      </c>
      <c r="M313">
        <v>12</v>
      </c>
      <c r="N313">
        <v>3</v>
      </c>
      <c r="O313">
        <v>0</v>
      </c>
      <c r="P313">
        <v>10</v>
      </c>
      <c r="Q313">
        <v>34</v>
      </c>
      <c r="R313">
        <v>0.17199999999999999</v>
      </c>
      <c r="S313">
        <v>0.252</v>
      </c>
      <c r="T313">
        <v>0.32300000000000001</v>
      </c>
      <c r="U313">
        <v>0.57499999999999996</v>
      </c>
      <c r="V313">
        <v>1</v>
      </c>
    </row>
    <row r="314" spans="2:22" x14ac:dyDescent="0.3">
      <c r="B314" t="s">
        <v>3251</v>
      </c>
      <c r="C314" t="s">
        <v>274</v>
      </c>
      <c r="D314" t="s">
        <v>1679</v>
      </c>
      <c r="E314" t="s">
        <v>1679</v>
      </c>
      <c r="F314">
        <v>-15.1</v>
      </c>
      <c r="G314">
        <v>17</v>
      </c>
      <c r="H314">
        <v>61</v>
      </c>
      <c r="I314">
        <v>53</v>
      </c>
      <c r="J314">
        <v>7</v>
      </c>
      <c r="K314">
        <v>15</v>
      </c>
      <c r="L314">
        <v>3</v>
      </c>
      <c r="M314">
        <v>6</v>
      </c>
      <c r="N314">
        <v>0</v>
      </c>
      <c r="O314">
        <v>0</v>
      </c>
      <c r="P314">
        <v>6</v>
      </c>
      <c r="Q314">
        <v>16</v>
      </c>
      <c r="R314">
        <v>0.28299999999999997</v>
      </c>
      <c r="S314">
        <v>0.377</v>
      </c>
      <c r="T314">
        <v>0.50900000000000001</v>
      </c>
      <c r="U314">
        <v>0.88600000000000001</v>
      </c>
      <c r="V314">
        <v>99</v>
      </c>
    </row>
    <row r="315" spans="2:22" x14ac:dyDescent="0.3">
      <c r="B315" t="s">
        <v>532</v>
      </c>
      <c r="C315" t="s">
        <v>346</v>
      </c>
      <c r="D315" t="s">
        <v>1655</v>
      </c>
      <c r="E315" t="s">
        <v>1655</v>
      </c>
      <c r="F315">
        <v>-15.2</v>
      </c>
      <c r="G315">
        <v>20</v>
      </c>
      <c r="H315">
        <v>75</v>
      </c>
      <c r="I315">
        <v>69</v>
      </c>
      <c r="J315">
        <v>8</v>
      </c>
      <c r="K315">
        <v>15</v>
      </c>
      <c r="L315">
        <v>4</v>
      </c>
      <c r="M315">
        <v>8</v>
      </c>
      <c r="N315">
        <v>0</v>
      </c>
      <c r="O315">
        <v>0</v>
      </c>
      <c r="P315">
        <v>5</v>
      </c>
      <c r="Q315">
        <v>22</v>
      </c>
      <c r="R315">
        <v>0.217</v>
      </c>
      <c r="S315">
        <v>0.28000000000000003</v>
      </c>
      <c r="T315">
        <v>0.46400000000000002</v>
      </c>
      <c r="U315">
        <v>0.74399999999999999</v>
      </c>
      <c r="V315">
        <v>0</v>
      </c>
    </row>
    <row r="316" spans="2:22" x14ac:dyDescent="0.3">
      <c r="B316" t="s">
        <v>3096</v>
      </c>
      <c r="C316" t="s">
        <v>1520</v>
      </c>
      <c r="D316" t="s">
        <v>1531</v>
      </c>
      <c r="E316" t="s">
        <v>1531</v>
      </c>
      <c r="F316">
        <v>-15.3</v>
      </c>
      <c r="G316">
        <v>14</v>
      </c>
      <c r="H316">
        <v>41</v>
      </c>
      <c r="I316">
        <v>36</v>
      </c>
      <c r="J316">
        <v>4</v>
      </c>
      <c r="K316">
        <v>10</v>
      </c>
      <c r="L316">
        <v>3</v>
      </c>
      <c r="M316">
        <v>5</v>
      </c>
      <c r="N316">
        <v>0</v>
      </c>
      <c r="O316">
        <v>0</v>
      </c>
      <c r="P316">
        <v>5</v>
      </c>
      <c r="Q316">
        <v>8</v>
      </c>
      <c r="R316">
        <v>0.27800000000000002</v>
      </c>
      <c r="S316">
        <v>0.36599999999999999</v>
      </c>
      <c r="T316">
        <v>0.58299999999999996</v>
      </c>
      <c r="U316">
        <v>0.94899999999999995</v>
      </c>
      <c r="V316">
        <v>1</v>
      </c>
    </row>
    <row r="317" spans="2:22" x14ac:dyDescent="0.3">
      <c r="B317" t="s">
        <v>390</v>
      </c>
      <c r="C317" t="s">
        <v>264</v>
      </c>
      <c r="D317" t="s">
        <v>3095</v>
      </c>
      <c r="E317" t="s">
        <v>3095</v>
      </c>
      <c r="F317">
        <v>-15.4</v>
      </c>
      <c r="G317">
        <v>35</v>
      </c>
      <c r="H317">
        <v>98</v>
      </c>
      <c r="I317">
        <v>78</v>
      </c>
      <c r="J317">
        <v>14</v>
      </c>
      <c r="K317">
        <v>16</v>
      </c>
      <c r="L317">
        <v>3</v>
      </c>
      <c r="M317">
        <v>4</v>
      </c>
      <c r="N317">
        <v>1</v>
      </c>
      <c r="O317">
        <v>0</v>
      </c>
      <c r="P317">
        <v>12</v>
      </c>
      <c r="Q317">
        <v>29</v>
      </c>
      <c r="R317">
        <v>0.20499999999999999</v>
      </c>
      <c r="S317">
        <v>0.36699999999999999</v>
      </c>
      <c r="T317">
        <v>0.35899999999999999</v>
      </c>
      <c r="U317">
        <v>0.72599999999999998</v>
      </c>
      <c r="V317">
        <v>0</v>
      </c>
    </row>
    <row r="318" spans="2:22" x14ac:dyDescent="0.3">
      <c r="B318" t="s">
        <v>640</v>
      </c>
      <c r="C318" t="s">
        <v>1523</v>
      </c>
      <c r="D318" t="s">
        <v>79</v>
      </c>
      <c r="E318" t="s">
        <v>79</v>
      </c>
      <c r="F318">
        <v>-15.5</v>
      </c>
      <c r="G318">
        <v>26</v>
      </c>
      <c r="H318">
        <v>71</v>
      </c>
      <c r="I318">
        <v>63</v>
      </c>
      <c r="J318">
        <v>10</v>
      </c>
      <c r="K318">
        <v>13</v>
      </c>
      <c r="L318">
        <v>2</v>
      </c>
      <c r="M318">
        <v>9</v>
      </c>
      <c r="N318">
        <v>1</v>
      </c>
      <c r="O318">
        <v>1</v>
      </c>
      <c r="P318">
        <v>8</v>
      </c>
      <c r="Q318">
        <v>16</v>
      </c>
      <c r="R318">
        <v>0.20599999999999999</v>
      </c>
      <c r="S318">
        <v>0.29599999999999999</v>
      </c>
      <c r="T318">
        <v>0.36499999999999999</v>
      </c>
      <c r="U318">
        <v>0.66100000000000003</v>
      </c>
      <c r="V318">
        <v>0</v>
      </c>
    </row>
    <row r="319" spans="2:22" x14ac:dyDescent="0.3">
      <c r="B319" t="s">
        <v>3126</v>
      </c>
      <c r="C319" t="s">
        <v>1521</v>
      </c>
      <c r="D319" t="s">
        <v>1655</v>
      </c>
      <c r="E319" t="s">
        <v>1655</v>
      </c>
      <c r="F319">
        <v>-15.6</v>
      </c>
      <c r="G319">
        <v>23</v>
      </c>
      <c r="H319">
        <v>89</v>
      </c>
      <c r="I319">
        <v>85</v>
      </c>
      <c r="J319">
        <v>10</v>
      </c>
      <c r="K319">
        <v>17</v>
      </c>
      <c r="L319">
        <v>2</v>
      </c>
      <c r="M319">
        <v>11</v>
      </c>
      <c r="N319">
        <v>1</v>
      </c>
      <c r="O319">
        <v>0</v>
      </c>
      <c r="P319">
        <v>3</v>
      </c>
      <c r="Q319">
        <v>26</v>
      </c>
      <c r="R319">
        <v>0.2</v>
      </c>
      <c r="S319">
        <v>0.22500000000000001</v>
      </c>
      <c r="T319">
        <v>0.30599999999999999</v>
      </c>
      <c r="U319">
        <v>0.53100000000000003</v>
      </c>
      <c r="V319">
        <v>94</v>
      </c>
    </row>
    <row r="320" spans="2:22" x14ac:dyDescent="0.3">
      <c r="B320" t="s">
        <v>1697</v>
      </c>
      <c r="C320" t="s">
        <v>224</v>
      </c>
      <c r="D320" t="s">
        <v>1527</v>
      </c>
      <c r="E320" t="s">
        <v>1527</v>
      </c>
      <c r="F320">
        <v>-15.6</v>
      </c>
      <c r="G320">
        <v>48</v>
      </c>
      <c r="H320">
        <v>200</v>
      </c>
      <c r="I320">
        <v>185</v>
      </c>
      <c r="J320">
        <v>13</v>
      </c>
      <c r="K320">
        <v>41</v>
      </c>
      <c r="L320">
        <v>0</v>
      </c>
      <c r="M320">
        <v>17</v>
      </c>
      <c r="N320">
        <v>0</v>
      </c>
      <c r="O320">
        <v>0</v>
      </c>
      <c r="P320">
        <v>14</v>
      </c>
      <c r="Q320">
        <v>47</v>
      </c>
      <c r="R320">
        <v>0.222</v>
      </c>
      <c r="S320">
        <v>0.28000000000000003</v>
      </c>
      <c r="T320">
        <v>0.25900000000000001</v>
      </c>
      <c r="U320">
        <v>0.53900000000000003</v>
      </c>
      <c r="V320">
        <v>93</v>
      </c>
    </row>
    <row r="321" spans="2:22" x14ac:dyDescent="0.3">
      <c r="B321" t="s">
        <v>3314</v>
      </c>
      <c r="C321" t="s">
        <v>270</v>
      </c>
      <c r="D321" t="s">
        <v>1529</v>
      </c>
      <c r="E321" t="s">
        <v>1529</v>
      </c>
      <c r="F321">
        <v>-15.6</v>
      </c>
      <c r="G321">
        <v>8</v>
      </c>
      <c r="H321">
        <v>37</v>
      </c>
      <c r="I321">
        <v>32</v>
      </c>
      <c r="J321">
        <v>9</v>
      </c>
      <c r="K321">
        <v>9</v>
      </c>
      <c r="L321">
        <v>2</v>
      </c>
      <c r="M321">
        <v>6</v>
      </c>
      <c r="N321">
        <v>0</v>
      </c>
      <c r="O321">
        <v>1</v>
      </c>
      <c r="P321">
        <v>4</v>
      </c>
      <c r="Q321">
        <v>14</v>
      </c>
      <c r="R321">
        <v>0.28100000000000003</v>
      </c>
      <c r="S321">
        <v>0.378</v>
      </c>
      <c r="T321">
        <v>0.59399999999999997</v>
      </c>
      <c r="U321">
        <v>0.97199999999999998</v>
      </c>
      <c r="V321">
        <v>91</v>
      </c>
    </row>
    <row r="322" spans="2:22" x14ac:dyDescent="0.3">
      <c r="B322" t="s">
        <v>1695</v>
      </c>
      <c r="C322" t="s">
        <v>255</v>
      </c>
      <c r="D322" t="s">
        <v>1655</v>
      </c>
      <c r="E322" t="s">
        <v>1655</v>
      </c>
      <c r="F322">
        <v>-15.7</v>
      </c>
      <c r="G322">
        <v>29</v>
      </c>
      <c r="H322">
        <v>99</v>
      </c>
      <c r="I322">
        <v>92</v>
      </c>
      <c r="J322">
        <v>12</v>
      </c>
      <c r="K322">
        <v>21</v>
      </c>
      <c r="L322">
        <v>2</v>
      </c>
      <c r="M322">
        <v>6</v>
      </c>
      <c r="N322">
        <v>1</v>
      </c>
      <c r="O322">
        <v>0</v>
      </c>
      <c r="P322">
        <v>7</v>
      </c>
      <c r="Q322">
        <v>34</v>
      </c>
      <c r="R322">
        <v>0.22800000000000001</v>
      </c>
      <c r="S322">
        <v>0.28299999999999997</v>
      </c>
      <c r="T322">
        <v>0.33700000000000002</v>
      </c>
      <c r="U322">
        <v>0.62</v>
      </c>
      <c r="V322">
        <v>90</v>
      </c>
    </row>
    <row r="323" spans="2:22" x14ac:dyDescent="0.3">
      <c r="B323" t="s">
        <v>1733</v>
      </c>
      <c r="C323" t="s">
        <v>248</v>
      </c>
      <c r="D323" t="s">
        <v>1655</v>
      </c>
      <c r="E323" t="s">
        <v>1655</v>
      </c>
      <c r="F323">
        <v>-15.8</v>
      </c>
      <c r="G323">
        <v>13</v>
      </c>
      <c r="H323">
        <v>32</v>
      </c>
      <c r="I323">
        <v>29</v>
      </c>
      <c r="J323">
        <v>8</v>
      </c>
      <c r="K323">
        <v>7</v>
      </c>
      <c r="L323">
        <v>3</v>
      </c>
      <c r="M323">
        <v>6</v>
      </c>
      <c r="N323">
        <v>0</v>
      </c>
      <c r="O323">
        <v>0</v>
      </c>
      <c r="P323">
        <v>3</v>
      </c>
      <c r="Q323">
        <v>8</v>
      </c>
      <c r="R323">
        <v>0.24099999999999999</v>
      </c>
      <c r="S323">
        <v>0.312</v>
      </c>
      <c r="T323">
        <v>0.621</v>
      </c>
      <c r="U323">
        <v>0.93300000000000005</v>
      </c>
      <c r="V323">
        <v>0</v>
      </c>
    </row>
    <row r="324" spans="2:22" x14ac:dyDescent="0.3">
      <c r="B324" t="s">
        <v>1751</v>
      </c>
      <c r="C324" t="s">
        <v>278</v>
      </c>
      <c r="D324" t="s">
        <v>1526</v>
      </c>
      <c r="E324" t="s">
        <v>1679</v>
      </c>
      <c r="F324">
        <v>-16</v>
      </c>
      <c r="G324">
        <v>14</v>
      </c>
      <c r="H324">
        <v>35</v>
      </c>
      <c r="I324">
        <v>31</v>
      </c>
      <c r="J324">
        <v>3</v>
      </c>
      <c r="K324">
        <v>9</v>
      </c>
      <c r="L324">
        <v>2</v>
      </c>
      <c r="M324">
        <v>11</v>
      </c>
      <c r="N324">
        <v>0</v>
      </c>
      <c r="O324">
        <v>0</v>
      </c>
      <c r="P324">
        <v>3</v>
      </c>
      <c r="Q324">
        <v>7</v>
      </c>
      <c r="R324">
        <v>0.28999999999999998</v>
      </c>
      <c r="S324">
        <v>0.34300000000000003</v>
      </c>
      <c r="T324">
        <v>0.51600000000000001</v>
      </c>
      <c r="U324">
        <v>0.85899999999999999</v>
      </c>
      <c r="V324">
        <v>0</v>
      </c>
    </row>
    <row r="325" spans="2:22" x14ac:dyDescent="0.3">
      <c r="B325" t="s">
        <v>770</v>
      </c>
      <c r="C325" t="s">
        <v>1524</v>
      </c>
      <c r="D325" t="s">
        <v>1531</v>
      </c>
      <c r="E325" t="s">
        <v>1531</v>
      </c>
      <c r="F325">
        <v>-16.100000000000001</v>
      </c>
      <c r="G325">
        <v>8</v>
      </c>
      <c r="H325">
        <v>32</v>
      </c>
      <c r="I325">
        <v>30</v>
      </c>
      <c r="J325">
        <v>3</v>
      </c>
      <c r="K325">
        <v>9</v>
      </c>
      <c r="L325">
        <v>2</v>
      </c>
      <c r="M325">
        <v>6</v>
      </c>
      <c r="N325">
        <v>0</v>
      </c>
      <c r="O325">
        <v>0</v>
      </c>
      <c r="P325">
        <v>2</v>
      </c>
      <c r="Q325">
        <v>10</v>
      </c>
      <c r="R325">
        <v>0.3</v>
      </c>
      <c r="S325">
        <v>0.34399999999999997</v>
      </c>
      <c r="T325">
        <v>0.6</v>
      </c>
      <c r="U325">
        <v>0.94399999999999995</v>
      </c>
      <c r="V325">
        <v>0</v>
      </c>
    </row>
    <row r="326" spans="2:22" x14ac:dyDescent="0.3">
      <c r="B326" t="s">
        <v>322</v>
      </c>
      <c r="C326" t="s">
        <v>226</v>
      </c>
      <c r="D326" t="s">
        <v>1655</v>
      </c>
      <c r="E326" t="s">
        <v>1655</v>
      </c>
      <c r="F326">
        <v>-16.2</v>
      </c>
      <c r="G326">
        <v>29</v>
      </c>
      <c r="H326">
        <v>78</v>
      </c>
      <c r="I326">
        <v>64</v>
      </c>
      <c r="J326">
        <v>11</v>
      </c>
      <c r="K326">
        <v>7</v>
      </c>
      <c r="L326">
        <v>4</v>
      </c>
      <c r="M326">
        <v>12</v>
      </c>
      <c r="N326">
        <v>0</v>
      </c>
      <c r="O326">
        <v>0</v>
      </c>
      <c r="P326">
        <v>13</v>
      </c>
      <c r="Q326">
        <v>34</v>
      </c>
      <c r="R326">
        <v>0.109</v>
      </c>
      <c r="S326">
        <v>0.26900000000000002</v>
      </c>
      <c r="T326">
        <v>0.29699999999999999</v>
      </c>
      <c r="U326">
        <v>0.56599999999999995</v>
      </c>
      <c r="V326">
        <v>0</v>
      </c>
    </row>
    <row r="327" spans="2:22" x14ac:dyDescent="0.3">
      <c r="B327" t="s">
        <v>288</v>
      </c>
      <c r="C327" t="s">
        <v>1520</v>
      </c>
      <c r="D327" t="s">
        <v>1657</v>
      </c>
      <c r="E327" t="s">
        <v>1666</v>
      </c>
      <c r="F327">
        <v>-16.3</v>
      </c>
      <c r="G327">
        <v>24</v>
      </c>
      <c r="H327">
        <v>70</v>
      </c>
      <c r="I327">
        <v>65</v>
      </c>
      <c r="J327">
        <v>6</v>
      </c>
      <c r="K327">
        <v>20</v>
      </c>
      <c r="L327">
        <v>1</v>
      </c>
      <c r="M327">
        <v>7</v>
      </c>
      <c r="N327">
        <v>0</v>
      </c>
      <c r="O327">
        <v>0</v>
      </c>
      <c r="P327">
        <v>4</v>
      </c>
      <c r="Q327">
        <v>18</v>
      </c>
      <c r="R327">
        <v>0.308</v>
      </c>
      <c r="S327">
        <v>0.34300000000000003</v>
      </c>
      <c r="T327">
        <v>0.4</v>
      </c>
      <c r="U327">
        <v>0.74299999999999999</v>
      </c>
      <c r="V327">
        <v>0</v>
      </c>
    </row>
    <row r="328" spans="2:22" x14ac:dyDescent="0.3">
      <c r="B328" t="s">
        <v>730</v>
      </c>
      <c r="C328" t="s">
        <v>286</v>
      </c>
      <c r="D328" t="s">
        <v>1531</v>
      </c>
      <c r="E328" t="s">
        <v>1531</v>
      </c>
      <c r="F328">
        <v>-16.3</v>
      </c>
      <c r="G328">
        <v>18</v>
      </c>
      <c r="H328">
        <v>52</v>
      </c>
      <c r="I328">
        <v>44</v>
      </c>
      <c r="J328">
        <v>9</v>
      </c>
      <c r="K328">
        <v>10</v>
      </c>
      <c r="L328">
        <v>0</v>
      </c>
      <c r="M328">
        <v>6</v>
      </c>
      <c r="N328">
        <v>1</v>
      </c>
      <c r="O328">
        <v>0</v>
      </c>
      <c r="P328">
        <v>7</v>
      </c>
      <c r="Q328">
        <v>17</v>
      </c>
      <c r="R328">
        <v>0.22700000000000001</v>
      </c>
      <c r="S328">
        <v>0.32700000000000001</v>
      </c>
      <c r="T328">
        <v>0.318</v>
      </c>
      <c r="U328">
        <v>0.64500000000000002</v>
      </c>
      <c r="V328">
        <v>0</v>
      </c>
    </row>
    <row r="329" spans="2:22" x14ac:dyDescent="0.3">
      <c r="B329" t="s">
        <v>3055</v>
      </c>
      <c r="C329" t="s">
        <v>325</v>
      </c>
      <c r="D329" t="s">
        <v>79</v>
      </c>
      <c r="E329" t="s">
        <v>79</v>
      </c>
      <c r="F329">
        <v>-16.3</v>
      </c>
      <c r="G329">
        <v>23</v>
      </c>
      <c r="H329">
        <v>72</v>
      </c>
      <c r="I329">
        <v>69</v>
      </c>
      <c r="J329">
        <v>6</v>
      </c>
      <c r="K329">
        <v>15</v>
      </c>
      <c r="L329">
        <v>4</v>
      </c>
      <c r="M329">
        <v>8</v>
      </c>
      <c r="N329">
        <v>0</v>
      </c>
      <c r="O329">
        <v>1</v>
      </c>
      <c r="P329">
        <v>2</v>
      </c>
      <c r="Q329">
        <v>17</v>
      </c>
      <c r="R329">
        <v>0.217</v>
      </c>
      <c r="S329">
        <v>0.25</v>
      </c>
      <c r="T329">
        <v>0.42</v>
      </c>
      <c r="U329">
        <v>0.67</v>
      </c>
      <c r="V329">
        <v>1</v>
      </c>
    </row>
    <row r="330" spans="2:22" x14ac:dyDescent="0.3">
      <c r="B330" t="s">
        <v>612</v>
      </c>
      <c r="C330" t="s">
        <v>239</v>
      </c>
      <c r="D330" t="s">
        <v>1655</v>
      </c>
      <c r="E330" t="s">
        <v>1655</v>
      </c>
      <c r="F330">
        <v>-16.5</v>
      </c>
      <c r="G330">
        <v>36</v>
      </c>
      <c r="H330">
        <v>118</v>
      </c>
      <c r="I330">
        <v>99</v>
      </c>
      <c r="J330">
        <v>11</v>
      </c>
      <c r="K330">
        <v>22</v>
      </c>
      <c r="L330">
        <v>0</v>
      </c>
      <c r="M330">
        <v>13</v>
      </c>
      <c r="N330">
        <v>0</v>
      </c>
      <c r="O330">
        <v>0</v>
      </c>
      <c r="P330">
        <v>15</v>
      </c>
      <c r="Q330">
        <v>27</v>
      </c>
      <c r="R330">
        <v>0.222</v>
      </c>
      <c r="S330">
        <v>0.33900000000000002</v>
      </c>
      <c r="T330">
        <v>0.253</v>
      </c>
      <c r="U330">
        <v>0.59199999999999997</v>
      </c>
      <c r="V330">
        <v>17</v>
      </c>
    </row>
    <row r="331" spans="2:22" x14ac:dyDescent="0.3">
      <c r="B331" t="s">
        <v>280</v>
      </c>
      <c r="C331" t="s">
        <v>1521</v>
      </c>
      <c r="D331" t="s">
        <v>1667</v>
      </c>
      <c r="E331" t="s">
        <v>1666</v>
      </c>
      <c r="F331">
        <v>-16.5</v>
      </c>
      <c r="G331">
        <v>29</v>
      </c>
      <c r="H331">
        <v>100</v>
      </c>
      <c r="I331">
        <v>88</v>
      </c>
      <c r="J331">
        <v>10</v>
      </c>
      <c r="K331">
        <v>13</v>
      </c>
      <c r="L331">
        <v>4</v>
      </c>
      <c r="M331">
        <v>11</v>
      </c>
      <c r="N331">
        <v>1</v>
      </c>
      <c r="O331">
        <v>0</v>
      </c>
      <c r="P331">
        <v>8</v>
      </c>
      <c r="Q331">
        <v>33</v>
      </c>
      <c r="R331">
        <v>0.14799999999999999</v>
      </c>
      <c r="S331">
        <v>0.24</v>
      </c>
      <c r="T331">
        <v>0.318</v>
      </c>
      <c r="U331">
        <v>0.55800000000000005</v>
      </c>
      <c r="V331">
        <v>0</v>
      </c>
    </row>
    <row r="332" spans="2:22" x14ac:dyDescent="0.3">
      <c r="B332" t="s">
        <v>1684</v>
      </c>
      <c r="C332" t="s">
        <v>250</v>
      </c>
      <c r="D332" t="s">
        <v>1531</v>
      </c>
      <c r="E332" t="s">
        <v>1531</v>
      </c>
      <c r="F332">
        <v>-16.5</v>
      </c>
      <c r="G332">
        <v>14</v>
      </c>
      <c r="H332">
        <v>57</v>
      </c>
      <c r="I332">
        <v>55</v>
      </c>
      <c r="J332">
        <v>4</v>
      </c>
      <c r="K332">
        <v>16</v>
      </c>
      <c r="L332">
        <v>1</v>
      </c>
      <c r="M332">
        <v>6</v>
      </c>
      <c r="N332">
        <v>0</v>
      </c>
      <c r="O332">
        <v>0</v>
      </c>
      <c r="P332">
        <v>1</v>
      </c>
      <c r="Q332">
        <v>11</v>
      </c>
      <c r="R332">
        <v>0.29099999999999998</v>
      </c>
      <c r="S332">
        <v>0.316</v>
      </c>
      <c r="T332">
        <v>0.4</v>
      </c>
      <c r="U332">
        <v>0.71599999999999997</v>
      </c>
      <c r="V332">
        <v>96</v>
      </c>
    </row>
    <row r="333" spans="2:22" x14ac:dyDescent="0.3">
      <c r="B333" t="s">
        <v>472</v>
      </c>
      <c r="C333" t="s">
        <v>222</v>
      </c>
      <c r="D333" t="s">
        <v>1679</v>
      </c>
      <c r="E333" t="s">
        <v>1679</v>
      </c>
      <c r="F333">
        <v>-16.8</v>
      </c>
      <c r="G333">
        <v>17</v>
      </c>
      <c r="H333">
        <v>55</v>
      </c>
      <c r="I333">
        <v>53</v>
      </c>
      <c r="J333">
        <v>6</v>
      </c>
      <c r="K333">
        <v>8</v>
      </c>
      <c r="L333">
        <v>4</v>
      </c>
      <c r="M333">
        <v>11</v>
      </c>
      <c r="N333">
        <v>0</v>
      </c>
      <c r="O333">
        <v>0</v>
      </c>
      <c r="P333">
        <v>2</v>
      </c>
      <c r="Q333">
        <v>20</v>
      </c>
      <c r="R333">
        <v>0.151</v>
      </c>
      <c r="S333">
        <v>0.182</v>
      </c>
      <c r="T333">
        <v>0.39600000000000002</v>
      </c>
      <c r="U333">
        <v>0.57799999999999996</v>
      </c>
      <c r="V333">
        <v>1</v>
      </c>
    </row>
    <row r="334" spans="2:22" x14ac:dyDescent="0.3">
      <c r="B334" t="s">
        <v>743</v>
      </c>
      <c r="C334" t="s">
        <v>239</v>
      </c>
      <c r="D334" t="s">
        <v>80</v>
      </c>
      <c r="E334" t="s">
        <v>80</v>
      </c>
      <c r="F334">
        <v>-16.8</v>
      </c>
      <c r="G334">
        <v>25</v>
      </c>
      <c r="H334">
        <v>66</v>
      </c>
      <c r="I334">
        <v>62</v>
      </c>
      <c r="J334">
        <v>4</v>
      </c>
      <c r="K334">
        <v>14</v>
      </c>
      <c r="L334">
        <v>4</v>
      </c>
      <c r="M334">
        <v>8</v>
      </c>
      <c r="N334">
        <v>0</v>
      </c>
      <c r="O334">
        <v>0</v>
      </c>
      <c r="P334">
        <v>4</v>
      </c>
      <c r="Q334">
        <v>17</v>
      </c>
      <c r="R334">
        <v>0.22600000000000001</v>
      </c>
      <c r="S334">
        <v>0.27300000000000002</v>
      </c>
      <c r="T334">
        <v>0.45200000000000001</v>
      </c>
      <c r="U334">
        <v>0.72499999999999998</v>
      </c>
      <c r="V334">
        <v>0</v>
      </c>
    </row>
    <row r="335" spans="2:22" x14ac:dyDescent="0.3">
      <c r="B335" t="s">
        <v>402</v>
      </c>
      <c r="C335" t="s">
        <v>231</v>
      </c>
      <c r="D335" t="s">
        <v>1529</v>
      </c>
      <c r="E335" t="s">
        <v>1529</v>
      </c>
      <c r="F335">
        <v>-16.899999999999999</v>
      </c>
      <c r="G335">
        <v>9</v>
      </c>
      <c r="H335">
        <v>40</v>
      </c>
      <c r="I335">
        <v>32</v>
      </c>
      <c r="J335">
        <v>7</v>
      </c>
      <c r="K335">
        <v>8</v>
      </c>
      <c r="L335">
        <v>1</v>
      </c>
      <c r="M335">
        <v>4</v>
      </c>
      <c r="N335">
        <v>3</v>
      </c>
      <c r="O335">
        <v>0</v>
      </c>
      <c r="P335">
        <v>7</v>
      </c>
      <c r="Q335">
        <v>8</v>
      </c>
      <c r="R335">
        <v>0.25</v>
      </c>
      <c r="S335">
        <v>0.375</v>
      </c>
      <c r="T335">
        <v>0.375</v>
      </c>
      <c r="U335">
        <v>0.75</v>
      </c>
      <c r="V335">
        <v>14</v>
      </c>
    </row>
    <row r="336" spans="2:22" x14ac:dyDescent="0.3">
      <c r="B336" t="s">
        <v>531</v>
      </c>
      <c r="C336" t="s">
        <v>239</v>
      </c>
      <c r="D336" t="s">
        <v>1531</v>
      </c>
      <c r="E336" t="s">
        <v>1531</v>
      </c>
      <c r="F336">
        <v>-17</v>
      </c>
      <c r="G336">
        <v>17</v>
      </c>
      <c r="H336">
        <v>64</v>
      </c>
      <c r="I336">
        <v>56</v>
      </c>
      <c r="J336">
        <v>5</v>
      </c>
      <c r="K336">
        <v>13</v>
      </c>
      <c r="L336">
        <v>2</v>
      </c>
      <c r="M336">
        <v>6</v>
      </c>
      <c r="N336">
        <v>0</v>
      </c>
      <c r="O336">
        <v>0</v>
      </c>
      <c r="P336">
        <v>7</v>
      </c>
      <c r="Q336">
        <v>18</v>
      </c>
      <c r="R336">
        <v>0.23200000000000001</v>
      </c>
      <c r="S336">
        <v>0.32800000000000001</v>
      </c>
      <c r="T336">
        <v>0.33900000000000002</v>
      </c>
      <c r="U336">
        <v>0.66700000000000004</v>
      </c>
      <c r="V336">
        <v>0</v>
      </c>
    </row>
    <row r="337" spans="2:22" x14ac:dyDescent="0.3">
      <c r="B337" t="s">
        <v>832</v>
      </c>
      <c r="C337" t="s">
        <v>1524</v>
      </c>
      <c r="D337" t="s">
        <v>80</v>
      </c>
      <c r="E337" t="s">
        <v>1663</v>
      </c>
      <c r="F337">
        <v>-17.100000000000001</v>
      </c>
      <c r="G337">
        <v>14</v>
      </c>
      <c r="H337">
        <v>37</v>
      </c>
      <c r="I337">
        <v>36</v>
      </c>
      <c r="J337">
        <v>5</v>
      </c>
      <c r="K337">
        <v>12</v>
      </c>
      <c r="L337">
        <v>1</v>
      </c>
      <c r="M337">
        <v>7</v>
      </c>
      <c r="N337">
        <v>0</v>
      </c>
      <c r="O337">
        <v>0</v>
      </c>
      <c r="P337">
        <v>1</v>
      </c>
      <c r="Q337">
        <v>1</v>
      </c>
      <c r="R337">
        <v>0.33300000000000002</v>
      </c>
      <c r="S337">
        <v>0.35099999999999998</v>
      </c>
      <c r="T337">
        <v>0.5</v>
      </c>
      <c r="U337">
        <v>0.85099999999999998</v>
      </c>
      <c r="V337">
        <v>0</v>
      </c>
    </row>
    <row r="338" spans="2:22" x14ac:dyDescent="0.3">
      <c r="B338" t="s">
        <v>1595</v>
      </c>
      <c r="C338" t="s">
        <v>222</v>
      </c>
      <c r="D338" t="s">
        <v>1526</v>
      </c>
      <c r="E338" t="s">
        <v>1526</v>
      </c>
      <c r="F338">
        <v>-17.100000000000001</v>
      </c>
      <c r="G338">
        <v>26</v>
      </c>
      <c r="H338">
        <v>91</v>
      </c>
      <c r="I338">
        <v>80</v>
      </c>
      <c r="J338">
        <v>8</v>
      </c>
      <c r="K338">
        <v>17</v>
      </c>
      <c r="L338">
        <v>3</v>
      </c>
      <c r="M338">
        <v>8</v>
      </c>
      <c r="N338">
        <v>0</v>
      </c>
      <c r="O338">
        <v>0</v>
      </c>
      <c r="P338">
        <v>10</v>
      </c>
      <c r="Q338">
        <v>13</v>
      </c>
      <c r="R338">
        <v>0.21199999999999999</v>
      </c>
      <c r="S338">
        <v>0.29699999999999999</v>
      </c>
      <c r="T338">
        <v>0.35</v>
      </c>
      <c r="U338">
        <v>0.64700000000000002</v>
      </c>
      <c r="V338">
        <v>0</v>
      </c>
    </row>
    <row r="339" spans="2:22" x14ac:dyDescent="0.3">
      <c r="B339" t="s">
        <v>969</v>
      </c>
      <c r="C339" t="s">
        <v>266</v>
      </c>
      <c r="D339" t="s">
        <v>1655</v>
      </c>
      <c r="E339" t="s">
        <v>1655</v>
      </c>
      <c r="F339">
        <v>-17.2</v>
      </c>
      <c r="G339">
        <v>24</v>
      </c>
      <c r="H339">
        <v>79</v>
      </c>
      <c r="I339">
        <v>74</v>
      </c>
      <c r="J339">
        <v>8</v>
      </c>
      <c r="K339">
        <v>20</v>
      </c>
      <c r="L339">
        <v>0</v>
      </c>
      <c r="M339">
        <v>7</v>
      </c>
      <c r="N339">
        <v>1</v>
      </c>
      <c r="O339">
        <v>0</v>
      </c>
      <c r="P339">
        <v>3</v>
      </c>
      <c r="Q339">
        <v>13</v>
      </c>
      <c r="R339">
        <v>0.27</v>
      </c>
      <c r="S339">
        <v>0.30399999999999999</v>
      </c>
      <c r="T339">
        <v>0.35099999999999998</v>
      </c>
      <c r="U339">
        <v>0.65500000000000003</v>
      </c>
      <c r="V339">
        <v>0</v>
      </c>
    </row>
    <row r="340" spans="2:22" x14ac:dyDescent="0.3">
      <c r="B340" t="s">
        <v>308</v>
      </c>
      <c r="C340" t="s">
        <v>251</v>
      </c>
      <c r="D340" t="s">
        <v>1531</v>
      </c>
      <c r="E340" t="s">
        <v>1531</v>
      </c>
      <c r="F340">
        <v>-17.399999999999999</v>
      </c>
      <c r="G340">
        <v>32</v>
      </c>
      <c r="H340">
        <v>107</v>
      </c>
      <c r="I340">
        <v>94</v>
      </c>
      <c r="J340">
        <v>8</v>
      </c>
      <c r="K340">
        <v>16</v>
      </c>
      <c r="L340">
        <v>3</v>
      </c>
      <c r="M340">
        <v>9</v>
      </c>
      <c r="N340">
        <v>0</v>
      </c>
      <c r="O340">
        <v>0</v>
      </c>
      <c r="P340">
        <v>12</v>
      </c>
      <c r="Q340">
        <v>48</v>
      </c>
      <c r="R340">
        <v>0.17</v>
      </c>
      <c r="S340">
        <v>0.27100000000000002</v>
      </c>
      <c r="T340">
        <v>0.34</v>
      </c>
      <c r="U340">
        <v>0.61099999999999999</v>
      </c>
      <c r="V340">
        <v>18</v>
      </c>
    </row>
    <row r="341" spans="2:22" x14ac:dyDescent="0.3">
      <c r="B341" t="s">
        <v>695</v>
      </c>
      <c r="C341" t="s">
        <v>266</v>
      </c>
      <c r="D341" t="s">
        <v>1659</v>
      </c>
      <c r="E341" t="s">
        <v>1659</v>
      </c>
      <c r="F341">
        <v>-17.399999999999999</v>
      </c>
      <c r="G341">
        <v>33</v>
      </c>
      <c r="H341">
        <v>93</v>
      </c>
      <c r="I341">
        <v>89</v>
      </c>
      <c r="J341">
        <v>8</v>
      </c>
      <c r="K341">
        <v>20</v>
      </c>
      <c r="L341">
        <v>0</v>
      </c>
      <c r="M341">
        <v>10</v>
      </c>
      <c r="N341">
        <v>2</v>
      </c>
      <c r="O341">
        <v>0</v>
      </c>
      <c r="P341">
        <v>3</v>
      </c>
      <c r="Q341">
        <v>21</v>
      </c>
      <c r="R341">
        <v>0.22500000000000001</v>
      </c>
      <c r="S341">
        <v>0.247</v>
      </c>
      <c r="T341">
        <v>0.28100000000000003</v>
      </c>
      <c r="U341">
        <v>0.52800000000000002</v>
      </c>
      <c r="V341">
        <v>0</v>
      </c>
    </row>
    <row r="342" spans="2:22" x14ac:dyDescent="0.3">
      <c r="B342" t="s">
        <v>965</v>
      </c>
      <c r="C342" t="s">
        <v>1709</v>
      </c>
      <c r="D342" t="s">
        <v>1668</v>
      </c>
      <c r="E342" t="s">
        <v>1668</v>
      </c>
      <c r="F342">
        <v>-17.7</v>
      </c>
      <c r="G342">
        <v>29</v>
      </c>
      <c r="H342">
        <v>91</v>
      </c>
      <c r="I342">
        <v>82</v>
      </c>
      <c r="J342">
        <v>8</v>
      </c>
      <c r="K342">
        <v>15</v>
      </c>
      <c r="L342">
        <v>2</v>
      </c>
      <c r="M342">
        <v>9</v>
      </c>
      <c r="N342">
        <v>2</v>
      </c>
      <c r="O342">
        <v>0</v>
      </c>
      <c r="P342">
        <v>8</v>
      </c>
      <c r="Q342">
        <v>29</v>
      </c>
      <c r="R342">
        <v>0.183</v>
      </c>
      <c r="S342">
        <v>0.253</v>
      </c>
      <c r="T342">
        <v>0.30499999999999999</v>
      </c>
      <c r="U342">
        <v>0.55800000000000005</v>
      </c>
      <c r="V342">
        <v>0</v>
      </c>
    </row>
    <row r="343" spans="2:22" x14ac:dyDescent="0.3">
      <c r="B343" t="s">
        <v>3315</v>
      </c>
      <c r="C343" t="s">
        <v>255</v>
      </c>
      <c r="D343" t="s">
        <v>1655</v>
      </c>
      <c r="E343" t="s">
        <v>1655</v>
      </c>
      <c r="F343">
        <v>-17.7</v>
      </c>
      <c r="G343">
        <v>8</v>
      </c>
      <c r="H343">
        <v>20</v>
      </c>
      <c r="I343">
        <v>20</v>
      </c>
      <c r="J343">
        <v>3</v>
      </c>
      <c r="K343">
        <v>9</v>
      </c>
      <c r="L343">
        <v>0</v>
      </c>
      <c r="M343">
        <v>5</v>
      </c>
      <c r="N343">
        <v>2</v>
      </c>
      <c r="O343">
        <v>1</v>
      </c>
      <c r="P343">
        <v>0</v>
      </c>
      <c r="Q343">
        <v>1</v>
      </c>
      <c r="R343">
        <v>0.45</v>
      </c>
      <c r="S343">
        <v>0.45</v>
      </c>
      <c r="T343">
        <v>0.6</v>
      </c>
      <c r="U343">
        <v>1.05</v>
      </c>
      <c r="V343">
        <v>2</v>
      </c>
    </row>
    <row r="344" spans="2:22" x14ac:dyDescent="0.3">
      <c r="B344" t="s">
        <v>696</v>
      </c>
      <c r="C344" t="s">
        <v>1520</v>
      </c>
      <c r="D344" t="s">
        <v>1655</v>
      </c>
      <c r="E344" t="s">
        <v>1655</v>
      </c>
      <c r="F344">
        <v>-17.8</v>
      </c>
      <c r="G344">
        <v>26</v>
      </c>
      <c r="H344">
        <v>96</v>
      </c>
      <c r="I344">
        <v>91</v>
      </c>
      <c r="J344">
        <v>8</v>
      </c>
      <c r="K344">
        <v>19</v>
      </c>
      <c r="L344">
        <v>1</v>
      </c>
      <c r="M344">
        <v>9</v>
      </c>
      <c r="N344">
        <v>2</v>
      </c>
      <c r="O344">
        <v>0</v>
      </c>
      <c r="P344">
        <v>4</v>
      </c>
      <c r="Q344">
        <v>19</v>
      </c>
      <c r="R344">
        <v>0.20899999999999999</v>
      </c>
      <c r="S344">
        <v>0.25</v>
      </c>
      <c r="T344">
        <v>0.35199999999999998</v>
      </c>
      <c r="U344">
        <v>0.60199999999999998</v>
      </c>
      <c r="V344">
        <v>0</v>
      </c>
    </row>
    <row r="345" spans="2:22" x14ac:dyDescent="0.3">
      <c r="B345" t="s">
        <v>3248</v>
      </c>
      <c r="C345" t="s">
        <v>325</v>
      </c>
      <c r="D345" t="s">
        <v>1655</v>
      </c>
      <c r="E345" t="s">
        <v>1655</v>
      </c>
      <c r="F345">
        <v>-17.8</v>
      </c>
      <c r="G345">
        <v>17</v>
      </c>
      <c r="H345">
        <v>60</v>
      </c>
      <c r="I345">
        <v>54</v>
      </c>
      <c r="J345">
        <v>8</v>
      </c>
      <c r="K345">
        <v>13</v>
      </c>
      <c r="L345">
        <v>3</v>
      </c>
      <c r="M345">
        <v>3</v>
      </c>
      <c r="N345">
        <v>0</v>
      </c>
      <c r="O345">
        <v>0</v>
      </c>
      <c r="P345">
        <v>6</v>
      </c>
      <c r="Q345">
        <v>14</v>
      </c>
      <c r="R345">
        <v>0.24099999999999999</v>
      </c>
      <c r="S345">
        <v>0.317</v>
      </c>
      <c r="T345">
        <v>0.46300000000000002</v>
      </c>
      <c r="U345">
        <v>0.78</v>
      </c>
      <c r="V345">
        <v>23</v>
      </c>
    </row>
    <row r="346" spans="2:22" x14ac:dyDescent="0.3">
      <c r="B346" t="s">
        <v>797</v>
      </c>
      <c r="C346" t="s">
        <v>234</v>
      </c>
      <c r="D346" t="s">
        <v>79</v>
      </c>
      <c r="E346" t="s">
        <v>1667</v>
      </c>
      <c r="F346">
        <v>-17.8</v>
      </c>
      <c r="G346">
        <v>25</v>
      </c>
      <c r="H346">
        <v>79</v>
      </c>
      <c r="I346">
        <v>73</v>
      </c>
      <c r="J346">
        <v>9</v>
      </c>
      <c r="K346">
        <v>15</v>
      </c>
      <c r="L346">
        <v>1</v>
      </c>
      <c r="M346">
        <v>7</v>
      </c>
      <c r="N346">
        <v>2</v>
      </c>
      <c r="O346">
        <v>0</v>
      </c>
      <c r="P346">
        <v>5</v>
      </c>
      <c r="Q346">
        <v>12</v>
      </c>
      <c r="R346">
        <v>0.20499999999999999</v>
      </c>
      <c r="S346">
        <v>0.26600000000000001</v>
      </c>
      <c r="T346">
        <v>0.27400000000000002</v>
      </c>
      <c r="U346">
        <v>0.54</v>
      </c>
      <c r="V346">
        <v>0</v>
      </c>
    </row>
    <row r="347" spans="2:22" x14ac:dyDescent="0.3">
      <c r="B347" t="s">
        <v>682</v>
      </c>
      <c r="C347" t="s">
        <v>311</v>
      </c>
      <c r="D347" t="s">
        <v>1655</v>
      </c>
      <c r="E347" t="s">
        <v>1655</v>
      </c>
      <c r="F347">
        <v>-17.899999999999999</v>
      </c>
      <c r="G347">
        <v>20</v>
      </c>
      <c r="H347">
        <v>70</v>
      </c>
      <c r="I347">
        <v>63</v>
      </c>
      <c r="J347">
        <v>3</v>
      </c>
      <c r="K347">
        <v>14</v>
      </c>
      <c r="L347">
        <v>1</v>
      </c>
      <c r="M347">
        <v>9</v>
      </c>
      <c r="N347">
        <v>3</v>
      </c>
      <c r="O347">
        <v>0</v>
      </c>
      <c r="P347">
        <v>6</v>
      </c>
      <c r="Q347">
        <v>16</v>
      </c>
      <c r="R347">
        <v>0.222</v>
      </c>
      <c r="S347">
        <v>0.28599999999999998</v>
      </c>
      <c r="T347">
        <v>0.33300000000000002</v>
      </c>
      <c r="U347">
        <v>0.61899999999999999</v>
      </c>
      <c r="V347">
        <v>0</v>
      </c>
    </row>
    <row r="348" spans="2:22" x14ac:dyDescent="0.3">
      <c r="B348" t="s">
        <v>3152</v>
      </c>
      <c r="C348" t="s">
        <v>244</v>
      </c>
      <c r="D348" t="s">
        <v>1655</v>
      </c>
      <c r="E348" t="s">
        <v>1655</v>
      </c>
      <c r="F348">
        <v>-17.899999999999999</v>
      </c>
      <c r="G348">
        <v>15</v>
      </c>
      <c r="H348">
        <v>42</v>
      </c>
      <c r="I348">
        <v>35</v>
      </c>
      <c r="J348">
        <v>5</v>
      </c>
      <c r="K348">
        <v>5</v>
      </c>
      <c r="L348">
        <v>3</v>
      </c>
      <c r="M348">
        <v>10</v>
      </c>
      <c r="N348">
        <v>0</v>
      </c>
      <c r="O348">
        <v>0</v>
      </c>
      <c r="P348">
        <v>6</v>
      </c>
      <c r="Q348">
        <v>15</v>
      </c>
      <c r="R348">
        <v>0.14299999999999999</v>
      </c>
      <c r="S348">
        <v>0.28599999999999998</v>
      </c>
      <c r="T348">
        <v>0.4</v>
      </c>
      <c r="U348">
        <v>0.68600000000000005</v>
      </c>
      <c r="V348">
        <v>0</v>
      </c>
    </row>
    <row r="349" spans="2:22" x14ac:dyDescent="0.3">
      <c r="B349" t="s">
        <v>1718</v>
      </c>
      <c r="C349" t="s">
        <v>246</v>
      </c>
      <c r="D349" t="s">
        <v>1655</v>
      </c>
      <c r="E349" t="s">
        <v>1655</v>
      </c>
      <c r="F349">
        <v>-18</v>
      </c>
      <c r="G349">
        <v>22</v>
      </c>
      <c r="H349">
        <v>74</v>
      </c>
      <c r="I349">
        <v>69</v>
      </c>
      <c r="J349">
        <v>6</v>
      </c>
      <c r="K349">
        <v>13</v>
      </c>
      <c r="L349">
        <v>3</v>
      </c>
      <c r="M349">
        <v>8</v>
      </c>
      <c r="N349">
        <v>1</v>
      </c>
      <c r="O349">
        <v>0</v>
      </c>
      <c r="P349">
        <v>3</v>
      </c>
      <c r="Q349">
        <v>23</v>
      </c>
      <c r="R349">
        <v>0.188</v>
      </c>
      <c r="S349">
        <v>0.24299999999999999</v>
      </c>
      <c r="T349">
        <v>0.33300000000000002</v>
      </c>
      <c r="U349">
        <v>0.57599999999999996</v>
      </c>
      <c r="V349">
        <v>0</v>
      </c>
    </row>
    <row r="350" spans="2:22" x14ac:dyDescent="0.3">
      <c r="B350" t="s">
        <v>1745</v>
      </c>
      <c r="C350" t="s">
        <v>274</v>
      </c>
      <c r="D350" t="s">
        <v>79</v>
      </c>
      <c r="E350" t="s">
        <v>79</v>
      </c>
      <c r="F350">
        <v>-18</v>
      </c>
      <c r="G350">
        <v>13</v>
      </c>
      <c r="H350">
        <v>44</v>
      </c>
      <c r="I350">
        <v>39</v>
      </c>
      <c r="J350">
        <v>6</v>
      </c>
      <c r="K350">
        <v>8</v>
      </c>
      <c r="L350">
        <v>3</v>
      </c>
      <c r="M350">
        <v>6</v>
      </c>
      <c r="N350">
        <v>0</v>
      </c>
      <c r="O350">
        <v>0</v>
      </c>
      <c r="P350">
        <v>3</v>
      </c>
      <c r="Q350">
        <v>15</v>
      </c>
      <c r="R350">
        <v>0.20499999999999999</v>
      </c>
      <c r="S350">
        <v>0.27300000000000002</v>
      </c>
      <c r="T350">
        <v>0.436</v>
      </c>
      <c r="U350">
        <v>0.70899999999999996</v>
      </c>
      <c r="V350">
        <v>37</v>
      </c>
    </row>
    <row r="351" spans="2:22" x14ac:dyDescent="0.3">
      <c r="B351" t="s">
        <v>1604</v>
      </c>
      <c r="C351" t="s">
        <v>278</v>
      </c>
      <c r="D351" t="s">
        <v>1531</v>
      </c>
      <c r="E351" t="s">
        <v>1531</v>
      </c>
      <c r="F351">
        <v>-18.100000000000001</v>
      </c>
      <c r="G351">
        <v>21</v>
      </c>
      <c r="H351">
        <v>68</v>
      </c>
      <c r="I351">
        <v>66</v>
      </c>
      <c r="J351">
        <v>7</v>
      </c>
      <c r="K351">
        <v>12</v>
      </c>
      <c r="L351">
        <v>2</v>
      </c>
      <c r="M351">
        <v>5</v>
      </c>
      <c r="N351">
        <v>1</v>
      </c>
      <c r="O351">
        <v>0</v>
      </c>
      <c r="P351">
        <v>1</v>
      </c>
      <c r="Q351">
        <v>11</v>
      </c>
      <c r="R351">
        <v>0.182</v>
      </c>
      <c r="S351">
        <v>0.20599999999999999</v>
      </c>
      <c r="T351">
        <v>0.30299999999999999</v>
      </c>
      <c r="U351">
        <v>0.50900000000000001</v>
      </c>
      <c r="V351">
        <v>0</v>
      </c>
    </row>
    <row r="352" spans="2:22" x14ac:dyDescent="0.3">
      <c r="B352" t="s">
        <v>1607</v>
      </c>
      <c r="C352" t="s">
        <v>325</v>
      </c>
      <c r="D352" t="s">
        <v>1663</v>
      </c>
      <c r="E352" t="s">
        <v>1663</v>
      </c>
      <c r="F352">
        <v>-18.100000000000001</v>
      </c>
      <c r="G352">
        <v>25</v>
      </c>
      <c r="H352">
        <v>78</v>
      </c>
      <c r="I352">
        <v>76</v>
      </c>
      <c r="J352">
        <v>8</v>
      </c>
      <c r="K352">
        <v>14</v>
      </c>
      <c r="L352">
        <v>3</v>
      </c>
      <c r="M352">
        <v>7</v>
      </c>
      <c r="N352">
        <v>1</v>
      </c>
      <c r="O352">
        <v>0</v>
      </c>
      <c r="P352">
        <v>2</v>
      </c>
      <c r="Q352">
        <v>30</v>
      </c>
      <c r="R352">
        <v>0.184</v>
      </c>
      <c r="S352">
        <v>0.20499999999999999</v>
      </c>
      <c r="T352">
        <v>0.316</v>
      </c>
      <c r="U352">
        <v>0.52100000000000002</v>
      </c>
      <c r="V352">
        <v>0</v>
      </c>
    </row>
    <row r="353" spans="2:22" x14ac:dyDescent="0.3">
      <c r="B353" t="s">
        <v>1676</v>
      </c>
      <c r="C353" t="s">
        <v>243</v>
      </c>
      <c r="D353" t="s">
        <v>1655</v>
      </c>
      <c r="E353" t="s">
        <v>1655</v>
      </c>
      <c r="F353">
        <v>-18.2</v>
      </c>
      <c r="G353">
        <v>25</v>
      </c>
      <c r="H353">
        <v>83</v>
      </c>
      <c r="I353">
        <v>76</v>
      </c>
      <c r="J353">
        <v>8</v>
      </c>
      <c r="K353">
        <v>16</v>
      </c>
      <c r="L353">
        <v>1</v>
      </c>
      <c r="M353">
        <v>7</v>
      </c>
      <c r="N353">
        <v>2</v>
      </c>
      <c r="O353">
        <v>0</v>
      </c>
      <c r="P353">
        <v>5</v>
      </c>
      <c r="Q353">
        <v>20</v>
      </c>
      <c r="R353">
        <v>0.21099999999999999</v>
      </c>
      <c r="S353">
        <v>0.26500000000000001</v>
      </c>
      <c r="T353">
        <v>0.27600000000000002</v>
      </c>
      <c r="U353">
        <v>0.54100000000000004</v>
      </c>
      <c r="V353">
        <v>8</v>
      </c>
    </row>
    <row r="354" spans="2:22" x14ac:dyDescent="0.3">
      <c r="B354" t="s">
        <v>3151</v>
      </c>
      <c r="C354" t="s">
        <v>346</v>
      </c>
      <c r="D354" t="s">
        <v>1529</v>
      </c>
      <c r="E354" t="s">
        <v>1529</v>
      </c>
      <c r="F354">
        <v>-18.399999999999999</v>
      </c>
      <c r="G354">
        <v>16</v>
      </c>
      <c r="H354">
        <v>29</v>
      </c>
      <c r="I354">
        <v>25</v>
      </c>
      <c r="J354">
        <v>6</v>
      </c>
      <c r="K354">
        <v>7</v>
      </c>
      <c r="L354">
        <v>2</v>
      </c>
      <c r="M354">
        <v>4</v>
      </c>
      <c r="N354">
        <v>0</v>
      </c>
      <c r="O354">
        <v>0</v>
      </c>
      <c r="P354">
        <v>4</v>
      </c>
      <c r="Q354">
        <v>10</v>
      </c>
      <c r="R354">
        <v>0.28000000000000003</v>
      </c>
      <c r="S354">
        <v>0.379</v>
      </c>
      <c r="T354">
        <v>0.56000000000000005</v>
      </c>
      <c r="U354">
        <v>0.93899999999999995</v>
      </c>
      <c r="V354">
        <v>0</v>
      </c>
    </row>
    <row r="355" spans="2:22" x14ac:dyDescent="0.3">
      <c r="B355" t="s">
        <v>820</v>
      </c>
      <c r="C355" t="s">
        <v>274</v>
      </c>
      <c r="D355" t="s">
        <v>1527</v>
      </c>
      <c r="E355" t="s">
        <v>1666</v>
      </c>
      <c r="F355">
        <v>-18.600000000000001</v>
      </c>
      <c r="G355">
        <v>39</v>
      </c>
      <c r="H355">
        <v>122</v>
      </c>
      <c r="I355">
        <v>108</v>
      </c>
      <c r="J355">
        <v>9</v>
      </c>
      <c r="K355">
        <v>29</v>
      </c>
      <c r="L355">
        <v>0</v>
      </c>
      <c r="M355">
        <v>5</v>
      </c>
      <c r="N355">
        <v>0</v>
      </c>
      <c r="O355">
        <v>0</v>
      </c>
      <c r="P355">
        <v>11</v>
      </c>
      <c r="Q355">
        <v>28</v>
      </c>
      <c r="R355">
        <v>0.26900000000000002</v>
      </c>
      <c r="S355">
        <v>0.35199999999999998</v>
      </c>
      <c r="T355">
        <v>0.34300000000000003</v>
      </c>
      <c r="U355">
        <v>0.69499999999999995</v>
      </c>
      <c r="V355">
        <v>1</v>
      </c>
    </row>
    <row r="356" spans="2:22" x14ac:dyDescent="0.3">
      <c r="B356" t="s">
        <v>302</v>
      </c>
      <c r="C356" t="s">
        <v>264</v>
      </c>
      <c r="D356" t="s">
        <v>1526</v>
      </c>
      <c r="E356" t="s">
        <v>1531</v>
      </c>
      <c r="F356">
        <v>-18.7</v>
      </c>
      <c r="G356">
        <v>6</v>
      </c>
      <c r="H356">
        <v>22</v>
      </c>
      <c r="I356">
        <v>19</v>
      </c>
      <c r="J356">
        <v>4</v>
      </c>
      <c r="K356">
        <v>5</v>
      </c>
      <c r="L356">
        <v>2</v>
      </c>
      <c r="M356">
        <v>6</v>
      </c>
      <c r="N356">
        <v>0</v>
      </c>
      <c r="O356">
        <v>0</v>
      </c>
      <c r="P356">
        <v>3</v>
      </c>
      <c r="Q356">
        <v>7</v>
      </c>
      <c r="R356">
        <v>0.26300000000000001</v>
      </c>
      <c r="S356">
        <v>0.36399999999999999</v>
      </c>
      <c r="T356">
        <v>0.57899999999999996</v>
      </c>
      <c r="U356">
        <v>0.94299999999999995</v>
      </c>
      <c r="V356">
        <v>1</v>
      </c>
    </row>
    <row r="357" spans="2:22" x14ac:dyDescent="0.3">
      <c r="B357" t="s">
        <v>3249</v>
      </c>
      <c r="C357" t="s">
        <v>248</v>
      </c>
      <c r="D357" t="s">
        <v>1527</v>
      </c>
      <c r="E357" t="s">
        <v>1527</v>
      </c>
      <c r="F357">
        <v>-18.7</v>
      </c>
      <c r="G357">
        <v>15</v>
      </c>
      <c r="H357">
        <v>59</v>
      </c>
      <c r="I357">
        <v>54</v>
      </c>
      <c r="J357">
        <v>6</v>
      </c>
      <c r="K357">
        <v>12</v>
      </c>
      <c r="L357">
        <v>2</v>
      </c>
      <c r="M357">
        <v>7</v>
      </c>
      <c r="N357">
        <v>0</v>
      </c>
      <c r="O357">
        <v>0</v>
      </c>
      <c r="P357">
        <v>5</v>
      </c>
      <c r="Q357">
        <v>19</v>
      </c>
      <c r="R357">
        <v>0.222</v>
      </c>
      <c r="S357">
        <v>0.28799999999999998</v>
      </c>
      <c r="T357">
        <v>0.35199999999999998</v>
      </c>
      <c r="U357">
        <v>0.64</v>
      </c>
      <c r="V357">
        <v>94</v>
      </c>
    </row>
    <row r="358" spans="2:22" x14ac:dyDescent="0.3">
      <c r="B358" t="s">
        <v>762</v>
      </c>
      <c r="C358" t="s">
        <v>278</v>
      </c>
      <c r="D358" t="s">
        <v>1665</v>
      </c>
      <c r="E358" t="s">
        <v>1665</v>
      </c>
      <c r="F358">
        <v>-18.7</v>
      </c>
      <c r="G358">
        <v>22</v>
      </c>
      <c r="H358">
        <v>47</v>
      </c>
      <c r="I358">
        <v>42</v>
      </c>
      <c r="J358">
        <v>9</v>
      </c>
      <c r="K358">
        <v>11</v>
      </c>
      <c r="L358">
        <v>0</v>
      </c>
      <c r="M358">
        <v>4</v>
      </c>
      <c r="N358">
        <v>1</v>
      </c>
      <c r="O358">
        <v>0</v>
      </c>
      <c r="P358">
        <v>5</v>
      </c>
      <c r="Q358">
        <v>9</v>
      </c>
      <c r="R358">
        <v>0.26200000000000001</v>
      </c>
      <c r="S358">
        <v>0.34</v>
      </c>
      <c r="T358">
        <v>0.26200000000000001</v>
      </c>
      <c r="U358">
        <v>0.60199999999999998</v>
      </c>
      <c r="V358">
        <v>0</v>
      </c>
    </row>
    <row r="359" spans="2:22" x14ac:dyDescent="0.3">
      <c r="B359" t="s">
        <v>298</v>
      </c>
      <c r="C359" t="s">
        <v>270</v>
      </c>
      <c r="D359" t="s">
        <v>1657</v>
      </c>
      <c r="E359" t="s">
        <v>1657</v>
      </c>
      <c r="F359">
        <v>-18.8</v>
      </c>
      <c r="G359">
        <v>20</v>
      </c>
      <c r="H359">
        <v>65</v>
      </c>
      <c r="I359">
        <v>62</v>
      </c>
      <c r="J359">
        <v>6</v>
      </c>
      <c r="K359">
        <v>10</v>
      </c>
      <c r="L359">
        <v>3</v>
      </c>
      <c r="M359">
        <v>10</v>
      </c>
      <c r="N359">
        <v>0</v>
      </c>
      <c r="O359">
        <v>0</v>
      </c>
      <c r="P359">
        <v>3</v>
      </c>
      <c r="Q359">
        <v>25</v>
      </c>
      <c r="R359">
        <v>0.161</v>
      </c>
      <c r="S359">
        <v>0.2</v>
      </c>
      <c r="T359">
        <v>0.371</v>
      </c>
      <c r="U359">
        <v>0.57099999999999995</v>
      </c>
      <c r="V359">
        <v>0</v>
      </c>
    </row>
    <row r="360" spans="2:22" x14ac:dyDescent="0.3">
      <c r="B360" t="s">
        <v>940</v>
      </c>
      <c r="C360" t="s">
        <v>274</v>
      </c>
      <c r="D360" t="s">
        <v>1665</v>
      </c>
      <c r="E360" t="s">
        <v>1662</v>
      </c>
      <c r="F360">
        <v>-18.8</v>
      </c>
      <c r="G360">
        <v>34</v>
      </c>
      <c r="H360">
        <v>92</v>
      </c>
      <c r="I360">
        <v>91</v>
      </c>
      <c r="J360">
        <v>13</v>
      </c>
      <c r="K360">
        <v>16</v>
      </c>
      <c r="L360">
        <v>2</v>
      </c>
      <c r="M360">
        <v>7</v>
      </c>
      <c r="N360">
        <v>0</v>
      </c>
      <c r="O360">
        <v>0</v>
      </c>
      <c r="P360">
        <v>1</v>
      </c>
      <c r="Q360">
        <v>11</v>
      </c>
      <c r="R360">
        <v>0.17599999999999999</v>
      </c>
      <c r="S360">
        <v>0.185</v>
      </c>
      <c r="T360">
        <v>0.31900000000000001</v>
      </c>
      <c r="U360">
        <v>0.504</v>
      </c>
      <c r="V360">
        <v>1</v>
      </c>
    </row>
    <row r="361" spans="2:22" x14ac:dyDescent="0.3">
      <c r="B361" t="s">
        <v>874</v>
      </c>
      <c r="C361" t="s">
        <v>224</v>
      </c>
      <c r="D361" t="s">
        <v>1531</v>
      </c>
      <c r="E361" t="s">
        <v>1531</v>
      </c>
      <c r="F361">
        <v>-18.8</v>
      </c>
      <c r="G361">
        <v>19</v>
      </c>
      <c r="H361">
        <v>61</v>
      </c>
      <c r="I361">
        <v>55</v>
      </c>
      <c r="J361">
        <v>7</v>
      </c>
      <c r="K361">
        <v>12</v>
      </c>
      <c r="L361">
        <v>1</v>
      </c>
      <c r="M361">
        <v>4</v>
      </c>
      <c r="N361">
        <v>0</v>
      </c>
      <c r="O361">
        <v>0</v>
      </c>
      <c r="P361">
        <v>2</v>
      </c>
      <c r="Q361">
        <v>11</v>
      </c>
      <c r="R361">
        <v>0.218</v>
      </c>
      <c r="S361">
        <v>0.246</v>
      </c>
      <c r="T361">
        <v>0.32700000000000001</v>
      </c>
      <c r="U361">
        <v>0.57299999999999995</v>
      </c>
      <c r="V361">
        <v>1</v>
      </c>
    </row>
    <row r="362" spans="2:22" x14ac:dyDescent="0.3">
      <c r="B362" t="s">
        <v>877</v>
      </c>
      <c r="C362" t="s">
        <v>221</v>
      </c>
      <c r="D362" t="s">
        <v>1659</v>
      </c>
      <c r="E362" t="s">
        <v>1688</v>
      </c>
      <c r="F362">
        <v>-18.899999999999999</v>
      </c>
      <c r="G362">
        <v>17</v>
      </c>
      <c r="H362">
        <v>46</v>
      </c>
      <c r="I362">
        <v>44</v>
      </c>
      <c r="J362">
        <v>5</v>
      </c>
      <c r="K362">
        <v>6</v>
      </c>
      <c r="L362">
        <v>3</v>
      </c>
      <c r="M362">
        <v>8</v>
      </c>
      <c r="N362">
        <v>1</v>
      </c>
      <c r="O362">
        <v>0</v>
      </c>
      <c r="P362">
        <v>1</v>
      </c>
      <c r="Q362">
        <v>12</v>
      </c>
      <c r="R362">
        <v>0.13600000000000001</v>
      </c>
      <c r="S362">
        <v>0.17399999999999999</v>
      </c>
      <c r="T362">
        <v>0.34100000000000003</v>
      </c>
      <c r="U362">
        <v>0.51500000000000001</v>
      </c>
      <c r="V362">
        <v>0</v>
      </c>
    </row>
    <row r="363" spans="2:22" x14ac:dyDescent="0.3">
      <c r="B363" t="s">
        <v>417</v>
      </c>
      <c r="C363" t="s">
        <v>234</v>
      </c>
      <c r="D363" t="s">
        <v>1671</v>
      </c>
      <c r="E363" t="s">
        <v>1702</v>
      </c>
      <c r="F363">
        <v>-19</v>
      </c>
      <c r="G363">
        <v>28</v>
      </c>
      <c r="H363">
        <v>71</v>
      </c>
      <c r="I363">
        <v>66</v>
      </c>
      <c r="J363">
        <v>10</v>
      </c>
      <c r="K363">
        <v>10</v>
      </c>
      <c r="L363">
        <v>3</v>
      </c>
      <c r="M363">
        <v>5</v>
      </c>
      <c r="N363">
        <v>1</v>
      </c>
      <c r="O363">
        <v>1</v>
      </c>
      <c r="P363">
        <v>4</v>
      </c>
      <c r="Q363">
        <v>27</v>
      </c>
      <c r="R363">
        <v>0.152</v>
      </c>
      <c r="S363">
        <v>0.21099999999999999</v>
      </c>
      <c r="T363">
        <v>0.30299999999999999</v>
      </c>
      <c r="U363">
        <v>0.51400000000000001</v>
      </c>
      <c r="V363">
        <v>0</v>
      </c>
    </row>
    <row r="364" spans="2:22" x14ac:dyDescent="0.3">
      <c r="B364" t="s">
        <v>3125</v>
      </c>
      <c r="C364" t="s">
        <v>270</v>
      </c>
      <c r="D364" t="s">
        <v>1655</v>
      </c>
      <c r="E364" t="s">
        <v>1655</v>
      </c>
      <c r="F364">
        <v>-19.2</v>
      </c>
      <c r="G364">
        <v>18</v>
      </c>
      <c r="H364">
        <v>73</v>
      </c>
      <c r="I364">
        <v>62</v>
      </c>
      <c r="J364">
        <v>8</v>
      </c>
      <c r="K364">
        <v>15</v>
      </c>
      <c r="L364">
        <v>0</v>
      </c>
      <c r="M364">
        <v>4</v>
      </c>
      <c r="N364">
        <v>2</v>
      </c>
      <c r="O364">
        <v>1</v>
      </c>
      <c r="P364">
        <v>10</v>
      </c>
      <c r="Q364">
        <v>15</v>
      </c>
      <c r="R364">
        <v>0.24199999999999999</v>
      </c>
      <c r="S364">
        <v>0.35599999999999998</v>
      </c>
      <c r="T364">
        <v>0.30599999999999999</v>
      </c>
      <c r="U364">
        <v>0.66200000000000003</v>
      </c>
      <c r="V364">
        <v>0</v>
      </c>
    </row>
    <row r="365" spans="2:22" x14ac:dyDescent="0.3">
      <c r="B365" t="s">
        <v>1694</v>
      </c>
      <c r="C365" t="s">
        <v>1523</v>
      </c>
      <c r="D365" t="s">
        <v>1655</v>
      </c>
      <c r="E365" t="s">
        <v>1655</v>
      </c>
      <c r="F365">
        <v>-19.2</v>
      </c>
      <c r="G365">
        <v>22</v>
      </c>
      <c r="H365">
        <v>45</v>
      </c>
      <c r="I365">
        <v>44</v>
      </c>
      <c r="J365">
        <v>6</v>
      </c>
      <c r="K365">
        <v>10</v>
      </c>
      <c r="L365">
        <v>0</v>
      </c>
      <c r="M365">
        <v>1</v>
      </c>
      <c r="N365">
        <v>5</v>
      </c>
      <c r="O365">
        <v>0</v>
      </c>
      <c r="P365">
        <v>1</v>
      </c>
      <c r="Q365">
        <v>8</v>
      </c>
      <c r="R365">
        <v>0.22700000000000001</v>
      </c>
      <c r="S365">
        <v>0.24399999999999999</v>
      </c>
      <c r="T365">
        <v>0.27300000000000002</v>
      </c>
      <c r="U365">
        <v>0.51700000000000002</v>
      </c>
      <c r="V365">
        <v>0</v>
      </c>
    </row>
    <row r="366" spans="2:22" x14ac:dyDescent="0.3">
      <c r="B366" t="s">
        <v>473</v>
      </c>
      <c r="C366" t="s">
        <v>266</v>
      </c>
      <c r="D366" t="s">
        <v>80</v>
      </c>
      <c r="E366" t="s">
        <v>1657</v>
      </c>
      <c r="F366">
        <v>-19.2</v>
      </c>
      <c r="G366">
        <v>16</v>
      </c>
      <c r="H366">
        <v>54</v>
      </c>
      <c r="I366">
        <v>51</v>
      </c>
      <c r="J366">
        <v>7</v>
      </c>
      <c r="K366">
        <v>13</v>
      </c>
      <c r="L366">
        <v>1</v>
      </c>
      <c r="M366">
        <v>5</v>
      </c>
      <c r="N366">
        <v>0</v>
      </c>
      <c r="O366">
        <v>0</v>
      </c>
      <c r="P366">
        <v>2</v>
      </c>
      <c r="Q366">
        <v>21</v>
      </c>
      <c r="R366">
        <v>0.255</v>
      </c>
      <c r="S366">
        <v>0.29599999999999999</v>
      </c>
      <c r="T366">
        <v>0.373</v>
      </c>
      <c r="U366">
        <v>0.66900000000000004</v>
      </c>
      <c r="V366">
        <v>3</v>
      </c>
    </row>
    <row r="367" spans="2:22" x14ac:dyDescent="0.3">
      <c r="B367" t="s">
        <v>678</v>
      </c>
      <c r="C367" t="s">
        <v>235</v>
      </c>
      <c r="D367" t="s">
        <v>1679</v>
      </c>
      <c r="E367" t="s">
        <v>1679</v>
      </c>
      <c r="F367">
        <v>-19.3</v>
      </c>
      <c r="G367">
        <v>19</v>
      </c>
      <c r="H367">
        <v>54</v>
      </c>
      <c r="I367">
        <v>51</v>
      </c>
      <c r="J367">
        <v>7</v>
      </c>
      <c r="K367">
        <v>11</v>
      </c>
      <c r="L367">
        <v>2</v>
      </c>
      <c r="M367">
        <v>5</v>
      </c>
      <c r="N367">
        <v>0</v>
      </c>
      <c r="O367">
        <v>0</v>
      </c>
      <c r="P367">
        <v>3</v>
      </c>
      <c r="Q367">
        <v>15</v>
      </c>
      <c r="R367">
        <v>0.216</v>
      </c>
      <c r="S367">
        <v>0.25900000000000001</v>
      </c>
      <c r="T367">
        <v>0.35299999999999998</v>
      </c>
      <c r="U367">
        <v>0.61199999999999999</v>
      </c>
      <c r="V367">
        <v>0</v>
      </c>
    </row>
    <row r="368" spans="2:22" x14ac:dyDescent="0.3">
      <c r="B368" t="s">
        <v>459</v>
      </c>
      <c r="C368" t="s">
        <v>325</v>
      </c>
      <c r="D368" t="s">
        <v>1655</v>
      </c>
      <c r="E368" t="s">
        <v>1655</v>
      </c>
      <c r="F368">
        <v>-19.3</v>
      </c>
      <c r="G368">
        <v>26</v>
      </c>
      <c r="H368">
        <v>75</v>
      </c>
      <c r="I368">
        <v>66</v>
      </c>
      <c r="J368">
        <v>4</v>
      </c>
      <c r="K368">
        <v>17</v>
      </c>
      <c r="L368">
        <v>0</v>
      </c>
      <c r="M368">
        <v>3</v>
      </c>
      <c r="N368">
        <v>4</v>
      </c>
      <c r="O368">
        <v>0</v>
      </c>
      <c r="P368">
        <v>9</v>
      </c>
      <c r="Q368">
        <v>22</v>
      </c>
      <c r="R368">
        <v>0.25800000000000001</v>
      </c>
      <c r="S368">
        <v>0.34699999999999998</v>
      </c>
      <c r="T368">
        <v>0.318</v>
      </c>
      <c r="U368">
        <v>0.66500000000000004</v>
      </c>
      <c r="V368">
        <v>0</v>
      </c>
    </row>
    <row r="369" spans="2:22" x14ac:dyDescent="0.3">
      <c r="B369" t="s">
        <v>703</v>
      </c>
      <c r="C369" t="s">
        <v>264</v>
      </c>
      <c r="D369" t="s">
        <v>1655</v>
      </c>
      <c r="E369" t="s">
        <v>1655</v>
      </c>
      <c r="F369">
        <v>-19.3</v>
      </c>
      <c r="G369">
        <v>31</v>
      </c>
      <c r="H369">
        <v>55</v>
      </c>
      <c r="I369">
        <v>49</v>
      </c>
      <c r="J369">
        <v>9</v>
      </c>
      <c r="K369">
        <v>8</v>
      </c>
      <c r="L369">
        <v>0</v>
      </c>
      <c r="M369">
        <v>4</v>
      </c>
      <c r="N369">
        <v>4</v>
      </c>
      <c r="O369">
        <v>0</v>
      </c>
      <c r="P369">
        <v>4</v>
      </c>
      <c r="Q369">
        <v>15</v>
      </c>
      <c r="R369">
        <v>0.16300000000000001</v>
      </c>
      <c r="S369">
        <v>0.23599999999999999</v>
      </c>
      <c r="T369">
        <v>0.28599999999999998</v>
      </c>
      <c r="U369">
        <v>0.52200000000000002</v>
      </c>
      <c r="V369">
        <v>2</v>
      </c>
    </row>
    <row r="370" spans="2:22" x14ac:dyDescent="0.3">
      <c r="B370" t="s">
        <v>379</v>
      </c>
      <c r="C370" t="s">
        <v>243</v>
      </c>
      <c r="D370" t="s">
        <v>1531</v>
      </c>
      <c r="E370" t="s">
        <v>1531</v>
      </c>
      <c r="F370">
        <v>-19.399999999999999</v>
      </c>
      <c r="G370">
        <v>31</v>
      </c>
      <c r="H370">
        <v>81</v>
      </c>
      <c r="I370">
        <v>76</v>
      </c>
      <c r="J370">
        <v>6</v>
      </c>
      <c r="K370">
        <v>12</v>
      </c>
      <c r="L370">
        <v>2</v>
      </c>
      <c r="M370">
        <v>7</v>
      </c>
      <c r="N370">
        <v>1</v>
      </c>
      <c r="O370">
        <v>0</v>
      </c>
      <c r="P370">
        <v>4</v>
      </c>
      <c r="Q370">
        <v>31</v>
      </c>
      <c r="R370">
        <v>0.158</v>
      </c>
      <c r="S370">
        <v>0.19800000000000001</v>
      </c>
      <c r="T370">
        <v>0.25</v>
      </c>
      <c r="U370">
        <v>0.44800000000000001</v>
      </c>
      <c r="V370">
        <v>1</v>
      </c>
    </row>
    <row r="371" spans="2:22" x14ac:dyDescent="0.3">
      <c r="B371" t="s">
        <v>676</v>
      </c>
      <c r="C371" t="s">
        <v>1521</v>
      </c>
      <c r="D371" t="s">
        <v>1531</v>
      </c>
      <c r="E371" t="s">
        <v>1531</v>
      </c>
      <c r="F371">
        <v>-19.5</v>
      </c>
      <c r="G371">
        <v>26</v>
      </c>
      <c r="H371">
        <v>84</v>
      </c>
      <c r="I371">
        <v>78</v>
      </c>
      <c r="J371">
        <v>8</v>
      </c>
      <c r="K371">
        <v>18</v>
      </c>
      <c r="L371">
        <v>0</v>
      </c>
      <c r="M371">
        <v>4</v>
      </c>
      <c r="N371">
        <v>0</v>
      </c>
      <c r="O371">
        <v>0</v>
      </c>
      <c r="P371">
        <v>2</v>
      </c>
      <c r="Q371">
        <v>21</v>
      </c>
      <c r="R371">
        <v>0.23100000000000001</v>
      </c>
      <c r="S371">
        <v>0.28599999999999998</v>
      </c>
      <c r="T371">
        <v>0.29499999999999998</v>
      </c>
      <c r="U371">
        <v>0.58099999999999996</v>
      </c>
      <c r="V371">
        <v>4</v>
      </c>
    </row>
    <row r="372" spans="2:22" x14ac:dyDescent="0.3">
      <c r="B372" t="s">
        <v>2022</v>
      </c>
      <c r="C372" t="s">
        <v>250</v>
      </c>
      <c r="D372" t="s">
        <v>1659</v>
      </c>
      <c r="E372" t="s">
        <v>1659</v>
      </c>
      <c r="F372">
        <v>-19.5</v>
      </c>
      <c r="G372">
        <v>19</v>
      </c>
      <c r="H372">
        <v>70</v>
      </c>
      <c r="I372">
        <v>65</v>
      </c>
      <c r="J372">
        <v>5</v>
      </c>
      <c r="K372">
        <v>18</v>
      </c>
      <c r="L372">
        <v>0</v>
      </c>
      <c r="M372">
        <v>7</v>
      </c>
      <c r="N372">
        <v>0</v>
      </c>
      <c r="O372">
        <v>0</v>
      </c>
      <c r="P372">
        <v>2</v>
      </c>
      <c r="Q372">
        <v>13</v>
      </c>
      <c r="R372">
        <v>0.27700000000000002</v>
      </c>
      <c r="S372">
        <v>0.314</v>
      </c>
      <c r="T372">
        <v>0.308</v>
      </c>
      <c r="U372">
        <v>0.622</v>
      </c>
      <c r="V372">
        <v>32</v>
      </c>
    </row>
    <row r="373" spans="2:22" x14ac:dyDescent="0.3">
      <c r="B373" t="s">
        <v>431</v>
      </c>
      <c r="C373" t="s">
        <v>1520</v>
      </c>
      <c r="D373" t="s">
        <v>1683</v>
      </c>
      <c r="E373" t="s">
        <v>1683</v>
      </c>
      <c r="F373">
        <v>-20</v>
      </c>
      <c r="G373">
        <v>26</v>
      </c>
      <c r="H373">
        <v>69</v>
      </c>
      <c r="I373">
        <v>58</v>
      </c>
      <c r="J373">
        <v>6</v>
      </c>
      <c r="K373">
        <v>12</v>
      </c>
      <c r="L373">
        <v>0</v>
      </c>
      <c r="M373">
        <v>7</v>
      </c>
      <c r="N373">
        <v>2</v>
      </c>
      <c r="O373">
        <v>0</v>
      </c>
      <c r="P373">
        <v>9</v>
      </c>
      <c r="Q373">
        <v>13</v>
      </c>
      <c r="R373">
        <v>0.20699999999999999</v>
      </c>
      <c r="S373">
        <v>0.33300000000000002</v>
      </c>
      <c r="T373">
        <v>0.32800000000000001</v>
      </c>
      <c r="U373">
        <v>0.66100000000000003</v>
      </c>
      <c r="V373">
        <v>0</v>
      </c>
    </row>
    <row r="374" spans="2:22" x14ac:dyDescent="0.3">
      <c r="B374" t="s">
        <v>3165</v>
      </c>
      <c r="C374" t="s">
        <v>239</v>
      </c>
      <c r="D374" t="s">
        <v>1655</v>
      </c>
      <c r="E374" t="s">
        <v>1655</v>
      </c>
      <c r="F374">
        <v>-20.100000000000001</v>
      </c>
      <c r="G374">
        <v>20</v>
      </c>
      <c r="H374">
        <v>59</v>
      </c>
      <c r="I374">
        <v>56</v>
      </c>
      <c r="J374">
        <v>5</v>
      </c>
      <c r="K374">
        <v>10</v>
      </c>
      <c r="L374">
        <v>1</v>
      </c>
      <c r="M374">
        <v>4</v>
      </c>
      <c r="N374">
        <v>4</v>
      </c>
      <c r="O374">
        <v>0</v>
      </c>
      <c r="P374">
        <v>2</v>
      </c>
      <c r="Q374">
        <v>12</v>
      </c>
      <c r="R374">
        <v>0.17899999999999999</v>
      </c>
      <c r="S374">
        <v>0.20300000000000001</v>
      </c>
      <c r="T374">
        <v>0.26800000000000002</v>
      </c>
      <c r="U374">
        <v>0.47099999999999997</v>
      </c>
      <c r="V374">
        <v>10</v>
      </c>
    </row>
    <row r="375" spans="2:22" x14ac:dyDescent="0.3">
      <c r="B375" t="s">
        <v>477</v>
      </c>
      <c r="C375" t="s">
        <v>251</v>
      </c>
      <c r="D375" t="s">
        <v>1657</v>
      </c>
      <c r="E375" t="s">
        <v>1657</v>
      </c>
      <c r="F375">
        <v>-20.100000000000001</v>
      </c>
      <c r="G375">
        <v>35</v>
      </c>
      <c r="H375">
        <v>87</v>
      </c>
      <c r="I375">
        <v>78</v>
      </c>
      <c r="J375">
        <v>7</v>
      </c>
      <c r="K375">
        <v>16</v>
      </c>
      <c r="L375">
        <v>3</v>
      </c>
      <c r="M375">
        <v>4</v>
      </c>
      <c r="N375">
        <v>0</v>
      </c>
      <c r="O375">
        <v>0</v>
      </c>
      <c r="P375">
        <v>9</v>
      </c>
      <c r="Q375">
        <v>32</v>
      </c>
      <c r="R375">
        <v>0.20499999999999999</v>
      </c>
      <c r="S375">
        <v>0.28699999999999998</v>
      </c>
      <c r="T375">
        <v>0.372</v>
      </c>
      <c r="U375">
        <v>0.65900000000000003</v>
      </c>
      <c r="V375">
        <v>0</v>
      </c>
    </row>
    <row r="376" spans="2:22" x14ac:dyDescent="0.3">
      <c r="B376" t="s">
        <v>3234</v>
      </c>
      <c r="C376" t="s">
        <v>222</v>
      </c>
      <c r="D376" t="s">
        <v>1679</v>
      </c>
      <c r="E376" t="s">
        <v>1679</v>
      </c>
      <c r="F376">
        <v>-20.3</v>
      </c>
      <c r="G376">
        <v>18</v>
      </c>
      <c r="H376">
        <v>52</v>
      </c>
      <c r="I376">
        <v>44</v>
      </c>
      <c r="J376">
        <v>6</v>
      </c>
      <c r="K376">
        <v>8</v>
      </c>
      <c r="L376">
        <v>2</v>
      </c>
      <c r="M376">
        <v>4</v>
      </c>
      <c r="N376">
        <v>1</v>
      </c>
      <c r="O376">
        <v>0</v>
      </c>
      <c r="P376">
        <v>7</v>
      </c>
      <c r="Q376">
        <v>19</v>
      </c>
      <c r="R376">
        <v>0.182</v>
      </c>
      <c r="S376">
        <v>0.28799999999999998</v>
      </c>
      <c r="T376">
        <v>0.34100000000000003</v>
      </c>
      <c r="U376">
        <v>0.629</v>
      </c>
      <c r="V376">
        <v>2</v>
      </c>
    </row>
    <row r="377" spans="2:22" x14ac:dyDescent="0.3">
      <c r="B377" t="s">
        <v>3072</v>
      </c>
      <c r="C377" t="s">
        <v>1523</v>
      </c>
      <c r="D377" t="s">
        <v>1531</v>
      </c>
      <c r="E377" t="s">
        <v>1531</v>
      </c>
      <c r="F377">
        <v>-20.399999999999999</v>
      </c>
      <c r="G377">
        <v>17</v>
      </c>
      <c r="H377">
        <v>41</v>
      </c>
      <c r="I377">
        <v>40</v>
      </c>
      <c r="J377">
        <v>4</v>
      </c>
      <c r="K377">
        <v>8</v>
      </c>
      <c r="L377">
        <v>1</v>
      </c>
      <c r="M377">
        <v>4</v>
      </c>
      <c r="N377">
        <v>0</v>
      </c>
      <c r="O377">
        <v>0</v>
      </c>
      <c r="P377">
        <v>1</v>
      </c>
      <c r="Q377">
        <v>9</v>
      </c>
      <c r="R377">
        <v>0.2</v>
      </c>
      <c r="S377">
        <v>0.22</v>
      </c>
      <c r="T377">
        <v>0.35</v>
      </c>
      <c r="U377">
        <v>0.56999999999999995</v>
      </c>
      <c r="V377">
        <v>0</v>
      </c>
    </row>
    <row r="378" spans="2:22" x14ac:dyDescent="0.3">
      <c r="B378" t="s">
        <v>895</v>
      </c>
      <c r="C378" t="s">
        <v>311</v>
      </c>
      <c r="D378" t="s">
        <v>1655</v>
      </c>
      <c r="E378" t="s">
        <v>1655</v>
      </c>
      <c r="F378">
        <v>-20.399999999999999</v>
      </c>
      <c r="G378">
        <v>18</v>
      </c>
      <c r="H378">
        <v>25</v>
      </c>
      <c r="I378">
        <v>25</v>
      </c>
      <c r="J378">
        <v>2</v>
      </c>
      <c r="K378">
        <v>9</v>
      </c>
      <c r="L378">
        <v>1</v>
      </c>
      <c r="M378">
        <v>4</v>
      </c>
      <c r="N378">
        <v>0</v>
      </c>
      <c r="O378">
        <v>0</v>
      </c>
      <c r="P378">
        <v>0</v>
      </c>
      <c r="Q378">
        <v>6</v>
      </c>
      <c r="R378">
        <v>0.36</v>
      </c>
      <c r="S378">
        <v>0.36</v>
      </c>
      <c r="T378">
        <v>0.6</v>
      </c>
      <c r="U378">
        <v>0.96</v>
      </c>
      <c r="V378">
        <v>0</v>
      </c>
    </row>
    <row r="379" spans="2:22" x14ac:dyDescent="0.3">
      <c r="B379" t="s">
        <v>669</v>
      </c>
      <c r="C379" t="s">
        <v>243</v>
      </c>
      <c r="D379" t="s">
        <v>79</v>
      </c>
      <c r="E379" t="s">
        <v>79</v>
      </c>
      <c r="F379">
        <v>-20.5</v>
      </c>
      <c r="G379">
        <v>26</v>
      </c>
      <c r="H379">
        <v>52</v>
      </c>
      <c r="I379">
        <v>50</v>
      </c>
      <c r="J379">
        <v>4</v>
      </c>
      <c r="K379">
        <v>10</v>
      </c>
      <c r="L379">
        <v>0</v>
      </c>
      <c r="M379">
        <v>8</v>
      </c>
      <c r="N379">
        <v>2</v>
      </c>
      <c r="O379">
        <v>0</v>
      </c>
      <c r="P379">
        <v>1</v>
      </c>
      <c r="Q379">
        <v>18</v>
      </c>
      <c r="R379">
        <v>0.2</v>
      </c>
      <c r="S379">
        <v>0.21199999999999999</v>
      </c>
      <c r="T379">
        <v>0.32</v>
      </c>
      <c r="U379">
        <v>0.53200000000000003</v>
      </c>
      <c r="V379">
        <v>0</v>
      </c>
    </row>
    <row r="380" spans="2:22" x14ac:dyDescent="0.3">
      <c r="B380" t="s">
        <v>654</v>
      </c>
      <c r="C380" t="s">
        <v>250</v>
      </c>
      <c r="D380" t="s">
        <v>1655</v>
      </c>
      <c r="E380" t="s">
        <v>1655</v>
      </c>
      <c r="F380">
        <v>-20.5</v>
      </c>
      <c r="G380">
        <v>27</v>
      </c>
      <c r="H380">
        <v>98</v>
      </c>
      <c r="I380">
        <v>89</v>
      </c>
      <c r="J380">
        <v>8</v>
      </c>
      <c r="K380">
        <v>15</v>
      </c>
      <c r="L380">
        <v>1</v>
      </c>
      <c r="M380">
        <v>5</v>
      </c>
      <c r="N380">
        <v>4</v>
      </c>
      <c r="O380">
        <v>0</v>
      </c>
      <c r="P380">
        <v>8</v>
      </c>
      <c r="Q380">
        <v>20</v>
      </c>
      <c r="R380">
        <v>0.16900000000000001</v>
      </c>
      <c r="S380">
        <v>0.245</v>
      </c>
      <c r="T380">
        <v>0.247</v>
      </c>
      <c r="U380">
        <v>0.49199999999999999</v>
      </c>
      <c r="V380">
        <v>100</v>
      </c>
    </row>
    <row r="381" spans="2:22" x14ac:dyDescent="0.3">
      <c r="B381" t="s">
        <v>3124</v>
      </c>
      <c r="C381" t="s">
        <v>1521</v>
      </c>
      <c r="D381" t="s">
        <v>1655</v>
      </c>
      <c r="E381" t="s">
        <v>1655</v>
      </c>
      <c r="F381">
        <v>-20.6</v>
      </c>
      <c r="G381">
        <v>7</v>
      </c>
      <c r="H381">
        <v>22</v>
      </c>
      <c r="I381">
        <v>19</v>
      </c>
      <c r="J381">
        <v>3</v>
      </c>
      <c r="K381">
        <v>7</v>
      </c>
      <c r="L381">
        <v>0</v>
      </c>
      <c r="M381">
        <v>2</v>
      </c>
      <c r="N381">
        <v>2</v>
      </c>
      <c r="O381">
        <v>0</v>
      </c>
      <c r="P381">
        <v>3</v>
      </c>
      <c r="Q381">
        <v>3</v>
      </c>
      <c r="R381">
        <v>0.36799999999999999</v>
      </c>
      <c r="S381">
        <v>0.45500000000000002</v>
      </c>
      <c r="T381">
        <v>0.42099999999999999</v>
      </c>
      <c r="U381">
        <v>0.876</v>
      </c>
      <c r="V381">
        <v>0</v>
      </c>
    </row>
    <row r="382" spans="2:22" x14ac:dyDescent="0.3">
      <c r="B382" t="s">
        <v>745</v>
      </c>
      <c r="C382" t="s">
        <v>255</v>
      </c>
      <c r="D382" t="s">
        <v>1655</v>
      </c>
      <c r="E382" t="s">
        <v>1679</v>
      </c>
      <c r="F382">
        <v>-20.6</v>
      </c>
      <c r="G382">
        <v>14</v>
      </c>
      <c r="H382">
        <v>34</v>
      </c>
      <c r="I382">
        <v>32</v>
      </c>
      <c r="J382">
        <v>5</v>
      </c>
      <c r="K382">
        <v>8</v>
      </c>
      <c r="L382">
        <v>2</v>
      </c>
      <c r="M382">
        <v>2</v>
      </c>
      <c r="N382">
        <v>0</v>
      </c>
      <c r="O382">
        <v>0</v>
      </c>
      <c r="P382">
        <v>2</v>
      </c>
      <c r="Q382">
        <v>9</v>
      </c>
      <c r="R382">
        <v>0.25</v>
      </c>
      <c r="S382">
        <v>0.29399999999999998</v>
      </c>
      <c r="T382">
        <v>0.438</v>
      </c>
      <c r="U382">
        <v>0.73199999999999998</v>
      </c>
      <c r="V382">
        <v>2</v>
      </c>
    </row>
    <row r="383" spans="2:22" x14ac:dyDescent="0.3">
      <c r="B383" t="s">
        <v>879</v>
      </c>
      <c r="C383" t="s">
        <v>1523</v>
      </c>
      <c r="D383" t="s">
        <v>1531</v>
      </c>
      <c r="E383" t="s">
        <v>1531</v>
      </c>
      <c r="F383">
        <v>-20.6</v>
      </c>
      <c r="G383">
        <v>7</v>
      </c>
      <c r="H383">
        <v>22</v>
      </c>
      <c r="I383">
        <v>21</v>
      </c>
      <c r="J383">
        <v>3</v>
      </c>
      <c r="K383">
        <v>5</v>
      </c>
      <c r="L383">
        <v>1</v>
      </c>
      <c r="M383">
        <v>2</v>
      </c>
      <c r="N383">
        <v>0</v>
      </c>
      <c r="O383">
        <v>0</v>
      </c>
      <c r="P383">
        <v>0</v>
      </c>
      <c r="Q383">
        <v>6</v>
      </c>
      <c r="R383">
        <v>0.23799999999999999</v>
      </c>
      <c r="S383">
        <v>0.22700000000000001</v>
      </c>
      <c r="T383">
        <v>0.42899999999999999</v>
      </c>
      <c r="U383">
        <v>0.65600000000000003</v>
      </c>
      <c r="V383">
        <v>0</v>
      </c>
    </row>
    <row r="384" spans="2:22" x14ac:dyDescent="0.3">
      <c r="B384" t="s">
        <v>934</v>
      </c>
      <c r="C384" t="s">
        <v>244</v>
      </c>
      <c r="D384" t="s">
        <v>1531</v>
      </c>
      <c r="E384" t="s">
        <v>1531</v>
      </c>
      <c r="F384">
        <v>-20.9</v>
      </c>
      <c r="G384">
        <v>18</v>
      </c>
      <c r="H384">
        <v>58</v>
      </c>
      <c r="I384">
        <v>56</v>
      </c>
      <c r="J384">
        <v>4</v>
      </c>
      <c r="K384">
        <v>13</v>
      </c>
      <c r="L384">
        <v>1</v>
      </c>
      <c r="M384">
        <v>2</v>
      </c>
      <c r="N384">
        <v>0</v>
      </c>
      <c r="O384">
        <v>0</v>
      </c>
      <c r="P384">
        <v>2</v>
      </c>
      <c r="Q384">
        <v>18</v>
      </c>
      <c r="R384">
        <v>0.23200000000000001</v>
      </c>
      <c r="S384">
        <v>0.25900000000000001</v>
      </c>
      <c r="T384">
        <v>0.39300000000000002</v>
      </c>
      <c r="U384">
        <v>0.65200000000000002</v>
      </c>
      <c r="V384">
        <v>0</v>
      </c>
    </row>
    <row r="385" spans="2:22" x14ac:dyDescent="0.3">
      <c r="B385" t="s">
        <v>801</v>
      </c>
      <c r="C385" t="s">
        <v>1524</v>
      </c>
      <c r="D385" t="s">
        <v>1526</v>
      </c>
      <c r="E385" t="s">
        <v>1655</v>
      </c>
      <c r="F385">
        <v>-20.9</v>
      </c>
      <c r="G385">
        <v>19</v>
      </c>
      <c r="H385">
        <v>65</v>
      </c>
      <c r="I385">
        <v>59</v>
      </c>
      <c r="J385">
        <v>5</v>
      </c>
      <c r="K385">
        <v>11</v>
      </c>
      <c r="L385">
        <v>2</v>
      </c>
      <c r="M385">
        <v>7</v>
      </c>
      <c r="N385">
        <v>0</v>
      </c>
      <c r="O385">
        <v>0</v>
      </c>
      <c r="P385">
        <v>4</v>
      </c>
      <c r="Q385">
        <v>24</v>
      </c>
      <c r="R385">
        <v>0.186</v>
      </c>
      <c r="S385">
        <v>0.23100000000000001</v>
      </c>
      <c r="T385">
        <v>0.28799999999999998</v>
      </c>
      <c r="U385">
        <v>0.51900000000000002</v>
      </c>
      <c r="V385">
        <v>0</v>
      </c>
    </row>
    <row r="386" spans="2:22" x14ac:dyDescent="0.3">
      <c r="B386" t="s">
        <v>3316</v>
      </c>
      <c r="C386" t="s">
        <v>1521</v>
      </c>
      <c r="D386" t="s">
        <v>1531</v>
      </c>
      <c r="E386" t="s">
        <v>1531</v>
      </c>
      <c r="F386">
        <v>-21.1</v>
      </c>
      <c r="G386">
        <v>5</v>
      </c>
      <c r="H386">
        <v>14</v>
      </c>
      <c r="I386">
        <v>13</v>
      </c>
      <c r="J386">
        <v>1</v>
      </c>
      <c r="K386">
        <v>3</v>
      </c>
      <c r="L386">
        <v>1</v>
      </c>
      <c r="M386">
        <v>3</v>
      </c>
      <c r="N386">
        <v>0</v>
      </c>
      <c r="O386">
        <v>0</v>
      </c>
      <c r="P386">
        <v>1</v>
      </c>
      <c r="Q386">
        <v>3</v>
      </c>
      <c r="R386">
        <v>0.23100000000000001</v>
      </c>
      <c r="S386">
        <v>0.28599999999999998</v>
      </c>
      <c r="T386">
        <v>0.46200000000000002</v>
      </c>
      <c r="U386">
        <v>0.748</v>
      </c>
      <c r="V386">
        <v>2</v>
      </c>
    </row>
    <row r="387" spans="2:22" x14ac:dyDescent="0.3">
      <c r="B387" t="s">
        <v>865</v>
      </c>
      <c r="C387" t="s">
        <v>1709</v>
      </c>
      <c r="D387" t="s">
        <v>1655</v>
      </c>
      <c r="E387" t="s">
        <v>1655</v>
      </c>
      <c r="F387">
        <v>-21.4</v>
      </c>
      <c r="G387">
        <v>28</v>
      </c>
      <c r="H387">
        <v>76</v>
      </c>
      <c r="I387">
        <v>69</v>
      </c>
      <c r="J387">
        <v>9</v>
      </c>
      <c r="K387">
        <v>13</v>
      </c>
      <c r="L387">
        <v>1</v>
      </c>
      <c r="M387">
        <v>5</v>
      </c>
      <c r="N387">
        <v>0</v>
      </c>
      <c r="O387">
        <v>0</v>
      </c>
      <c r="P387">
        <v>7</v>
      </c>
      <c r="Q387">
        <v>20</v>
      </c>
      <c r="R387">
        <v>0.188</v>
      </c>
      <c r="S387">
        <v>0.26300000000000001</v>
      </c>
      <c r="T387">
        <v>0.26100000000000001</v>
      </c>
      <c r="U387">
        <v>0.52400000000000002</v>
      </c>
      <c r="V387">
        <v>0</v>
      </c>
    </row>
    <row r="388" spans="2:22" x14ac:dyDescent="0.3">
      <c r="B388" t="s">
        <v>3168</v>
      </c>
      <c r="C388" t="s">
        <v>346</v>
      </c>
      <c r="D388" t="s">
        <v>80</v>
      </c>
      <c r="E388" t="s">
        <v>1657</v>
      </c>
      <c r="F388">
        <v>-21.4</v>
      </c>
      <c r="G388">
        <v>22</v>
      </c>
      <c r="H388">
        <v>75</v>
      </c>
      <c r="I388">
        <v>72</v>
      </c>
      <c r="J388">
        <v>9</v>
      </c>
      <c r="K388">
        <v>13</v>
      </c>
      <c r="L388">
        <v>1</v>
      </c>
      <c r="M388">
        <v>6</v>
      </c>
      <c r="N388">
        <v>0</v>
      </c>
      <c r="O388">
        <v>0</v>
      </c>
      <c r="P388">
        <v>2</v>
      </c>
      <c r="Q388">
        <v>13</v>
      </c>
      <c r="R388">
        <v>0.18099999999999999</v>
      </c>
      <c r="S388">
        <v>0.21299999999999999</v>
      </c>
      <c r="T388">
        <v>0.29199999999999998</v>
      </c>
      <c r="U388">
        <v>0.505</v>
      </c>
      <c r="V388">
        <v>0</v>
      </c>
    </row>
    <row r="389" spans="2:22" x14ac:dyDescent="0.3">
      <c r="B389" t="s">
        <v>1603</v>
      </c>
      <c r="C389" t="s">
        <v>266</v>
      </c>
      <c r="D389" t="s">
        <v>1531</v>
      </c>
      <c r="E389" t="s">
        <v>1531</v>
      </c>
      <c r="F389">
        <v>-21.4</v>
      </c>
      <c r="G389">
        <v>11</v>
      </c>
      <c r="H389">
        <v>31</v>
      </c>
      <c r="I389">
        <v>27</v>
      </c>
      <c r="J389">
        <v>3</v>
      </c>
      <c r="K389">
        <v>5</v>
      </c>
      <c r="L389">
        <v>0</v>
      </c>
      <c r="M389">
        <v>5</v>
      </c>
      <c r="N389">
        <v>0</v>
      </c>
      <c r="O389">
        <v>0</v>
      </c>
      <c r="P389">
        <v>3</v>
      </c>
      <c r="Q389">
        <v>14</v>
      </c>
      <c r="R389">
        <v>0.185</v>
      </c>
      <c r="S389">
        <v>0.25800000000000001</v>
      </c>
      <c r="T389">
        <v>0.222</v>
      </c>
      <c r="U389">
        <v>0.48</v>
      </c>
      <c r="V389">
        <v>0</v>
      </c>
    </row>
    <row r="390" spans="2:22" x14ac:dyDescent="0.3">
      <c r="B390" t="s">
        <v>1606</v>
      </c>
      <c r="C390" t="s">
        <v>231</v>
      </c>
      <c r="D390" t="s">
        <v>79</v>
      </c>
      <c r="E390" t="s">
        <v>79</v>
      </c>
      <c r="F390">
        <v>-21.5</v>
      </c>
      <c r="G390">
        <v>15</v>
      </c>
      <c r="H390">
        <v>46</v>
      </c>
      <c r="I390">
        <v>40</v>
      </c>
      <c r="J390">
        <v>3</v>
      </c>
      <c r="K390">
        <v>11</v>
      </c>
      <c r="L390">
        <v>0</v>
      </c>
      <c r="M390">
        <v>4</v>
      </c>
      <c r="N390">
        <v>1</v>
      </c>
      <c r="O390">
        <v>0</v>
      </c>
      <c r="P390">
        <v>6</v>
      </c>
      <c r="Q390">
        <v>9</v>
      </c>
      <c r="R390">
        <v>0.27500000000000002</v>
      </c>
      <c r="S390">
        <v>0.37</v>
      </c>
      <c r="T390">
        <v>0.32500000000000001</v>
      </c>
      <c r="U390">
        <v>0.69499999999999995</v>
      </c>
      <c r="V390">
        <v>0</v>
      </c>
    </row>
    <row r="391" spans="2:22" x14ac:dyDescent="0.3">
      <c r="B391" t="s">
        <v>881</v>
      </c>
      <c r="C391" t="s">
        <v>231</v>
      </c>
      <c r="D391" t="s">
        <v>1531</v>
      </c>
      <c r="E391" t="s">
        <v>1531</v>
      </c>
      <c r="F391">
        <v>-21.7</v>
      </c>
      <c r="G391">
        <v>28</v>
      </c>
      <c r="H391">
        <v>86</v>
      </c>
      <c r="I391">
        <v>78</v>
      </c>
      <c r="J391">
        <v>7</v>
      </c>
      <c r="K391">
        <v>12</v>
      </c>
      <c r="L391">
        <v>0</v>
      </c>
      <c r="M391">
        <v>7</v>
      </c>
      <c r="N391">
        <v>1</v>
      </c>
      <c r="O391">
        <v>0</v>
      </c>
      <c r="P391">
        <v>7</v>
      </c>
      <c r="Q391">
        <v>20</v>
      </c>
      <c r="R391">
        <v>0.154</v>
      </c>
      <c r="S391">
        <v>0.23300000000000001</v>
      </c>
      <c r="T391">
        <v>0.192</v>
      </c>
      <c r="U391">
        <v>0.42499999999999999</v>
      </c>
      <c r="V391">
        <v>0</v>
      </c>
    </row>
    <row r="392" spans="2:22" x14ac:dyDescent="0.3">
      <c r="B392" t="s">
        <v>490</v>
      </c>
      <c r="C392" t="s">
        <v>325</v>
      </c>
      <c r="D392" t="s">
        <v>1665</v>
      </c>
      <c r="E392" t="s">
        <v>1665</v>
      </c>
      <c r="F392">
        <v>-21.8</v>
      </c>
      <c r="G392">
        <v>42</v>
      </c>
      <c r="H392">
        <v>151</v>
      </c>
      <c r="I392">
        <v>134</v>
      </c>
      <c r="J392">
        <v>9</v>
      </c>
      <c r="K392">
        <v>22</v>
      </c>
      <c r="L392">
        <v>1</v>
      </c>
      <c r="M392">
        <v>11</v>
      </c>
      <c r="N392">
        <v>2</v>
      </c>
      <c r="O392">
        <v>0</v>
      </c>
      <c r="P392">
        <v>16</v>
      </c>
      <c r="Q392">
        <v>21</v>
      </c>
      <c r="R392">
        <v>0.16400000000000001</v>
      </c>
      <c r="S392">
        <v>0.252</v>
      </c>
      <c r="T392">
        <v>0.224</v>
      </c>
      <c r="U392">
        <v>0.47599999999999998</v>
      </c>
      <c r="V392">
        <v>0</v>
      </c>
    </row>
    <row r="393" spans="2:22" x14ac:dyDescent="0.3">
      <c r="B393" t="s">
        <v>933</v>
      </c>
      <c r="C393" t="s">
        <v>246</v>
      </c>
      <c r="D393" t="s">
        <v>1667</v>
      </c>
      <c r="E393" t="s">
        <v>1667</v>
      </c>
      <c r="F393">
        <v>-21.8</v>
      </c>
      <c r="G393">
        <v>42</v>
      </c>
      <c r="H393">
        <v>157</v>
      </c>
      <c r="I393">
        <v>144</v>
      </c>
      <c r="J393">
        <v>11</v>
      </c>
      <c r="K393">
        <v>28</v>
      </c>
      <c r="L393">
        <v>0</v>
      </c>
      <c r="M393">
        <v>5</v>
      </c>
      <c r="N393">
        <v>3</v>
      </c>
      <c r="O393">
        <v>1</v>
      </c>
      <c r="P393">
        <v>11</v>
      </c>
      <c r="Q393">
        <v>26</v>
      </c>
      <c r="R393">
        <v>0.19400000000000001</v>
      </c>
      <c r="S393">
        <v>0.26100000000000001</v>
      </c>
      <c r="T393">
        <v>0.22900000000000001</v>
      </c>
      <c r="U393">
        <v>0.49</v>
      </c>
      <c r="V393">
        <v>45</v>
      </c>
    </row>
    <row r="394" spans="2:22" x14ac:dyDescent="0.3">
      <c r="B394" t="s">
        <v>812</v>
      </c>
      <c r="C394" t="s">
        <v>239</v>
      </c>
      <c r="D394" t="s">
        <v>1527</v>
      </c>
      <c r="E394" t="s">
        <v>1527</v>
      </c>
      <c r="F394">
        <v>-21.9</v>
      </c>
      <c r="G394">
        <v>22</v>
      </c>
      <c r="H394">
        <v>74</v>
      </c>
      <c r="I394">
        <v>68</v>
      </c>
      <c r="J394">
        <v>5</v>
      </c>
      <c r="K394">
        <v>15</v>
      </c>
      <c r="L394">
        <v>0</v>
      </c>
      <c r="M394">
        <v>4</v>
      </c>
      <c r="N394">
        <v>2</v>
      </c>
      <c r="O394">
        <v>0</v>
      </c>
      <c r="P394">
        <v>4</v>
      </c>
      <c r="Q394">
        <v>27</v>
      </c>
      <c r="R394">
        <v>0.221</v>
      </c>
      <c r="S394">
        <v>0.28399999999999997</v>
      </c>
      <c r="T394">
        <v>0.26500000000000001</v>
      </c>
      <c r="U394">
        <v>0.54900000000000004</v>
      </c>
      <c r="V394">
        <v>0</v>
      </c>
    </row>
    <row r="395" spans="2:22" x14ac:dyDescent="0.3">
      <c r="B395" t="s">
        <v>717</v>
      </c>
      <c r="C395" t="s">
        <v>339</v>
      </c>
      <c r="D395" t="s">
        <v>1667</v>
      </c>
      <c r="E395" t="s">
        <v>1667</v>
      </c>
      <c r="F395">
        <v>-21.9</v>
      </c>
      <c r="G395">
        <v>27</v>
      </c>
      <c r="H395">
        <v>68</v>
      </c>
      <c r="I395">
        <v>60</v>
      </c>
      <c r="J395">
        <v>8</v>
      </c>
      <c r="K395">
        <v>14</v>
      </c>
      <c r="L395">
        <v>0</v>
      </c>
      <c r="M395">
        <v>3</v>
      </c>
      <c r="N395">
        <v>0</v>
      </c>
      <c r="O395">
        <v>0</v>
      </c>
      <c r="P395">
        <v>8</v>
      </c>
      <c r="Q395">
        <v>15</v>
      </c>
      <c r="R395">
        <v>0.23300000000000001</v>
      </c>
      <c r="S395">
        <v>0.32400000000000001</v>
      </c>
      <c r="T395">
        <v>0.26700000000000002</v>
      </c>
      <c r="U395">
        <v>0.59099999999999997</v>
      </c>
      <c r="V395">
        <v>0</v>
      </c>
    </row>
    <row r="396" spans="2:22" x14ac:dyDescent="0.3">
      <c r="B396" t="s">
        <v>1715</v>
      </c>
      <c r="C396" t="s">
        <v>325</v>
      </c>
      <c r="D396" t="s">
        <v>1717</v>
      </c>
      <c r="E396" t="s">
        <v>1681</v>
      </c>
      <c r="F396">
        <v>-22</v>
      </c>
      <c r="G396">
        <v>33</v>
      </c>
      <c r="H396">
        <v>119</v>
      </c>
      <c r="I396">
        <v>111</v>
      </c>
      <c r="J396">
        <v>8</v>
      </c>
      <c r="K396">
        <v>21</v>
      </c>
      <c r="L396">
        <v>1</v>
      </c>
      <c r="M396">
        <v>7</v>
      </c>
      <c r="N396">
        <v>1</v>
      </c>
      <c r="O396">
        <v>0</v>
      </c>
      <c r="P396">
        <v>6</v>
      </c>
      <c r="Q396">
        <v>24</v>
      </c>
      <c r="R396">
        <v>0.189</v>
      </c>
      <c r="S396">
        <v>0.24399999999999999</v>
      </c>
      <c r="T396">
        <v>0.24299999999999999</v>
      </c>
      <c r="U396">
        <v>0.48699999999999999</v>
      </c>
      <c r="V396">
        <v>1</v>
      </c>
    </row>
    <row r="397" spans="2:22" x14ac:dyDescent="0.3">
      <c r="B397" t="s">
        <v>792</v>
      </c>
      <c r="C397" t="s">
        <v>1524</v>
      </c>
      <c r="D397" t="s">
        <v>1655</v>
      </c>
      <c r="E397" t="s">
        <v>1655</v>
      </c>
      <c r="F397">
        <v>-22.1</v>
      </c>
      <c r="G397">
        <v>7</v>
      </c>
      <c r="H397">
        <v>20</v>
      </c>
      <c r="I397">
        <v>19</v>
      </c>
      <c r="J397">
        <v>3</v>
      </c>
      <c r="K397">
        <v>5</v>
      </c>
      <c r="L397">
        <v>1</v>
      </c>
      <c r="M397">
        <v>3</v>
      </c>
      <c r="N397">
        <v>0</v>
      </c>
      <c r="O397">
        <v>0</v>
      </c>
      <c r="P397">
        <v>1</v>
      </c>
      <c r="Q397">
        <v>6</v>
      </c>
      <c r="R397">
        <v>0.26300000000000001</v>
      </c>
      <c r="S397">
        <v>0.3</v>
      </c>
      <c r="T397">
        <v>0.47399999999999998</v>
      </c>
      <c r="U397">
        <v>0.77400000000000002</v>
      </c>
      <c r="V397">
        <v>0</v>
      </c>
    </row>
    <row r="398" spans="2:22" x14ac:dyDescent="0.3">
      <c r="B398" t="s">
        <v>3317</v>
      </c>
      <c r="C398" t="s">
        <v>339</v>
      </c>
      <c r="D398" t="s">
        <v>1531</v>
      </c>
      <c r="E398" t="s">
        <v>1531</v>
      </c>
      <c r="F398">
        <v>-22.1</v>
      </c>
      <c r="G398">
        <v>2</v>
      </c>
      <c r="H398">
        <v>7</v>
      </c>
      <c r="I398">
        <v>7</v>
      </c>
      <c r="J398">
        <v>1</v>
      </c>
      <c r="K398">
        <v>4</v>
      </c>
      <c r="L398">
        <v>0</v>
      </c>
      <c r="M398">
        <v>0</v>
      </c>
      <c r="N398">
        <v>0</v>
      </c>
      <c r="O398">
        <v>0</v>
      </c>
      <c r="P398">
        <v>0</v>
      </c>
      <c r="Q398">
        <v>1</v>
      </c>
      <c r="R398">
        <v>0.57099999999999995</v>
      </c>
      <c r="S398">
        <v>0.57099999999999995</v>
      </c>
      <c r="T398">
        <v>0.71399999999999997</v>
      </c>
      <c r="U398">
        <v>1.2849999999999999</v>
      </c>
      <c r="V398">
        <v>0</v>
      </c>
    </row>
    <row r="399" spans="2:22" x14ac:dyDescent="0.3">
      <c r="B399" t="s">
        <v>3149</v>
      </c>
      <c r="C399" t="s">
        <v>231</v>
      </c>
      <c r="D399" t="s">
        <v>1655</v>
      </c>
      <c r="E399" t="s">
        <v>1655</v>
      </c>
      <c r="F399">
        <v>-22.1</v>
      </c>
      <c r="G399">
        <v>13</v>
      </c>
      <c r="H399">
        <v>33</v>
      </c>
      <c r="I399">
        <v>31</v>
      </c>
      <c r="J399">
        <v>2</v>
      </c>
      <c r="K399">
        <v>5</v>
      </c>
      <c r="L399">
        <v>2</v>
      </c>
      <c r="M399">
        <v>6</v>
      </c>
      <c r="N399">
        <v>0</v>
      </c>
      <c r="O399">
        <v>0</v>
      </c>
      <c r="P399">
        <v>2</v>
      </c>
      <c r="Q399">
        <v>5</v>
      </c>
      <c r="R399">
        <v>0.161</v>
      </c>
      <c r="S399">
        <v>0.21199999999999999</v>
      </c>
      <c r="T399">
        <v>0.38700000000000001</v>
      </c>
      <c r="U399">
        <v>0.59899999999999998</v>
      </c>
      <c r="V399">
        <v>0</v>
      </c>
    </row>
    <row r="400" spans="2:22" x14ac:dyDescent="0.3">
      <c r="B400" t="s">
        <v>1754</v>
      </c>
      <c r="C400" t="s">
        <v>274</v>
      </c>
      <c r="D400" t="s">
        <v>1655</v>
      </c>
      <c r="E400" t="s">
        <v>1655</v>
      </c>
      <c r="F400">
        <v>-22.1</v>
      </c>
      <c r="G400">
        <v>7</v>
      </c>
      <c r="H400">
        <v>16</v>
      </c>
      <c r="I400">
        <v>15</v>
      </c>
      <c r="J400">
        <v>2</v>
      </c>
      <c r="K400">
        <v>3</v>
      </c>
      <c r="L400">
        <v>2</v>
      </c>
      <c r="M400">
        <v>3</v>
      </c>
      <c r="N400">
        <v>0</v>
      </c>
      <c r="O400">
        <v>0</v>
      </c>
      <c r="P400">
        <v>1</v>
      </c>
      <c r="Q400">
        <v>6</v>
      </c>
      <c r="R400">
        <v>0.2</v>
      </c>
      <c r="S400">
        <v>0.25</v>
      </c>
      <c r="T400">
        <v>0.6</v>
      </c>
      <c r="U400">
        <v>0.85</v>
      </c>
      <c r="V400">
        <v>0</v>
      </c>
    </row>
    <row r="401" spans="2:22" x14ac:dyDescent="0.3">
      <c r="B401" t="s">
        <v>694</v>
      </c>
      <c r="C401" t="s">
        <v>1524</v>
      </c>
      <c r="D401" t="s">
        <v>1531</v>
      </c>
      <c r="E401" t="s">
        <v>1531</v>
      </c>
      <c r="F401">
        <v>-22.2</v>
      </c>
      <c r="G401">
        <v>13</v>
      </c>
      <c r="H401">
        <v>22</v>
      </c>
      <c r="I401">
        <v>20</v>
      </c>
      <c r="J401">
        <v>1</v>
      </c>
      <c r="K401">
        <v>5</v>
      </c>
      <c r="L401">
        <v>0</v>
      </c>
      <c r="M401">
        <v>3</v>
      </c>
      <c r="N401">
        <v>0</v>
      </c>
      <c r="O401">
        <v>0</v>
      </c>
      <c r="P401">
        <v>1</v>
      </c>
      <c r="Q401">
        <v>8</v>
      </c>
      <c r="R401">
        <v>0.25</v>
      </c>
      <c r="S401">
        <v>0.318</v>
      </c>
      <c r="T401">
        <v>0.3</v>
      </c>
      <c r="U401">
        <v>0.61799999999999999</v>
      </c>
      <c r="V401">
        <v>0</v>
      </c>
    </row>
    <row r="402" spans="2:22" x14ac:dyDescent="0.3">
      <c r="B402" t="s">
        <v>504</v>
      </c>
      <c r="C402" t="s">
        <v>264</v>
      </c>
      <c r="D402" t="s">
        <v>1660</v>
      </c>
      <c r="E402" t="s">
        <v>1660</v>
      </c>
      <c r="F402">
        <v>-22.3</v>
      </c>
      <c r="G402">
        <v>21</v>
      </c>
      <c r="H402">
        <v>55</v>
      </c>
      <c r="I402">
        <v>47</v>
      </c>
      <c r="J402">
        <v>5</v>
      </c>
      <c r="K402">
        <v>9</v>
      </c>
      <c r="L402">
        <v>1</v>
      </c>
      <c r="M402">
        <v>5</v>
      </c>
      <c r="N402">
        <v>0</v>
      </c>
      <c r="O402">
        <v>0</v>
      </c>
      <c r="P402">
        <v>7</v>
      </c>
      <c r="Q402">
        <v>9</v>
      </c>
      <c r="R402">
        <v>0.191</v>
      </c>
      <c r="S402">
        <v>0.29099999999999998</v>
      </c>
      <c r="T402">
        <v>0.29799999999999999</v>
      </c>
      <c r="U402">
        <v>0.58899999999999997</v>
      </c>
      <c r="V402">
        <v>0</v>
      </c>
    </row>
    <row r="403" spans="2:22" x14ac:dyDescent="0.3">
      <c r="B403" t="s">
        <v>1699</v>
      </c>
      <c r="C403" t="s">
        <v>339</v>
      </c>
      <c r="D403" t="s">
        <v>1531</v>
      </c>
      <c r="E403" t="s">
        <v>1531</v>
      </c>
      <c r="F403">
        <v>-22.3</v>
      </c>
      <c r="G403">
        <v>5</v>
      </c>
      <c r="H403">
        <v>17</v>
      </c>
      <c r="I403">
        <v>14</v>
      </c>
      <c r="J403">
        <v>1</v>
      </c>
      <c r="K403">
        <v>4</v>
      </c>
      <c r="L403">
        <v>0</v>
      </c>
      <c r="M403">
        <v>2</v>
      </c>
      <c r="N403">
        <v>0</v>
      </c>
      <c r="O403">
        <v>0</v>
      </c>
      <c r="P403">
        <v>2</v>
      </c>
      <c r="Q403">
        <v>2</v>
      </c>
      <c r="R403">
        <v>0.28599999999999998</v>
      </c>
      <c r="S403">
        <v>0.35299999999999998</v>
      </c>
      <c r="T403">
        <v>0.28599999999999998</v>
      </c>
      <c r="U403">
        <v>0.63900000000000001</v>
      </c>
      <c r="V403">
        <v>1</v>
      </c>
    </row>
    <row r="404" spans="2:22" x14ac:dyDescent="0.3">
      <c r="B404" t="s">
        <v>754</v>
      </c>
      <c r="C404" t="s">
        <v>311</v>
      </c>
      <c r="D404" t="s">
        <v>1531</v>
      </c>
      <c r="E404" t="s">
        <v>1531</v>
      </c>
      <c r="F404">
        <v>-22.3</v>
      </c>
      <c r="G404">
        <v>11</v>
      </c>
      <c r="H404">
        <v>33</v>
      </c>
      <c r="I404">
        <v>31</v>
      </c>
      <c r="J404">
        <v>3</v>
      </c>
      <c r="K404">
        <v>7</v>
      </c>
      <c r="L404">
        <v>0</v>
      </c>
      <c r="M404">
        <v>2</v>
      </c>
      <c r="N404">
        <v>0</v>
      </c>
      <c r="O404">
        <v>0</v>
      </c>
      <c r="P404">
        <v>1</v>
      </c>
      <c r="Q404">
        <v>11</v>
      </c>
      <c r="R404">
        <v>0.22600000000000001</v>
      </c>
      <c r="S404">
        <v>0.27300000000000002</v>
      </c>
      <c r="T404">
        <v>0.32300000000000001</v>
      </c>
      <c r="U404">
        <v>0.59599999999999997</v>
      </c>
      <c r="V404">
        <v>0</v>
      </c>
    </row>
    <row r="405" spans="2:22" x14ac:dyDescent="0.3">
      <c r="B405" t="s">
        <v>3318</v>
      </c>
      <c r="C405" t="s">
        <v>246</v>
      </c>
      <c r="D405" t="s">
        <v>1655</v>
      </c>
      <c r="E405" t="s">
        <v>1655</v>
      </c>
      <c r="F405">
        <v>-22.3</v>
      </c>
      <c r="G405">
        <v>2</v>
      </c>
      <c r="H405">
        <v>4</v>
      </c>
      <c r="I405">
        <v>4</v>
      </c>
      <c r="J405">
        <v>2</v>
      </c>
      <c r="K405">
        <v>3</v>
      </c>
      <c r="L405">
        <v>1</v>
      </c>
      <c r="M405">
        <v>1</v>
      </c>
      <c r="N405">
        <v>0</v>
      </c>
      <c r="O405">
        <v>0</v>
      </c>
      <c r="P405">
        <v>0</v>
      </c>
      <c r="Q405">
        <v>1</v>
      </c>
      <c r="R405">
        <v>0.75</v>
      </c>
      <c r="S405">
        <v>0.75</v>
      </c>
      <c r="T405">
        <v>0.999</v>
      </c>
      <c r="U405">
        <v>2.25</v>
      </c>
      <c r="V405">
        <v>0</v>
      </c>
    </row>
    <row r="406" spans="2:22" x14ac:dyDescent="0.3">
      <c r="B406" t="s">
        <v>848</v>
      </c>
      <c r="C406" t="s">
        <v>244</v>
      </c>
      <c r="D406" t="s">
        <v>1655</v>
      </c>
      <c r="E406" t="s">
        <v>1655</v>
      </c>
      <c r="F406">
        <v>-22.3</v>
      </c>
      <c r="G406">
        <v>20</v>
      </c>
      <c r="H406">
        <v>42</v>
      </c>
      <c r="I406">
        <v>37</v>
      </c>
      <c r="J406">
        <v>4</v>
      </c>
      <c r="K406">
        <v>6</v>
      </c>
      <c r="L406">
        <v>0</v>
      </c>
      <c r="M406">
        <v>2</v>
      </c>
      <c r="N406">
        <v>4</v>
      </c>
      <c r="O406">
        <v>0</v>
      </c>
      <c r="P406">
        <v>5</v>
      </c>
      <c r="Q406">
        <v>10</v>
      </c>
      <c r="R406">
        <v>0.16200000000000001</v>
      </c>
      <c r="S406">
        <v>0.26200000000000001</v>
      </c>
      <c r="T406">
        <v>0.216</v>
      </c>
      <c r="U406">
        <v>0.47799999999999998</v>
      </c>
      <c r="V406">
        <v>0</v>
      </c>
    </row>
    <row r="407" spans="2:22" x14ac:dyDescent="0.3">
      <c r="B407" t="s">
        <v>3155</v>
      </c>
      <c r="C407" t="s">
        <v>278</v>
      </c>
      <c r="D407" t="s">
        <v>1529</v>
      </c>
      <c r="E407" t="s">
        <v>1529</v>
      </c>
      <c r="F407">
        <v>-22.3</v>
      </c>
      <c r="G407">
        <v>11</v>
      </c>
      <c r="H407">
        <v>28</v>
      </c>
      <c r="I407">
        <v>27</v>
      </c>
      <c r="J407">
        <v>4</v>
      </c>
      <c r="K407">
        <v>7</v>
      </c>
      <c r="L407">
        <v>0</v>
      </c>
      <c r="M407">
        <v>4</v>
      </c>
      <c r="N407">
        <v>0</v>
      </c>
      <c r="O407">
        <v>0</v>
      </c>
      <c r="P407">
        <v>0</v>
      </c>
      <c r="Q407">
        <v>7</v>
      </c>
      <c r="R407">
        <v>0.25900000000000001</v>
      </c>
      <c r="S407">
        <v>0.25</v>
      </c>
      <c r="T407">
        <v>0.29599999999999999</v>
      </c>
      <c r="U407">
        <v>0.54600000000000004</v>
      </c>
      <c r="V407">
        <v>1</v>
      </c>
    </row>
    <row r="408" spans="2:22" x14ac:dyDescent="0.3">
      <c r="B408" t="s">
        <v>3064</v>
      </c>
      <c r="C408" t="s">
        <v>243</v>
      </c>
      <c r="D408" t="s">
        <v>1655</v>
      </c>
      <c r="E408" t="s">
        <v>1655</v>
      </c>
      <c r="F408">
        <v>-22.4</v>
      </c>
      <c r="G408">
        <v>24</v>
      </c>
      <c r="H408">
        <v>39</v>
      </c>
      <c r="I408">
        <v>36</v>
      </c>
      <c r="J408">
        <v>6</v>
      </c>
      <c r="K408">
        <v>8</v>
      </c>
      <c r="L408">
        <v>0</v>
      </c>
      <c r="M408">
        <v>2</v>
      </c>
      <c r="N408">
        <v>1</v>
      </c>
      <c r="O408">
        <v>0</v>
      </c>
      <c r="P408">
        <v>3</v>
      </c>
      <c r="Q408">
        <v>8</v>
      </c>
      <c r="R408">
        <v>0.222</v>
      </c>
      <c r="S408">
        <v>0.28199999999999997</v>
      </c>
      <c r="T408">
        <v>0.27800000000000002</v>
      </c>
      <c r="U408">
        <v>0.56000000000000005</v>
      </c>
      <c r="V408">
        <v>0</v>
      </c>
    </row>
    <row r="409" spans="2:22" x14ac:dyDescent="0.3">
      <c r="B409" t="s">
        <v>1713</v>
      </c>
      <c r="C409" t="s">
        <v>1522</v>
      </c>
      <c r="D409" t="s">
        <v>1665</v>
      </c>
      <c r="E409" t="s">
        <v>1665</v>
      </c>
      <c r="F409">
        <v>-22.4</v>
      </c>
      <c r="G409">
        <v>11</v>
      </c>
      <c r="H409">
        <v>21</v>
      </c>
      <c r="I409">
        <v>20</v>
      </c>
      <c r="J409">
        <v>5</v>
      </c>
      <c r="K409">
        <v>5</v>
      </c>
      <c r="L409">
        <v>0</v>
      </c>
      <c r="M409">
        <v>3</v>
      </c>
      <c r="N409">
        <v>0</v>
      </c>
      <c r="O409">
        <v>0</v>
      </c>
      <c r="P409">
        <v>0</v>
      </c>
      <c r="Q409">
        <v>7</v>
      </c>
      <c r="R409">
        <v>0.25</v>
      </c>
      <c r="S409">
        <v>0.28599999999999998</v>
      </c>
      <c r="T409">
        <v>0.25</v>
      </c>
      <c r="U409">
        <v>0.53600000000000003</v>
      </c>
      <c r="V409">
        <v>0</v>
      </c>
    </row>
    <row r="410" spans="2:22" x14ac:dyDescent="0.3">
      <c r="B410" t="s">
        <v>435</v>
      </c>
      <c r="C410" t="s">
        <v>339</v>
      </c>
      <c r="D410" t="s">
        <v>1655</v>
      </c>
      <c r="E410" t="s">
        <v>1655</v>
      </c>
      <c r="F410">
        <v>-22.6</v>
      </c>
      <c r="G410">
        <v>11</v>
      </c>
      <c r="H410">
        <v>10</v>
      </c>
      <c r="I410">
        <v>7</v>
      </c>
      <c r="J410">
        <v>3</v>
      </c>
      <c r="K410">
        <v>0</v>
      </c>
      <c r="L410">
        <v>0</v>
      </c>
      <c r="M410">
        <v>0</v>
      </c>
      <c r="N410">
        <v>4</v>
      </c>
      <c r="O410">
        <v>0</v>
      </c>
      <c r="P410">
        <v>0</v>
      </c>
      <c r="Q410">
        <v>2</v>
      </c>
      <c r="R410">
        <v>0</v>
      </c>
      <c r="S410">
        <v>0.3</v>
      </c>
      <c r="T410">
        <v>0</v>
      </c>
      <c r="U410">
        <v>0.3</v>
      </c>
      <c r="V410">
        <v>0</v>
      </c>
    </row>
    <row r="411" spans="2:22" x14ac:dyDescent="0.3">
      <c r="B411" t="s">
        <v>3319</v>
      </c>
      <c r="C411" t="s">
        <v>222</v>
      </c>
      <c r="D411" t="s">
        <v>1531</v>
      </c>
      <c r="E411" t="s">
        <v>1531</v>
      </c>
      <c r="F411">
        <v>-22.6</v>
      </c>
      <c r="G411">
        <v>3</v>
      </c>
      <c r="H411">
        <v>5</v>
      </c>
      <c r="I411">
        <v>5</v>
      </c>
      <c r="J411">
        <v>2</v>
      </c>
      <c r="K411">
        <v>2</v>
      </c>
      <c r="L411">
        <v>0</v>
      </c>
      <c r="M411">
        <v>0</v>
      </c>
      <c r="N411">
        <v>0</v>
      </c>
      <c r="O411">
        <v>0</v>
      </c>
      <c r="P411">
        <v>0</v>
      </c>
      <c r="Q411">
        <v>2</v>
      </c>
      <c r="R411">
        <v>0.4</v>
      </c>
      <c r="S411">
        <v>0.4</v>
      </c>
      <c r="T411">
        <v>0.6</v>
      </c>
      <c r="U411">
        <v>1</v>
      </c>
      <c r="V411">
        <v>1</v>
      </c>
    </row>
    <row r="412" spans="2:22" x14ac:dyDescent="0.3">
      <c r="B412" t="s">
        <v>3154</v>
      </c>
      <c r="C412" t="s">
        <v>226</v>
      </c>
      <c r="D412" t="s">
        <v>79</v>
      </c>
      <c r="E412" t="s">
        <v>79</v>
      </c>
      <c r="F412">
        <v>-22.6</v>
      </c>
      <c r="G412">
        <v>7</v>
      </c>
      <c r="H412">
        <v>23</v>
      </c>
      <c r="I412">
        <v>19</v>
      </c>
      <c r="J412">
        <v>5</v>
      </c>
      <c r="K412">
        <v>4</v>
      </c>
      <c r="L412">
        <v>0</v>
      </c>
      <c r="M412">
        <v>2</v>
      </c>
      <c r="N412">
        <v>1</v>
      </c>
      <c r="O412">
        <v>0</v>
      </c>
      <c r="P412">
        <v>4</v>
      </c>
      <c r="Q412">
        <v>9</v>
      </c>
      <c r="R412">
        <v>0.21099999999999999</v>
      </c>
      <c r="S412">
        <v>0.34799999999999998</v>
      </c>
      <c r="T412">
        <v>0.21099999999999999</v>
      </c>
      <c r="U412">
        <v>0.55900000000000005</v>
      </c>
      <c r="V412">
        <v>0</v>
      </c>
    </row>
    <row r="413" spans="2:22" x14ac:dyDescent="0.3">
      <c r="B413" t="s">
        <v>3320</v>
      </c>
      <c r="C413" t="s">
        <v>221</v>
      </c>
      <c r="D413" t="s">
        <v>1529</v>
      </c>
      <c r="E413" t="s">
        <v>1529</v>
      </c>
      <c r="F413">
        <v>-22.7</v>
      </c>
      <c r="G413">
        <v>9</v>
      </c>
      <c r="H413">
        <v>32</v>
      </c>
      <c r="I413">
        <v>31</v>
      </c>
      <c r="J413">
        <v>2</v>
      </c>
      <c r="K413">
        <v>9</v>
      </c>
      <c r="L413">
        <v>0</v>
      </c>
      <c r="M413">
        <v>4</v>
      </c>
      <c r="N413">
        <v>0</v>
      </c>
      <c r="O413">
        <v>1</v>
      </c>
      <c r="P413">
        <v>1</v>
      </c>
      <c r="Q413">
        <v>4</v>
      </c>
      <c r="R413">
        <v>0.28999999999999998</v>
      </c>
      <c r="S413">
        <v>0.312</v>
      </c>
      <c r="T413">
        <v>0.38700000000000001</v>
      </c>
      <c r="U413">
        <v>0.69899999999999995</v>
      </c>
      <c r="V413">
        <v>0</v>
      </c>
    </row>
    <row r="414" spans="2:22" x14ac:dyDescent="0.3">
      <c r="B414" t="s">
        <v>3162</v>
      </c>
      <c r="C414" t="s">
        <v>246</v>
      </c>
      <c r="D414" t="s">
        <v>79</v>
      </c>
      <c r="E414" t="s">
        <v>79</v>
      </c>
      <c r="F414">
        <v>-22.7</v>
      </c>
      <c r="G414">
        <v>7</v>
      </c>
      <c r="H414">
        <v>15</v>
      </c>
      <c r="I414">
        <v>15</v>
      </c>
      <c r="J414">
        <v>3</v>
      </c>
      <c r="K414">
        <v>5</v>
      </c>
      <c r="L414">
        <v>0</v>
      </c>
      <c r="M414">
        <v>1</v>
      </c>
      <c r="N414">
        <v>1</v>
      </c>
      <c r="O414">
        <v>0</v>
      </c>
      <c r="P414">
        <v>0</v>
      </c>
      <c r="Q414">
        <v>2</v>
      </c>
      <c r="R414">
        <v>0.33300000000000002</v>
      </c>
      <c r="S414">
        <v>0.33300000000000002</v>
      </c>
      <c r="T414">
        <v>0.4</v>
      </c>
      <c r="U414">
        <v>0.73299999999999998</v>
      </c>
      <c r="V414">
        <v>1</v>
      </c>
    </row>
    <row r="415" spans="2:22" x14ac:dyDescent="0.3">
      <c r="B415" t="s">
        <v>3054</v>
      </c>
      <c r="C415" t="s">
        <v>222</v>
      </c>
      <c r="D415" t="s">
        <v>1529</v>
      </c>
      <c r="E415" t="s">
        <v>1529</v>
      </c>
      <c r="F415">
        <v>-22.7</v>
      </c>
      <c r="G415">
        <v>12</v>
      </c>
      <c r="H415">
        <v>38</v>
      </c>
      <c r="I415">
        <v>32</v>
      </c>
      <c r="J415">
        <v>4</v>
      </c>
      <c r="K415">
        <v>6</v>
      </c>
      <c r="L415">
        <v>0</v>
      </c>
      <c r="M415">
        <v>3</v>
      </c>
      <c r="N415">
        <v>2</v>
      </c>
      <c r="O415">
        <v>0</v>
      </c>
      <c r="P415">
        <v>3</v>
      </c>
      <c r="Q415">
        <v>6</v>
      </c>
      <c r="R415">
        <v>0.188</v>
      </c>
      <c r="S415">
        <v>0.316</v>
      </c>
      <c r="T415">
        <v>0.219</v>
      </c>
      <c r="U415">
        <v>0.53500000000000003</v>
      </c>
      <c r="V415">
        <v>5</v>
      </c>
    </row>
    <row r="416" spans="2:22" x14ac:dyDescent="0.3">
      <c r="B416" t="s">
        <v>618</v>
      </c>
      <c r="C416" t="s">
        <v>235</v>
      </c>
      <c r="D416" t="s">
        <v>1655</v>
      </c>
      <c r="E416" t="s">
        <v>1655</v>
      </c>
      <c r="F416">
        <v>-22.8</v>
      </c>
      <c r="G416">
        <v>19</v>
      </c>
      <c r="H416">
        <v>16</v>
      </c>
      <c r="I416">
        <v>13</v>
      </c>
      <c r="J416">
        <v>3</v>
      </c>
      <c r="K416">
        <v>1</v>
      </c>
      <c r="L416">
        <v>0</v>
      </c>
      <c r="M416">
        <v>2</v>
      </c>
      <c r="N416">
        <v>3</v>
      </c>
      <c r="O416">
        <v>0</v>
      </c>
      <c r="P416">
        <v>3</v>
      </c>
      <c r="Q416">
        <v>8</v>
      </c>
      <c r="R416">
        <v>7.6999999999999999E-2</v>
      </c>
      <c r="S416">
        <v>0.25</v>
      </c>
      <c r="T416">
        <v>7.6999999999999999E-2</v>
      </c>
      <c r="U416">
        <v>0.32700000000000001</v>
      </c>
      <c r="V416">
        <v>0</v>
      </c>
    </row>
    <row r="417" spans="2:22" x14ac:dyDescent="0.3">
      <c r="B417" t="s">
        <v>3321</v>
      </c>
      <c r="C417" t="s">
        <v>243</v>
      </c>
      <c r="D417" t="s">
        <v>1655</v>
      </c>
      <c r="E417" t="s">
        <v>1655</v>
      </c>
      <c r="F417">
        <v>-22.8</v>
      </c>
      <c r="G417">
        <v>3</v>
      </c>
      <c r="H417">
        <v>13</v>
      </c>
      <c r="I417">
        <v>10</v>
      </c>
      <c r="J417">
        <v>3</v>
      </c>
      <c r="K417">
        <v>3</v>
      </c>
      <c r="L417">
        <v>0</v>
      </c>
      <c r="M417">
        <v>0</v>
      </c>
      <c r="N417">
        <v>2</v>
      </c>
      <c r="O417">
        <v>0</v>
      </c>
      <c r="P417">
        <v>3</v>
      </c>
      <c r="Q417">
        <v>3</v>
      </c>
      <c r="R417">
        <v>0.3</v>
      </c>
      <c r="S417">
        <v>0.46200000000000002</v>
      </c>
      <c r="T417">
        <v>0.3</v>
      </c>
      <c r="U417">
        <v>0.76200000000000001</v>
      </c>
      <c r="V417">
        <v>0</v>
      </c>
    </row>
    <row r="418" spans="2:22" x14ac:dyDescent="0.3">
      <c r="B418" t="s">
        <v>498</v>
      </c>
      <c r="C418" t="s">
        <v>286</v>
      </c>
      <c r="D418" t="s">
        <v>1655</v>
      </c>
      <c r="E418" t="s">
        <v>1655</v>
      </c>
      <c r="F418">
        <v>-22.9</v>
      </c>
      <c r="G418">
        <v>22</v>
      </c>
      <c r="H418">
        <v>70</v>
      </c>
      <c r="I418">
        <v>63</v>
      </c>
      <c r="J418">
        <v>8</v>
      </c>
      <c r="K418">
        <v>9</v>
      </c>
      <c r="L418">
        <v>1</v>
      </c>
      <c r="M418">
        <v>3</v>
      </c>
      <c r="N418">
        <v>2</v>
      </c>
      <c r="O418">
        <v>1</v>
      </c>
      <c r="P418">
        <v>5</v>
      </c>
      <c r="Q418">
        <v>12</v>
      </c>
      <c r="R418">
        <v>0.14299999999999999</v>
      </c>
      <c r="S418">
        <v>0.22900000000000001</v>
      </c>
      <c r="T418">
        <v>0.23799999999999999</v>
      </c>
      <c r="U418">
        <v>0.46700000000000003</v>
      </c>
      <c r="V418">
        <v>19</v>
      </c>
    </row>
    <row r="419" spans="2:22" x14ac:dyDescent="0.3">
      <c r="B419" t="s">
        <v>955</v>
      </c>
      <c r="C419" t="s">
        <v>311</v>
      </c>
      <c r="D419" t="s">
        <v>1667</v>
      </c>
      <c r="E419" t="s">
        <v>1667</v>
      </c>
      <c r="F419">
        <v>-22.9</v>
      </c>
      <c r="G419">
        <v>24</v>
      </c>
      <c r="H419">
        <v>59</v>
      </c>
      <c r="I419">
        <v>54</v>
      </c>
      <c r="J419">
        <v>4</v>
      </c>
      <c r="K419">
        <v>10</v>
      </c>
      <c r="L419">
        <v>1</v>
      </c>
      <c r="M419">
        <v>6</v>
      </c>
      <c r="N419">
        <v>0</v>
      </c>
      <c r="O419">
        <v>0</v>
      </c>
      <c r="P419">
        <v>1</v>
      </c>
      <c r="Q419">
        <v>13</v>
      </c>
      <c r="R419">
        <v>0.185</v>
      </c>
      <c r="S419">
        <v>0.23699999999999999</v>
      </c>
      <c r="T419">
        <v>0.25900000000000001</v>
      </c>
      <c r="U419">
        <v>0.496</v>
      </c>
      <c r="V419">
        <v>0</v>
      </c>
    </row>
    <row r="420" spans="2:22" x14ac:dyDescent="0.3">
      <c r="B420" t="s">
        <v>1752</v>
      </c>
      <c r="C420" t="s">
        <v>264</v>
      </c>
      <c r="D420" t="s">
        <v>1531</v>
      </c>
      <c r="E420" t="s">
        <v>1531</v>
      </c>
      <c r="F420">
        <v>-23</v>
      </c>
      <c r="G420">
        <v>15</v>
      </c>
      <c r="H420">
        <v>31</v>
      </c>
      <c r="I420">
        <v>29</v>
      </c>
      <c r="J420">
        <v>3</v>
      </c>
      <c r="K420">
        <v>4</v>
      </c>
      <c r="L420">
        <v>0</v>
      </c>
      <c r="M420">
        <v>4</v>
      </c>
      <c r="N420">
        <v>0</v>
      </c>
      <c r="O420">
        <v>0</v>
      </c>
      <c r="P420">
        <v>1</v>
      </c>
      <c r="Q420">
        <v>15</v>
      </c>
      <c r="R420">
        <v>0.13800000000000001</v>
      </c>
      <c r="S420">
        <v>0.19400000000000001</v>
      </c>
      <c r="T420">
        <v>0.20699999999999999</v>
      </c>
      <c r="U420">
        <v>0.40100000000000002</v>
      </c>
      <c r="V420">
        <v>0</v>
      </c>
    </row>
    <row r="421" spans="2:22" x14ac:dyDescent="0.3">
      <c r="B421" t="s">
        <v>3253</v>
      </c>
      <c r="C421" t="s">
        <v>246</v>
      </c>
      <c r="D421" t="s">
        <v>1655</v>
      </c>
      <c r="E421" t="s">
        <v>1655</v>
      </c>
      <c r="F421">
        <v>-23.1</v>
      </c>
      <c r="G421">
        <v>14</v>
      </c>
      <c r="H421">
        <v>37</v>
      </c>
      <c r="I421">
        <v>33</v>
      </c>
      <c r="J421">
        <v>4</v>
      </c>
      <c r="K421">
        <v>6</v>
      </c>
      <c r="L421">
        <v>1</v>
      </c>
      <c r="M421">
        <v>2</v>
      </c>
      <c r="N421">
        <v>1</v>
      </c>
      <c r="O421">
        <v>0</v>
      </c>
      <c r="P421">
        <v>3</v>
      </c>
      <c r="Q421">
        <v>18</v>
      </c>
      <c r="R421">
        <v>0.182</v>
      </c>
      <c r="S421">
        <v>0.27</v>
      </c>
      <c r="T421">
        <v>0.33300000000000002</v>
      </c>
      <c r="U421">
        <v>0.60299999999999998</v>
      </c>
      <c r="V421">
        <v>1</v>
      </c>
    </row>
    <row r="422" spans="2:22" x14ac:dyDescent="0.3">
      <c r="B422" t="s">
        <v>908</v>
      </c>
      <c r="C422" t="s">
        <v>325</v>
      </c>
      <c r="D422" t="s">
        <v>1679</v>
      </c>
      <c r="E422" t="s">
        <v>1679</v>
      </c>
      <c r="F422">
        <v>-23.3</v>
      </c>
      <c r="G422">
        <v>11</v>
      </c>
      <c r="H422">
        <v>41</v>
      </c>
      <c r="I422">
        <v>39</v>
      </c>
      <c r="J422">
        <v>2</v>
      </c>
      <c r="K422">
        <v>8</v>
      </c>
      <c r="L422">
        <v>1</v>
      </c>
      <c r="M422">
        <v>3</v>
      </c>
      <c r="N422">
        <v>1</v>
      </c>
      <c r="O422">
        <v>0</v>
      </c>
      <c r="P422">
        <v>2</v>
      </c>
      <c r="Q422">
        <v>11</v>
      </c>
      <c r="R422">
        <v>0.20499999999999999</v>
      </c>
      <c r="S422">
        <v>0.24399999999999999</v>
      </c>
      <c r="T422">
        <v>0.33300000000000002</v>
      </c>
      <c r="U422">
        <v>0.57699999999999996</v>
      </c>
      <c r="V422">
        <v>53</v>
      </c>
    </row>
    <row r="423" spans="2:22" x14ac:dyDescent="0.3">
      <c r="B423" t="s">
        <v>864</v>
      </c>
      <c r="C423" t="s">
        <v>226</v>
      </c>
      <c r="D423" t="s">
        <v>1529</v>
      </c>
      <c r="E423" t="s">
        <v>1529</v>
      </c>
      <c r="F423">
        <v>-23.3</v>
      </c>
      <c r="G423">
        <v>29</v>
      </c>
      <c r="H423">
        <v>98</v>
      </c>
      <c r="I423">
        <v>92</v>
      </c>
      <c r="J423">
        <v>9</v>
      </c>
      <c r="K423">
        <v>19</v>
      </c>
      <c r="L423">
        <v>0</v>
      </c>
      <c r="M423">
        <v>2</v>
      </c>
      <c r="N423">
        <v>1</v>
      </c>
      <c r="O423">
        <v>0</v>
      </c>
      <c r="P423">
        <v>6</v>
      </c>
      <c r="Q423">
        <v>13</v>
      </c>
      <c r="R423">
        <v>0.20699999999999999</v>
      </c>
      <c r="S423">
        <v>0.255</v>
      </c>
      <c r="T423">
        <v>0.25</v>
      </c>
      <c r="U423">
        <v>0.505</v>
      </c>
      <c r="V423">
        <v>0</v>
      </c>
    </row>
    <row r="424" spans="2:22" x14ac:dyDescent="0.3">
      <c r="B424" t="s">
        <v>3252</v>
      </c>
      <c r="C424" t="s">
        <v>248</v>
      </c>
      <c r="D424" t="s">
        <v>1531</v>
      </c>
      <c r="E424" t="s">
        <v>1531</v>
      </c>
      <c r="F424">
        <v>-23.4</v>
      </c>
      <c r="G424">
        <v>6</v>
      </c>
      <c r="H424">
        <v>16</v>
      </c>
      <c r="I424">
        <v>13</v>
      </c>
      <c r="J424">
        <v>0</v>
      </c>
      <c r="K424">
        <v>3</v>
      </c>
      <c r="L424">
        <v>0</v>
      </c>
      <c r="M424">
        <v>2</v>
      </c>
      <c r="N424">
        <v>0</v>
      </c>
      <c r="O424">
        <v>0</v>
      </c>
      <c r="P424">
        <v>0</v>
      </c>
      <c r="Q424">
        <v>2</v>
      </c>
      <c r="R424">
        <v>0.23100000000000001</v>
      </c>
      <c r="S424">
        <v>0.312</v>
      </c>
      <c r="T424">
        <v>0.23100000000000001</v>
      </c>
      <c r="U424">
        <v>0.54300000000000004</v>
      </c>
      <c r="V424">
        <v>0</v>
      </c>
    </row>
    <row r="425" spans="2:22" x14ac:dyDescent="0.3">
      <c r="B425" t="s">
        <v>904</v>
      </c>
      <c r="C425" t="s">
        <v>325</v>
      </c>
      <c r="D425" t="s">
        <v>1659</v>
      </c>
      <c r="E425" t="s">
        <v>1659</v>
      </c>
      <c r="F425">
        <v>-23.4</v>
      </c>
      <c r="G425">
        <v>27</v>
      </c>
      <c r="H425">
        <v>77</v>
      </c>
      <c r="I425">
        <v>73</v>
      </c>
      <c r="J425">
        <v>7</v>
      </c>
      <c r="K425">
        <v>15</v>
      </c>
      <c r="L425">
        <v>1</v>
      </c>
      <c r="M425">
        <v>2</v>
      </c>
      <c r="N425">
        <v>0</v>
      </c>
      <c r="O425">
        <v>0</v>
      </c>
      <c r="P425">
        <v>4</v>
      </c>
      <c r="Q425">
        <v>13</v>
      </c>
      <c r="R425">
        <v>0.20499999999999999</v>
      </c>
      <c r="S425">
        <v>0.247</v>
      </c>
      <c r="T425">
        <v>0.26</v>
      </c>
      <c r="U425">
        <v>0.50700000000000001</v>
      </c>
      <c r="V425">
        <v>0</v>
      </c>
    </row>
    <row r="426" spans="2:22" x14ac:dyDescent="0.3">
      <c r="B426" t="s">
        <v>603</v>
      </c>
      <c r="C426" t="s">
        <v>224</v>
      </c>
      <c r="D426" t="s">
        <v>80</v>
      </c>
      <c r="E426" t="s">
        <v>80</v>
      </c>
      <c r="F426">
        <v>-23.5</v>
      </c>
      <c r="G426">
        <v>26</v>
      </c>
      <c r="H426">
        <v>86</v>
      </c>
      <c r="I426">
        <v>77</v>
      </c>
      <c r="J426">
        <v>12</v>
      </c>
      <c r="K426">
        <v>10</v>
      </c>
      <c r="L426">
        <v>1</v>
      </c>
      <c r="M426">
        <v>3</v>
      </c>
      <c r="N426">
        <v>1</v>
      </c>
      <c r="O426">
        <v>0</v>
      </c>
      <c r="P426">
        <v>9</v>
      </c>
      <c r="Q426">
        <v>32</v>
      </c>
      <c r="R426">
        <v>0.13</v>
      </c>
      <c r="S426">
        <v>0.221</v>
      </c>
      <c r="T426">
        <v>0.182</v>
      </c>
      <c r="U426">
        <v>0.40300000000000002</v>
      </c>
      <c r="V426">
        <v>0</v>
      </c>
    </row>
    <row r="427" spans="2:22" x14ac:dyDescent="0.3">
      <c r="B427" t="s">
        <v>1744</v>
      </c>
      <c r="C427" t="s">
        <v>239</v>
      </c>
      <c r="D427" t="s">
        <v>1679</v>
      </c>
      <c r="E427" t="s">
        <v>1679</v>
      </c>
      <c r="F427">
        <v>-23.5</v>
      </c>
      <c r="G427">
        <v>15</v>
      </c>
      <c r="H427">
        <v>41</v>
      </c>
      <c r="I427">
        <v>36</v>
      </c>
      <c r="J427">
        <v>2</v>
      </c>
      <c r="K427">
        <v>10</v>
      </c>
      <c r="L427">
        <v>0</v>
      </c>
      <c r="M427">
        <v>3</v>
      </c>
      <c r="N427">
        <v>0</v>
      </c>
      <c r="O427">
        <v>0</v>
      </c>
      <c r="P427">
        <v>5</v>
      </c>
      <c r="Q427">
        <v>11</v>
      </c>
      <c r="R427">
        <v>0.27800000000000002</v>
      </c>
      <c r="S427">
        <v>0.36599999999999999</v>
      </c>
      <c r="T427">
        <v>0.36099999999999999</v>
      </c>
      <c r="U427">
        <v>0.72699999999999998</v>
      </c>
      <c r="V427">
        <v>0</v>
      </c>
    </row>
    <row r="428" spans="2:22" x14ac:dyDescent="0.3">
      <c r="B428" t="s">
        <v>943</v>
      </c>
      <c r="C428" t="s">
        <v>251</v>
      </c>
      <c r="D428" t="s">
        <v>1655</v>
      </c>
      <c r="E428" t="s">
        <v>1655</v>
      </c>
      <c r="F428">
        <v>-23.6</v>
      </c>
      <c r="G428">
        <v>25</v>
      </c>
      <c r="H428">
        <v>75</v>
      </c>
      <c r="I428">
        <v>73</v>
      </c>
      <c r="J428">
        <v>5</v>
      </c>
      <c r="K428">
        <v>14</v>
      </c>
      <c r="L428">
        <v>1</v>
      </c>
      <c r="M428">
        <v>5</v>
      </c>
      <c r="N428">
        <v>0</v>
      </c>
      <c r="O428">
        <v>0</v>
      </c>
      <c r="P428">
        <v>2</v>
      </c>
      <c r="Q428">
        <v>15</v>
      </c>
      <c r="R428">
        <v>0.192</v>
      </c>
      <c r="S428">
        <v>0.21299999999999999</v>
      </c>
      <c r="T428">
        <v>0.28799999999999998</v>
      </c>
      <c r="U428">
        <v>0.501</v>
      </c>
      <c r="V428">
        <v>10</v>
      </c>
    </row>
    <row r="429" spans="2:22" x14ac:dyDescent="0.3">
      <c r="B429" t="s">
        <v>515</v>
      </c>
      <c r="C429" t="s">
        <v>234</v>
      </c>
      <c r="D429" t="s">
        <v>1531</v>
      </c>
      <c r="E429" t="s">
        <v>1531</v>
      </c>
      <c r="F429">
        <v>-23.7</v>
      </c>
      <c r="G429">
        <v>3</v>
      </c>
      <c r="H429">
        <v>10</v>
      </c>
      <c r="I429">
        <v>9</v>
      </c>
      <c r="J429">
        <v>1</v>
      </c>
      <c r="K429">
        <v>1</v>
      </c>
      <c r="L429">
        <v>0</v>
      </c>
      <c r="M429">
        <v>0</v>
      </c>
      <c r="N429">
        <v>1</v>
      </c>
      <c r="O429">
        <v>0</v>
      </c>
      <c r="P429">
        <v>1</v>
      </c>
      <c r="Q429">
        <v>1</v>
      </c>
      <c r="R429">
        <v>0.111</v>
      </c>
      <c r="S429">
        <v>0.2</v>
      </c>
      <c r="T429">
        <v>0.111</v>
      </c>
      <c r="U429">
        <v>0.311</v>
      </c>
      <c r="V429">
        <v>0</v>
      </c>
    </row>
    <row r="430" spans="2:22" x14ac:dyDescent="0.3">
      <c r="B430" t="s">
        <v>3322</v>
      </c>
      <c r="C430" t="s">
        <v>248</v>
      </c>
      <c r="D430" t="s">
        <v>1655</v>
      </c>
      <c r="E430" t="s">
        <v>1655</v>
      </c>
      <c r="F430">
        <v>-23.7</v>
      </c>
      <c r="G430">
        <v>5</v>
      </c>
      <c r="H430">
        <v>14</v>
      </c>
      <c r="I430">
        <v>11</v>
      </c>
      <c r="J430">
        <v>1</v>
      </c>
      <c r="K430">
        <v>4</v>
      </c>
      <c r="L430">
        <v>0</v>
      </c>
      <c r="M430">
        <v>1</v>
      </c>
      <c r="N430">
        <v>1</v>
      </c>
      <c r="O430">
        <v>0</v>
      </c>
      <c r="P430">
        <v>3</v>
      </c>
      <c r="Q430">
        <v>3</v>
      </c>
      <c r="R430">
        <v>0.36399999999999999</v>
      </c>
      <c r="S430">
        <v>0.5</v>
      </c>
      <c r="T430">
        <v>0.45500000000000002</v>
      </c>
      <c r="U430">
        <v>0.95499999999999996</v>
      </c>
      <c r="V430">
        <v>0</v>
      </c>
    </row>
    <row r="431" spans="2:22" x14ac:dyDescent="0.3">
      <c r="B431" t="s">
        <v>458</v>
      </c>
      <c r="C431" t="s">
        <v>1521</v>
      </c>
      <c r="D431" t="s">
        <v>1655</v>
      </c>
      <c r="E431" t="s">
        <v>1655</v>
      </c>
      <c r="F431">
        <v>-23.7</v>
      </c>
      <c r="G431">
        <v>20</v>
      </c>
      <c r="H431">
        <v>37</v>
      </c>
      <c r="I431">
        <v>34</v>
      </c>
      <c r="J431">
        <v>4</v>
      </c>
      <c r="K431">
        <v>6</v>
      </c>
      <c r="L431">
        <v>1</v>
      </c>
      <c r="M431">
        <v>3</v>
      </c>
      <c r="N431">
        <v>0</v>
      </c>
      <c r="O431">
        <v>0</v>
      </c>
      <c r="P431">
        <v>2</v>
      </c>
      <c r="Q431">
        <v>13</v>
      </c>
      <c r="R431">
        <v>0.17599999999999999</v>
      </c>
      <c r="S431">
        <v>0.216</v>
      </c>
      <c r="T431">
        <v>0.29399999999999998</v>
      </c>
      <c r="U431">
        <v>0.51</v>
      </c>
      <c r="V431">
        <v>0</v>
      </c>
    </row>
    <row r="432" spans="2:22" x14ac:dyDescent="0.3">
      <c r="B432" t="s">
        <v>830</v>
      </c>
      <c r="C432" t="s">
        <v>244</v>
      </c>
      <c r="D432" t="s">
        <v>79</v>
      </c>
      <c r="E432" t="s">
        <v>79</v>
      </c>
      <c r="F432">
        <v>-23.9</v>
      </c>
      <c r="G432">
        <v>34</v>
      </c>
      <c r="H432">
        <v>112</v>
      </c>
      <c r="I432">
        <v>100</v>
      </c>
      <c r="J432">
        <v>9</v>
      </c>
      <c r="K432">
        <v>17</v>
      </c>
      <c r="L432">
        <v>0</v>
      </c>
      <c r="M432">
        <v>8</v>
      </c>
      <c r="N432">
        <v>0</v>
      </c>
      <c r="O432">
        <v>0</v>
      </c>
      <c r="P432">
        <v>8</v>
      </c>
      <c r="Q432">
        <v>23</v>
      </c>
      <c r="R432">
        <v>0.17</v>
      </c>
      <c r="S432">
        <v>0.25</v>
      </c>
      <c r="T432">
        <v>0.2</v>
      </c>
      <c r="U432">
        <v>0.45</v>
      </c>
      <c r="V432">
        <v>6</v>
      </c>
    </row>
    <row r="433" spans="2:22" x14ac:dyDescent="0.3">
      <c r="B433" t="s">
        <v>3236</v>
      </c>
      <c r="C433" t="s">
        <v>243</v>
      </c>
      <c r="D433" t="s">
        <v>1655</v>
      </c>
      <c r="E433" t="s">
        <v>1655</v>
      </c>
      <c r="F433">
        <v>-24</v>
      </c>
      <c r="G433">
        <v>3</v>
      </c>
      <c r="H433">
        <v>2</v>
      </c>
      <c r="I433">
        <v>2</v>
      </c>
      <c r="J433">
        <v>2</v>
      </c>
      <c r="K433">
        <v>0</v>
      </c>
      <c r="L433">
        <v>0</v>
      </c>
      <c r="M433">
        <v>0</v>
      </c>
      <c r="N433">
        <v>2</v>
      </c>
      <c r="O433">
        <v>0</v>
      </c>
      <c r="P433">
        <v>0</v>
      </c>
      <c r="Q433">
        <v>1</v>
      </c>
      <c r="R433">
        <v>0</v>
      </c>
      <c r="S433">
        <v>0</v>
      </c>
      <c r="T433">
        <v>0</v>
      </c>
      <c r="U433">
        <v>0</v>
      </c>
      <c r="V433">
        <v>0</v>
      </c>
    </row>
    <row r="434" spans="2:22" x14ac:dyDescent="0.3">
      <c r="B434" t="s">
        <v>3323</v>
      </c>
      <c r="C434" t="s">
        <v>222</v>
      </c>
      <c r="D434" t="s">
        <v>1655</v>
      </c>
      <c r="E434" t="s">
        <v>1655</v>
      </c>
      <c r="F434">
        <v>-24</v>
      </c>
      <c r="G434">
        <v>3</v>
      </c>
      <c r="H434">
        <v>1</v>
      </c>
      <c r="I434">
        <v>1</v>
      </c>
      <c r="J434">
        <v>2</v>
      </c>
      <c r="K434">
        <v>1</v>
      </c>
      <c r="L434">
        <v>0</v>
      </c>
      <c r="M434">
        <v>0</v>
      </c>
      <c r="N434">
        <v>1</v>
      </c>
      <c r="O434">
        <v>0</v>
      </c>
      <c r="P434">
        <v>0</v>
      </c>
      <c r="Q434">
        <v>0</v>
      </c>
      <c r="R434">
        <v>0.999</v>
      </c>
      <c r="S434">
        <v>0.999</v>
      </c>
      <c r="T434">
        <v>0.999</v>
      </c>
      <c r="U434">
        <v>4</v>
      </c>
      <c r="V434">
        <v>1</v>
      </c>
    </row>
    <row r="435" spans="2:22" x14ac:dyDescent="0.3">
      <c r="B435" t="s">
        <v>683</v>
      </c>
      <c r="C435" t="s">
        <v>1521</v>
      </c>
      <c r="D435" t="s">
        <v>1665</v>
      </c>
      <c r="E435" t="s">
        <v>1665</v>
      </c>
      <c r="F435">
        <v>-24</v>
      </c>
      <c r="G435">
        <v>25</v>
      </c>
      <c r="H435">
        <v>64</v>
      </c>
      <c r="I435">
        <v>62</v>
      </c>
      <c r="J435">
        <v>3</v>
      </c>
      <c r="K435">
        <v>11</v>
      </c>
      <c r="L435">
        <v>1</v>
      </c>
      <c r="M435">
        <v>3</v>
      </c>
      <c r="N435">
        <v>2</v>
      </c>
      <c r="O435">
        <v>0</v>
      </c>
      <c r="P435">
        <v>2</v>
      </c>
      <c r="Q435">
        <v>16</v>
      </c>
      <c r="R435">
        <v>0.17699999999999999</v>
      </c>
      <c r="S435">
        <v>0.20300000000000001</v>
      </c>
      <c r="T435">
        <v>0.25800000000000001</v>
      </c>
      <c r="U435">
        <v>0.46100000000000002</v>
      </c>
      <c r="V435">
        <v>0</v>
      </c>
    </row>
    <row r="436" spans="2:22" x14ac:dyDescent="0.3">
      <c r="B436" t="s">
        <v>3324</v>
      </c>
      <c r="C436" t="s">
        <v>339</v>
      </c>
      <c r="D436" t="s">
        <v>1531</v>
      </c>
      <c r="E436" t="s">
        <v>1531</v>
      </c>
      <c r="F436">
        <v>-24.1</v>
      </c>
      <c r="G436">
        <v>3</v>
      </c>
      <c r="H436">
        <v>7</v>
      </c>
      <c r="I436">
        <v>6</v>
      </c>
      <c r="J436">
        <v>0</v>
      </c>
      <c r="K436">
        <v>1</v>
      </c>
      <c r="L436">
        <v>0</v>
      </c>
      <c r="M436">
        <v>1</v>
      </c>
      <c r="N436">
        <v>0</v>
      </c>
      <c r="O436">
        <v>0</v>
      </c>
      <c r="P436">
        <v>0</v>
      </c>
      <c r="Q436">
        <v>3</v>
      </c>
      <c r="R436">
        <v>0.16700000000000001</v>
      </c>
      <c r="S436">
        <v>0.14299999999999999</v>
      </c>
      <c r="T436">
        <v>0.16700000000000001</v>
      </c>
      <c r="U436">
        <v>0.31</v>
      </c>
      <c r="V436">
        <v>0</v>
      </c>
    </row>
    <row r="437" spans="2:22" x14ac:dyDescent="0.3">
      <c r="B437" t="s">
        <v>2203</v>
      </c>
      <c r="C437" t="s">
        <v>325</v>
      </c>
      <c r="D437" t="s">
        <v>79</v>
      </c>
      <c r="E437" t="s">
        <v>1717</v>
      </c>
      <c r="F437">
        <v>-24.1</v>
      </c>
      <c r="G437">
        <v>10</v>
      </c>
      <c r="H437">
        <v>16</v>
      </c>
      <c r="I437">
        <v>13</v>
      </c>
      <c r="J437">
        <v>1</v>
      </c>
      <c r="K437">
        <v>1</v>
      </c>
      <c r="L437">
        <v>0</v>
      </c>
      <c r="M437">
        <v>0</v>
      </c>
      <c r="N437">
        <v>4</v>
      </c>
      <c r="O437">
        <v>0</v>
      </c>
      <c r="P437">
        <v>3</v>
      </c>
      <c r="Q437">
        <v>8</v>
      </c>
      <c r="R437">
        <v>7.6999999999999999E-2</v>
      </c>
      <c r="S437">
        <v>0.25</v>
      </c>
      <c r="T437">
        <v>7.6999999999999999E-2</v>
      </c>
      <c r="U437">
        <v>0.32700000000000001</v>
      </c>
      <c r="V437">
        <v>0</v>
      </c>
    </row>
    <row r="438" spans="2:22" x14ac:dyDescent="0.3">
      <c r="B438" t="s">
        <v>721</v>
      </c>
      <c r="C438" t="s">
        <v>234</v>
      </c>
      <c r="D438" t="s">
        <v>1655</v>
      </c>
      <c r="E438" t="s">
        <v>1655</v>
      </c>
      <c r="F438">
        <v>-24.1</v>
      </c>
      <c r="G438">
        <v>16</v>
      </c>
      <c r="H438">
        <v>12</v>
      </c>
      <c r="I438">
        <v>10</v>
      </c>
      <c r="J438">
        <v>4</v>
      </c>
      <c r="K438">
        <v>3</v>
      </c>
      <c r="L438">
        <v>0</v>
      </c>
      <c r="M438">
        <v>0</v>
      </c>
      <c r="N438">
        <v>0</v>
      </c>
      <c r="O438">
        <v>0</v>
      </c>
      <c r="P438">
        <v>2</v>
      </c>
      <c r="Q438">
        <v>4</v>
      </c>
      <c r="R438">
        <v>0.3</v>
      </c>
      <c r="S438">
        <v>0.41699999999999998</v>
      </c>
      <c r="T438">
        <v>0.5</v>
      </c>
      <c r="U438">
        <v>0.91700000000000004</v>
      </c>
      <c r="V438">
        <v>0</v>
      </c>
    </row>
    <row r="439" spans="2:22" x14ac:dyDescent="0.3">
      <c r="B439" t="s">
        <v>3325</v>
      </c>
      <c r="C439" t="s">
        <v>264</v>
      </c>
      <c r="D439" t="s">
        <v>1531</v>
      </c>
      <c r="E439" t="s">
        <v>1531</v>
      </c>
      <c r="F439">
        <v>-24.1</v>
      </c>
      <c r="G439">
        <v>5</v>
      </c>
      <c r="H439">
        <v>11</v>
      </c>
      <c r="I439">
        <v>10</v>
      </c>
      <c r="J439">
        <v>0</v>
      </c>
      <c r="K439">
        <v>2</v>
      </c>
      <c r="L439">
        <v>0</v>
      </c>
      <c r="M439">
        <v>1</v>
      </c>
      <c r="N439">
        <v>0</v>
      </c>
      <c r="O439">
        <v>0</v>
      </c>
      <c r="P439">
        <v>1</v>
      </c>
      <c r="Q439">
        <v>5</v>
      </c>
      <c r="R439">
        <v>0.2</v>
      </c>
      <c r="S439">
        <v>0.27300000000000002</v>
      </c>
      <c r="T439">
        <v>0.2</v>
      </c>
      <c r="U439">
        <v>0.47299999999999998</v>
      </c>
      <c r="V439">
        <v>0</v>
      </c>
    </row>
    <row r="440" spans="2:22" x14ac:dyDescent="0.3">
      <c r="B440" t="s">
        <v>906</v>
      </c>
      <c r="C440" t="s">
        <v>246</v>
      </c>
      <c r="D440" t="s">
        <v>1531</v>
      </c>
      <c r="E440" t="s">
        <v>1531</v>
      </c>
      <c r="F440">
        <v>-24.2</v>
      </c>
      <c r="G440">
        <v>25</v>
      </c>
      <c r="H440">
        <v>81</v>
      </c>
      <c r="I440">
        <v>74</v>
      </c>
      <c r="J440">
        <v>5</v>
      </c>
      <c r="K440">
        <v>11</v>
      </c>
      <c r="L440">
        <v>0</v>
      </c>
      <c r="M440">
        <v>6</v>
      </c>
      <c r="N440">
        <v>0</v>
      </c>
      <c r="O440">
        <v>0</v>
      </c>
      <c r="P440">
        <v>6</v>
      </c>
      <c r="Q440">
        <v>21</v>
      </c>
      <c r="R440">
        <v>0.14899999999999999</v>
      </c>
      <c r="S440">
        <v>0.21</v>
      </c>
      <c r="T440">
        <v>0.216</v>
      </c>
      <c r="U440">
        <v>0.42599999999999999</v>
      </c>
      <c r="V440">
        <v>0</v>
      </c>
    </row>
    <row r="441" spans="2:22" x14ac:dyDescent="0.3">
      <c r="B441" t="s">
        <v>3326</v>
      </c>
      <c r="C441" t="s">
        <v>231</v>
      </c>
      <c r="D441" t="s">
        <v>1655</v>
      </c>
      <c r="E441" t="s">
        <v>1655</v>
      </c>
      <c r="F441">
        <v>-24.2</v>
      </c>
      <c r="G441">
        <v>8</v>
      </c>
      <c r="H441">
        <v>19</v>
      </c>
      <c r="I441">
        <v>18</v>
      </c>
      <c r="J441">
        <v>1</v>
      </c>
      <c r="K441">
        <v>5</v>
      </c>
      <c r="L441">
        <v>0</v>
      </c>
      <c r="M441">
        <v>3</v>
      </c>
      <c r="N441">
        <v>0</v>
      </c>
      <c r="O441">
        <v>0</v>
      </c>
      <c r="P441">
        <v>1</v>
      </c>
      <c r="Q441">
        <v>5</v>
      </c>
      <c r="R441">
        <v>0.27800000000000002</v>
      </c>
      <c r="S441">
        <v>0.316</v>
      </c>
      <c r="T441">
        <v>0.27800000000000002</v>
      </c>
      <c r="U441">
        <v>0.59399999999999997</v>
      </c>
      <c r="V441">
        <v>0</v>
      </c>
    </row>
    <row r="442" spans="2:22" x14ac:dyDescent="0.3">
      <c r="B442" t="s">
        <v>1701</v>
      </c>
      <c r="C442" t="s">
        <v>243</v>
      </c>
      <c r="D442" t="s">
        <v>1531</v>
      </c>
      <c r="E442" t="s">
        <v>1531</v>
      </c>
      <c r="F442">
        <v>-24.2</v>
      </c>
      <c r="G442">
        <v>3</v>
      </c>
      <c r="H442">
        <v>4</v>
      </c>
      <c r="I442">
        <v>4</v>
      </c>
      <c r="J442">
        <v>0</v>
      </c>
      <c r="K442">
        <v>1</v>
      </c>
      <c r="L442">
        <v>0</v>
      </c>
      <c r="M442">
        <v>0</v>
      </c>
      <c r="N442">
        <v>0</v>
      </c>
      <c r="O442">
        <v>0</v>
      </c>
      <c r="P442">
        <v>0</v>
      </c>
      <c r="Q442">
        <v>1</v>
      </c>
      <c r="R442">
        <v>0.25</v>
      </c>
      <c r="S442">
        <v>0.25</v>
      </c>
      <c r="T442">
        <v>0.25</v>
      </c>
      <c r="U442">
        <v>0.5</v>
      </c>
      <c r="V442">
        <v>0</v>
      </c>
    </row>
    <row r="443" spans="2:22" x14ac:dyDescent="0.3">
      <c r="B443" t="s">
        <v>3327</v>
      </c>
      <c r="C443" t="s">
        <v>339</v>
      </c>
      <c r="D443" t="s">
        <v>80</v>
      </c>
      <c r="E443" t="s">
        <v>80</v>
      </c>
      <c r="F443">
        <v>-24.2</v>
      </c>
      <c r="G443">
        <v>4</v>
      </c>
      <c r="H443">
        <v>14</v>
      </c>
      <c r="I443">
        <v>13</v>
      </c>
      <c r="J443">
        <v>1</v>
      </c>
      <c r="K443">
        <v>2</v>
      </c>
      <c r="L443">
        <v>1</v>
      </c>
      <c r="M443">
        <v>3</v>
      </c>
      <c r="N443">
        <v>0</v>
      </c>
      <c r="O443">
        <v>0</v>
      </c>
      <c r="P443">
        <v>1</v>
      </c>
      <c r="Q443">
        <v>4</v>
      </c>
      <c r="R443">
        <v>0.154</v>
      </c>
      <c r="S443">
        <v>0.214</v>
      </c>
      <c r="T443">
        <v>0.38500000000000001</v>
      </c>
      <c r="U443">
        <v>0.59899999999999998</v>
      </c>
      <c r="V443">
        <v>16</v>
      </c>
    </row>
    <row r="444" spans="2:22" x14ac:dyDescent="0.3">
      <c r="B444" t="s">
        <v>3052</v>
      </c>
      <c r="C444" t="s">
        <v>251</v>
      </c>
      <c r="D444" t="s">
        <v>80</v>
      </c>
      <c r="E444" t="s">
        <v>1663</v>
      </c>
      <c r="F444">
        <v>-24.2</v>
      </c>
      <c r="G444">
        <v>6</v>
      </c>
      <c r="H444">
        <v>20</v>
      </c>
      <c r="I444">
        <v>19</v>
      </c>
      <c r="J444">
        <v>3</v>
      </c>
      <c r="K444">
        <v>6</v>
      </c>
      <c r="L444">
        <v>0</v>
      </c>
      <c r="M444">
        <v>0</v>
      </c>
      <c r="N444">
        <v>0</v>
      </c>
      <c r="O444">
        <v>0</v>
      </c>
      <c r="P444">
        <v>1</v>
      </c>
      <c r="Q444">
        <v>4</v>
      </c>
      <c r="R444">
        <v>0.316</v>
      </c>
      <c r="S444">
        <v>0.35</v>
      </c>
      <c r="T444">
        <v>0.42099999999999999</v>
      </c>
      <c r="U444">
        <v>0.77100000000000002</v>
      </c>
      <c r="V444">
        <v>0</v>
      </c>
    </row>
    <row r="445" spans="2:22" x14ac:dyDescent="0.3">
      <c r="B445" t="s">
        <v>506</v>
      </c>
      <c r="C445" t="s">
        <v>1520</v>
      </c>
      <c r="D445" t="s">
        <v>1655</v>
      </c>
      <c r="E445" t="s">
        <v>1655</v>
      </c>
      <c r="F445">
        <v>-24.3</v>
      </c>
      <c r="G445">
        <v>38</v>
      </c>
      <c r="H445">
        <v>102</v>
      </c>
      <c r="I445">
        <v>95</v>
      </c>
      <c r="J445">
        <v>10</v>
      </c>
      <c r="K445">
        <v>14</v>
      </c>
      <c r="L445">
        <v>1</v>
      </c>
      <c r="M445">
        <v>6</v>
      </c>
      <c r="N445">
        <v>0</v>
      </c>
      <c r="O445">
        <v>0</v>
      </c>
      <c r="P445">
        <v>5</v>
      </c>
      <c r="Q445">
        <v>24</v>
      </c>
      <c r="R445">
        <v>0.14699999999999999</v>
      </c>
      <c r="S445">
        <v>0.20599999999999999</v>
      </c>
      <c r="T445">
        <v>0.23200000000000001</v>
      </c>
      <c r="U445">
        <v>0.438</v>
      </c>
      <c r="V445">
        <v>0</v>
      </c>
    </row>
    <row r="446" spans="2:22" x14ac:dyDescent="0.3">
      <c r="B446" t="s">
        <v>1707</v>
      </c>
      <c r="C446" t="s">
        <v>224</v>
      </c>
      <c r="D446" t="s">
        <v>1531</v>
      </c>
      <c r="E446" t="s">
        <v>1531</v>
      </c>
      <c r="F446">
        <v>-24.3</v>
      </c>
      <c r="G446">
        <v>9</v>
      </c>
      <c r="H446">
        <v>12</v>
      </c>
      <c r="I446">
        <v>11</v>
      </c>
      <c r="J446">
        <v>1</v>
      </c>
      <c r="K446">
        <v>2</v>
      </c>
      <c r="L446">
        <v>0</v>
      </c>
      <c r="M446">
        <v>0</v>
      </c>
      <c r="N446">
        <v>0</v>
      </c>
      <c r="O446">
        <v>0</v>
      </c>
      <c r="P446">
        <v>1</v>
      </c>
      <c r="Q446">
        <v>2</v>
      </c>
      <c r="R446">
        <v>0.182</v>
      </c>
      <c r="S446">
        <v>0.25</v>
      </c>
      <c r="T446">
        <v>0.182</v>
      </c>
      <c r="U446">
        <v>0.432</v>
      </c>
      <c r="V446">
        <v>0</v>
      </c>
    </row>
    <row r="447" spans="2:22" x14ac:dyDescent="0.3">
      <c r="B447" t="s">
        <v>778</v>
      </c>
      <c r="C447" t="s">
        <v>1523</v>
      </c>
      <c r="D447" t="s">
        <v>1531</v>
      </c>
      <c r="E447" t="s">
        <v>1531</v>
      </c>
      <c r="F447">
        <v>-24.5</v>
      </c>
      <c r="G447">
        <v>35</v>
      </c>
      <c r="H447">
        <v>108</v>
      </c>
      <c r="I447">
        <v>93</v>
      </c>
      <c r="J447">
        <v>5</v>
      </c>
      <c r="K447">
        <v>13</v>
      </c>
      <c r="L447">
        <v>1</v>
      </c>
      <c r="M447">
        <v>7</v>
      </c>
      <c r="N447">
        <v>0</v>
      </c>
      <c r="O447">
        <v>0</v>
      </c>
      <c r="P447">
        <v>14</v>
      </c>
      <c r="Q447">
        <v>28</v>
      </c>
      <c r="R447">
        <v>0.14000000000000001</v>
      </c>
      <c r="S447">
        <v>0.25900000000000001</v>
      </c>
      <c r="T447">
        <v>0.19400000000000001</v>
      </c>
      <c r="U447">
        <v>0.45300000000000001</v>
      </c>
      <c r="V447">
        <v>1</v>
      </c>
    </row>
    <row r="448" spans="2:22" x14ac:dyDescent="0.3">
      <c r="B448" t="s">
        <v>899</v>
      </c>
      <c r="C448" t="s">
        <v>231</v>
      </c>
      <c r="D448" t="s">
        <v>1655</v>
      </c>
      <c r="E448" t="s">
        <v>1655</v>
      </c>
      <c r="F448">
        <v>-24.5</v>
      </c>
      <c r="G448">
        <v>14</v>
      </c>
      <c r="H448">
        <v>37</v>
      </c>
      <c r="I448">
        <v>32</v>
      </c>
      <c r="J448">
        <v>3</v>
      </c>
      <c r="K448">
        <v>4</v>
      </c>
      <c r="L448">
        <v>0</v>
      </c>
      <c r="M448">
        <v>5</v>
      </c>
      <c r="N448">
        <v>1</v>
      </c>
      <c r="O448">
        <v>0</v>
      </c>
      <c r="P448">
        <v>4</v>
      </c>
      <c r="Q448">
        <v>16</v>
      </c>
      <c r="R448">
        <v>0.125</v>
      </c>
      <c r="S448">
        <v>0.216</v>
      </c>
      <c r="T448">
        <v>0.219</v>
      </c>
      <c r="U448">
        <v>0.435</v>
      </c>
      <c r="V448">
        <v>0</v>
      </c>
    </row>
    <row r="449" spans="2:22" x14ac:dyDescent="0.3">
      <c r="B449" t="s">
        <v>3238</v>
      </c>
      <c r="C449" t="s">
        <v>251</v>
      </c>
      <c r="D449" t="s">
        <v>1531</v>
      </c>
      <c r="E449" t="s">
        <v>1531</v>
      </c>
      <c r="F449">
        <v>-24.5</v>
      </c>
      <c r="G449">
        <v>6</v>
      </c>
      <c r="H449">
        <v>13</v>
      </c>
      <c r="I449">
        <v>12</v>
      </c>
      <c r="J449">
        <v>1</v>
      </c>
      <c r="K449">
        <v>2</v>
      </c>
      <c r="L449">
        <v>0</v>
      </c>
      <c r="M449">
        <v>0</v>
      </c>
      <c r="N449">
        <v>0</v>
      </c>
      <c r="O449">
        <v>0</v>
      </c>
      <c r="P449">
        <v>1</v>
      </c>
      <c r="Q449">
        <v>3</v>
      </c>
      <c r="R449">
        <v>0.16700000000000001</v>
      </c>
      <c r="S449">
        <v>0.23100000000000001</v>
      </c>
      <c r="T449">
        <v>0.16700000000000001</v>
      </c>
      <c r="U449">
        <v>0.39800000000000002</v>
      </c>
      <c r="V449">
        <v>0</v>
      </c>
    </row>
    <row r="450" spans="2:22" x14ac:dyDescent="0.3">
      <c r="B450" t="s">
        <v>1714</v>
      </c>
      <c r="C450" t="s">
        <v>231</v>
      </c>
      <c r="D450" t="s">
        <v>1527</v>
      </c>
      <c r="E450" t="s">
        <v>1527</v>
      </c>
      <c r="F450">
        <v>-24.6</v>
      </c>
      <c r="G450">
        <v>9</v>
      </c>
      <c r="H450">
        <v>32</v>
      </c>
      <c r="I450">
        <v>32</v>
      </c>
      <c r="J450">
        <v>3</v>
      </c>
      <c r="K450">
        <v>4</v>
      </c>
      <c r="L450">
        <v>2</v>
      </c>
      <c r="M450">
        <v>2</v>
      </c>
      <c r="N450">
        <v>0</v>
      </c>
      <c r="O450">
        <v>0</v>
      </c>
      <c r="P450">
        <v>0</v>
      </c>
      <c r="Q450">
        <v>15</v>
      </c>
      <c r="R450">
        <v>0.125</v>
      </c>
      <c r="S450">
        <v>0.125</v>
      </c>
      <c r="T450">
        <v>0.34399999999999997</v>
      </c>
      <c r="U450">
        <v>0.46899999999999997</v>
      </c>
      <c r="V450">
        <v>0</v>
      </c>
    </row>
    <row r="451" spans="2:22" x14ac:dyDescent="0.3">
      <c r="B451" t="s">
        <v>3328</v>
      </c>
      <c r="C451" t="s">
        <v>235</v>
      </c>
      <c r="D451" t="s">
        <v>1531</v>
      </c>
      <c r="E451" t="s">
        <v>1531</v>
      </c>
      <c r="F451">
        <v>-24.6</v>
      </c>
      <c r="G451">
        <v>2</v>
      </c>
      <c r="H451">
        <v>2</v>
      </c>
      <c r="I451">
        <v>2</v>
      </c>
      <c r="J451">
        <v>0</v>
      </c>
      <c r="K451">
        <v>0</v>
      </c>
      <c r="L451">
        <v>0</v>
      </c>
      <c r="M451">
        <v>0</v>
      </c>
      <c r="N451">
        <v>0</v>
      </c>
      <c r="O451">
        <v>0</v>
      </c>
      <c r="P451">
        <v>0</v>
      </c>
      <c r="Q451">
        <v>2</v>
      </c>
      <c r="R451">
        <v>0</v>
      </c>
      <c r="S451">
        <v>0</v>
      </c>
      <c r="T451">
        <v>0</v>
      </c>
      <c r="U451">
        <v>0</v>
      </c>
      <c r="V451">
        <v>0</v>
      </c>
    </row>
    <row r="452" spans="2:22" x14ac:dyDescent="0.3">
      <c r="B452" t="s">
        <v>681</v>
      </c>
      <c r="C452" t="s">
        <v>1709</v>
      </c>
      <c r="D452" t="s">
        <v>1531</v>
      </c>
      <c r="E452" t="s">
        <v>1531</v>
      </c>
      <c r="F452">
        <v>-24.6</v>
      </c>
      <c r="G452">
        <v>2</v>
      </c>
      <c r="H452">
        <v>3</v>
      </c>
      <c r="I452">
        <v>2</v>
      </c>
      <c r="J452">
        <v>0</v>
      </c>
      <c r="K452">
        <v>0</v>
      </c>
      <c r="L452">
        <v>0</v>
      </c>
      <c r="M452">
        <v>0</v>
      </c>
      <c r="N452">
        <v>0</v>
      </c>
      <c r="O452">
        <v>0</v>
      </c>
      <c r="P452">
        <v>1</v>
      </c>
      <c r="Q452">
        <v>0</v>
      </c>
      <c r="R452">
        <v>0</v>
      </c>
      <c r="S452">
        <v>0.33300000000000002</v>
      </c>
      <c r="T452">
        <v>0</v>
      </c>
      <c r="U452">
        <v>0.33300000000000002</v>
      </c>
      <c r="V452">
        <v>0</v>
      </c>
    </row>
    <row r="453" spans="2:22" x14ac:dyDescent="0.3">
      <c r="B453" t="s">
        <v>645</v>
      </c>
      <c r="C453" t="s">
        <v>1524</v>
      </c>
      <c r="D453" t="s">
        <v>1527</v>
      </c>
      <c r="E453" t="s">
        <v>1666</v>
      </c>
      <c r="F453">
        <v>-24.6</v>
      </c>
      <c r="G453">
        <v>14</v>
      </c>
      <c r="H453">
        <v>30</v>
      </c>
      <c r="I453">
        <v>28</v>
      </c>
      <c r="J453">
        <v>3</v>
      </c>
      <c r="K453">
        <v>7</v>
      </c>
      <c r="L453">
        <v>0</v>
      </c>
      <c r="M453">
        <v>1</v>
      </c>
      <c r="N453">
        <v>0</v>
      </c>
      <c r="O453">
        <v>0</v>
      </c>
      <c r="P453">
        <v>2</v>
      </c>
      <c r="Q453">
        <v>9</v>
      </c>
      <c r="R453">
        <v>0.25</v>
      </c>
      <c r="S453">
        <v>0.3</v>
      </c>
      <c r="T453">
        <v>0.25</v>
      </c>
      <c r="U453">
        <v>0.55000000000000004</v>
      </c>
      <c r="V453">
        <v>0</v>
      </c>
    </row>
    <row r="454" spans="2:22" x14ac:dyDescent="0.3">
      <c r="B454" t="s">
        <v>3329</v>
      </c>
      <c r="C454" t="s">
        <v>251</v>
      </c>
      <c r="D454" t="s">
        <v>1531</v>
      </c>
      <c r="E454" t="s">
        <v>1531</v>
      </c>
      <c r="F454">
        <v>-24.6</v>
      </c>
      <c r="G454">
        <v>1</v>
      </c>
      <c r="H454">
        <v>2</v>
      </c>
      <c r="I454">
        <v>2</v>
      </c>
      <c r="J454">
        <v>0</v>
      </c>
      <c r="K454">
        <v>0</v>
      </c>
      <c r="L454">
        <v>0</v>
      </c>
      <c r="M454">
        <v>0</v>
      </c>
      <c r="N454">
        <v>0</v>
      </c>
      <c r="O454">
        <v>0</v>
      </c>
      <c r="P454">
        <v>0</v>
      </c>
      <c r="Q454">
        <v>0</v>
      </c>
      <c r="R454">
        <v>0</v>
      </c>
      <c r="S454">
        <v>0</v>
      </c>
      <c r="T454">
        <v>0</v>
      </c>
      <c r="U454">
        <v>0</v>
      </c>
      <c r="V454">
        <v>2</v>
      </c>
    </row>
    <row r="455" spans="2:22" x14ac:dyDescent="0.3">
      <c r="B455" t="s">
        <v>3330</v>
      </c>
      <c r="C455" t="s">
        <v>255</v>
      </c>
      <c r="D455" t="s">
        <v>1531</v>
      </c>
      <c r="E455" t="s">
        <v>1531</v>
      </c>
      <c r="F455">
        <v>-24.6</v>
      </c>
      <c r="G455">
        <v>5</v>
      </c>
      <c r="H455">
        <v>2</v>
      </c>
      <c r="I455">
        <v>2</v>
      </c>
      <c r="J455">
        <v>0</v>
      </c>
      <c r="K455">
        <v>0</v>
      </c>
      <c r="L455">
        <v>0</v>
      </c>
      <c r="M455">
        <v>0</v>
      </c>
      <c r="N455">
        <v>0</v>
      </c>
      <c r="O455">
        <v>0</v>
      </c>
      <c r="P455">
        <v>0</v>
      </c>
      <c r="Q455">
        <v>0</v>
      </c>
      <c r="R455">
        <v>0</v>
      </c>
      <c r="S455">
        <v>0</v>
      </c>
      <c r="T455">
        <v>0</v>
      </c>
      <c r="U455">
        <v>0</v>
      </c>
      <c r="V455">
        <v>0</v>
      </c>
    </row>
    <row r="456" spans="2:22" x14ac:dyDescent="0.3">
      <c r="B456" t="s">
        <v>928</v>
      </c>
      <c r="C456" t="s">
        <v>248</v>
      </c>
      <c r="D456" t="s">
        <v>1708</v>
      </c>
      <c r="E456" t="s">
        <v>1708</v>
      </c>
      <c r="F456">
        <v>-24.6</v>
      </c>
      <c r="G456">
        <v>18</v>
      </c>
      <c r="H456">
        <v>42</v>
      </c>
      <c r="I456">
        <v>36</v>
      </c>
      <c r="J456">
        <v>2</v>
      </c>
      <c r="K456">
        <v>6</v>
      </c>
      <c r="L456">
        <v>0</v>
      </c>
      <c r="M456">
        <v>1</v>
      </c>
      <c r="N456">
        <v>3</v>
      </c>
      <c r="O456">
        <v>0</v>
      </c>
      <c r="P456">
        <v>6</v>
      </c>
      <c r="Q456">
        <v>10</v>
      </c>
      <c r="R456">
        <v>0.16700000000000001</v>
      </c>
      <c r="S456">
        <v>0.28599999999999998</v>
      </c>
      <c r="T456">
        <v>0.222</v>
      </c>
      <c r="U456">
        <v>0.50800000000000001</v>
      </c>
      <c r="V456">
        <v>0</v>
      </c>
    </row>
    <row r="457" spans="2:22" x14ac:dyDescent="0.3">
      <c r="B457" t="s">
        <v>3023</v>
      </c>
      <c r="C457" t="s">
        <v>250</v>
      </c>
      <c r="D457" t="s">
        <v>1531</v>
      </c>
      <c r="E457" t="s">
        <v>1531</v>
      </c>
      <c r="F457">
        <v>-24.7</v>
      </c>
      <c r="G457">
        <v>6</v>
      </c>
      <c r="H457">
        <v>16</v>
      </c>
      <c r="I457">
        <v>16</v>
      </c>
      <c r="J457">
        <v>1</v>
      </c>
      <c r="K457">
        <v>2</v>
      </c>
      <c r="L457">
        <v>0</v>
      </c>
      <c r="M457">
        <v>1</v>
      </c>
      <c r="N457">
        <v>0</v>
      </c>
      <c r="O457">
        <v>0</v>
      </c>
      <c r="P457">
        <v>0</v>
      </c>
      <c r="Q457">
        <v>7</v>
      </c>
      <c r="R457">
        <v>0.125</v>
      </c>
      <c r="S457">
        <v>0.125</v>
      </c>
      <c r="T457">
        <v>0.188</v>
      </c>
      <c r="U457">
        <v>0.313</v>
      </c>
      <c r="V457">
        <v>0</v>
      </c>
    </row>
    <row r="458" spans="2:22" x14ac:dyDescent="0.3">
      <c r="B458" t="s">
        <v>735</v>
      </c>
      <c r="C458" t="s">
        <v>248</v>
      </c>
      <c r="D458" t="s">
        <v>1531</v>
      </c>
      <c r="E458" t="s">
        <v>1531</v>
      </c>
      <c r="F458">
        <v>-24.8</v>
      </c>
      <c r="G458">
        <v>22</v>
      </c>
      <c r="H458">
        <v>63</v>
      </c>
      <c r="I458">
        <v>53</v>
      </c>
      <c r="J458">
        <v>1</v>
      </c>
      <c r="K458">
        <v>10</v>
      </c>
      <c r="L458">
        <v>0</v>
      </c>
      <c r="M458">
        <v>3</v>
      </c>
      <c r="N458">
        <v>0</v>
      </c>
      <c r="O458">
        <v>0</v>
      </c>
      <c r="P458">
        <v>8</v>
      </c>
      <c r="Q458">
        <v>19</v>
      </c>
      <c r="R458">
        <v>0.189</v>
      </c>
      <c r="S458">
        <v>0.30199999999999999</v>
      </c>
      <c r="T458">
        <v>0.20799999999999999</v>
      </c>
      <c r="U458">
        <v>0.51</v>
      </c>
      <c r="V458">
        <v>0</v>
      </c>
    </row>
    <row r="459" spans="2:22" x14ac:dyDescent="0.3">
      <c r="B459" t="s">
        <v>851</v>
      </c>
      <c r="C459" t="s">
        <v>346</v>
      </c>
      <c r="D459" t="s">
        <v>79</v>
      </c>
      <c r="E459" t="s">
        <v>79</v>
      </c>
      <c r="F459">
        <v>-24.8</v>
      </c>
      <c r="G459">
        <v>29</v>
      </c>
      <c r="H459">
        <v>79</v>
      </c>
      <c r="I459">
        <v>72</v>
      </c>
      <c r="J459">
        <v>5</v>
      </c>
      <c r="K459">
        <v>16</v>
      </c>
      <c r="L459">
        <v>0</v>
      </c>
      <c r="M459">
        <v>2</v>
      </c>
      <c r="N459">
        <v>0</v>
      </c>
      <c r="O459">
        <v>0</v>
      </c>
      <c r="P459">
        <v>7</v>
      </c>
      <c r="Q459">
        <v>20</v>
      </c>
      <c r="R459">
        <v>0.222</v>
      </c>
      <c r="S459">
        <v>0.29099999999999998</v>
      </c>
      <c r="T459">
        <v>0.27800000000000002</v>
      </c>
      <c r="U459">
        <v>0.56899999999999995</v>
      </c>
      <c r="V459">
        <v>1</v>
      </c>
    </row>
    <row r="460" spans="2:22" x14ac:dyDescent="0.3">
      <c r="B460" t="s">
        <v>845</v>
      </c>
      <c r="C460" t="s">
        <v>246</v>
      </c>
      <c r="D460" t="s">
        <v>1683</v>
      </c>
      <c r="E460" t="s">
        <v>1683</v>
      </c>
      <c r="F460">
        <v>-24.8</v>
      </c>
      <c r="G460">
        <v>18</v>
      </c>
      <c r="H460">
        <v>53</v>
      </c>
      <c r="I460">
        <v>49</v>
      </c>
      <c r="J460">
        <v>3</v>
      </c>
      <c r="K460">
        <v>8</v>
      </c>
      <c r="L460">
        <v>0</v>
      </c>
      <c r="M460">
        <v>5</v>
      </c>
      <c r="N460">
        <v>1</v>
      </c>
      <c r="O460">
        <v>0</v>
      </c>
      <c r="P460">
        <v>4</v>
      </c>
      <c r="Q460">
        <v>13</v>
      </c>
      <c r="R460">
        <v>0.16300000000000001</v>
      </c>
      <c r="S460">
        <v>0.22600000000000001</v>
      </c>
      <c r="T460">
        <v>0.28599999999999998</v>
      </c>
      <c r="U460">
        <v>0.51200000000000001</v>
      </c>
      <c r="V460">
        <v>3</v>
      </c>
    </row>
    <row r="461" spans="2:22" x14ac:dyDescent="0.3">
      <c r="B461" t="s">
        <v>1712</v>
      </c>
      <c r="C461" t="s">
        <v>1521</v>
      </c>
      <c r="D461" t="s">
        <v>1531</v>
      </c>
      <c r="E461" t="s">
        <v>1531</v>
      </c>
      <c r="F461">
        <v>-25</v>
      </c>
      <c r="G461">
        <v>5</v>
      </c>
      <c r="H461">
        <v>17</v>
      </c>
      <c r="I461">
        <v>15</v>
      </c>
      <c r="J461">
        <v>0</v>
      </c>
      <c r="K461">
        <v>2</v>
      </c>
      <c r="L461">
        <v>0</v>
      </c>
      <c r="M461">
        <v>1</v>
      </c>
      <c r="N461">
        <v>0</v>
      </c>
      <c r="O461">
        <v>0</v>
      </c>
      <c r="P461">
        <v>2</v>
      </c>
      <c r="Q461">
        <v>6</v>
      </c>
      <c r="R461">
        <v>0.13300000000000001</v>
      </c>
      <c r="S461">
        <v>0.23499999999999999</v>
      </c>
      <c r="T461">
        <v>0.13300000000000001</v>
      </c>
      <c r="U461">
        <v>0.36799999999999999</v>
      </c>
      <c r="V461">
        <v>0</v>
      </c>
    </row>
    <row r="462" spans="2:22" x14ac:dyDescent="0.3">
      <c r="B462" t="s">
        <v>869</v>
      </c>
      <c r="C462" t="s">
        <v>286</v>
      </c>
      <c r="D462" t="s">
        <v>1526</v>
      </c>
      <c r="E462" t="s">
        <v>1526</v>
      </c>
      <c r="F462">
        <v>-25</v>
      </c>
      <c r="G462">
        <v>6</v>
      </c>
      <c r="H462">
        <v>18</v>
      </c>
      <c r="I462">
        <v>18</v>
      </c>
      <c r="J462">
        <v>1</v>
      </c>
      <c r="K462">
        <v>3</v>
      </c>
      <c r="L462">
        <v>1</v>
      </c>
      <c r="M462">
        <v>2</v>
      </c>
      <c r="N462">
        <v>0</v>
      </c>
      <c r="O462">
        <v>0</v>
      </c>
      <c r="P462">
        <v>0</v>
      </c>
      <c r="Q462">
        <v>9</v>
      </c>
      <c r="R462">
        <v>0.16700000000000001</v>
      </c>
      <c r="S462">
        <v>0.16700000000000001</v>
      </c>
      <c r="T462">
        <v>0.38900000000000001</v>
      </c>
      <c r="U462">
        <v>0.55600000000000005</v>
      </c>
      <c r="V462">
        <v>0</v>
      </c>
    </row>
    <row r="463" spans="2:22" x14ac:dyDescent="0.3">
      <c r="B463" t="s">
        <v>929</v>
      </c>
      <c r="C463" t="s">
        <v>1523</v>
      </c>
      <c r="D463" t="s">
        <v>1655</v>
      </c>
      <c r="E463" t="s">
        <v>1655</v>
      </c>
      <c r="F463">
        <v>-25.2</v>
      </c>
      <c r="G463">
        <v>4</v>
      </c>
      <c r="H463">
        <v>9</v>
      </c>
      <c r="I463">
        <v>9</v>
      </c>
      <c r="J463">
        <v>1</v>
      </c>
      <c r="K463">
        <v>1</v>
      </c>
      <c r="L463">
        <v>1</v>
      </c>
      <c r="M463">
        <v>1</v>
      </c>
      <c r="N463">
        <v>0</v>
      </c>
      <c r="O463">
        <v>0</v>
      </c>
      <c r="P463">
        <v>0</v>
      </c>
      <c r="Q463">
        <v>2</v>
      </c>
      <c r="R463">
        <v>0.111</v>
      </c>
      <c r="S463">
        <v>0.111</v>
      </c>
      <c r="T463">
        <v>0.44400000000000001</v>
      </c>
      <c r="U463">
        <v>0.55500000000000005</v>
      </c>
      <c r="V463">
        <v>0</v>
      </c>
    </row>
    <row r="464" spans="2:22" x14ac:dyDescent="0.3">
      <c r="B464" t="s">
        <v>3157</v>
      </c>
      <c r="C464" t="s">
        <v>231</v>
      </c>
      <c r="D464" t="s">
        <v>1529</v>
      </c>
      <c r="E464" t="s">
        <v>1529</v>
      </c>
      <c r="F464">
        <v>-25.2</v>
      </c>
      <c r="G464">
        <v>3</v>
      </c>
      <c r="H464">
        <v>6</v>
      </c>
      <c r="I464">
        <v>6</v>
      </c>
      <c r="J464">
        <v>1</v>
      </c>
      <c r="K464">
        <v>2</v>
      </c>
      <c r="L464">
        <v>0</v>
      </c>
      <c r="M464">
        <v>1</v>
      </c>
      <c r="N464">
        <v>0</v>
      </c>
      <c r="O464">
        <v>0</v>
      </c>
      <c r="P464">
        <v>0</v>
      </c>
      <c r="Q464">
        <v>1</v>
      </c>
      <c r="R464">
        <v>0.33300000000000002</v>
      </c>
      <c r="S464">
        <v>0.33300000000000002</v>
      </c>
      <c r="T464">
        <v>0.5</v>
      </c>
      <c r="U464">
        <v>0.83299999999999996</v>
      </c>
      <c r="V464">
        <v>0</v>
      </c>
    </row>
    <row r="465" spans="2:22" x14ac:dyDescent="0.3">
      <c r="B465" t="s">
        <v>1703</v>
      </c>
      <c r="C465" t="s">
        <v>248</v>
      </c>
      <c r="D465" t="s">
        <v>1526</v>
      </c>
      <c r="E465" t="s">
        <v>1526</v>
      </c>
      <c r="F465">
        <v>-25.2</v>
      </c>
      <c r="G465">
        <v>13</v>
      </c>
      <c r="H465">
        <v>26</v>
      </c>
      <c r="I465">
        <v>21</v>
      </c>
      <c r="J465">
        <v>3</v>
      </c>
      <c r="K465">
        <v>2</v>
      </c>
      <c r="L465">
        <v>1</v>
      </c>
      <c r="M465">
        <v>2</v>
      </c>
      <c r="N465">
        <v>0</v>
      </c>
      <c r="O465">
        <v>0</v>
      </c>
      <c r="P465">
        <v>5</v>
      </c>
      <c r="Q465">
        <v>10</v>
      </c>
      <c r="R465">
        <v>9.5000000000000001E-2</v>
      </c>
      <c r="S465">
        <v>0.26900000000000002</v>
      </c>
      <c r="T465">
        <v>0.28599999999999998</v>
      </c>
      <c r="U465">
        <v>0.55500000000000005</v>
      </c>
      <c r="V465">
        <v>0</v>
      </c>
    </row>
    <row r="466" spans="2:22" x14ac:dyDescent="0.3">
      <c r="B466" t="s">
        <v>785</v>
      </c>
      <c r="C466" t="s">
        <v>222</v>
      </c>
      <c r="D466" t="s">
        <v>80</v>
      </c>
      <c r="E466" t="s">
        <v>80</v>
      </c>
      <c r="F466">
        <v>-25.3</v>
      </c>
      <c r="G466">
        <v>5</v>
      </c>
      <c r="H466">
        <v>17</v>
      </c>
      <c r="I466">
        <v>16</v>
      </c>
      <c r="J466">
        <v>2</v>
      </c>
      <c r="K466">
        <v>2</v>
      </c>
      <c r="L466">
        <v>1</v>
      </c>
      <c r="M466">
        <v>1</v>
      </c>
      <c r="N466">
        <v>0</v>
      </c>
      <c r="O466">
        <v>0</v>
      </c>
      <c r="P466">
        <v>1</v>
      </c>
      <c r="Q466">
        <v>6</v>
      </c>
      <c r="R466">
        <v>0.125</v>
      </c>
      <c r="S466">
        <v>0.17599999999999999</v>
      </c>
      <c r="T466">
        <v>0.312</v>
      </c>
      <c r="U466">
        <v>0.48799999999999999</v>
      </c>
      <c r="V466">
        <v>1</v>
      </c>
    </row>
    <row r="467" spans="2:22" x14ac:dyDescent="0.3">
      <c r="B467" t="s">
        <v>1734</v>
      </c>
      <c r="C467" t="s">
        <v>1523</v>
      </c>
      <c r="D467" t="s">
        <v>1679</v>
      </c>
      <c r="E467" t="s">
        <v>1679</v>
      </c>
      <c r="F467">
        <v>-25.3</v>
      </c>
      <c r="G467">
        <v>8</v>
      </c>
      <c r="H467">
        <v>21</v>
      </c>
      <c r="I467">
        <v>20</v>
      </c>
      <c r="J467">
        <v>2</v>
      </c>
      <c r="K467">
        <v>3</v>
      </c>
      <c r="L467">
        <v>1</v>
      </c>
      <c r="M467">
        <v>1</v>
      </c>
      <c r="N467">
        <v>0</v>
      </c>
      <c r="O467">
        <v>0</v>
      </c>
      <c r="P467">
        <v>0</v>
      </c>
      <c r="Q467">
        <v>9</v>
      </c>
      <c r="R467">
        <v>0.15</v>
      </c>
      <c r="S467">
        <v>0.19</v>
      </c>
      <c r="T467">
        <v>0.3</v>
      </c>
      <c r="U467">
        <v>0.49</v>
      </c>
      <c r="V467">
        <v>0</v>
      </c>
    </row>
    <row r="468" spans="2:22" x14ac:dyDescent="0.3">
      <c r="B468" t="s">
        <v>1753</v>
      </c>
      <c r="C468" t="s">
        <v>346</v>
      </c>
      <c r="D468" t="s">
        <v>80</v>
      </c>
      <c r="E468" t="s">
        <v>1657</v>
      </c>
      <c r="F468">
        <v>-25.4</v>
      </c>
      <c r="G468">
        <v>10</v>
      </c>
      <c r="H468">
        <v>27</v>
      </c>
      <c r="I468">
        <v>22</v>
      </c>
      <c r="J468">
        <v>1</v>
      </c>
      <c r="K468">
        <v>2</v>
      </c>
      <c r="L468">
        <v>1</v>
      </c>
      <c r="M468">
        <v>4</v>
      </c>
      <c r="N468">
        <v>0</v>
      </c>
      <c r="O468">
        <v>0</v>
      </c>
      <c r="P468">
        <v>3</v>
      </c>
      <c r="Q468">
        <v>7</v>
      </c>
      <c r="R468">
        <v>9.0999999999999998E-2</v>
      </c>
      <c r="S468">
        <v>0.222</v>
      </c>
      <c r="T468">
        <v>0.22700000000000001</v>
      </c>
      <c r="U468">
        <v>0.44900000000000001</v>
      </c>
      <c r="V468">
        <v>0</v>
      </c>
    </row>
    <row r="469" spans="2:22" x14ac:dyDescent="0.3">
      <c r="B469" t="s">
        <v>837</v>
      </c>
      <c r="C469" t="s">
        <v>1709</v>
      </c>
      <c r="D469" t="s">
        <v>1526</v>
      </c>
      <c r="E469" t="s">
        <v>1526</v>
      </c>
      <c r="F469">
        <v>-25.5</v>
      </c>
      <c r="G469">
        <v>12</v>
      </c>
      <c r="H469">
        <v>24</v>
      </c>
      <c r="I469">
        <v>21</v>
      </c>
      <c r="J469">
        <v>2</v>
      </c>
      <c r="K469">
        <v>4</v>
      </c>
      <c r="L469">
        <v>0</v>
      </c>
      <c r="M469">
        <v>2</v>
      </c>
      <c r="N469">
        <v>0</v>
      </c>
      <c r="O469">
        <v>0</v>
      </c>
      <c r="P469">
        <v>3</v>
      </c>
      <c r="Q469">
        <v>5</v>
      </c>
      <c r="R469">
        <v>0.19</v>
      </c>
      <c r="S469">
        <v>0.29199999999999998</v>
      </c>
      <c r="T469">
        <v>0.23799999999999999</v>
      </c>
      <c r="U469">
        <v>0.53</v>
      </c>
      <c r="V469">
        <v>0</v>
      </c>
    </row>
    <row r="470" spans="2:22" x14ac:dyDescent="0.3">
      <c r="B470" t="s">
        <v>3331</v>
      </c>
      <c r="C470" t="s">
        <v>235</v>
      </c>
      <c r="D470" t="s">
        <v>1529</v>
      </c>
      <c r="E470" t="s">
        <v>1529</v>
      </c>
      <c r="F470">
        <v>-25.5</v>
      </c>
      <c r="G470">
        <v>1</v>
      </c>
      <c r="H470">
        <v>2</v>
      </c>
      <c r="I470">
        <v>1</v>
      </c>
      <c r="J470">
        <v>1</v>
      </c>
      <c r="K470">
        <v>1</v>
      </c>
      <c r="L470">
        <v>0</v>
      </c>
      <c r="M470">
        <v>0</v>
      </c>
      <c r="N470">
        <v>0</v>
      </c>
      <c r="O470">
        <v>0</v>
      </c>
      <c r="P470">
        <v>1</v>
      </c>
      <c r="Q470">
        <v>0</v>
      </c>
      <c r="R470">
        <v>0.999</v>
      </c>
      <c r="S470">
        <v>0.999</v>
      </c>
      <c r="T470">
        <v>0.999</v>
      </c>
      <c r="U470">
        <v>2</v>
      </c>
      <c r="V470">
        <v>0</v>
      </c>
    </row>
    <row r="471" spans="2:22" x14ac:dyDescent="0.3">
      <c r="B471" t="s">
        <v>3332</v>
      </c>
      <c r="C471" t="s">
        <v>224</v>
      </c>
      <c r="D471" t="s">
        <v>79</v>
      </c>
      <c r="E471" t="s">
        <v>79</v>
      </c>
      <c r="F471">
        <v>-25.6</v>
      </c>
      <c r="G471">
        <v>4</v>
      </c>
      <c r="H471">
        <v>16</v>
      </c>
      <c r="I471">
        <v>12</v>
      </c>
      <c r="J471">
        <v>1</v>
      </c>
      <c r="K471">
        <v>3</v>
      </c>
      <c r="L471">
        <v>0</v>
      </c>
      <c r="M471">
        <v>1</v>
      </c>
      <c r="N471">
        <v>0</v>
      </c>
      <c r="O471">
        <v>0</v>
      </c>
      <c r="P471">
        <v>4</v>
      </c>
      <c r="Q471">
        <v>4</v>
      </c>
      <c r="R471">
        <v>0.25</v>
      </c>
      <c r="S471">
        <v>0.438</v>
      </c>
      <c r="T471">
        <v>0.33300000000000002</v>
      </c>
      <c r="U471">
        <v>0.77100000000000002</v>
      </c>
      <c r="V471">
        <v>100</v>
      </c>
    </row>
    <row r="472" spans="2:22" x14ac:dyDescent="0.3">
      <c r="B472" t="s">
        <v>1593</v>
      </c>
      <c r="C472" t="s">
        <v>274</v>
      </c>
      <c r="D472" t="s">
        <v>1655</v>
      </c>
      <c r="E472" t="s">
        <v>1655</v>
      </c>
      <c r="F472">
        <v>-25.6</v>
      </c>
      <c r="G472">
        <v>8</v>
      </c>
      <c r="H472">
        <v>16</v>
      </c>
      <c r="I472">
        <v>12</v>
      </c>
      <c r="J472">
        <v>2</v>
      </c>
      <c r="K472">
        <v>1</v>
      </c>
      <c r="L472">
        <v>0</v>
      </c>
      <c r="M472">
        <v>1</v>
      </c>
      <c r="N472">
        <v>1</v>
      </c>
      <c r="O472">
        <v>0</v>
      </c>
      <c r="P472">
        <v>1</v>
      </c>
      <c r="Q472">
        <v>4</v>
      </c>
      <c r="R472">
        <v>8.3000000000000004E-2</v>
      </c>
      <c r="S472">
        <v>0.312</v>
      </c>
      <c r="T472">
        <v>0.16700000000000001</v>
      </c>
      <c r="U472">
        <v>0.47899999999999998</v>
      </c>
      <c r="V472">
        <v>0</v>
      </c>
    </row>
    <row r="473" spans="2:22" x14ac:dyDescent="0.3">
      <c r="B473" t="s">
        <v>615</v>
      </c>
      <c r="C473" t="s">
        <v>1521</v>
      </c>
      <c r="D473" t="s">
        <v>1655</v>
      </c>
      <c r="E473" t="s">
        <v>1655</v>
      </c>
      <c r="F473">
        <v>-25.7</v>
      </c>
      <c r="G473">
        <v>4</v>
      </c>
      <c r="H473">
        <v>5</v>
      </c>
      <c r="I473">
        <v>5</v>
      </c>
      <c r="J473">
        <v>1</v>
      </c>
      <c r="K473">
        <v>1</v>
      </c>
      <c r="L473">
        <v>0</v>
      </c>
      <c r="M473">
        <v>1</v>
      </c>
      <c r="N473">
        <v>0</v>
      </c>
      <c r="O473">
        <v>0</v>
      </c>
      <c r="P473">
        <v>0</v>
      </c>
      <c r="Q473">
        <v>2</v>
      </c>
      <c r="R473">
        <v>0.2</v>
      </c>
      <c r="S473">
        <v>0.2</v>
      </c>
      <c r="T473">
        <v>0.2</v>
      </c>
      <c r="U473">
        <v>0.4</v>
      </c>
      <c r="V473">
        <v>0</v>
      </c>
    </row>
    <row r="474" spans="2:22" x14ac:dyDescent="0.3">
      <c r="B474" t="s">
        <v>1591</v>
      </c>
      <c r="C474" t="s">
        <v>221</v>
      </c>
      <c r="D474" t="s">
        <v>1657</v>
      </c>
      <c r="E474" t="s">
        <v>1657</v>
      </c>
      <c r="F474">
        <v>-25.7</v>
      </c>
      <c r="G474">
        <v>8</v>
      </c>
      <c r="H474">
        <v>13</v>
      </c>
      <c r="I474">
        <v>11</v>
      </c>
      <c r="J474">
        <v>1</v>
      </c>
      <c r="K474">
        <v>2</v>
      </c>
      <c r="L474">
        <v>0</v>
      </c>
      <c r="M474">
        <v>0</v>
      </c>
      <c r="N474">
        <v>1</v>
      </c>
      <c r="O474">
        <v>0</v>
      </c>
      <c r="P474">
        <v>2</v>
      </c>
      <c r="Q474">
        <v>7</v>
      </c>
      <c r="R474">
        <v>0.182</v>
      </c>
      <c r="S474">
        <v>0.308</v>
      </c>
      <c r="T474">
        <v>0.182</v>
      </c>
      <c r="U474">
        <v>0.49</v>
      </c>
      <c r="V474">
        <v>0</v>
      </c>
    </row>
    <row r="475" spans="2:22" x14ac:dyDescent="0.3">
      <c r="B475" t="s">
        <v>611</v>
      </c>
      <c r="C475" t="s">
        <v>266</v>
      </c>
      <c r="D475" t="s">
        <v>1531</v>
      </c>
      <c r="E475" t="s">
        <v>1531</v>
      </c>
      <c r="F475">
        <v>-25.8</v>
      </c>
      <c r="G475">
        <v>10</v>
      </c>
      <c r="H475">
        <v>23</v>
      </c>
      <c r="I475">
        <v>23</v>
      </c>
      <c r="J475">
        <v>0</v>
      </c>
      <c r="K475">
        <v>3</v>
      </c>
      <c r="L475">
        <v>0</v>
      </c>
      <c r="M475">
        <v>1</v>
      </c>
      <c r="N475">
        <v>0</v>
      </c>
      <c r="O475">
        <v>0</v>
      </c>
      <c r="P475">
        <v>0</v>
      </c>
      <c r="Q475">
        <v>10</v>
      </c>
      <c r="R475">
        <v>0.13</v>
      </c>
      <c r="S475">
        <v>0.13</v>
      </c>
      <c r="T475">
        <v>0.17399999999999999</v>
      </c>
      <c r="U475">
        <v>0.30399999999999999</v>
      </c>
      <c r="V475">
        <v>0</v>
      </c>
    </row>
    <row r="476" spans="2:22" x14ac:dyDescent="0.3">
      <c r="B476" t="s">
        <v>880</v>
      </c>
      <c r="C476" t="s">
        <v>346</v>
      </c>
      <c r="D476" t="s">
        <v>1655</v>
      </c>
      <c r="E476" t="s">
        <v>1655</v>
      </c>
      <c r="F476">
        <v>-25.9</v>
      </c>
      <c r="G476">
        <v>7</v>
      </c>
      <c r="H476">
        <v>21</v>
      </c>
      <c r="I476">
        <v>21</v>
      </c>
      <c r="J476">
        <v>0</v>
      </c>
      <c r="K476">
        <v>5</v>
      </c>
      <c r="L476">
        <v>0</v>
      </c>
      <c r="M476">
        <v>2</v>
      </c>
      <c r="N476">
        <v>0</v>
      </c>
      <c r="O476">
        <v>0</v>
      </c>
      <c r="P476">
        <v>0</v>
      </c>
      <c r="Q476">
        <v>3</v>
      </c>
      <c r="R476">
        <v>0.23799999999999999</v>
      </c>
      <c r="S476">
        <v>0.23799999999999999</v>
      </c>
      <c r="T476">
        <v>0.28599999999999998</v>
      </c>
      <c r="U476">
        <v>0.52400000000000002</v>
      </c>
      <c r="V476">
        <v>3</v>
      </c>
    </row>
    <row r="477" spans="2:22" x14ac:dyDescent="0.3">
      <c r="B477" t="s">
        <v>3333</v>
      </c>
      <c r="C477" t="s">
        <v>1524</v>
      </c>
      <c r="D477" t="s">
        <v>80</v>
      </c>
      <c r="E477" t="s">
        <v>80</v>
      </c>
      <c r="F477">
        <v>-25.9</v>
      </c>
      <c r="G477">
        <v>4</v>
      </c>
      <c r="H477">
        <v>14</v>
      </c>
      <c r="I477">
        <v>13</v>
      </c>
      <c r="J477">
        <v>0</v>
      </c>
      <c r="K477">
        <v>3</v>
      </c>
      <c r="L477">
        <v>0</v>
      </c>
      <c r="M477">
        <v>0</v>
      </c>
      <c r="N477">
        <v>1</v>
      </c>
      <c r="O477">
        <v>0</v>
      </c>
      <c r="P477">
        <v>1</v>
      </c>
      <c r="Q477">
        <v>3</v>
      </c>
      <c r="R477">
        <v>0.23100000000000001</v>
      </c>
      <c r="S477">
        <v>0.28599999999999998</v>
      </c>
      <c r="T477">
        <v>0.23100000000000001</v>
      </c>
      <c r="U477">
        <v>0.51700000000000002</v>
      </c>
      <c r="V477">
        <v>0</v>
      </c>
    </row>
    <row r="478" spans="2:22" x14ac:dyDescent="0.3">
      <c r="B478" t="s">
        <v>3334</v>
      </c>
      <c r="C478" t="s">
        <v>234</v>
      </c>
      <c r="D478" t="s">
        <v>1526</v>
      </c>
      <c r="E478" t="s">
        <v>1680</v>
      </c>
      <c r="F478">
        <v>-25.9</v>
      </c>
      <c r="G478">
        <v>2</v>
      </c>
      <c r="H478">
        <v>3</v>
      </c>
      <c r="I478">
        <v>3</v>
      </c>
      <c r="J478">
        <v>1</v>
      </c>
      <c r="K478">
        <v>1</v>
      </c>
      <c r="L478">
        <v>0</v>
      </c>
      <c r="M478">
        <v>0</v>
      </c>
      <c r="N478">
        <v>0</v>
      </c>
      <c r="O478">
        <v>0</v>
      </c>
      <c r="P478">
        <v>0</v>
      </c>
      <c r="Q478">
        <v>1</v>
      </c>
      <c r="R478">
        <v>0.33300000000000002</v>
      </c>
      <c r="S478">
        <v>0.33300000000000002</v>
      </c>
      <c r="T478">
        <v>0.33300000000000002</v>
      </c>
      <c r="U478">
        <v>0.66600000000000004</v>
      </c>
      <c r="V478">
        <v>0</v>
      </c>
    </row>
    <row r="479" spans="2:22" x14ac:dyDescent="0.3">
      <c r="B479" t="s">
        <v>804</v>
      </c>
      <c r="C479" t="s">
        <v>311</v>
      </c>
      <c r="D479" t="s">
        <v>1526</v>
      </c>
      <c r="E479" t="s">
        <v>1526</v>
      </c>
      <c r="F479">
        <v>-26</v>
      </c>
      <c r="G479">
        <v>6</v>
      </c>
      <c r="H479">
        <v>19</v>
      </c>
      <c r="I479">
        <v>18</v>
      </c>
      <c r="J479">
        <v>1</v>
      </c>
      <c r="K479">
        <v>4</v>
      </c>
      <c r="L479">
        <v>0</v>
      </c>
      <c r="M479">
        <v>1</v>
      </c>
      <c r="N479">
        <v>0</v>
      </c>
      <c r="O479">
        <v>0</v>
      </c>
      <c r="P479">
        <v>1</v>
      </c>
      <c r="Q479">
        <v>2</v>
      </c>
      <c r="R479">
        <v>0.222</v>
      </c>
      <c r="S479">
        <v>0.26300000000000001</v>
      </c>
      <c r="T479">
        <v>0.27800000000000002</v>
      </c>
      <c r="U479">
        <v>0.54100000000000004</v>
      </c>
      <c r="V479">
        <v>0</v>
      </c>
    </row>
    <row r="480" spans="2:22" x14ac:dyDescent="0.3">
      <c r="B480" t="s">
        <v>3335</v>
      </c>
      <c r="C480" t="s">
        <v>266</v>
      </c>
      <c r="D480" t="s">
        <v>1655</v>
      </c>
      <c r="E480" t="s">
        <v>1655</v>
      </c>
      <c r="F480">
        <v>-26</v>
      </c>
      <c r="G480">
        <v>9</v>
      </c>
      <c r="H480">
        <v>21</v>
      </c>
      <c r="I480">
        <v>20</v>
      </c>
      <c r="J480">
        <v>4</v>
      </c>
      <c r="K480">
        <v>3</v>
      </c>
      <c r="L480">
        <v>0</v>
      </c>
      <c r="M480">
        <v>0</v>
      </c>
      <c r="N480">
        <v>0</v>
      </c>
      <c r="O480">
        <v>0</v>
      </c>
      <c r="P480">
        <v>1</v>
      </c>
      <c r="Q480">
        <v>8</v>
      </c>
      <c r="R480">
        <v>0.15</v>
      </c>
      <c r="S480">
        <v>0.19</v>
      </c>
      <c r="T480">
        <v>0.2</v>
      </c>
      <c r="U480">
        <v>0.39</v>
      </c>
      <c r="V480">
        <v>1</v>
      </c>
    </row>
    <row r="481" spans="2:22" x14ac:dyDescent="0.3">
      <c r="B481" t="s">
        <v>3159</v>
      </c>
      <c r="C481" t="s">
        <v>270</v>
      </c>
      <c r="D481" t="s">
        <v>79</v>
      </c>
      <c r="E481" t="s">
        <v>1681</v>
      </c>
      <c r="F481">
        <v>-26.2</v>
      </c>
      <c r="G481">
        <v>2</v>
      </c>
      <c r="H481">
        <v>5</v>
      </c>
      <c r="I481">
        <v>5</v>
      </c>
      <c r="J481">
        <v>1</v>
      </c>
      <c r="K481">
        <v>1</v>
      </c>
      <c r="L481">
        <v>0</v>
      </c>
      <c r="M481">
        <v>0</v>
      </c>
      <c r="N481">
        <v>0</v>
      </c>
      <c r="O481">
        <v>0</v>
      </c>
      <c r="P481">
        <v>0</v>
      </c>
      <c r="Q481">
        <v>3</v>
      </c>
      <c r="R481">
        <v>0.2</v>
      </c>
      <c r="S481">
        <v>0.2</v>
      </c>
      <c r="T481">
        <v>0.2</v>
      </c>
      <c r="U481">
        <v>0.4</v>
      </c>
      <c r="V481">
        <v>0</v>
      </c>
    </row>
    <row r="482" spans="2:22" x14ac:dyDescent="0.3">
      <c r="B482" t="s">
        <v>1711</v>
      </c>
      <c r="C482" t="s">
        <v>339</v>
      </c>
      <c r="D482" t="s">
        <v>1531</v>
      </c>
      <c r="E482" t="s">
        <v>1531</v>
      </c>
      <c r="F482">
        <v>-26.2</v>
      </c>
      <c r="G482">
        <v>19</v>
      </c>
      <c r="H482">
        <v>54</v>
      </c>
      <c r="I482">
        <v>51</v>
      </c>
      <c r="J482">
        <v>5</v>
      </c>
      <c r="K482">
        <v>6</v>
      </c>
      <c r="L482">
        <v>0</v>
      </c>
      <c r="M482">
        <v>1</v>
      </c>
      <c r="N482">
        <v>0</v>
      </c>
      <c r="O482">
        <v>0</v>
      </c>
      <c r="P482">
        <v>2</v>
      </c>
      <c r="Q482">
        <v>16</v>
      </c>
      <c r="R482">
        <v>0.11799999999999999</v>
      </c>
      <c r="S482">
        <v>0.14799999999999999</v>
      </c>
      <c r="T482">
        <v>0.11799999999999999</v>
      </c>
      <c r="U482">
        <v>0.26600000000000001</v>
      </c>
      <c r="V482">
        <v>0</v>
      </c>
    </row>
    <row r="483" spans="2:22" x14ac:dyDescent="0.3">
      <c r="B483" t="s">
        <v>805</v>
      </c>
      <c r="C483" t="s">
        <v>270</v>
      </c>
      <c r="D483" t="s">
        <v>1531</v>
      </c>
      <c r="E483" t="s">
        <v>1531</v>
      </c>
      <c r="F483">
        <v>-26.3</v>
      </c>
      <c r="G483">
        <v>23</v>
      </c>
      <c r="H483">
        <v>50</v>
      </c>
      <c r="I483">
        <v>43</v>
      </c>
      <c r="J483">
        <v>3</v>
      </c>
      <c r="K483">
        <v>6</v>
      </c>
      <c r="L483">
        <v>0</v>
      </c>
      <c r="M483">
        <v>0</v>
      </c>
      <c r="N483">
        <v>0</v>
      </c>
      <c r="O483">
        <v>0</v>
      </c>
      <c r="P483">
        <v>5</v>
      </c>
      <c r="Q483">
        <v>12</v>
      </c>
      <c r="R483">
        <v>0.14000000000000001</v>
      </c>
      <c r="S483">
        <v>0.26</v>
      </c>
      <c r="T483">
        <v>0.14000000000000001</v>
      </c>
      <c r="U483">
        <v>0.4</v>
      </c>
      <c r="V483">
        <v>0</v>
      </c>
    </row>
    <row r="484" spans="2:22" x14ac:dyDescent="0.3">
      <c r="B484" t="s">
        <v>3336</v>
      </c>
      <c r="C484" t="s">
        <v>1709</v>
      </c>
      <c r="D484" t="s">
        <v>1655</v>
      </c>
      <c r="E484" t="s">
        <v>1655</v>
      </c>
      <c r="F484">
        <v>-26.4</v>
      </c>
      <c r="G484">
        <v>9</v>
      </c>
      <c r="H484">
        <v>2</v>
      </c>
      <c r="I484">
        <v>2</v>
      </c>
      <c r="J484">
        <v>1</v>
      </c>
      <c r="K484">
        <v>0</v>
      </c>
      <c r="L484">
        <v>0</v>
      </c>
      <c r="M484">
        <v>0</v>
      </c>
      <c r="N484">
        <v>0</v>
      </c>
      <c r="O484">
        <v>0</v>
      </c>
      <c r="P484">
        <v>0</v>
      </c>
      <c r="Q484">
        <v>1</v>
      </c>
      <c r="R484">
        <v>0</v>
      </c>
      <c r="S484">
        <v>0</v>
      </c>
      <c r="T484">
        <v>0</v>
      </c>
      <c r="U484">
        <v>0</v>
      </c>
      <c r="V484">
        <v>0</v>
      </c>
    </row>
    <row r="485" spans="2:22" x14ac:dyDescent="0.3">
      <c r="B485" t="s">
        <v>3337</v>
      </c>
      <c r="C485" t="s">
        <v>251</v>
      </c>
      <c r="D485" t="s">
        <v>1529</v>
      </c>
      <c r="E485" t="s">
        <v>1529</v>
      </c>
      <c r="F485">
        <v>-26.5</v>
      </c>
      <c r="G485">
        <v>3</v>
      </c>
      <c r="H485">
        <v>10</v>
      </c>
      <c r="I485">
        <v>10</v>
      </c>
      <c r="J485">
        <v>0</v>
      </c>
      <c r="K485">
        <v>2</v>
      </c>
      <c r="L485">
        <v>0</v>
      </c>
      <c r="M485">
        <v>1</v>
      </c>
      <c r="N485">
        <v>0</v>
      </c>
      <c r="O485">
        <v>0</v>
      </c>
      <c r="P485">
        <v>0</v>
      </c>
      <c r="Q485">
        <v>0</v>
      </c>
      <c r="R485">
        <v>0.2</v>
      </c>
      <c r="S485">
        <v>0.2</v>
      </c>
      <c r="T485">
        <v>0.2</v>
      </c>
      <c r="U485">
        <v>0.4</v>
      </c>
      <c r="V485">
        <v>0</v>
      </c>
    </row>
    <row r="486" spans="2:22" x14ac:dyDescent="0.3">
      <c r="B486" t="s">
        <v>3083</v>
      </c>
      <c r="C486" t="s">
        <v>226</v>
      </c>
      <c r="D486" t="s">
        <v>80</v>
      </c>
      <c r="E486" t="s">
        <v>1667</v>
      </c>
      <c r="F486">
        <v>-26.7</v>
      </c>
      <c r="G486">
        <v>1</v>
      </c>
      <c r="H486">
        <v>1</v>
      </c>
      <c r="I486">
        <v>1</v>
      </c>
      <c r="J486">
        <v>0</v>
      </c>
      <c r="K486">
        <v>0</v>
      </c>
      <c r="L486">
        <v>0</v>
      </c>
      <c r="M486">
        <v>0</v>
      </c>
      <c r="N486">
        <v>0</v>
      </c>
      <c r="O486">
        <v>0</v>
      </c>
      <c r="P486">
        <v>0</v>
      </c>
      <c r="Q486">
        <v>0</v>
      </c>
      <c r="R486">
        <v>0</v>
      </c>
      <c r="S486">
        <v>0</v>
      </c>
      <c r="T486">
        <v>0</v>
      </c>
      <c r="U486">
        <v>0</v>
      </c>
      <c r="V486">
        <v>0</v>
      </c>
    </row>
    <row r="487" spans="2:22" x14ac:dyDescent="0.3">
      <c r="B487" t="s">
        <v>3161</v>
      </c>
      <c r="C487" t="s">
        <v>1524</v>
      </c>
      <c r="D487" t="s">
        <v>79</v>
      </c>
      <c r="E487" t="s">
        <v>79</v>
      </c>
      <c r="F487">
        <v>-26.7</v>
      </c>
      <c r="G487">
        <v>1</v>
      </c>
      <c r="H487">
        <v>2</v>
      </c>
      <c r="I487">
        <v>1</v>
      </c>
      <c r="J487">
        <v>0</v>
      </c>
      <c r="K487">
        <v>0</v>
      </c>
      <c r="L487">
        <v>0</v>
      </c>
      <c r="M487">
        <v>0</v>
      </c>
      <c r="N487">
        <v>0</v>
      </c>
      <c r="O487">
        <v>0</v>
      </c>
      <c r="P487">
        <v>1</v>
      </c>
      <c r="Q487">
        <v>1</v>
      </c>
      <c r="R487">
        <v>0</v>
      </c>
      <c r="S487">
        <v>0.5</v>
      </c>
      <c r="T487">
        <v>0</v>
      </c>
      <c r="U487">
        <v>0.5</v>
      </c>
      <c r="V487">
        <v>0</v>
      </c>
    </row>
    <row r="488" spans="2:22" x14ac:dyDescent="0.3">
      <c r="B488" t="s">
        <v>3071</v>
      </c>
      <c r="C488" t="s">
        <v>226</v>
      </c>
      <c r="D488" t="s">
        <v>1660</v>
      </c>
      <c r="E488" t="s">
        <v>1680</v>
      </c>
      <c r="F488">
        <v>-26.8</v>
      </c>
      <c r="G488">
        <v>4</v>
      </c>
      <c r="H488">
        <v>10</v>
      </c>
      <c r="I488">
        <v>10</v>
      </c>
      <c r="J488">
        <v>0</v>
      </c>
      <c r="K488">
        <v>1</v>
      </c>
      <c r="L488">
        <v>0</v>
      </c>
      <c r="M488">
        <v>0</v>
      </c>
      <c r="N488">
        <v>1</v>
      </c>
      <c r="O488">
        <v>0</v>
      </c>
      <c r="P488">
        <v>0</v>
      </c>
      <c r="Q488">
        <v>3</v>
      </c>
      <c r="R488">
        <v>0.1</v>
      </c>
      <c r="S488">
        <v>0.1</v>
      </c>
      <c r="T488">
        <v>0.1</v>
      </c>
      <c r="U488">
        <v>0.2</v>
      </c>
      <c r="V488">
        <v>0</v>
      </c>
    </row>
    <row r="489" spans="2:22" x14ac:dyDescent="0.3">
      <c r="B489" t="s">
        <v>1601</v>
      </c>
      <c r="C489" t="s">
        <v>1521</v>
      </c>
      <c r="D489" t="s">
        <v>1655</v>
      </c>
      <c r="E489" t="s">
        <v>1655</v>
      </c>
      <c r="F489">
        <v>-26.8</v>
      </c>
      <c r="G489">
        <v>9</v>
      </c>
      <c r="H489">
        <v>27</v>
      </c>
      <c r="I489">
        <v>26</v>
      </c>
      <c r="J489">
        <v>1</v>
      </c>
      <c r="K489">
        <v>5</v>
      </c>
      <c r="L489">
        <v>0</v>
      </c>
      <c r="M489">
        <v>1</v>
      </c>
      <c r="N489">
        <v>0</v>
      </c>
      <c r="O489">
        <v>0</v>
      </c>
      <c r="P489">
        <v>1</v>
      </c>
      <c r="Q489">
        <v>8</v>
      </c>
      <c r="R489">
        <v>0.192</v>
      </c>
      <c r="S489">
        <v>0.222</v>
      </c>
      <c r="T489">
        <v>0.23100000000000001</v>
      </c>
      <c r="U489">
        <v>0.45300000000000001</v>
      </c>
      <c r="V489">
        <v>0</v>
      </c>
    </row>
    <row r="490" spans="2:22" x14ac:dyDescent="0.3">
      <c r="B490" t="s">
        <v>844</v>
      </c>
      <c r="C490" t="s">
        <v>226</v>
      </c>
      <c r="D490" t="s">
        <v>1531</v>
      </c>
      <c r="E490" t="s">
        <v>1531</v>
      </c>
      <c r="F490">
        <v>-26.9</v>
      </c>
      <c r="G490">
        <v>23</v>
      </c>
      <c r="H490">
        <v>74</v>
      </c>
      <c r="I490">
        <v>65</v>
      </c>
      <c r="J490">
        <v>3</v>
      </c>
      <c r="K490">
        <v>6</v>
      </c>
      <c r="L490">
        <v>0</v>
      </c>
      <c r="M490">
        <v>3</v>
      </c>
      <c r="N490">
        <v>2</v>
      </c>
      <c r="O490">
        <v>0</v>
      </c>
      <c r="P490">
        <v>8</v>
      </c>
      <c r="Q490">
        <v>19</v>
      </c>
      <c r="R490">
        <v>9.1999999999999998E-2</v>
      </c>
      <c r="S490">
        <v>0.189</v>
      </c>
      <c r="T490">
        <v>0.108</v>
      </c>
      <c r="U490">
        <v>0.29699999999999999</v>
      </c>
      <c r="V490">
        <v>1</v>
      </c>
    </row>
    <row r="491" spans="2:22" x14ac:dyDescent="0.3">
      <c r="B491" t="s">
        <v>501</v>
      </c>
      <c r="C491" t="s">
        <v>255</v>
      </c>
      <c r="D491" t="s">
        <v>1655</v>
      </c>
      <c r="E491" t="s">
        <v>1655</v>
      </c>
      <c r="F491">
        <v>-26.9</v>
      </c>
      <c r="G491">
        <v>8</v>
      </c>
      <c r="H491">
        <v>22</v>
      </c>
      <c r="I491">
        <v>20</v>
      </c>
      <c r="J491">
        <v>0</v>
      </c>
      <c r="K491">
        <v>4</v>
      </c>
      <c r="L491">
        <v>0</v>
      </c>
      <c r="M491">
        <v>1</v>
      </c>
      <c r="N491">
        <v>0</v>
      </c>
      <c r="O491">
        <v>0</v>
      </c>
      <c r="P491">
        <v>2</v>
      </c>
      <c r="Q491">
        <v>8</v>
      </c>
      <c r="R491">
        <v>0.2</v>
      </c>
      <c r="S491">
        <v>0.27300000000000002</v>
      </c>
      <c r="T491">
        <v>0.3</v>
      </c>
      <c r="U491">
        <v>0.57299999999999995</v>
      </c>
      <c r="V491">
        <v>0</v>
      </c>
    </row>
    <row r="492" spans="2:22" x14ac:dyDescent="0.3">
      <c r="B492" t="s">
        <v>3163</v>
      </c>
      <c r="C492" t="s">
        <v>311</v>
      </c>
      <c r="D492" t="s">
        <v>80</v>
      </c>
      <c r="E492" t="s">
        <v>80</v>
      </c>
      <c r="F492">
        <v>-26.9</v>
      </c>
      <c r="G492">
        <v>10</v>
      </c>
      <c r="H492">
        <v>17</v>
      </c>
      <c r="I492">
        <v>15</v>
      </c>
      <c r="J492">
        <v>2</v>
      </c>
      <c r="K492">
        <v>2</v>
      </c>
      <c r="L492">
        <v>0</v>
      </c>
      <c r="M492">
        <v>0</v>
      </c>
      <c r="N492">
        <v>0</v>
      </c>
      <c r="O492">
        <v>0</v>
      </c>
      <c r="P492">
        <v>2</v>
      </c>
      <c r="Q492">
        <v>6</v>
      </c>
      <c r="R492">
        <v>0.13300000000000001</v>
      </c>
      <c r="S492">
        <v>0.23499999999999999</v>
      </c>
      <c r="T492">
        <v>0.2</v>
      </c>
      <c r="U492">
        <v>0.435</v>
      </c>
      <c r="V492">
        <v>0</v>
      </c>
    </row>
    <row r="493" spans="2:22" x14ac:dyDescent="0.3">
      <c r="B493" t="s">
        <v>715</v>
      </c>
      <c r="C493" t="s">
        <v>235</v>
      </c>
      <c r="D493" t="s">
        <v>1526</v>
      </c>
      <c r="E493" t="s">
        <v>1531</v>
      </c>
      <c r="F493">
        <v>-27.1</v>
      </c>
      <c r="G493">
        <v>10</v>
      </c>
      <c r="H493">
        <v>4</v>
      </c>
      <c r="I493">
        <v>3</v>
      </c>
      <c r="J493">
        <v>0</v>
      </c>
      <c r="K493">
        <v>0</v>
      </c>
      <c r="L493">
        <v>0</v>
      </c>
      <c r="M493">
        <v>0</v>
      </c>
      <c r="N493">
        <v>0</v>
      </c>
      <c r="O493">
        <v>0</v>
      </c>
      <c r="P493">
        <v>1</v>
      </c>
      <c r="Q493">
        <v>0</v>
      </c>
      <c r="R493">
        <v>0</v>
      </c>
      <c r="S493">
        <v>0.25</v>
      </c>
      <c r="T493">
        <v>0</v>
      </c>
      <c r="U493">
        <v>0.25</v>
      </c>
      <c r="V493">
        <v>0</v>
      </c>
    </row>
    <row r="494" spans="2:22" x14ac:dyDescent="0.3">
      <c r="B494" t="s">
        <v>1247</v>
      </c>
      <c r="C494" t="s">
        <v>234</v>
      </c>
      <c r="D494" t="s">
        <v>1655</v>
      </c>
      <c r="E494" t="s">
        <v>1655</v>
      </c>
      <c r="F494">
        <v>-27.2</v>
      </c>
      <c r="G494">
        <v>4</v>
      </c>
      <c r="H494">
        <v>7</v>
      </c>
      <c r="I494">
        <v>6</v>
      </c>
      <c r="J494">
        <v>1</v>
      </c>
      <c r="K494">
        <v>0</v>
      </c>
      <c r="L494">
        <v>0</v>
      </c>
      <c r="M494">
        <v>0</v>
      </c>
      <c r="N494">
        <v>0</v>
      </c>
      <c r="O494">
        <v>0</v>
      </c>
      <c r="P494">
        <v>1</v>
      </c>
      <c r="Q494">
        <v>4</v>
      </c>
      <c r="R494">
        <v>0</v>
      </c>
      <c r="S494">
        <v>0.14299999999999999</v>
      </c>
      <c r="T494">
        <v>0</v>
      </c>
      <c r="U494">
        <v>0.14299999999999999</v>
      </c>
      <c r="V494">
        <v>0</v>
      </c>
    </row>
    <row r="495" spans="2:22" x14ac:dyDescent="0.3">
      <c r="B495" t="s">
        <v>1716</v>
      </c>
      <c r="C495" t="s">
        <v>239</v>
      </c>
      <c r="D495" t="s">
        <v>1683</v>
      </c>
      <c r="E495" t="s">
        <v>1683</v>
      </c>
      <c r="F495">
        <v>-27.3</v>
      </c>
      <c r="G495">
        <v>1</v>
      </c>
      <c r="H495">
        <v>4</v>
      </c>
      <c r="I495">
        <v>4</v>
      </c>
      <c r="J495">
        <v>0</v>
      </c>
      <c r="K495">
        <v>0</v>
      </c>
      <c r="L495">
        <v>0</v>
      </c>
      <c r="M495">
        <v>0</v>
      </c>
      <c r="N495">
        <v>0</v>
      </c>
      <c r="O495">
        <v>0</v>
      </c>
      <c r="P495">
        <v>0</v>
      </c>
      <c r="Q495">
        <v>0</v>
      </c>
      <c r="R495">
        <v>0</v>
      </c>
      <c r="S495">
        <v>0</v>
      </c>
      <c r="T495">
        <v>0</v>
      </c>
      <c r="U495">
        <v>0</v>
      </c>
      <c r="V495">
        <v>2</v>
      </c>
    </row>
    <row r="496" spans="2:22" x14ac:dyDescent="0.3">
      <c r="B496" t="s">
        <v>3255</v>
      </c>
      <c r="C496" t="s">
        <v>250</v>
      </c>
      <c r="D496" t="s">
        <v>1529</v>
      </c>
      <c r="E496" t="s">
        <v>1529</v>
      </c>
      <c r="F496">
        <v>-27.3</v>
      </c>
      <c r="G496">
        <v>2</v>
      </c>
      <c r="H496">
        <v>4</v>
      </c>
      <c r="I496">
        <v>4</v>
      </c>
      <c r="J496">
        <v>0</v>
      </c>
      <c r="K496">
        <v>0</v>
      </c>
      <c r="L496">
        <v>0</v>
      </c>
      <c r="M496">
        <v>0</v>
      </c>
      <c r="N496">
        <v>0</v>
      </c>
      <c r="O496">
        <v>0</v>
      </c>
      <c r="P496">
        <v>0</v>
      </c>
      <c r="Q496">
        <v>1</v>
      </c>
      <c r="R496">
        <v>0</v>
      </c>
      <c r="S496">
        <v>0</v>
      </c>
      <c r="T496">
        <v>0</v>
      </c>
      <c r="U496">
        <v>0</v>
      </c>
      <c r="V496">
        <v>0</v>
      </c>
    </row>
    <row r="497" spans="2:22" x14ac:dyDescent="0.3">
      <c r="B497" t="s">
        <v>3338</v>
      </c>
      <c r="C497" t="s">
        <v>235</v>
      </c>
      <c r="D497" t="s">
        <v>1527</v>
      </c>
      <c r="E497" t="s">
        <v>1527</v>
      </c>
      <c r="F497">
        <v>-27.4</v>
      </c>
      <c r="G497">
        <v>5</v>
      </c>
      <c r="H497">
        <v>17</v>
      </c>
      <c r="I497">
        <v>15</v>
      </c>
      <c r="J497">
        <v>0</v>
      </c>
      <c r="K497">
        <v>2</v>
      </c>
      <c r="L497">
        <v>0</v>
      </c>
      <c r="M497">
        <v>1</v>
      </c>
      <c r="N497">
        <v>0</v>
      </c>
      <c r="O497">
        <v>0</v>
      </c>
      <c r="P497">
        <v>2</v>
      </c>
      <c r="Q497">
        <v>6</v>
      </c>
      <c r="R497">
        <v>0.13300000000000001</v>
      </c>
      <c r="S497">
        <v>0.23499999999999999</v>
      </c>
      <c r="T497">
        <v>0.13300000000000001</v>
      </c>
      <c r="U497">
        <v>0.36799999999999999</v>
      </c>
      <c r="V497">
        <v>34</v>
      </c>
    </row>
    <row r="498" spans="2:22" x14ac:dyDescent="0.3">
      <c r="B498" t="s">
        <v>860</v>
      </c>
      <c r="C498" t="s">
        <v>346</v>
      </c>
      <c r="D498" t="s">
        <v>1529</v>
      </c>
      <c r="E498" t="s">
        <v>1663</v>
      </c>
      <c r="F498">
        <v>-27.4</v>
      </c>
      <c r="G498">
        <v>11</v>
      </c>
      <c r="H498">
        <v>18</v>
      </c>
      <c r="I498">
        <v>18</v>
      </c>
      <c r="J498">
        <v>2</v>
      </c>
      <c r="K498">
        <v>2</v>
      </c>
      <c r="L498">
        <v>0</v>
      </c>
      <c r="M498">
        <v>0</v>
      </c>
      <c r="N498">
        <v>0</v>
      </c>
      <c r="O498">
        <v>0</v>
      </c>
      <c r="P498">
        <v>0</v>
      </c>
      <c r="Q498">
        <v>7</v>
      </c>
      <c r="R498">
        <v>0.111</v>
      </c>
      <c r="S498">
        <v>0.111</v>
      </c>
      <c r="T498">
        <v>0.111</v>
      </c>
      <c r="U498">
        <v>0.222</v>
      </c>
      <c r="V498">
        <v>0</v>
      </c>
    </row>
    <row r="499" spans="2:22" x14ac:dyDescent="0.3">
      <c r="B499" t="s">
        <v>599</v>
      </c>
      <c r="C499" t="s">
        <v>251</v>
      </c>
      <c r="D499" t="s">
        <v>1531</v>
      </c>
      <c r="E499" t="s">
        <v>1531</v>
      </c>
      <c r="F499">
        <v>-27.5</v>
      </c>
      <c r="G499">
        <v>19</v>
      </c>
      <c r="H499">
        <v>54</v>
      </c>
      <c r="I499">
        <v>51</v>
      </c>
      <c r="J499">
        <v>1</v>
      </c>
      <c r="K499">
        <v>5</v>
      </c>
      <c r="L499">
        <v>0</v>
      </c>
      <c r="M499">
        <v>4</v>
      </c>
      <c r="N499">
        <v>0</v>
      </c>
      <c r="O499">
        <v>0</v>
      </c>
      <c r="P499">
        <v>2</v>
      </c>
      <c r="Q499">
        <v>15</v>
      </c>
      <c r="R499">
        <v>9.8000000000000004E-2</v>
      </c>
      <c r="S499">
        <v>0.14799999999999999</v>
      </c>
      <c r="T499">
        <v>0.11799999999999999</v>
      </c>
      <c r="U499">
        <v>0.26600000000000001</v>
      </c>
      <c r="V499">
        <v>0</v>
      </c>
    </row>
    <row r="500" spans="2:22" x14ac:dyDescent="0.3">
      <c r="B500" t="s">
        <v>887</v>
      </c>
      <c r="C500" t="s">
        <v>244</v>
      </c>
      <c r="D500" t="s">
        <v>1655</v>
      </c>
      <c r="E500" t="s">
        <v>1674</v>
      </c>
      <c r="F500">
        <v>-27.5</v>
      </c>
      <c r="G500">
        <v>10</v>
      </c>
      <c r="H500">
        <v>26</v>
      </c>
      <c r="I500">
        <v>23</v>
      </c>
      <c r="J500">
        <v>2</v>
      </c>
      <c r="K500">
        <v>2</v>
      </c>
      <c r="L500">
        <v>0</v>
      </c>
      <c r="M500">
        <v>0</v>
      </c>
      <c r="N500">
        <v>1</v>
      </c>
      <c r="O500">
        <v>0</v>
      </c>
      <c r="P500">
        <v>2</v>
      </c>
      <c r="Q500">
        <v>9</v>
      </c>
      <c r="R500">
        <v>8.6999999999999994E-2</v>
      </c>
      <c r="S500">
        <v>0.192</v>
      </c>
      <c r="T500">
        <v>0.13</v>
      </c>
      <c r="U500">
        <v>0.32200000000000001</v>
      </c>
      <c r="V500">
        <v>0</v>
      </c>
    </row>
    <row r="501" spans="2:22" x14ac:dyDescent="0.3">
      <c r="B501" t="s">
        <v>3065</v>
      </c>
      <c r="C501" t="s">
        <v>239</v>
      </c>
      <c r="D501" t="s">
        <v>1655</v>
      </c>
      <c r="E501" t="s">
        <v>1655</v>
      </c>
      <c r="F501">
        <v>-27.6</v>
      </c>
      <c r="G501">
        <v>10</v>
      </c>
      <c r="H501">
        <v>12</v>
      </c>
      <c r="I501">
        <v>12</v>
      </c>
      <c r="J501">
        <v>1</v>
      </c>
      <c r="K501">
        <v>1</v>
      </c>
      <c r="L501">
        <v>0</v>
      </c>
      <c r="M501">
        <v>0</v>
      </c>
      <c r="N501">
        <v>0</v>
      </c>
      <c r="O501">
        <v>0</v>
      </c>
      <c r="P501">
        <v>0</v>
      </c>
      <c r="Q501">
        <v>5</v>
      </c>
      <c r="R501">
        <v>8.3000000000000004E-2</v>
      </c>
      <c r="S501">
        <v>8.3000000000000004E-2</v>
      </c>
      <c r="T501">
        <v>8.3000000000000004E-2</v>
      </c>
      <c r="U501">
        <v>0.16600000000000001</v>
      </c>
      <c r="V501">
        <v>0</v>
      </c>
    </row>
    <row r="502" spans="2:22" x14ac:dyDescent="0.3">
      <c r="B502" t="s">
        <v>923</v>
      </c>
      <c r="C502" t="s">
        <v>235</v>
      </c>
      <c r="D502" t="s">
        <v>1659</v>
      </c>
      <c r="E502" t="s">
        <v>1659</v>
      </c>
      <c r="F502">
        <v>-27.6</v>
      </c>
      <c r="G502">
        <v>8</v>
      </c>
      <c r="H502">
        <v>16</v>
      </c>
      <c r="I502">
        <v>16</v>
      </c>
      <c r="J502">
        <v>0</v>
      </c>
      <c r="K502">
        <v>2</v>
      </c>
      <c r="L502">
        <v>0</v>
      </c>
      <c r="M502">
        <v>1</v>
      </c>
      <c r="N502">
        <v>0</v>
      </c>
      <c r="O502">
        <v>0</v>
      </c>
      <c r="P502">
        <v>0</v>
      </c>
      <c r="Q502">
        <v>3</v>
      </c>
      <c r="R502">
        <v>0.125</v>
      </c>
      <c r="S502">
        <v>0.125</v>
      </c>
      <c r="T502">
        <v>0.125</v>
      </c>
      <c r="U502">
        <v>0.25</v>
      </c>
      <c r="V502">
        <v>0</v>
      </c>
    </row>
    <row r="503" spans="2:22" x14ac:dyDescent="0.3">
      <c r="B503" t="s">
        <v>3254</v>
      </c>
      <c r="C503" t="s">
        <v>1709</v>
      </c>
      <c r="D503" t="s">
        <v>1655</v>
      </c>
      <c r="E503" t="s">
        <v>1655</v>
      </c>
      <c r="F503">
        <v>-27.7</v>
      </c>
      <c r="G503">
        <v>5</v>
      </c>
      <c r="H503">
        <v>6</v>
      </c>
      <c r="I503">
        <v>6</v>
      </c>
      <c r="J503">
        <v>0</v>
      </c>
      <c r="K503">
        <v>0</v>
      </c>
      <c r="L503">
        <v>0</v>
      </c>
      <c r="M503">
        <v>0</v>
      </c>
      <c r="N503">
        <v>0</v>
      </c>
      <c r="O503">
        <v>1</v>
      </c>
      <c r="P503">
        <v>0</v>
      </c>
      <c r="Q503">
        <v>2</v>
      </c>
      <c r="R503">
        <v>0</v>
      </c>
      <c r="S503">
        <v>0</v>
      </c>
      <c r="T503">
        <v>0</v>
      </c>
      <c r="U503">
        <v>0</v>
      </c>
      <c r="V503">
        <v>0</v>
      </c>
    </row>
    <row r="504" spans="2:22" x14ac:dyDescent="0.3">
      <c r="B504" t="s">
        <v>3164</v>
      </c>
      <c r="C504" t="s">
        <v>1709</v>
      </c>
      <c r="D504" t="s">
        <v>1655</v>
      </c>
      <c r="E504" t="s">
        <v>1655</v>
      </c>
      <c r="F504">
        <v>-27.7</v>
      </c>
      <c r="G504">
        <v>5</v>
      </c>
      <c r="H504">
        <v>12</v>
      </c>
      <c r="I504">
        <v>9</v>
      </c>
      <c r="J504">
        <v>1</v>
      </c>
      <c r="K504">
        <v>0</v>
      </c>
      <c r="L504">
        <v>0</v>
      </c>
      <c r="M504">
        <v>0</v>
      </c>
      <c r="N504">
        <v>0</v>
      </c>
      <c r="O504">
        <v>0</v>
      </c>
      <c r="P504">
        <v>3</v>
      </c>
      <c r="Q504">
        <v>2</v>
      </c>
      <c r="R504">
        <v>0</v>
      </c>
      <c r="S504">
        <v>0.25</v>
      </c>
      <c r="T504">
        <v>0</v>
      </c>
      <c r="U504">
        <v>0.25</v>
      </c>
      <c r="V504">
        <v>0</v>
      </c>
    </row>
    <row r="505" spans="2:22" x14ac:dyDescent="0.3">
      <c r="B505" t="s">
        <v>3167</v>
      </c>
      <c r="C505" t="s">
        <v>224</v>
      </c>
      <c r="D505" t="s">
        <v>80</v>
      </c>
      <c r="E505" t="s">
        <v>80</v>
      </c>
      <c r="F505">
        <v>-27.7</v>
      </c>
      <c r="G505">
        <v>2</v>
      </c>
      <c r="H505">
        <v>6</v>
      </c>
      <c r="I505">
        <v>6</v>
      </c>
      <c r="J505">
        <v>0</v>
      </c>
      <c r="K505">
        <v>0</v>
      </c>
      <c r="L505">
        <v>0</v>
      </c>
      <c r="M505">
        <v>0</v>
      </c>
      <c r="N505">
        <v>0</v>
      </c>
      <c r="O505">
        <v>0</v>
      </c>
      <c r="P505">
        <v>0</v>
      </c>
      <c r="Q505">
        <v>3</v>
      </c>
      <c r="R505">
        <v>0</v>
      </c>
      <c r="S505">
        <v>0</v>
      </c>
      <c r="T505">
        <v>0</v>
      </c>
      <c r="U505">
        <v>0</v>
      </c>
      <c r="V505">
        <v>0</v>
      </c>
    </row>
    <row r="506" spans="2:22" x14ac:dyDescent="0.3">
      <c r="B506" t="s">
        <v>3250</v>
      </c>
      <c r="C506" t="s">
        <v>231</v>
      </c>
      <c r="D506" t="s">
        <v>79</v>
      </c>
      <c r="E506" t="s">
        <v>1659</v>
      </c>
      <c r="F506">
        <v>-27.8</v>
      </c>
      <c r="G506">
        <v>8</v>
      </c>
      <c r="H506">
        <v>18</v>
      </c>
      <c r="I506">
        <v>18</v>
      </c>
      <c r="J506">
        <v>0</v>
      </c>
      <c r="K506">
        <v>3</v>
      </c>
      <c r="L506">
        <v>0</v>
      </c>
      <c r="M506">
        <v>0</v>
      </c>
      <c r="N506">
        <v>0</v>
      </c>
      <c r="O506">
        <v>0</v>
      </c>
      <c r="P506">
        <v>0</v>
      </c>
      <c r="Q506">
        <v>8</v>
      </c>
      <c r="R506">
        <v>0.16700000000000001</v>
      </c>
      <c r="S506">
        <v>0.16700000000000001</v>
      </c>
      <c r="T506">
        <v>0.16700000000000001</v>
      </c>
      <c r="U506">
        <v>0.33400000000000002</v>
      </c>
      <c r="V506">
        <v>0</v>
      </c>
    </row>
    <row r="507" spans="2:22" x14ac:dyDescent="0.3">
      <c r="B507" t="s">
        <v>1743</v>
      </c>
      <c r="C507" t="s">
        <v>243</v>
      </c>
      <c r="D507" t="s">
        <v>79</v>
      </c>
      <c r="E507" t="s">
        <v>79</v>
      </c>
      <c r="F507">
        <v>-27.8</v>
      </c>
      <c r="G507">
        <v>22</v>
      </c>
      <c r="H507">
        <v>69</v>
      </c>
      <c r="I507">
        <v>68</v>
      </c>
      <c r="J507">
        <v>4</v>
      </c>
      <c r="K507">
        <v>9</v>
      </c>
      <c r="L507">
        <v>1</v>
      </c>
      <c r="M507">
        <v>3</v>
      </c>
      <c r="N507">
        <v>0</v>
      </c>
      <c r="O507">
        <v>0</v>
      </c>
      <c r="P507">
        <v>1</v>
      </c>
      <c r="Q507">
        <v>16</v>
      </c>
      <c r="R507">
        <v>0.13200000000000001</v>
      </c>
      <c r="S507">
        <v>0.14499999999999999</v>
      </c>
      <c r="T507">
        <v>0.221</v>
      </c>
      <c r="U507">
        <v>0.36599999999999999</v>
      </c>
      <c r="V507">
        <v>0</v>
      </c>
    </row>
    <row r="508" spans="2:22" x14ac:dyDescent="0.3">
      <c r="B508" t="s">
        <v>1608</v>
      </c>
      <c r="C508" t="s">
        <v>250</v>
      </c>
      <c r="D508" t="s">
        <v>1655</v>
      </c>
      <c r="E508" t="s">
        <v>1655</v>
      </c>
      <c r="F508">
        <v>-28</v>
      </c>
      <c r="G508">
        <v>6</v>
      </c>
      <c r="H508">
        <v>17</v>
      </c>
      <c r="I508">
        <v>14</v>
      </c>
      <c r="J508">
        <v>1</v>
      </c>
      <c r="K508">
        <v>1</v>
      </c>
      <c r="L508">
        <v>0</v>
      </c>
      <c r="M508">
        <v>0</v>
      </c>
      <c r="N508">
        <v>0</v>
      </c>
      <c r="O508">
        <v>0</v>
      </c>
      <c r="P508">
        <v>2</v>
      </c>
      <c r="Q508">
        <v>7</v>
      </c>
      <c r="R508">
        <v>7.0999999999999994E-2</v>
      </c>
      <c r="S508">
        <v>0.23499999999999999</v>
      </c>
      <c r="T508">
        <v>7.0999999999999994E-2</v>
      </c>
      <c r="U508">
        <v>0.30599999999999999</v>
      </c>
      <c r="V508">
        <v>0</v>
      </c>
    </row>
    <row r="509" spans="2:22" x14ac:dyDescent="0.3">
      <c r="B509" t="s">
        <v>913</v>
      </c>
      <c r="C509" t="s">
        <v>346</v>
      </c>
      <c r="D509" t="s">
        <v>1526</v>
      </c>
      <c r="E509" t="s">
        <v>1526</v>
      </c>
      <c r="F509">
        <v>-28.1</v>
      </c>
      <c r="G509">
        <v>24</v>
      </c>
      <c r="H509">
        <v>90</v>
      </c>
      <c r="I509">
        <v>83</v>
      </c>
      <c r="J509">
        <v>2</v>
      </c>
      <c r="K509">
        <v>15</v>
      </c>
      <c r="L509">
        <v>0</v>
      </c>
      <c r="M509">
        <v>4</v>
      </c>
      <c r="N509">
        <v>0</v>
      </c>
      <c r="O509">
        <v>0</v>
      </c>
      <c r="P509">
        <v>7</v>
      </c>
      <c r="Q509">
        <v>19</v>
      </c>
      <c r="R509">
        <v>0.18099999999999999</v>
      </c>
      <c r="S509">
        <v>0.24399999999999999</v>
      </c>
      <c r="T509">
        <v>0.217</v>
      </c>
      <c r="U509">
        <v>0.46100000000000002</v>
      </c>
      <c r="V509">
        <v>0</v>
      </c>
    </row>
    <row r="510" spans="2:22" x14ac:dyDescent="0.3">
      <c r="B510" t="s">
        <v>1602</v>
      </c>
      <c r="C510" t="s">
        <v>250</v>
      </c>
      <c r="D510" t="s">
        <v>80</v>
      </c>
      <c r="E510" t="s">
        <v>1667</v>
      </c>
      <c r="F510">
        <v>-28.5</v>
      </c>
      <c r="G510">
        <v>5</v>
      </c>
      <c r="H510">
        <v>11</v>
      </c>
      <c r="I510">
        <v>10</v>
      </c>
      <c r="J510">
        <v>0</v>
      </c>
      <c r="K510">
        <v>0</v>
      </c>
      <c r="L510">
        <v>0</v>
      </c>
      <c r="M510">
        <v>0</v>
      </c>
      <c r="N510">
        <v>0</v>
      </c>
      <c r="O510">
        <v>0</v>
      </c>
      <c r="P510">
        <v>1</v>
      </c>
      <c r="Q510">
        <v>4</v>
      </c>
      <c r="R510">
        <v>0</v>
      </c>
      <c r="S510">
        <v>9.0999999999999998E-2</v>
      </c>
      <c r="T510">
        <v>0</v>
      </c>
      <c r="U510">
        <v>9.0999999999999998E-2</v>
      </c>
      <c r="V510">
        <v>0</v>
      </c>
    </row>
    <row r="511" spans="2:22" x14ac:dyDescent="0.3">
      <c r="B511" t="s">
        <v>827</v>
      </c>
      <c r="C511" t="s">
        <v>278</v>
      </c>
      <c r="D511" t="s">
        <v>1655</v>
      </c>
      <c r="E511" t="s">
        <v>1655</v>
      </c>
      <c r="F511">
        <v>-30.2</v>
      </c>
      <c r="G511">
        <v>13</v>
      </c>
      <c r="H511">
        <v>33</v>
      </c>
      <c r="I511">
        <v>30</v>
      </c>
      <c r="J511">
        <v>1</v>
      </c>
      <c r="K511">
        <v>2</v>
      </c>
      <c r="L511">
        <v>0</v>
      </c>
      <c r="M511">
        <v>0</v>
      </c>
      <c r="N511">
        <v>0</v>
      </c>
      <c r="O511">
        <v>0</v>
      </c>
      <c r="P511">
        <v>3</v>
      </c>
      <c r="Q511">
        <v>12</v>
      </c>
      <c r="R511">
        <v>6.7000000000000004E-2</v>
      </c>
      <c r="S511">
        <v>0.152</v>
      </c>
      <c r="T511">
        <v>6.7000000000000004E-2</v>
      </c>
      <c r="U511">
        <v>0.219</v>
      </c>
      <c r="V511">
        <v>0</v>
      </c>
    </row>
    <row r="512" spans="2:22" x14ac:dyDescent="0.3">
      <c r="B512" t="s">
        <v>945</v>
      </c>
      <c r="C512" t="s">
        <v>270</v>
      </c>
      <c r="D512" t="s">
        <v>1655</v>
      </c>
      <c r="E512" t="s">
        <v>1655</v>
      </c>
      <c r="F512">
        <v>-30.6</v>
      </c>
      <c r="G512">
        <v>10</v>
      </c>
      <c r="H512">
        <v>26</v>
      </c>
      <c r="I512">
        <v>25</v>
      </c>
      <c r="J512">
        <v>0</v>
      </c>
      <c r="K512">
        <v>1</v>
      </c>
      <c r="L512">
        <v>0</v>
      </c>
      <c r="M512">
        <v>0</v>
      </c>
      <c r="N512">
        <v>0</v>
      </c>
      <c r="O512">
        <v>0</v>
      </c>
      <c r="P512">
        <v>1</v>
      </c>
      <c r="Q512">
        <v>14</v>
      </c>
      <c r="R512">
        <v>0.04</v>
      </c>
      <c r="S512">
        <v>7.6999999999999999E-2</v>
      </c>
      <c r="T512">
        <v>0.04</v>
      </c>
      <c r="U512">
        <v>0.11700000000000001</v>
      </c>
      <c r="V512">
        <v>0</v>
      </c>
    </row>
    <row r="513" spans="2:22" x14ac:dyDescent="0.3">
      <c r="B513" t="s">
        <v>956</v>
      </c>
      <c r="C513" t="s">
        <v>1520</v>
      </c>
      <c r="D513" t="s">
        <v>1655</v>
      </c>
      <c r="E513" t="s">
        <v>1660</v>
      </c>
      <c r="F513">
        <v>-30.7</v>
      </c>
      <c r="G513">
        <v>24</v>
      </c>
      <c r="H513">
        <v>55</v>
      </c>
      <c r="I513">
        <v>52</v>
      </c>
      <c r="J513">
        <v>2</v>
      </c>
      <c r="K513">
        <v>3</v>
      </c>
      <c r="L513">
        <v>0</v>
      </c>
      <c r="M513">
        <v>1</v>
      </c>
      <c r="N513">
        <v>2</v>
      </c>
      <c r="O513">
        <v>0</v>
      </c>
      <c r="P513">
        <v>2</v>
      </c>
      <c r="Q513">
        <v>21</v>
      </c>
      <c r="R513">
        <v>5.8000000000000003E-2</v>
      </c>
      <c r="S513">
        <v>0.109</v>
      </c>
      <c r="T513">
        <v>5.8000000000000003E-2</v>
      </c>
      <c r="U513">
        <v>0.16700000000000001</v>
      </c>
      <c r="V513">
        <v>0</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6404C-BB50-480A-BD0D-57B78DE2D86B}">
  <sheetPr codeName="Sheet15">
    <tabColor rgb="FF37D5D1"/>
  </sheetPr>
  <dimension ref="A1:AB592"/>
  <sheetViews>
    <sheetView topLeftCell="B1" workbookViewId="0">
      <pane ySplit="1" topLeftCell="A323" activePane="bottomLeft" state="frozen"/>
      <selection pane="bottomLeft" activeCell="D336" sqref="D336"/>
    </sheetView>
  </sheetViews>
  <sheetFormatPr defaultRowHeight="14.4" x14ac:dyDescent="0.3"/>
  <cols>
    <col min="1" max="1" width="4.88671875" bestFit="1" customWidth="1"/>
    <col min="2" max="2" width="23" bestFit="1" customWidth="1"/>
    <col min="3" max="3" width="8.5546875" bestFit="1" customWidth="1"/>
    <col min="4" max="4" width="8.21875" bestFit="1" customWidth="1"/>
    <col min="5" max="5" width="5.5546875" bestFit="1" customWidth="1"/>
    <col min="6" max="6" width="5.6640625" bestFit="1" customWidth="1"/>
    <col min="7" max="7" width="5.109375" bestFit="1" customWidth="1"/>
    <col min="8" max="8" width="6" bestFit="1" customWidth="1"/>
    <col min="9" max="9" width="6.109375" bestFit="1" customWidth="1"/>
    <col min="10" max="10" width="5.6640625" bestFit="1" customWidth="1"/>
    <col min="11" max="11" width="4.77734375" bestFit="1" customWidth="1"/>
    <col min="12" max="12" width="6" bestFit="1" customWidth="1"/>
    <col min="13" max="13" width="7.21875" bestFit="1" customWidth="1"/>
    <col min="14" max="14" width="5.5546875" bestFit="1" customWidth="1"/>
    <col min="15" max="15" width="5.109375" bestFit="1" customWidth="1"/>
    <col min="16" max="16" width="6" bestFit="1" customWidth="1"/>
    <col min="17" max="17" width="6.21875" bestFit="1" customWidth="1"/>
    <col min="18" max="18" width="5" bestFit="1" customWidth="1"/>
    <col min="19" max="19" width="6.109375" bestFit="1" customWidth="1"/>
    <col min="20" max="20" width="7.21875" bestFit="1" customWidth="1"/>
    <col min="21" max="21" width="6.44140625" bestFit="1" customWidth="1"/>
    <col min="22" max="22" width="8.5546875" bestFit="1" customWidth="1"/>
    <col min="23" max="23" width="9" bestFit="1" customWidth="1"/>
    <col min="24" max="24" width="11.44140625" bestFit="1" customWidth="1"/>
    <col min="25" max="27" width="9.21875" customWidth="1"/>
  </cols>
  <sheetData>
    <row r="1" spans="1:28" x14ac:dyDescent="0.3">
      <c r="A1" s="150" t="s">
        <v>213</v>
      </c>
      <c r="B1" s="150" t="s">
        <v>214</v>
      </c>
      <c r="C1" s="150" t="s">
        <v>32</v>
      </c>
      <c r="D1" s="150" t="s">
        <v>1611</v>
      </c>
      <c r="E1" s="150" t="s">
        <v>1612</v>
      </c>
      <c r="F1" s="150" t="s">
        <v>1613</v>
      </c>
      <c r="G1" s="150" t="s">
        <v>1546</v>
      </c>
      <c r="H1" s="150" t="s">
        <v>1614</v>
      </c>
      <c r="I1" s="150" t="s">
        <v>1615</v>
      </c>
      <c r="J1" s="150" t="s">
        <v>110</v>
      </c>
      <c r="K1" s="150" t="s">
        <v>111</v>
      </c>
      <c r="L1" s="150" t="s">
        <v>1616</v>
      </c>
      <c r="M1" s="150" t="s">
        <v>1617</v>
      </c>
      <c r="N1" s="150" t="s">
        <v>216</v>
      </c>
      <c r="O1" s="150" t="s">
        <v>78</v>
      </c>
      <c r="P1" s="150" t="s">
        <v>1618</v>
      </c>
      <c r="Q1" s="150" t="s">
        <v>81</v>
      </c>
      <c r="R1" s="150" t="s">
        <v>1619</v>
      </c>
      <c r="S1" s="150" t="s">
        <v>83</v>
      </c>
      <c r="T1" s="150" t="s">
        <v>998</v>
      </c>
      <c r="U1" s="150" t="s">
        <v>989</v>
      </c>
      <c r="V1" s="150" t="s">
        <v>1620</v>
      </c>
      <c r="W1" s="150" t="s">
        <v>1621</v>
      </c>
      <c r="X1" s="170" t="s">
        <v>1622</v>
      </c>
      <c r="Y1" s="170" t="s">
        <v>1654</v>
      </c>
      <c r="Z1" s="170" t="s">
        <v>1726</v>
      </c>
      <c r="AA1" s="150" t="s">
        <v>1727</v>
      </c>
      <c r="AB1" s="170" t="s">
        <v>1749</v>
      </c>
    </row>
    <row r="2" spans="1:28" x14ac:dyDescent="0.3">
      <c r="B2" t="s">
        <v>157</v>
      </c>
      <c r="C2" t="s">
        <v>1522</v>
      </c>
      <c r="D2" t="s">
        <v>1623</v>
      </c>
      <c r="E2" t="s">
        <v>1623</v>
      </c>
      <c r="F2">
        <v>34.1</v>
      </c>
      <c r="G2">
        <v>11</v>
      </c>
      <c r="H2">
        <v>11</v>
      </c>
      <c r="I2">
        <v>8</v>
      </c>
      <c r="J2">
        <v>8</v>
      </c>
      <c r="K2">
        <v>0</v>
      </c>
      <c r="L2">
        <v>0</v>
      </c>
      <c r="M2">
        <v>0</v>
      </c>
      <c r="N2">
        <v>64</v>
      </c>
      <c r="O2">
        <v>47</v>
      </c>
      <c r="P2">
        <v>14</v>
      </c>
      <c r="Q2">
        <v>6</v>
      </c>
      <c r="R2">
        <v>75</v>
      </c>
      <c r="S2">
        <v>25</v>
      </c>
      <c r="T2">
        <v>1.97</v>
      </c>
      <c r="U2">
        <v>3.32</v>
      </c>
      <c r="V2">
        <v>1.1299999999999999</v>
      </c>
      <c r="W2">
        <v>0.27</v>
      </c>
      <c r="X2">
        <v>100</v>
      </c>
      <c r="Y2">
        <f>IFERROR(R18/S18,"STELLAR")</f>
        <v>3.1428571428571428</v>
      </c>
      <c r="Z2">
        <f>IFERROR(R18/H18,"STELLAR")</f>
        <v>6.6</v>
      </c>
      <c r="AA2" s="176">
        <f>IFERROR(J18/H18,"Didn't Start")</f>
        <v>0.4</v>
      </c>
      <c r="AB2" s="192">
        <f>R2/N2</f>
        <v>1.171875</v>
      </c>
    </row>
    <row r="3" spans="1:28" x14ac:dyDescent="0.3">
      <c r="B3" t="s">
        <v>582</v>
      </c>
      <c r="C3" t="s">
        <v>274</v>
      </c>
      <c r="D3" t="s">
        <v>1623</v>
      </c>
      <c r="E3" t="s">
        <v>1623</v>
      </c>
      <c r="F3">
        <v>33.4</v>
      </c>
      <c r="G3">
        <v>10</v>
      </c>
      <c r="H3">
        <v>10</v>
      </c>
      <c r="I3">
        <v>8</v>
      </c>
      <c r="J3">
        <v>7</v>
      </c>
      <c r="K3">
        <v>1</v>
      </c>
      <c r="L3">
        <v>0</v>
      </c>
      <c r="M3">
        <v>0</v>
      </c>
      <c r="N3">
        <v>61</v>
      </c>
      <c r="O3">
        <v>48</v>
      </c>
      <c r="P3">
        <v>15</v>
      </c>
      <c r="Q3">
        <v>4</v>
      </c>
      <c r="R3">
        <v>70</v>
      </c>
      <c r="S3">
        <v>10</v>
      </c>
      <c r="T3">
        <v>2.21</v>
      </c>
      <c r="U3">
        <v>2.38</v>
      </c>
      <c r="V3">
        <v>0.95</v>
      </c>
      <c r="W3">
        <v>0.28399999999999997</v>
      </c>
      <c r="X3">
        <v>100</v>
      </c>
      <c r="Y3">
        <f>IFERROR(R3/S3,"STELLAR")</f>
        <v>7</v>
      </c>
      <c r="Z3">
        <f>IFERROR(R3/H3,"STELLAR")</f>
        <v>7</v>
      </c>
      <c r="AA3" s="176">
        <f>IFERROR(J3/H3,"Didn't Start")</f>
        <v>0.7</v>
      </c>
      <c r="AB3" s="192">
        <f t="shared" ref="AB3:AB66" si="0">R3/N3</f>
        <v>1.1475409836065573</v>
      </c>
    </row>
    <row r="4" spans="1:28" x14ac:dyDescent="0.3">
      <c r="B4" t="s">
        <v>150</v>
      </c>
      <c r="C4" t="s">
        <v>264</v>
      </c>
      <c r="D4" t="s">
        <v>1623</v>
      </c>
      <c r="E4" t="s">
        <v>1623</v>
      </c>
      <c r="F4">
        <v>28.3</v>
      </c>
      <c r="G4">
        <v>10</v>
      </c>
      <c r="H4">
        <v>10</v>
      </c>
      <c r="I4">
        <v>7</v>
      </c>
      <c r="J4">
        <v>6</v>
      </c>
      <c r="K4">
        <v>2</v>
      </c>
      <c r="L4">
        <v>0</v>
      </c>
      <c r="M4">
        <v>0</v>
      </c>
      <c r="N4">
        <v>69.3</v>
      </c>
      <c r="O4">
        <v>56</v>
      </c>
      <c r="P4">
        <v>20</v>
      </c>
      <c r="Q4">
        <v>3</v>
      </c>
      <c r="R4">
        <v>66</v>
      </c>
      <c r="S4">
        <v>11</v>
      </c>
      <c r="T4">
        <v>2.6</v>
      </c>
      <c r="U4">
        <v>2.46</v>
      </c>
      <c r="V4">
        <v>0.97</v>
      </c>
      <c r="W4">
        <v>0.28799999999999998</v>
      </c>
      <c r="X4">
        <v>100</v>
      </c>
      <c r="Y4">
        <f>IFERROR(R4/S4,"STELLAR")</f>
        <v>6</v>
      </c>
      <c r="Z4">
        <f>IFERROR(R4/H4,"STELLAR")</f>
        <v>6.6</v>
      </c>
      <c r="AA4" s="176">
        <f>IFERROR(J4/H4,"Didn't Start")</f>
        <v>0.6</v>
      </c>
      <c r="AB4" s="192">
        <f t="shared" si="0"/>
        <v>0.95238095238095244</v>
      </c>
    </row>
    <row r="5" spans="1:28" x14ac:dyDescent="0.3">
      <c r="B5" t="s">
        <v>174</v>
      </c>
      <c r="C5" t="s">
        <v>231</v>
      </c>
      <c r="D5" t="s">
        <v>1623</v>
      </c>
      <c r="E5" t="s">
        <v>1623</v>
      </c>
      <c r="F5">
        <v>27.3</v>
      </c>
      <c r="G5">
        <v>10</v>
      </c>
      <c r="H5">
        <v>10</v>
      </c>
      <c r="I5">
        <v>8</v>
      </c>
      <c r="J5">
        <v>5</v>
      </c>
      <c r="K5">
        <v>1</v>
      </c>
      <c r="L5">
        <v>0</v>
      </c>
      <c r="M5">
        <v>0</v>
      </c>
      <c r="N5">
        <v>62.7</v>
      </c>
      <c r="O5">
        <v>48</v>
      </c>
      <c r="P5">
        <v>17</v>
      </c>
      <c r="Q5">
        <v>5</v>
      </c>
      <c r="R5">
        <v>77</v>
      </c>
      <c r="S5">
        <v>14</v>
      </c>
      <c r="T5">
        <v>2.44</v>
      </c>
      <c r="U5">
        <v>2.67</v>
      </c>
      <c r="V5">
        <v>0.99</v>
      </c>
      <c r="W5">
        <v>0.28299999999999997</v>
      </c>
      <c r="X5">
        <v>100</v>
      </c>
      <c r="Y5">
        <f>IFERROR(R5/S5,"STELLAR")</f>
        <v>5.5</v>
      </c>
      <c r="Z5">
        <f>IFERROR(R5/H5,"STELLAR")</f>
        <v>7.7</v>
      </c>
      <c r="AA5" s="176">
        <f>IFERROR(J5/H5,"Didn't Start")</f>
        <v>0.5</v>
      </c>
      <c r="AB5" s="192">
        <f t="shared" si="0"/>
        <v>1.2280701754385965</v>
      </c>
    </row>
    <row r="6" spans="1:28" x14ac:dyDescent="0.3">
      <c r="B6" t="s">
        <v>156</v>
      </c>
      <c r="C6" t="s">
        <v>235</v>
      </c>
      <c r="D6" t="s">
        <v>1623</v>
      </c>
      <c r="E6" t="s">
        <v>1623</v>
      </c>
      <c r="F6">
        <v>27.3</v>
      </c>
      <c r="G6">
        <v>10</v>
      </c>
      <c r="H6">
        <v>10</v>
      </c>
      <c r="I6">
        <v>6</v>
      </c>
      <c r="J6">
        <v>5</v>
      </c>
      <c r="K6">
        <v>1</v>
      </c>
      <c r="L6">
        <v>0</v>
      </c>
      <c r="M6">
        <v>0</v>
      </c>
      <c r="N6">
        <v>59</v>
      </c>
      <c r="O6">
        <v>28</v>
      </c>
      <c r="P6">
        <v>20</v>
      </c>
      <c r="Q6">
        <v>8</v>
      </c>
      <c r="R6">
        <v>80</v>
      </c>
      <c r="S6">
        <v>25</v>
      </c>
      <c r="T6">
        <v>3.05</v>
      </c>
      <c r="U6">
        <v>4.01</v>
      </c>
      <c r="V6">
        <v>0.9</v>
      </c>
      <c r="W6">
        <v>0.18</v>
      </c>
      <c r="X6">
        <v>100</v>
      </c>
      <c r="Y6">
        <f>IFERROR(R22/S22,"STELLAR")</f>
        <v>9.3333333333333339</v>
      </c>
      <c r="Z6">
        <f>IFERROR(R22/H22,"STELLAR")</f>
        <v>5.6</v>
      </c>
      <c r="AA6" s="176">
        <f>IFERROR(J22/H22,"Didn't Start")</f>
        <v>0.6</v>
      </c>
      <c r="AB6" s="192">
        <f t="shared" si="0"/>
        <v>1.3559322033898304</v>
      </c>
    </row>
    <row r="7" spans="1:28" x14ac:dyDescent="0.3">
      <c r="B7" t="s">
        <v>190</v>
      </c>
      <c r="C7" t="s">
        <v>286</v>
      </c>
      <c r="D7" t="s">
        <v>1623</v>
      </c>
      <c r="E7" t="s">
        <v>1623</v>
      </c>
      <c r="F7">
        <v>26.7</v>
      </c>
      <c r="G7">
        <v>11</v>
      </c>
      <c r="H7">
        <v>11</v>
      </c>
      <c r="I7">
        <v>6</v>
      </c>
      <c r="J7">
        <v>6</v>
      </c>
      <c r="K7">
        <v>2</v>
      </c>
      <c r="L7">
        <v>0</v>
      </c>
      <c r="M7">
        <v>0</v>
      </c>
      <c r="N7">
        <v>66.7</v>
      </c>
      <c r="O7">
        <v>54</v>
      </c>
      <c r="P7">
        <v>22</v>
      </c>
      <c r="Q7">
        <v>2</v>
      </c>
      <c r="R7">
        <v>75</v>
      </c>
      <c r="S7">
        <v>14</v>
      </c>
      <c r="T7">
        <v>2.97</v>
      </c>
      <c r="U7">
        <v>2.09</v>
      </c>
      <c r="V7">
        <v>1.02</v>
      </c>
      <c r="W7">
        <v>0.30099999999999999</v>
      </c>
      <c r="X7">
        <v>100</v>
      </c>
      <c r="Y7">
        <f>IFERROR(R23/S23,"STELLAR")</f>
        <v>3.4</v>
      </c>
      <c r="Z7" t="str">
        <f>IFERROR(R23/H23,"STELLAR")</f>
        <v>STELLAR</v>
      </c>
      <c r="AA7" s="176" t="str">
        <f>IFERROR(J23/H23,"Didn't Start")</f>
        <v>Didn't Start</v>
      </c>
      <c r="AB7" s="192">
        <f t="shared" si="0"/>
        <v>1.1244377811094453</v>
      </c>
    </row>
    <row r="8" spans="1:28" x14ac:dyDescent="0.3">
      <c r="B8" t="s">
        <v>1626</v>
      </c>
      <c r="C8" t="s">
        <v>278</v>
      </c>
      <c r="D8" t="s">
        <v>1624</v>
      </c>
      <c r="E8" t="s">
        <v>1624</v>
      </c>
      <c r="F8">
        <v>26.3</v>
      </c>
      <c r="G8">
        <v>24</v>
      </c>
      <c r="H8">
        <v>0</v>
      </c>
      <c r="I8">
        <v>0</v>
      </c>
      <c r="J8">
        <v>3</v>
      </c>
      <c r="K8">
        <v>1</v>
      </c>
      <c r="L8">
        <v>12</v>
      </c>
      <c r="M8">
        <v>0</v>
      </c>
      <c r="N8">
        <v>25</v>
      </c>
      <c r="O8">
        <v>14</v>
      </c>
      <c r="P8">
        <v>4</v>
      </c>
      <c r="Q8">
        <v>2</v>
      </c>
      <c r="R8">
        <v>50</v>
      </c>
      <c r="S8">
        <v>17</v>
      </c>
      <c r="T8">
        <v>1.44</v>
      </c>
      <c r="U8">
        <v>2.36</v>
      </c>
      <c r="V8">
        <v>1.24</v>
      </c>
      <c r="W8">
        <v>0.308</v>
      </c>
      <c r="X8">
        <v>100</v>
      </c>
      <c r="Y8">
        <f>IFERROR(R24/S24,"STELLAR")</f>
        <v>2.8</v>
      </c>
      <c r="Z8" t="str">
        <f>IFERROR(R24/H24,"STELLAR")</f>
        <v>STELLAR</v>
      </c>
      <c r="AA8" s="176" t="str">
        <f>IFERROR(J24/H24,"Didn't Start")</f>
        <v>Didn't Start</v>
      </c>
      <c r="AB8" s="192">
        <f t="shared" si="0"/>
        <v>2</v>
      </c>
    </row>
    <row r="9" spans="1:28" x14ac:dyDescent="0.3">
      <c r="B9" t="s">
        <v>140</v>
      </c>
      <c r="C9" t="s">
        <v>248</v>
      </c>
      <c r="D9" t="s">
        <v>1623</v>
      </c>
      <c r="E9" t="s">
        <v>1623</v>
      </c>
      <c r="F9">
        <v>25.2</v>
      </c>
      <c r="G9">
        <v>10</v>
      </c>
      <c r="H9">
        <v>10</v>
      </c>
      <c r="I9">
        <v>8</v>
      </c>
      <c r="J9">
        <v>6</v>
      </c>
      <c r="K9">
        <v>1</v>
      </c>
      <c r="L9">
        <v>0</v>
      </c>
      <c r="M9">
        <v>0</v>
      </c>
      <c r="N9">
        <v>61.3</v>
      </c>
      <c r="O9">
        <v>46</v>
      </c>
      <c r="P9">
        <v>15</v>
      </c>
      <c r="Q9">
        <v>2</v>
      </c>
      <c r="R9">
        <v>53</v>
      </c>
      <c r="S9">
        <v>16</v>
      </c>
      <c r="T9">
        <v>2.2000000000000002</v>
      </c>
      <c r="U9">
        <v>2.95</v>
      </c>
      <c r="V9">
        <v>1.01</v>
      </c>
      <c r="W9">
        <v>0.27200000000000002</v>
      </c>
      <c r="X9">
        <v>100</v>
      </c>
      <c r="Y9">
        <f>IFERROR(R9/S9,"STELLAR")</f>
        <v>3.3125</v>
      </c>
      <c r="Z9">
        <f>IFERROR(R9/H9,"STELLAR")</f>
        <v>5.3</v>
      </c>
      <c r="AA9" s="176">
        <f>IFERROR(J9/H9,"Didn't Start")</f>
        <v>0.6</v>
      </c>
      <c r="AB9" s="192">
        <f t="shared" si="0"/>
        <v>0.86460032626427408</v>
      </c>
    </row>
    <row r="10" spans="1:28" x14ac:dyDescent="0.3">
      <c r="B10" t="s">
        <v>163</v>
      </c>
      <c r="C10" t="s">
        <v>250</v>
      </c>
      <c r="D10" t="s">
        <v>1623</v>
      </c>
      <c r="E10" t="s">
        <v>1623</v>
      </c>
      <c r="F10">
        <v>24.9</v>
      </c>
      <c r="G10">
        <v>10</v>
      </c>
      <c r="H10">
        <v>10</v>
      </c>
      <c r="I10">
        <v>5</v>
      </c>
      <c r="J10">
        <v>4</v>
      </c>
      <c r="K10">
        <v>2</v>
      </c>
      <c r="L10">
        <v>0</v>
      </c>
      <c r="M10">
        <v>0</v>
      </c>
      <c r="N10">
        <v>57.7</v>
      </c>
      <c r="O10">
        <v>39</v>
      </c>
      <c r="P10">
        <v>19</v>
      </c>
      <c r="Q10">
        <v>5</v>
      </c>
      <c r="R10">
        <v>97</v>
      </c>
      <c r="S10">
        <v>21</v>
      </c>
      <c r="T10">
        <v>2.97</v>
      </c>
      <c r="U10">
        <v>2.29</v>
      </c>
      <c r="V10">
        <v>1.04</v>
      </c>
      <c r="W10">
        <v>0.312</v>
      </c>
      <c r="X10">
        <v>100</v>
      </c>
      <c r="Y10">
        <f>IFERROR(R10/S10,"STELLAR")</f>
        <v>4.6190476190476186</v>
      </c>
      <c r="Z10">
        <f>IFERROR(R10/H10,"STELLAR")</f>
        <v>9.6999999999999993</v>
      </c>
      <c r="AA10" s="176">
        <f>IFERROR(J10/H10,"Didn't Start")</f>
        <v>0.4</v>
      </c>
      <c r="AB10" s="192">
        <f t="shared" si="0"/>
        <v>1.6811091854419411</v>
      </c>
    </row>
    <row r="11" spans="1:28" x14ac:dyDescent="0.3">
      <c r="B11" t="s">
        <v>350</v>
      </c>
      <c r="C11" t="s">
        <v>226</v>
      </c>
      <c r="D11" t="s">
        <v>1623</v>
      </c>
      <c r="E11" t="s">
        <v>1623</v>
      </c>
      <c r="F11">
        <v>22.8</v>
      </c>
      <c r="G11">
        <v>10</v>
      </c>
      <c r="H11">
        <v>10</v>
      </c>
      <c r="I11">
        <v>6</v>
      </c>
      <c r="J11">
        <v>6</v>
      </c>
      <c r="K11">
        <v>4</v>
      </c>
      <c r="L11">
        <v>0</v>
      </c>
      <c r="M11">
        <v>0</v>
      </c>
      <c r="N11">
        <v>57.3</v>
      </c>
      <c r="O11">
        <v>49</v>
      </c>
      <c r="P11">
        <v>19</v>
      </c>
      <c r="Q11">
        <v>7</v>
      </c>
      <c r="R11">
        <v>69</v>
      </c>
      <c r="S11">
        <v>14</v>
      </c>
      <c r="T11">
        <v>2.98</v>
      </c>
      <c r="U11">
        <v>3.3</v>
      </c>
      <c r="V11">
        <v>1.1000000000000001</v>
      </c>
      <c r="W11">
        <v>0.29599999999999999</v>
      </c>
      <c r="X11">
        <v>100</v>
      </c>
      <c r="Y11">
        <f>IFERROR(R11/S11,"STELLAR")</f>
        <v>4.9285714285714288</v>
      </c>
      <c r="Z11">
        <f>IFERROR(R11/H11,"STELLAR")</f>
        <v>6.9</v>
      </c>
      <c r="AA11" s="176">
        <f>IFERROR(J11/H11,"Didn't Start")</f>
        <v>0.6</v>
      </c>
      <c r="AB11" s="192">
        <f t="shared" si="0"/>
        <v>1.2041884816753927</v>
      </c>
    </row>
    <row r="12" spans="1:28" x14ac:dyDescent="0.3">
      <c r="B12" t="s">
        <v>146</v>
      </c>
      <c r="C12" t="s">
        <v>224</v>
      </c>
      <c r="D12" t="s">
        <v>1623</v>
      </c>
      <c r="E12" t="s">
        <v>1623</v>
      </c>
      <c r="F12">
        <v>22.5</v>
      </c>
      <c r="G12">
        <v>10</v>
      </c>
      <c r="H12">
        <v>10</v>
      </c>
      <c r="I12">
        <v>8</v>
      </c>
      <c r="J12">
        <v>4</v>
      </c>
      <c r="K12">
        <v>4</v>
      </c>
      <c r="L12">
        <v>0</v>
      </c>
      <c r="M12">
        <v>0</v>
      </c>
      <c r="N12">
        <v>66</v>
      </c>
      <c r="O12">
        <v>56</v>
      </c>
      <c r="P12">
        <v>18</v>
      </c>
      <c r="Q12">
        <v>6</v>
      </c>
      <c r="R12">
        <v>72</v>
      </c>
      <c r="S12">
        <v>12</v>
      </c>
      <c r="T12">
        <v>2.4500000000000002</v>
      </c>
      <c r="U12">
        <v>2.91</v>
      </c>
      <c r="V12">
        <v>1.03</v>
      </c>
      <c r="W12">
        <v>0.29799999999999999</v>
      </c>
      <c r="X12">
        <v>100</v>
      </c>
      <c r="Y12">
        <f>IFERROR(R12/S12,"STELLAR")</f>
        <v>6</v>
      </c>
      <c r="Z12">
        <f>IFERROR(R12/H12,"STELLAR")</f>
        <v>7.2</v>
      </c>
      <c r="AA12" s="176">
        <f>IFERROR(J12/H12,"Didn't Start")</f>
        <v>0.4</v>
      </c>
      <c r="AB12" s="192">
        <f t="shared" si="0"/>
        <v>1.0909090909090908</v>
      </c>
    </row>
    <row r="13" spans="1:28" x14ac:dyDescent="0.3">
      <c r="B13" t="s">
        <v>203</v>
      </c>
      <c r="C13" t="s">
        <v>346</v>
      </c>
      <c r="D13" t="s">
        <v>1623</v>
      </c>
      <c r="E13" t="s">
        <v>1623</v>
      </c>
      <c r="F13">
        <v>22.4</v>
      </c>
      <c r="G13">
        <v>10</v>
      </c>
      <c r="H13">
        <v>10</v>
      </c>
      <c r="I13">
        <v>5</v>
      </c>
      <c r="J13">
        <v>4</v>
      </c>
      <c r="K13">
        <v>4</v>
      </c>
      <c r="L13">
        <v>0</v>
      </c>
      <c r="M13">
        <v>0</v>
      </c>
      <c r="N13">
        <v>61.7</v>
      </c>
      <c r="O13">
        <v>46</v>
      </c>
      <c r="P13">
        <v>15</v>
      </c>
      <c r="Q13">
        <v>5</v>
      </c>
      <c r="R13">
        <v>61</v>
      </c>
      <c r="S13">
        <v>14</v>
      </c>
      <c r="T13">
        <v>2.19</v>
      </c>
      <c r="U13">
        <v>3.03</v>
      </c>
      <c r="V13">
        <v>0.97</v>
      </c>
      <c r="W13">
        <v>0.25900000000000001</v>
      </c>
      <c r="X13">
        <v>100</v>
      </c>
      <c r="Y13">
        <f>IFERROR(R29/S29,"STELLAR")</f>
        <v>3.5</v>
      </c>
      <c r="Z13" t="str">
        <f>IFERROR(R29/H29,"STELLAR")</f>
        <v>STELLAR</v>
      </c>
      <c r="AA13" s="176" t="str">
        <f>IFERROR(J29/H29,"Didn't Start")</f>
        <v>Didn't Start</v>
      </c>
      <c r="AB13" s="192">
        <f t="shared" si="0"/>
        <v>0.98865478119935168</v>
      </c>
    </row>
    <row r="14" spans="1:28" x14ac:dyDescent="0.3">
      <c r="B14" t="s">
        <v>145</v>
      </c>
      <c r="C14" t="s">
        <v>224</v>
      </c>
      <c r="D14" t="s">
        <v>1623</v>
      </c>
      <c r="E14" t="s">
        <v>1623</v>
      </c>
      <c r="F14">
        <v>22.2</v>
      </c>
      <c r="G14">
        <v>10</v>
      </c>
      <c r="H14">
        <v>10</v>
      </c>
      <c r="I14">
        <v>6</v>
      </c>
      <c r="J14">
        <v>5</v>
      </c>
      <c r="K14">
        <v>1</v>
      </c>
      <c r="L14">
        <v>0</v>
      </c>
      <c r="M14">
        <v>0</v>
      </c>
      <c r="N14">
        <v>58.7</v>
      </c>
      <c r="O14">
        <v>43</v>
      </c>
      <c r="P14">
        <v>20</v>
      </c>
      <c r="Q14">
        <v>8</v>
      </c>
      <c r="R14">
        <v>64</v>
      </c>
      <c r="S14">
        <v>13</v>
      </c>
      <c r="T14">
        <v>3.07</v>
      </c>
      <c r="U14">
        <v>3.58</v>
      </c>
      <c r="V14">
        <v>0.95</v>
      </c>
      <c r="W14">
        <v>0.246</v>
      </c>
      <c r="X14">
        <v>100</v>
      </c>
      <c r="Y14">
        <f>IFERROR(R30/S30,"STELLAR")</f>
        <v>2.347826086956522</v>
      </c>
      <c r="Z14">
        <f>IFERROR(R30/H30,"STELLAR")</f>
        <v>4.9090909090909092</v>
      </c>
      <c r="AA14" s="176">
        <f>IFERROR(J30/H30,"Didn't Start")</f>
        <v>0.36363636363636365</v>
      </c>
      <c r="AB14" s="192">
        <f t="shared" si="0"/>
        <v>1.090289608177172</v>
      </c>
    </row>
    <row r="15" spans="1:28" x14ac:dyDescent="0.3">
      <c r="B15" t="s">
        <v>142</v>
      </c>
      <c r="C15" t="s">
        <v>222</v>
      </c>
      <c r="D15" t="s">
        <v>1623</v>
      </c>
      <c r="E15" t="s">
        <v>1623</v>
      </c>
      <c r="F15">
        <v>21.6</v>
      </c>
      <c r="G15">
        <v>11</v>
      </c>
      <c r="H15">
        <v>11</v>
      </c>
      <c r="I15">
        <v>7</v>
      </c>
      <c r="J15">
        <v>5</v>
      </c>
      <c r="K15">
        <v>0</v>
      </c>
      <c r="L15">
        <v>0</v>
      </c>
      <c r="M15">
        <v>0</v>
      </c>
      <c r="N15">
        <v>67.7</v>
      </c>
      <c r="O15">
        <v>54</v>
      </c>
      <c r="P15">
        <v>19</v>
      </c>
      <c r="Q15">
        <v>6</v>
      </c>
      <c r="R15">
        <v>70</v>
      </c>
      <c r="S15">
        <v>23</v>
      </c>
      <c r="T15">
        <v>2.5299999999999998</v>
      </c>
      <c r="U15">
        <v>3.47</v>
      </c>
      <c r="V15">
        <v>1.1399999999999999</v>
      </c>
      <c r="W15">
        <v>0.27700000000000002</v>
      </c>
      <c r="X15">
        <v>100</v>
      </c>
      <c r="Y15">
        <f>IFERROR(R31/S31,"STELLAR")</f>
        <v>3</v>
      </c>
      <c r="Z15" t="str">
        <f>IFERROR(R31/H31,"STELLAR")</f>
        <v>STELLAR</v>
      </c>
      <c r="AA15" s="176" t="str">
        <f>IFERROR(J31/H31,"Didn't Start")</f>
        <v>Didn't Start</v>
      </c>
      <c r="AB15" s="192">
        <f t="shared" si="0"/>
        <v>1.0339734121122599</v>
      </c>
    </row>
    <row r="16" spans="1:28" x14ac:dyDescent="0.3">
      <c r="B16" t="s">
        <v>774</v>
      </c>
      <c r="C16" t="s">
        <v>248</v>
      </c>
      <c r="D16" t="s">
        <v>1623</v>
      </c>
      <c r="E16" t="s">
        <v>1623</v>
      </c>
      <c r="F16">
        <v>19.5</v>
      </c>
      <c r="G16">
        <v>10</v>
      </c>
      <c r="H16">
        <v>10</v>
      </c>
      <c r="I16">
        <v>4</v>
      </c>
      <c r="J16">
        <v>5</v>
      </c>
      <c r="K16">
        <v>1</v>
      </c>
      <c r="L16">
        <v>0</v>
      </c>
      <c r="M16">
        <v>0</v>
      </c>
      <c r="N16">
        <v>55.3</v>
      </c>
      <c r="O16">
        <v>41</v>
      </c>
      <c r="P16">
        <v>18</v>
      </c>
      <c r="Q16">
        <v>6</v>
      </c>
      <c r="R16">
        <v>51</v>
      </c>
      <c r="S16">
        <v>12</v>
      </c>
      <c r="T16">
        <v>2.93</v>
      </c>
      <c r="U16">
        <v>3.6</v>
      </c>
      <c r="V16">
        <v>0.96</v>
      </c>
      <c r="W16">
        <v>0.23799999999999999</v>
      </c>
      <c r="X16">
        <v>100</v>
      </c>
      <c r="Y16">
        <f>IFERROR(R16/S16,"STELLAR")</f>
        <v>4.25</v>
      </c>
      <c r="Z16">
        <f>IFERROR(R16/H16,"STELLAR")</f>
        <v>5.0999999999999996</v>
      </c>
      <c r="AA16" s="176">
        <f>IFERROR(J16/H16,"Didn't Start")</f>
        <v>0.5</v>
      </c>
      <c r="AB16" s="192">
        <f t="shared" si="0"/>
        <v>0.92224231464737794</v>
      </c>
    </row>
    <row r="17" spans="2:28" x14ac:dyDescent="0.3">
      <c r="B17" t="s">
        <v>158</v>
      </c>
      <c r="C17" t="s">
        <v>1522</v>
      </c>
      <c r="D17" t="s">
        <v>1623</v>
      </c>
      <c r="E17" t="s">
        <v>1623</v>
      </c>
      <c r="F17">
        <v>19.2</v>
      </c>
      <c r="G17">
        <v>8</v>
      </c>
      <c r="H17">
        <v>8</v>
      </c>
      <c r="I17">
        <v>3</v>
      </c>
      <c r="J17">
        <v>6</v>
      </c>
      <c r="K17">
        <v>1</v>
      </c>
      <c r="L17">
        <v>0</v>
      </c>
      <c r="M17">
        <v>0</v>
      </c>
      <c r="N17">
        <v>47</v>
      </c>
      <c r="O17">
        <v>42</v>
      </c>
      <c r="P17">
        <v>18</v>
      </c>
      <c r="Q17">
        <v>8</v>
      </c>
      <c r="R17">
        <v>52</v>
      </c>
      <c r="S17">
        <v>5</v>
      </c>
      <c r="T17">
        <v>3.45</v>
      </c>
      <c r="U17">
        <v>3.66</v>
      </c>
      <c r="V17">
        <v>1</v>
      </c>
      <c r="W17">
        <v>0.28799999999999998</v>
      </c>
      <c r="X17">
        <v>100</v>
      </c>
      <c r="Y17">
        <f>IFERROR(R33/S33,"STELLAR")</f>
        <v>24</v>
      </c>
      <c r="Z17" t="str">
        <f>IFERROR(R33/H33,"STELLAR")</f>
        <v>STELLAR</v>
      </c>
      <c r="AA17" s="176" t="str">
        <f>IFERROR(J33/H33,"Didn't Start")</f>
        <v>Didn't Start</v>
      </c>
      <c r="AB17" s="192">
        <f t="shared" si="0"/>
        <v>1.1063829787234043</v>
      </c>
    </row>
    <row r="18" spans="2:28" x14ac:dyDescent="0.3">
      <c r="B18" t="s">
        <v>152</v>
      </c>
      <c r="C18" t="s">
        <v>274</v>
      </c>
      <c r="D18" t="s">
        <v>1623</v>
      </c>
      <c r="E18" t="s">
        <v>1623</v>
      </c>
      <c r="F18">
        <v>18.8</v>
      </c>
      <c r="G18">
        <v>10</v>
      </c>
      <c r="H18">
        <v>10</v>
      </c>
      <c r="I18">
        <v>3</v>
      </c>
      <c r="J18">
        <v>4</v>
      </c>
      <c r="K18">
        <v>0</v>
      </c>
      <c r="L18">
        <v>0</v>
      </c>
      <c r="M18">
        <v>0</v>
      </c>
      <c r="N18">
        <v>54.3</v>
      </c>
      <c r="O18">
        <v>44</v>
      </c>
      <c r="P18">
        <v>11</v>
      </c>
      <c r="Q18">
        <v>0</v>
      </c>
      <c r="R18">
        <v>66</v>
      </c>
      <c r="S18">
        <v>21</v>
      </c>
      <c r="T18">
        <v>1.82</v>
      </c>
      <c r="U18">
        <v>2.0099999999999998</v>
      </c>
      <c r="V18">
        <v>1.2</v>
      </c>
      <c r="W18">
        <v>0.31900000000000001</v>
      </c>
      <c r="X18">
        <v>100</v>
      </c>
      <c r="Y18">
        <f t="shared" ref="Y18:Y23" si="1">IFERROR(R18/S18,"STELLAR")</f>
        <v>3.1428571428571428</v>
      </c>
      <c r="Z18">
        <f t="shared" ref="Z18:Z23" si="2">IFERROR(R18/H18,"STELLAR")</f>
        <v>6.6</v>
      </c>
      <c r="AA18" s="176">
        <f t="shared" ref="AA18:AA23" si="3">IFERROR(J18/H18,"Didn't Start")</f>
        <v>0.4</v>
      </c>
      <c r="AB18" s="192">
        <f t="shared" si="0"/>
        <v>1.2154696132596685</v>
      </c>
    </row>
    <row r="19" spans="2:28" x14ac:dyDescent="0.3">
      <c r="B19" t="s">
        <v>711</v>
      </c>
      <c r="C19" t="s">
        <v>244</v>
      </c>
      <c r="D19" t="s">
        <v>1623</v>
      </c>
      <c r="E19" t="s">
        <v>1623</v>
      </c>
      <c r="F19">
        <v>18.8</v>
      </c>
      <c r="G19">
        <v>9</v>
      </c>
      <c r="H19">
        <v>9</v>
      </c>
      <c r="I19">
        <v>8</v>
      </c>
      <c r="J19">
        <v>5</v>
      </c>
      <c r="K19">
        <v>3</v>
      </c>
      <c r="L19">
        <v>0</v>
      </c>
      <c r="M19">
        <v>0</v>
      </c>
      <c r="N19">
        <v>58.3</v>
      </c>
      <c r="O19">
        <v>54</v>
      </c>
      <c r="P19">
        <v>17</v>
      </c>
      <c r="Q19">
        <v>3</v>
      </c>
      <c r="R19">
        <v>47</v>
      </c>
      <c r="S19">
        <v>5</v>
      </c>
      <c r="T19">
        <v>2.62</v>
      </c>
      <c r="U19">
        <v>2.7</v>
      </c>
      <c r="V19">
        <v>1.01</v>
      </c>
      <c r="W19">
        <v>0.29699999999999999</v>
      </c>
      <c r="X19">
        <v>100</v>
      </c>
      <c r="Y19">
        <f t="shared" si="1"/>
        <v>9.4</v>
      </c>
      <c r="Z19">
        <f t="shared" si="2"/>
        <v>5.2222222222222223</v>
      </c>
      <c r="AA19" s="176">
        <f t="shared" si="3"/>
        <v>0.55555555555555558</v>
      </c>
      <c r="AB19" s="192">
        <f t="shared" si="0"/>
        <v>0.80617495711835341</v>
      </c>
    </row>
    <row r="20" spans="2:28" x14ac:dyDescent="0.3">
      <c r="B20" t="s">
        <v>185</v>
      </c>
      <c r="C20" t="s">
        <v>286</v>
      </c>
      <c r="D20" t="s">
        <v>1623</v>
      </c>
      <c r="E20" t="s">
        <v>1623</v>
      </c>
      <c r="F20">
        <v>18.2</v>
      </c>
      <c r="G20">
        <v>10</v>
      </c>
      <c r="H20">
        <v>10</v>
      </c>
      <c r="I20">
        <v>5</v>
      </c>
      <c r="J20">
        <v>5</v>
      </c>
      <c r="K20">
        <v>3</v>
      </c>
      <c r="L20">
        <v>0</v>
      </c>
      <c r="M20">
        <v>0</v>
      </c>
      <c r="N20">
        <v>57.3</v>
      </c>
      <c r="O20">
        <v>39</v>
      </c>
      <c r="P20">
        <v>19</v>
      </c>
      <c r="Q20">
        <v>5</v>
      </c>
      <c r="R20">
        <v>59</v>
      </c>
      <c r="S20">
        <v>23</v>
      </c>
      <c r="T20">
        <v>2.98</v>
      </c>
      <c r="U20">
        <v>3.66</v>
      </c>
      <c r="V20">
        <v>1.08</v>
      </c>
      <c r="W20">
        <v>0.24299999999999999</v>
      </c>
      <c r="X20">
        <v>100</v>
      </c>
      <c r="Y20">
        <f t="shared" si="1"/>
        <v>2.5652173913043477</v>
      </c>
      <c r="Z20">
        <f t="shared" si="2"/>
        <v>5.9</v>
      </c>
      <c r="AA20" s="176">
        <f t="shared" si="3"/>
        <v>0.5</v>
      </c>
      <c r="AB20" s="192">
        <f t="shared" si="0"/>
        <v>1.0296684118673649</v>
      </c>
    </row>
    <row r="21" spans="2:28" x14ac:dyDescent="0.3">
      <c r="B21" t="s">
        <v>966</v>
      </c>
      <c r="C21" t="s">
        <v>234</v>
      </c>
      <c r="D21" t="s">
        <v>1623</v>
      </c>
      <c r="E21" t="s">
        <v>1623</v>
      </c>
      <c r="F21">
        <v>18</v>
      </c>
      <c r="G21">
        <v>10</v>
      </c>
      <c r="H21">
        <v>10</v>
      </c>
      <c r="I21">
        <v>8</v>
      </c>
      <c r="J21">
        <v>5</v>
      </c>
      <c r="K21">
        <v>3</v>
      </c>
      <c r="L21">
        <v>0</v>
      </c>
      <c r="M21">
        <v>0</v>
      </c>
      <c r="N21">
        <v>62.3</v>
      </c>
      <c r="O21">
        <v>40</v>
      </c>
      <c r="P21">
        <v>21</v>
      </c>
      <c r="Q21">
        <v>9</v>
      </c>
      <c r="R21">
        <v>52</v>
      </c>
      <c r="S21">
        <v>24</v>
      </c>
      <c r="T21">
        <v>3.03</v>
      </c>
      <c r="U21">
        <v>4.93</v>
      </c>
      <c r="V21">
        <v>1.03</v>
      </c>
      <c r="W21">
        <v>0.193</v>
      </c>
      <c r="X21">
        <v>100</v>
      </c>
      <c r="Y21">
        <f t="shared" si="1"/>
        <v>2.1666666666666665</v>
      </c>
      <c r="Z21">
        <f t="shared" si="2"/>
        <v>5.2</v>
      </c>
      <c r="AA21" s="176">
        <f t="shared" si="3"/>
        <v>0.5</v>
      </c>
      <c r="AB21" s="192">
        <f t="shared" si="0"/>
        <v>0.8346709470304976</v>
      </c>
    </row>
    <row r="22" spans="2:28" x14ac:dyDescent="0.3">
      <c r="B22" t="s">
        <v>3170</v>
      </c>
      <c r="C22" t="s">
        <v>244</v>
      </c>
      <c r="D22" t="s">
        <v>1623</v>
      </c>
      <c r="E22" t="s">
        <v>1623</v>
      </c>
      <c r="F22">
        <v>17.5</v>
      </c>
      <c r="G22">
        <v>5</v>
      </c>
      <c r="H22">
        <v>5</v>
      </c>
      <c r="I22">
        <v>5</v>
      </c>
      <c r="J22">
        <v>3</v>
      </c>
      <c r="K22">
        <v>1</v>
      </c>
      <c r="L22">
        <v>0</v>
      </c>
      <c r="M22">
        <v>0</v>
      </c>
      <c r="N22">
        <v>31.3</v>
      </c>
      <c r="O22">
        <v>13</v>
      </c>
      <c r="P22">
        <v>4</v>
      </c>
      <c r="Q22">
        <v>0</v>
      </c>
      <c r="R22">
        <v>28</v>
      </c>
      <c r="S22">
        <v>3</v>
      </c>
      <c r="T22">
        <v>1.1499999999999999</v>
      </c>
      <c r="U22">
        <v>1.87</v>
      </c>
      <c r="V22">
        <v>0.51</v>
      </c>
      <c r="W22">
        <v>0.16500000000000001</v>
      </c>
      <c r="X22">
        <v>100</v>
      </c>
      <c r="Y22">
        <f t="shared" si="1"/>
        <v>9.3333333333333339</v>
      </c>
      <c r="Z22">
        <f t="shared" si="2"/>
        <v>5.6</v>
      </c>
      <c r="AA22" s="176">
        <f t="shared" si="3"/>
        <v>0.6</v>
      </c>
      <c r="AB22" s="192">
        <f t="shared" si="0"/>
        <v>0.89456869009584661</v>
      </c>
    </row>
    <row r="23" spans="2:28" x14ac:dyDescent="0.3">
      <c r="B23" t="s">
        <v>748</v>
      </c>
      <c r="C23" t="s">
        <v>1521</v>
      </c>
      <c r="D23" t="s">
        <v>1624</v>
      </c>
      <c r="E23" t="s">
        <v>1624</v>
      </c>
      <c r="F23">
        <v>17.3</v>
      </c>
      <c r="G23">
        <v>23</v>
      </c>
      <c r="H23">
        <v>0</v>
      </c>
      <c r="I23">
        <v>0</v>
      </c>
      <c r="J23">
        <v>1</v>
      </c>
      <c r="K23">
        <v>2</v>
      </c>
      <c r="L23">
        <v>13</v>
      </c>
      <c r="M23">
        <v>0</v>
      </c>
      <c r="N23">
        <v>22.7</v>
      </c>
      <c r="O23">
        <v>13</v>
      </c>
      <c r="P23">
        <v>5</v>
      </c>
      <c r="Q23">
        <v>2</v>
      </c>
      <c r="R23">
        <v>34</v>
      </c>
      <c r="S23">
        <v>10</v>
      </c>
      <c r="T23">
        <v>1.98</v>
      </c>
      <c r="U23">
        <v>3.01</v>
      </c>
      <c r="V23">
        <v>1.01</v>
      </c>
      <c r="W23">
        <v>0.22</v>
      </c>
      <c r="X23">
        <v>100</v>
      </c>
      <c r="Y23">
        <f t="shared" si="1"/>
        <v>3.4</v>
      </c>
      <c r="Z23" t="str">
        <f t="shared" si="2"/>
        <v>STELLAR</v>
      </c>
      <c r="AA23" s="176" t="str">
        <f t="shared" si="3"/>
        <v>Didn't Start</v>
      </c>
      <c r="AB23" s="192">
        <f t="shared" si="0"/>
        <v>1.4977973568281939</v>
      </c>
    </row>
    <row r="24" spans="2:28" x14ac:dyDescent="0.3">
      <c r="B24" t="s">
        <v>772</v>
      </c>
      <c r="C24" t="s">
        <v>346</v>
      </c>
      <c r="D24" t="s">
        <v>1624</v>
      </c>
      <c r="E24" t="s">
        <v>1624</v>
      </c>
      <c r="F24">
        <v>15.6</v>
      </c>
      <c r="G24">
        <v>21</v>
      </c>
      <c r="H24">
        <v>0</v>
      </c>
      <c r="I24">
        <v>0</v>
      </c>
      <c r="J24">
        <v>2</v>
      </c>
      <c r="K24">
        <v>0</v>
      </c>
      <c r="L24">
        <v>9</v>
      </c>
      <c r="M24">
        <v>1</v>
      </c>
      <c r="N24">
        <v>21.3</v>
      </c>
      <c r="O24">
        <v>10</v>
      </c>
      <c r="P24">
        <v>3</v>
      </c>
      <c r="Q24">
        <v>0</v>
      </c>
      <c r="R24">
        <v>28</v>
      </c>
      <c r="S24">
        <v>10</v>
      </c>
      <c r="T24">
        <v>1.27</v>
      </c>
      <c r="U24">
        <v>2.2000000000000002</v>
      </c>
      <c r="V24">
        <v>0.94</v>
      </c>
      <c r="W24">
        <v>0.23300000000000001</v>
      </c>
      <c r="X24">
        <v>100</v>
      </c>
      <c r="Y24">
        <f>IFERROR(R40/S40,"STELLAR")</f>
        <v>3.5714285714285716</v>
      </c>
      <c r="Z24" t="str">
        <f>IFERROR(R40/H40,"STELLAR")</f>
        <v>STELLAR</v>
      </c>
      <c r="AA24" s="176" t="str">
        <f>IFERROR(J40/H40,"Didn't Start")</f>
        <v>Didn't Start</v>
      </c>
      <c r="AB24" s="192">
        <f t="shared" si="0"/>
        <v>1.3145539906103285</v>
      </c>
    </row>
    <row r="25" spans="2:28" x14ac:dyDescent="0.3">
      <c r="B25" t="s">
        <v>148</v>
      </c>
      <c r="C25" t="s">
        <v>244</v>
      </c>
      <c r="D25" t="s">
        <v>1623</v>
      </c>
      <c r="E25" t="s">
        <v>1623</v>
      </c>
      <c r="F25">
        <v>15.1</v>
      </c>
      <c r="G25">
        <v>10</v>
      </c>
      <c r="H25">
        <v>10</v>
      </c>
      <c r="I25">
        <v>4</v>
      </c>
      <c r="J25">
        <v>3</v>
      </c>
      <c r="K25">
        <v>2</v>
      </c>
      <c r="L25">
        <v>0</v>
      </c>
      <c r="M25">
        <v>0</v>
      </c>
      <c r="N25">
        <v>57.7</v>
      </c>
      <c r="O25">
        <v>47</v>
      </c>
      <c r="P25">
        <v>19</v>
      </c>
      <c r="Q25">
        <v>6</v>
      </c>
      <c r="R25">
        <v>66</v>
      </c>
      <c r="S25">
        <v>13</v>
      </c>
      <c r="T25">
        <v>2.97</v>
      </c>
      <c r="U25">
        <v>3.07</v>
      </c>
      <c r="V25">
        <v>1.04</v>
      </c>
      <c r="W25">
        <v>0.27900000000000003</v>
      </c>
      <c r="X25">
        <v>100</v>
      </c>
      <c r="Y25">
        <f t="shared" ref="Y25:Y30" si="4">IFERROR(R25/S25,"STELLAR")</f>
        <v>5.0769230769230766</v>
      </c>
      <c r="Z25">
        <f t="shared" ref="Z25:Z30" si="5">IFERROR(R25/H25,"STELLAR")</f>
        <v>6.6</v>
      </c>
      <c r="AA25" s="176">
        <f t="shared" ref="AA25:AA30" si="6">IFERROR(J25/H25,"Didn't Start")</f>
        <v>0.3</v>
      </c>
      <c r="AB25" s="192">
        <f t="shared" si="0"/>
        <v>1.143847487001733</v>
      </c>
    </row>
    <row r="26" spans="2:28" x14ac:dyDescent="0.3">
      <c r="B26" t="s">
        <v>439</v>
      </c>
      <c r="C26" t="s">
        <v>278</v>
      </c>
      <c r="D26" t="s">
        <v>1623</v>
      </c>
      <c r="E26" t="s">
        <v>1623</v>
      </c>
      <c r="F26">
        <v>15.1</v>
      </c>
      <c r="G26">
        <v>10</v>
      </c>
      <c r="H26">
        <v>9</v>
      </c>
      <c r="I26">
        <v>2</v>
      </c>
      <c r="J26">
        <v>3</v>
      </c>
      <c r="K26">
        <v>1</v>
      </c>
      <c r="L26">
        <v>0</v>
      </c>
      <c r="M26">
        <v>1</v>
      </c>
      <c r="N26">
        <v>57</v>
      </c>
      <c r="O26">
        <v>36</v>
      </c>
      <c r="P26">
        <v>22</v>
      </c>
      <c r="Q26">
        <v>13</v>
      </c>
      <c r="R26">
        <v>54</v>
      </c>
      <c r="S26">
        <v>12</v>
      </c>
      <c r="T26">
        <v>3.47</v>
      </c>
      <c r="U26">
        <v>5.03</v>
      </c>
      <c r="V26">
        <v>0.84</v>
      </c>
      <c r="W26">
        <v>0.16700000000000001</v>
      </c>
      <c r="X26">
        <v>100</v>
      </c>
      <c r="Y26">
        <f t="shared" si="4"/>
        <v>4.5</v>
      </c>
      <c r="Z26">
        <f t="shared" si="5"/>
        <v>6</v>
      </c>
      <c r="AA26" s="176">
        <f t="shared" si="6"/>
        <v>0.33333333333333331</v>
      </c>
      <c r="AB26" s="192">
        <f t="shared" si="0"/>
        <v>0.94736842105263153</v>
      </c>
    </row>
    <row r="27" spans="2:28" x14ac:dyDescent="0.3">
      <c r="B27" t="s">
        <v>2025</v>
      </c>
      <c r="C27" t="s">
        <v>278</v>
      </c>
      <c r="D27" t="s">
        <v>1624</v>
      </c>
      <c r="E27" t="s">
        <v>1624</v>
      </c>
      <c r="F27">
        <v>14.5</v>
      </c>
      <c r="G27">
        <v>20</v>
      </c>
      <c r="H27">
        <v>0</v>
      </c>
      <c r="I27">
        <v>0</v>
      </c>
      <c r="J27">
        <v>1</v>
      </c>
      <c r="K27">
        <v>0</v>
      </c>
      <c r="L27">
        <v>3</v>
      </c>
      <c r="M27">
        <v>10</v>
      </c>
      <c r="N27">
        <v>25.7</v>
      </c>
      <c r="O27">
        <v>10</v>
      </c>
      <c r="P27">
        <v>1</v>
      </c>
      <c r="Q27">
        <v>0</v>
      </c>
      <c r="R27">
        <v>28</v>
      </c>
      <c r="S27">
        <v>0</v>
      </c>
      <c r="T27">
        <v>0.35</v>
      </c>
      <c r="U27">
        <v>1.21</v>
      </c>
      <c r="V27">
        <v>0.39</v>
      </c>
      <c r="W27">
        <v>0.182</v>
      </c>
      <c r="X27">
        <v>88</v>
      </c>
      <c r="Y27" t="str">
        <f t="shared" si="4"/>
        <v>STELLAR</v>
      </c>
      <c r="Z27" t="str">
        <f t="shared" si="5"/>
        <v>STELLAR</v>
      </c>
      <c r="AA27" s="176" t="str">
        <f t="shared" si="6"/>
        <v>Didn't Start</v>
      </c>
      <c r="AB27" s="192">
        <f t="shared" si="0"/>
        <v>1.0894941634241246</v>
      </c>
    </row>
    <row r="28" spans="2:28" x14ac:dyDescent="0.3">
      <c r="B28" t="s">
        <v>1647</v>
      </c>
      <c r="C28" t="s">
        <v>235</v>
      </c>
      <c r="D28" t="s">
        <v>1624</v>
      </c>
      <c r="E28" t="s">
        <v>1624</v>
      </c>
      <c r="F28">
        <v>14.4</v>
      </c>
      <c r="G28">
        <v>22</v>
      </c>
      <c r="H28">
        <v>0</v>
      </c>
      <c r="I28">
        <v>0</v>
      </c>
      <c r="J28">
        <v>1</v>
      </c>
      <c r="K28">
        <v>1</v>
      </c>
      <c r="L28">
        <v>12</v>
      </c>
      <c r="M28">
        <v>2</v>
      </c>
      <c r="N28">
        <v>22</v>
      </c>
      <c r="O28">
        <v>16</v>
      </c>
      <c r="P28">
        <v>3</v>
      </c>
      <c r="Q28">
        <v>1</v>
      </c>
      <c r="R28">
        <v>29</v>
      </c>
      <c r="S28">
        <v>9</v>
      </c>
      <c r="T28">
        <v>1.23</v>
      </c>
      <c r="U28">
        <v>2.46</v>
      </c>
      <c r="V28">
        <v>1.1399999999999999</v>
      </c>
      <c r="W28">
        <v>0.29399999999999998</v>
      </c>
      <c r="X28">
        <v>100</v>
      </c>
      <c r="Y28">
        <f t="shared" si="4"/>
        <v>3.2222222222222223</v>
      </c>
      <c r="Z28" t="str">
        <f t="shared" si="5"/>
        <v>STELLAR</v>
      </c>
      <c r="AA28" s="176" t="str">
        <f t="shared" si="6"/>
        <v>Didn't Start</v>
      </c>
      <c r="AB28" s="192">
        <f t="shared" si="0"/>
        <v>1.3181818181818181</v>
      </c>
    </row>
    <row r="29" spans="2:28" x14ac:dyDescent="0.3">
      <c r="B29" t="s">
        <v>1640</v>
      </c>
      <c r="C29" t="s">
        <v>270</v>
      </c>
      <c r="D29" t="s">
        <v>1624</v>
      </c>
      <c r="E29" t="s">
        <v>1624</v>
      </c>
      <c r="F29">
        <v>14.3</v>
      </c>
      <c r="G29">
        <v>19</v>
      </c>
      <c r="H29">
        <v>0</v>
      </c>
      <c r="I29">
        <v>0</v>
      </c>
      <c r="J29">
        <v>1</v>
      </c>
      <c r="K29">
        <v>1</v>
      </c>
      <c r="L29">
        <v>10</v>
      </c>
      <c r="M29">
        <v>1</v>
      </c>
      <c r="N29">
        <v>18.7</v>
      </c>
      <c r="O29">
        <v>6</v>
      </c>
      <c r="P29">
        <v>4</v>
      </c>
      <c r="Q29">
        <v>0</v>
      </c>
      <c r="R29">
        <v>35</v>
      </c>
      <c r="S29">
        <v>10</v>
      </c>
      <c r="T29">
        <v>1.93</v>
      </c>
      <c r="U29">
        <v>1.3</v>
      </c>
      <c r="V29">
        <v>0.86</v>
      </c>
      <c r="W29">
        <v>0.222</v>
      </c>
      <c r="X29">
        <v>100</v>
      </c>
      <c r="Y29">
        <f t="shared" si="4"/>
        <v>3.5</v>
      </c>
      <c r="Z29" t="str">
        <f t="shared" si="5"/>
        <v>STELLAR</v>
      </c>
      <c r="AA29" s="176" t="str">
        <f t="shared" si="6"/>
        <v>Didn't Start</v>
      </c>
      <c r="AB29" s="192">
        <f t="shared" si="0"/>
        <v>1.8716577540106953</v>
      </c>
    </row>
    <row r="30" spans="2:28" x14ac:dyDescent="0.3">
      <c r="B30" t="s">
        <v>160</v>
      </c>
      <c r="C30" t="s">
        <v>248</v>
      </c>
      <c r="D30" t="s">
        <v>1623</v>
      </c>
      <c r="E30" t="s">
        <v>1623</v>
      </c>
      <c r="F30">
        <v>14.2</v>
      </c>
      <c r="G30">
        <v>11</v>
      </c>
      <c r="H30">
        <v>11</v>
      </c>
      <c r="I30">
        <v>9</v>
      </c>
      <c r="J30">
        <v>4</v>
      </c>
      <c r="K30">
        <v>4</v>
      </c>
      <c r="L30">
        <v>0</v>
      </c>
      <c r="M30">
        <v>0</v>
      </c>
      <c r="N30">
        <v>64</v>
      </c>
      <c r="O30">
        <v>47</v>
      </c>
      <c r="P30">
        <v>21</v>
      </c>
      <c r="Q30">
        <v>5</v>
      </c>
      <c r="R30">
        <v>54</v>
      </c>
      <c r="S30">
        <v>23</v>
      </c>
      <c r="T30">
        <v>2.95</v>
      </c>
      <c r="U30">
        <v>3.73</v>
      </c>
      <c r="V30">
        <v>1.0900000000000001</v>
      </c>
      <c r="W30">
        <v>0.247</v>
      </c>
      <c r="X30">
        <v>100</v>
      </c>
      <c r="Y30">
        <f t="shared" si="4"/>
        <v>2.347826086956522</v>
      </c>
      <c r="Z30">
        <f t="shared" si="5"/>
        <v>4.9090909090909092</v>
      </c>
      <c r="AA30" s="176">
        <f t="shared" si="6"/>
        <v>0.36363636363636365</v>
      </c>
      <c r="AB30" s="192">
        <f t="shared" si="0"/>
        <v>0.84375</v>
      </c>
    </row>
    <row r="31" spans="2:28" x14ac:dyDescent="0.3">
      <c r="B31" t="s">
        <v>476</v>
      </c>
      <c r="C31" t="s">
        <v>1523</v>
      </c>
      <c r="D31" t="s">
        <v>1624</v>
      </c>
      <c r="E31" t="s">
        <v>1624</v>
      </c>
      <c r="F31">
        <v>14.2</v>
      </c>
      <c r="G31">
        <v>20</v>
      </c>
      <c r="H31">
        <v>0</v>
      </c>
      <c r="I31">
        <v>0</v>
      </c>
      <c r="J31">
        <v>0</v>
      </c>
      <c r="K31">
        <v>0</v>
      </c>
      <c r="L31">
        <v>12</v>
      </c>
      <c r="M31">
        <v>0</v>
      </c>
      <c r="N31">
        <v>20</v>
      </c>
      <c r="O31">
        <v>7</v>
      </c>
      <c r="P31">
        <v>2</v>
      </c>
      <c r="Q31">
        <v>1</v>
      </c>
      <c r="R31">
        <v>27</v>
      </c>
      <c r="S31">
        <v>9</v>
      </c>
      <c r="T31">
        <v>0.9</v>
      </c>
      <c r="U31">
        <v>2.58</v>
      </c>
      <c r="V31">
        <v>0.8</v>
      </c>
      <c r="W31">
        <v>0.154</v>
      </c>
      <c r="X31">
        <v>100</v>
      </c>
      <c r="Y31">
        <f>IFERROR(R47/S47,"STELLAR")</f>
        <v>11.25</v>
      </c>
      <c r="Z31">
        <f>IFERROR(R47/H47,"STELLAR")</f>
        <v>7.5</v>
      </c>
      <c r="AA31" s="176">
        <f>IFERROR(J47/H47,"Didn't Start")</f>
        <v>0.33333333333333331</v>
      </c>
      <c r="AB31" s="192">
        <f t="shared" si="0"/>
        <v>1.35</v>
      </c>
    </row>
    <row r="32" spans="2:28" x14ac:dyDescent="0.3">
      <c r="B32" t="s">
        <v>297</v>
      </c>
      <c r="C32" t="s">
        <v>1522</v>
      </c>
      <c r="D32" t="s">
        <v>1623</v>
      </c>
      <c r="E32" t="s">
        <v>1623</v>
      </c>
      <c r="F32">
        <v>14.1</v>
      </c>
      <c r="G32">
        <v>8</v>
      </c>
      <c r="H32">
        <v>8</v>
      </c>
      <c r="I32">
        <v>3</v>
      </c>
      <c r="J32">
        <v>4</v>
      </c>
      <c r="K32">
        <v>2</v>
      </c>
      <c r="L32">
        <v>0</v>
      </c>
      <c r="M32">
        <v>0</v>
      </c>
      <c r="N32">
        <v>44.7</v>
      </c>
      <c r="O32">
        <v>36</v>
      </c>
      <c r="P32">
        <v>13</v>
      </c>
      <c r="Q32">
        <v>2</v>
      </c>
      <c r="R32">
        <v>47</v>
      </c>
      <c r="S32">
        <v>11</v>
      </c>
      <c r="T32">
        <v>2.62</v>
      </c>
      <c r="U32">
        <v>2.56</v>
      </c>
      <c r="V32">
        <v>1.05</v>
      </c>
      <c r="W32">
        <v>0.29799999999999999</v>
      </c>
      <c r="X32">
        <v>10</v>
      </c>
      <c r="Y32">
        <f>IFERROR(R32/S32,"STELLAR")</f>
        <v>4.2727272727272725</v>
      </c>
      <c r="Z32">
        <f>IFERROR(R32/H32,"STELLAR")</f>
        <v>5.875</v>
      </c>
      <c r="AA32" s="176">
        <f>IFERROR(J32/H32,"Didn't Start")</f>
        <v>0.5</v>
      </c>
      <c r="AB32" s="192">
        <f t="shared" si="0"/>
        <v>1.0514541387024607</v>
      </c>
    </row>
    <row r="33" spans="2:28" x14ac:dyDescent="0.3">
      <c r="B33" t="s">
        <v>294</v>
      </c>
      <c r="C33" t="s">
        <v>231</v>
      </c>
      <c r="D33" t="s">
        <v>1624</v>
      </c>
      <c r="E33" t="s">
        <v>1624</v>
      </c>
      <c r="F33">
        <v>14.1</v>
      </c>
      <c r="G33">
        <v>18</v>
      </c>
      <c r="H33">
        <v>0</v>
      </c>
      <c r="I33">
        <v>0</v>
      </c>
      <c r="J33">
        <v>2</v>
      </c>
      <c r="K33">
        <v>0</v>
      </c>
      <c r="L33">
        <v>9</v>
      </c>
      <c r="M33">
        <v>0</v>
      </c>
      <c r="N33">
        <v>18</v>
      </c>
      <c r="O33">
        <v>14</v>
      </c>
      <c r="P33">
        <v>3</v>
      </c>
      <c r="Q33">
        <v>1</v>
      </c>
      <c r="R33">
        <v>24</v>
      </c>
      <c r="S33">
        <v>1</v>
      </c>
      <c r="T33">
        <v>1.5</v>
      </c>
      <c r="U33">
        <v>1.5</v>
      </c>
      <c r="V33">
        <v>0.83</v>
      </c>
      <c r="W33">
        <v>0.29499999999999998</v>
      </c>
      <c r="X33">
        <v>100</v>
      </c>
      <c r="Y33">
        <f>IFERROR(R49/S49,"STELLAR")</f>
        <v>3.2941176470588234</v>
      </c>
      <c r="Z33">
        <f>IFERROR(R49/H49,"STELLAR")</f>
        <v>6.2222222222222223</v>
      </c>
      <c r="AA33" s="176">
        <f>IFERROR(J49/H49,"Didn't Start")</f>
        <v>0.44444444444444442</v>
      </c>
      <c r="AB33" s="192">
        <f t="shared" si="0"/>
        <v>1.3333333333333333</v>
      </c>
    </row>
    <row r="34" spans="2:28" x14ac:dyDescent="0.3">
      <c r="B34" t="s">
        <v>147</v>
      </c>
      <c r="C34" t="s">
        <v>234</v>
      </c>
      <c r="D34" t="s">
        <v>1623</v>
      </c>
      <c r="E34" t="s">
        <v>1623</v>
      </c>
      <c r="F34">
        <v>14</v>
      </c>
      <c r="G34">
        <v>10</v>
      </c>
      <c r="H34">
        <v>10</v>
      </c>
      <c r="I34">
        <v>8</v>
      </c>
      <c r="J34">
        <v>2</v>
      </c>
      <c r="K34">
        <v>3</v>
      </c>
      <c r="L34">
        <v>0</v>
      </c>
      <c r="M34">
        <v>0</v>
      </c>
      <c r="N34">
        <v>63</v>
      </c>
      <c r="O34">
        <v>57</v>
      </c>
      <c r="P34">
        <v>22</v>
      </c>
      <c r="Q34">
        <v>6</v>
      </c>
      <c r="R34">
        <v>81</v>
      </c>
      <c r="S34">
        <v>11</v>
      </c>
      <c r="T34">
        <v>3.14</v>
      </c>
      <c r="U34">
        <v>2.4700000000000002</v>
      </c>
      <c r="V34">
        <v>1.08</v>
      </c>
      <c r="W34">
        <v>0.32300000000000001</v>
      </c>
      <c r="X34">
        <v>100</v>
      </c>
      <c r="Y34">
        <f>IFERROR(R34/S34,"STELLAR")</f>
        <v>7.3636363636363633</v>
      </c>
      <c r="Z34">
        <f>IFERROR(R34/H34,"STELLAR")</f>
        <v>8.1</v>
      </c>
      <c r="AA34" s="176">
        <f>IFERROR(J34/H34,"Didn't Start")</f>
        <v>0.2</v>
      </c>
      <c r="AB34" s="192">
        <f t="shared" si="0"/>
        <v>1.2857142857142858</v>
      </c>
    </row>
    <row r="35" spans="2:28" x14ac:dyDescent="0.3">
      <c r="B35" t="s">
        <v>181</v>
      </c>
      <c r="C35" t="s">
        <v>264</v>
      </c>
      <c r="D35" t="s">
        <v>1623</v>
      </c>
      <c r="E35" t="s">
        <v>1623</v>
      </c>
      <c r="F35">
        <v>13.9</v>
      </c>
      <c r="G35">
        <v>12</v>
      </c>
      <c r="H35">
        <v>4</v>
      </c>
      <c r="I35">
        <v>2</v>
      </c>
      <c r="J35">
        <v>4</v>
      </c>
      <c r="K35">
        <v>0</v>
      </c>
      <c r="L35">
        <v>0</v>
      </c>
      <c r="M35">
        <v>3</v>
      </c>
      <c r="N35">
        <v>43</v>
      </c>
      <c r="O35">
        <v>32</v>
      </c>
      <c r="P35">
        <v>8</v>
      </c>
      <c r="Q35">
        <v>0</v>
      </c>
      <c r="R35">
        <v>26</v>
      </c>
      <c r="S35">
        <v>10</v>
      </c>
      <c r="T35">
        <v>1.67</v>
      </c>
      <c r="U35">
        <v>2.98</v>
      </c>
      <c r="V35">
        <v>0.98</v>
      </c>
      <c r="W35">
        <v>0.246</v>
      </c>
      <c r="X35">
        <v>98</v>
      </c>
      <c r="Y35">
        <f>IFERROR(R35/S35,"STELLAR")</f>
        <v>2.6</v>
      </c>
      <c r="Z35">
        <f>IFERROR(R35/H35,"STELLAR")</f>
        <v>6.5</v>
      </c>
      <c r="AA35" s="176">
        <f>IFERROR(J35/H35,"Didn't Start")</f>
        <v>1</v>
      </c>
      <c r="AB35" s="192">
        <f t="shared" si="0"/>
        <v>0.60465116279069764</v>
      </c>
    </row>
    <row r="36" spans="2:28" x14ac:dyDescent="0.3">
      <c r="B36" t="s">
        <v>502</v>
      </c>
      <c r="C36" t="s">
        <v>239</v>
      </c>
      <c r="D36" t="s">
        <v>1624</v>
      </c>
      <c r="E36" t="s">
        <v>1624</v>
      </c>
      <c r="F36">
        <v>13.8</v>
      </c>
      <c r="G36">
        <v>15</v>
      </c>
      <c r="H36">
        <v>0</v>
      </c>
      <c r="I36">
        <v>0</v>
      </c>
      <c r="J36">
        <v>3</v>
      </c>
      <c r="K36">
        <v>0</v>
      </c>
      <c r="L36">
        <v>7</v>
      </c>
      <c r="M36">
        <v>0</v>
      </c>
      <c r="N36">
        <v>15.3</v>
      </c>
      <c r="O36">
        <v>7</v>
      </c>
      <c r="P36">
        <v>1</v>
      </c>
      <c r="Q36">
        <v>1</v>
      </c>
      <c r="R36">
        <v>19</v>
      </c>
      <c r="S36">
        <v>6</v>
      </c>
      <c r="T36">
        <v>0.59</v>
      </c>
      <c r="U36">
        <v>2.82</v>
      </c>
      <c r="V36">
        <v>0.85</v>
      </c>
      <c r="W36">
        <v>0.17599999999999999</v>
      </c>
      <c r="X36">
        <v>100</v>
      </c>
      <c r="Y36">
        <f>IFERROR(R52/S52,"STELLAR")</f>
        <v>5</v>
      </c>
      <c r="Z36">
        <f>IFERROR(R52/H52,"STELLAR")</f>
        <v>6</v>
      </c>
      <c r="AA36" s="176">
        <f>IFERROR(J52/H52,"Didn't Start")</f>
        <v>0.3</v>
      </c>
      <c r="AB36" s="192">
        <f t="shared" si="0"/>
        <v>1.2418300653594772</v>
      </c>
    </row>
    <row r="37" spans="2:28" x14ac:dyDescent="0.3">
      <c r="B37" t="s">
        <v>159</v>
      </c>
      <c r="C37" t="s">
        <v>226</v>
      </c>
      <c r="D37" t="s">
        <v>1623</v>
      </c>
      <c r="E37" t="s">
        <v>1623</v>
      </c>
      <c r="F37">
        <v>13.8</v>
      </c>
      <c r="G37">
        <v>9</v>
      </c>
      <c r="H37">
        <v>9</v>
      </c>
      <c r="I37">
        <v>4</v>
      </c>
      <c r="J37">
        <v>4</v>
      </c>
      <c r="K37">
        <v>1</v>
      </c>
      <c r="L37">
        <v>0</v>
      </c>
      <c r="M37">
        <v>0</v>
      </c>
      <c r="N37">
        <v>48</v>
      </c>
      <c r="O37">
        <v>29</v>
      </c>
      <c r="P37">
        <v>14</v>
      </c>
      <c r="Q37">
        <v>1</v>
      </c>
      <c r="R37">
        <v>34</v>
      </c>
      <c r="S37">
        <v>16</v>
      </c>
      <c r="T37">
        <v>2.63</v>
      </c>
      <c r="U37">
        <v>3.26</v>
      </c>
      <c r="V37">
        <v>0.94</v>
      </c>
      <c r="W37">
        <v>0.21099999999999999</v>
      </c>
      <c r="X37">
        <v>72</v>
      </c>
      <c r="Y37">
        <f>IFERROR(R53/S53,"STELLAR")</f>
        <v>6.3</v>
      </c>
      <c r="Z37">
        <f>IFERROR(R53/H53,"STELLAR")</f>
        <v>7</v>
      </c>
      <c r="AA37" s="176">
        <f>IFERROR(J53/H53,"Didn't Start")</f>
        <v>0.22222222222222221</v>
      </c>
      <c r="AB37" s="192">
        <f t="shared" si="0"/>
        <v>0.70833333333333337</v>
      </c>
    </row>
    <row r="38" spans="2:28" x14ac:dyDescent="0.3">
      <c r="B38" t="s">
        <v>171</v>
      </c>
      <c r="C38" t="s">
        <v>1521</v>
      </c>
      <c r="D38" t="s">
        <v>1623</v>
      </c>
      <c r="E38" t="s">
        <v>1623</v>
      </c>
      <c r="F38">
        <v>13.7</v>
      </c>
      <c r="G38">
        <v>10</v>
      </c>
      <c r="H38">
        <v>10</v>
      </c>
      <c r="I38">
        <v>7</v>
      </c>
      <c r="J38">
        <v>3</v>
      </c>
      <c r="K38">
        <v>5</v>
      </c>
      <c r="L38">
        <v>0</v>
      </c>
      <c r="M38">
        <v>0</v>
      </c>
      <c r="N38">
        <v>65</v>
      </c>
      <c r="O38">
        <v>59</v>
      </c>
      <c r="P38">
        <v>21</v>
      </c>
      <c r="Q38">
        <v>8</v>
      </c>
      <c r="R38">
        <v>65</v>
      </c>
      <c r="S38">
        <v>13</v>
      </c>
      <c r="T38">
        <v>2.91</v>
      </c>
      <c r="U38">
        <v>3.57</v>
      </c>
      <c r="V38">
        <v>1.1100000000000001</v>
      </c>
      <c r="W38">
        <v>0.29799999999999999</v>
      </c>
      <c r="X38">
        <v>100</v>
      </c>
      <c r="Y38">
        <f>IFERROR(R38/S38,"STELLAR")</f>
        <v>5</v>
      </c>
      <c r="Z38">
        <f>IFERROR(R38/H38,"STELLAR")</f>
        <v>6.5</v>
      </c>
      <c r="AA38" s="176">
        <f>IFERROR(J38/H38,"Didn't Start")</f>
        <v>0.3</v>
      </c>
      <c r="AB38" s="192">
        <f t="shared" si="0"/>
        <v>1</v>
      </c>
    </row>
    <row r="39" spans="2:28" x14ac:dyDescent="0.3">
      <c r="B39" t="s">
        <v>370</v>
      </c>
      <c r="C39" t="s">
        <v>311</v>
      </c>
      <c r="D39" t="s">
        <v>1623</v>
      </c>
      <c r="E39" t="s">
        <v>1623</v>
      </c>
      <c r="F39">
        <v>13.5</v>
      </c>
      <c r="G39">
        <v>12</v>
      </c>
      <c r="H39">
        <v>7</v>
      </c>
      <c r="I39">
        <v>0</v>
      </c>
      <c r="J39">
        <v>4</v>
      </c>
      <c r="K39">
        <v>3</v>
      </c>
      <c r="L39">
        <v>1</v>
      </c>
      <c r="M39">
        <v>0</v>
      </c>
      <c r="N39">
        <v>35</v>
      </c>
      <c r="O39">
        <v>25</v>
      </c>
      <c r="P39">
        <v>12</v>
      </c>
      <c r="Q39">
        <v>3</v>
      </c>
      <c r="R39">
        <v>50</v>
      </c>
      <c r="S39">
        <v>10</v>
      </c>
      <c r="T39">
        <v>3.09</v>
      </c>
      <c r="U39">
        <v>2.48</v>
      </c>
      <c r="V39">
        <v>1</v>
      </c>
      <c r="W39">
        <v>0.30099999999999999</v>
      </c>
      <c r="X39">
        <v>39</v>
      </c>
      <c r="Y39">
        <f>IFERROR(R55/S55,"STELLAR")</f>
        <v>4.4117647058823533</v>
      </c>
      <c r="Z39">
        <f>IFERROR(R55/H55,"STELLAR")</f>
        <v>7.5</v>
      </c>
      <c r="AA39" s="176">
        <f>IFERROR(J55/H55,"Didn't Start")</f>
        <v>0.2</v>
      </c>
      <c r="AB39" s="192">
        <f t="shared" si="0"/>
        <v>1.4285714285714286</v>
      </c>
    </row>
    <row r="40" spans="2:28" x14ac:dyDescent="0.3">
      <c r="B40" t="s">
        <v>425</v>
      </c>
      <c r="C40" t="s">
        <v>339</v>
      </c>
      <c r="D40" t="s">
        <v>1624</v>
      </c>
      <c r="E40" t="s">
        <v>1624</v>
      </c>
      <c r="F40">
        <v>13.3</v>
      </c>
      <c r="G40">
        <v>19</v>
      </c>
      <c r="H40">
        <v>0</v>
      </c>
      <c r="I40">
        <v>0</v>
      </c>
      <c r="J40">
        <v>2</v>
      </c>
      <c r="K40">
        <v>0</v>
      </c>
      <c r="L40">
        <v>8</v>
      </c>
      <c r="M40">
        <v>4</v>
      </c>
      <c r="N40">
        <v>21.3</v>
      </c>
      <c r="O40">
        <v>13</v>
      </c>
      <c r="P40">
        <v>3</v>
      </c>
      <c r="Q40">
        <v>1</v>
      </c>
      <c r="R40">
        <v>25</v>
      </c>
      <c r="S40">
        <v>7</v>
      </c>
      <c r="T40">
        <v>1.27</v>
      </c>
      <c r="U40">
        <v>2.67</v>
      </c>
      <c r="V40">
        <v>0.94</v>
      </c>
      <c r="W40">
        <v>0.25</v>
      </c>
      <c r="X40">
        <v>100</v>
      </c>
      <c r="Y40">
        <f>IFERROR(R40/S40,"STELLAR")</f>
        <v>3.5714285714285716</v>
      </c>
      <c r="Z40" t="str">
        <f>IFERROR(R40/H40,"STELLAR")</f>
        <v>STELLAR</v>
      </c>
      <c r="AA40" s="176" t="str">
        <f>IFERROR(J40/H40,"Didn't Start")</f>
        <v>Didn't Start</v>
      </c>
      <c r="AB40" s="192">
        <f t="shared" si="0"/>
        <v>1.1737089201877935</v>
      </c>
    </row>
    <row r="41" spans="2:28" x14ac:dyDescent="0.3">
      <c r="B41" t="s">
        <v>577</v>
      </c>
      <c r="C41" t="s">
        <v>244</v>
      </c>
      <c r="D41" t="s">
        <v>1624</v>
      </c>
      <c r="E41" t="s">
        <v>1624</v>
      </c>
      <c r="F41">
        <v>13.1</v>
      </c>
      <c r="G41">
        <v>22</v>
      </c>
      <c r="H41">
        <v>0</v>
      </c>
      <c r="I41">
        <v>0</v>
      </c>
      <c r="J41">
        <v>2</v>
      </c>
      <c r="K41">
        <v>0</v>
      </c>
      <c r="L41">
        <v>10</v>
      </c>
      <c r="M41">
        <v>0</v>
      </c>
      <c r="N41">
        <v>21.7</v>
      </c>
      <c r="O41">
        <v>15</v>
      </c>
      <c r="P41">
        <v>8</v>
      </c>
      <c r="Q41">
        <v>2</v>
      </c>
      <c r="R41">
        <v>28</v>
      </c>
      <c r="S41">
        <v>5</v>
      </c>
      <c r="T41">
        <v>3.32</v>
      </c>
      <c r="U41">
        <v>2.59</v>
      </c>
      <c r="V41">
        <v>0.92</v>
      </c>
      <c r="W41">
        <v>0.27100000000000002</v>
      </c>
      <c r="X41">
        <v>100</v>
      </c>
      <c r="Y41">
        <f>IFERROR(R41/S41,"STELLAR")</f>
        <v>5.6</v>
      </c>
      <c r="Z41" t="str">
        <f>IFERROR(R41/H41,"STELLAR")</f>
        <v>STELLAR</v>
      </c>
      <c r="AA41" s="176" t="str">
        <f>IFERROR(J41/H41,"Didn't Start")</f>
        <v>Didn't Start</v>
      </c>
      <c r="AB41" s="192">
        <f t="shared" si="0"/>
        <v>1.2903225806451613</v>
      </c>
    </row>
    <row r="42" spans="2:28" x14ac:dyDescent="0.3">
      <c r="B42" t="s">
        <v>411</v>
      </c>
      <c r="C42" t="s">
        <v>250</v>
      </c>
      <c r="D42" t="s">
        <v>1623</v>
      </c>
      <c r="E42" t="s">
        <v>1623</v>
      </c>
      <c r="F42">
        <v>12.8</v>
      </c>
      <c r="G42">
        <v>10</v>
      </c>
      <c r="H42">
        <v>10</v>
      </c>
      <c r="I42">
        <v>6</v>
      </c>
      <c r="J42">
        <v>3</v>
      </c>
      <c r="K42">
        <v>0</v>
      </c>
      <c r="L42">
        <v>0</v>
      </c>
      <c r="M42">
        <v>0</v>
      </c>
      <c r="N42">
        <v>58.3</v>
      </c>
      <c r="O42">
        <v>52</v>
      </c>
      <c r="P42">
        <v>13</v>
      </c>
      <c r="Q42">
        <v>4</v>
      </c>
      <c r="R42">
        <v>51</v>
      </c>
      <c r="S42">
        <v>16</v>
      </c>
      <c r="T42">
        <v>2.0099999999999998</v>
      </c>
      <c r="U42">
        <v>3.45</v>
      </c>
      <c r="V42">
        <v>1.17</v>
      </c>
      <c r="W42">
        <v>0.28899999999999998</v>
      </c>
      <c r="X42">
        <v>100</v>
      </c>
      <c r="Y42">
        <f>IFERROR(R58/S58,"STELLAR")</f>
        <v>3.2666666666666666</v>
      </c>
      <c r="Z42">
        <f>IFERROR(R58/H58,"STELLAR")</f>
        <v>5.4444444444444446</v>
      </c>
      <c r="AA42" s="176">
        <f>IFERROR(J58/H58,"Didn't Start")</f>
        <v>0.22222222222222221</v>
      </c>
      <c r="AB42" s="192">
        <f t="shared" si="0"/>
        <v>0.87478559176672388</v>
      </c>
    </row>
    <row r="43" spans="2:28" x14ac:dyDescent="0.3">
      <c r="B43" t="s">
        <v>374</v>
      </c>
      <c r="C43" t="s">
        <v>234</v>
      </c>
      <c r="D43" t="s">
        <v>1624</v>
      </c>
      <c r="E43" t="s">
        <v>1624</v>
      </c>
      <c r="F43">
        <v>12.3</v>
      </c>
      <c r="G43">
        <v>20</v>
      </c>
      <c r="H43">
        <v>0</v>
      </c>
      <c r="I43">
        <v>0</v>
      </c>
      <c r="J43">
        <v>3</v>
      </c>
      <c r="K43">
        <v>2</v>
      </c>
      <c r="L43">
        <v>10</v>
      </c>
      <c r="M43">
        <v>1</v>
      </c>
      <c r="N43">
        <v>19</v>
      </c>
      <c r="O43">
        <v>17</v>
      </c>
      <c r="P43">
        <v>7</v>
      </c>
      <c r="Q43">
        <v>2</v>
      </c>
      <c r="R43">
        <v>24</v>
      </c>
      <c r="S43">
        <v>6</v>
      </c>
      <c r="T43">
        <v>3.32</v>
      </c>
      <c r="U43">
        <v>3.23</v>
      </c>
      <c r="V43">
        <v>1.21</v>
      </c>
      <c r="W43">
        <v>0.30599999999999999</v>
      </c>
      <c r="X43">
        <v>100</v>
      </c>
      <c r="Y43">
        <f t="shared" ref="Y43:Y52" si="7">IFERROR(R43/S43,"STELLAR")</f>
        <v>4</v>
      </c>
      <c r="Z43" t="str">
        <f t="shared" ref="Z43:Z52" si="8">IFERROR(R43/H43,"STELLAR")</f>
        <v>STELLAR</v>
      </c>
      <c r="AA43" s="176" t="str">
        <f t="shared" ref="AA43:AA52" si="9">IFERROR(J43/H43,"Didn't Start")</f>
        <v>Didn't Start</v>
      </c>
      <c r="AB43" s="192">
        <f t="shared" si="0"/>
        <v>1.263157894736842</v>
      </c>
    </row>
    <row r="44" spans="2:28" x14ac:dyDescent="0.3">
      <c r="B44" t="s">
        <v>179</v>
      </c>
      <c r="C44" t="s">
        <v>1521</v>
      </c>
      <c r="D44" t="s">
        <v>1623</v>
      </c>
      <c r="E44" t="s">
        <v>1623</v>
      </c>
      <c r="F44">
        <v>11.5</v>
      </c>
      <c r="G44">
        <v>10</v>
      </c>
      <c r="H44">
        <v>10</v>
      </c>
      <c r="I44">
        <v>5</v>
      </c>
      <c r="J44">
        <v>4</v>
      </c>
      <c r="K44">
        <v>1</v>
      </c>
      <c r="L44">
        <v>0</v>
      </c>
      <c r="M44">
        <v>0</v>
      </c>
      <c r="N44">
        <v>58</v>
      </c>
      <c r="O44">
        <v>62</v>
      </c>
      <c r="P44">
        <v>14</v>
      </c>
      <c r="Q44">
        <v>5</v>
      </c>
      <c r="R44">
        <v>52</v>
      </c>
      <c r="S44">
        <v>14</v>
      </c>
      <c r="T44">
        <v>2.17</v>
      </c>
      <c r="U44">
        <v>3.38</v>
      </c>
      <c r="V44">
        <v>1.31</v>
      </c>
      <c r="W44">
        <v>0.32600000000000001</v>
      </c>
      <c r="X44">
        <v>100</v>
      </c>
      <c r="Y44">
        <f t="shared" si="7"/>
        <v>3.7142857142857144</v>
      </c>
      <c r="Z44">
        <f t="shared" si="8"/>
        <v>5.2</v>
      </c>
      <c r="AA44" s="176">
        <f t="shared" si="9"/>
        <v>0.4</v>
      </c>
      <c r="AB44" s="192">
        <f t="shared" si="0"/>
        <v>0.89655172413793105</v>
      </c>
    </row>
    <row r="45" spans="2:28" x14ac:dyDescent="0.3">
      <c r="B45" t="s">
        <v>768</v>
      </c>
      <c r="C45" t="s">
        <v>224</v>
      </c>
      <c r="D45" t="s">
        <v>1624</v>
      </c>
      <c r="E45" t="s">
        <v>1624</v>
      </c>
      <c r="F45">
        <v>11.1</v>
      </c>
      <c r="G45">
        <v>23</v>
      </c>
      <c r="H45">
        <v>0</v>
      </c>
      <c r="I45">
        <v>0</v>
      </c>
      <c r="J45">
        <v>2</v>
      </c>
      <c r="K45">
        <v>0</v>
      </c>
      <c r="L45">
        <v>2</v>
      </c>
      <c r="M45">
        <v>8</v>
      </c>
      <c r="N45">
        <v>23.7</v>
      </c>
      <c r="O45">
        <v>11</v>
      </c>
      <c r="P45">
        <v>3</v>
      </c>
      <c r="Q45">
        <v>2</v>
      </c>
      <c r="R45">
        <v>38</v>
      </c>
      <c r="S45">
        <v>8</v>
      </c>
      <c r="T45">
        <v>1.1399999999999999</v>
      </c>
      <c r="U45">
        <v>2.4300000000000002</v>
      </c>
      <c r="V45">
        <v>0.8</v>
      </c>
      <c r="W45">
        <v>0.22500000000000001</v>
      </c>
      <c r="X45">
        <v>43</v>
      </c>
      <c r="Y45">
        <f t="shared" si="7"/>
        <v>4.75</v>
      </c>
      <c r="Z45" t="str">
        <f t="shared" si="8"/>
        <v>STELLAR</v>
      </c>
      <c r="AA45" s="176" t="str">
        <f t="shared" si="9"/>
        <v>Didn't Start</v>
      </c>
      <c r="AB45" s="192">
        <f t="shared" si="0"/>
        <v>1.6033755274261603</v>
      </c>
    </row>
    <row r="46" spans="2:28" x14ac:dyDescent="0.3">
      <c r="B46" t="s">
        <v>726</v>
      </c>
      <c r="C46" t="s">
        <v>1523</v>
      </c>
      <c r="D46" t="s">
        <v>1623</v>
      </c>
      <c r="E46" t="s">
        <v>1623</v>
      </c>
      <c r="F46">
        <v>11</v>
      </c>
      <c r="G46">
        <v>9</v>
      </c>
      <c r="H46">
        <v>9</v>
      </c>
      <c r="I46">
        <v>5</v>
      </c>
      <c r="J46">
        <v>5</v>
      </c>
      <c r="K46">
        <v>1</v>
      </c>
      <c r="L46">
        <v>0</v>
      </c>
      <c r="M46">
        <v>0</v>
      </c>
      <c r="N46">
        <v>50.3</v>
      </c>
      <c r="O46">
        <v>44</v>
      </c>
      <c r="P46">
        <v>20</v>
      </c>
      <c r="Q46">
        <v>4</v>
      </c>
      <c r="R46">
        <v>45</v>
      </c>
      <c r="S46">
        <v>14</v>
      </c>
      <c r="T46">
        <v>3.58</v>
      </c>
      <c r="U46">
        <v>3.48</v>
      </c>
      <c r="V46">
        <v>1.1499999999999999</v>
      </c>
      <c r="W46">
        <v>0.28199999999999997</v>
      </c>
      <c r="X46">
        <v>94</v>
      </c>
      <c r="Y46">
        <f t="shared" si="7"/>
        <v>3.2142857142857144</v>
      </c>
      <c r="Z46">
        <f t="shared" si="8"/>
        <v>5</v>
      </c>
      <c r="AA46" s="176">
        <f t="shared" si="9"/>
        <v>0.55555555555555558</v>
      </c>
      <c r="AB46" s="192">
        <f t="shared" si="0"/>
        <v>0.89463220675944344</v>
      </c>
    </row>
    <row r="47" spans="2:28" x14ac:dyDescent="0.3">
      <c r="B47" t="s">
        <v>143</v>
      </c>
      <c r="C47" t="s">
        <v>264</v>
      </c>
      <c r="D47" t="s">
        <v>1623</v>
      </c>
      <c r="E47" t="s">
        <v>1623</v>
      </c>
      <c r="F47">
        <v>10.8</v>
      </c>
      <c r="G47">
        <v>6</v>
      </c>
      <c r="H47">
        <v>6</v>
      </c>
      <c r="I47">
        <v>3</v>
      </c>
      <c r="J47">
        <v>2</v>
      </c>
      <c r="K47">
        <v>0</v>
      </c>
      <c r="L47">
        <v>0</v>
      </c>
      <c r="M47">
        <v>0</v>
      </c>
      <c r="N47">
        <v>30.3</v>
      </c>
      <c r="O47">
        <v>19</v>
      </c>
      <c r="P47">
        <v>9</v>
      </c>
      <c r="Q47">
        <v>2</v>
      </c>
      <c r="R47">
        <v>45</v>
      </c>
      <c r="S47">
        <v>4</v>
      </c>
      <c r="T47">
        <v>2.67</v>
      </c>
      <c r="U47">
        <v>1.56</v>
      </c>
      <c r="V47">
        <v>0.76</v>
      </c>
      <c r="W47">
        <v>0.26600000000000001</v>
      </c>
      <c r="X47">
        <v>100</v>
      </c>
      <c r="Y47">
        <f t="shared" si="7"/>
        <v>11.25</v>
      </c>
      <c r="Z47">
        <f t="shared" si="8"/>
        <v>7.5</v>
      </c>
      <c r="AA47" s="176">
        <f t="shared" si="9"/>
        <v>0.33333333333333331</v>
      </c>
      <c r="AB47" s="192">
        <f t="shared" si="0"/>
        <v>1.4851485148514851</v>
      </c>
    </row>
    <row r="48" spans="2:28" x14ac:dyDescent="0.3">
      <c r="B48" t="s">
        <v>898</v>
      </c>
      <c r="C48" t="s">
        <v>251</v>
      </c>
      <c r="D48" t="s">
        <v>1624</v>
      </c>
      <c r="E48" t="s">
        <v>1624</v>
      </c>
      <c r="F48">
        <v>10.5</v>
      </c>
      <c r="G48">
        <v>25</v>
      </c>
      <c r="H48">
        <v>0</v>
      </c>
      <c r="I48">
        <v>0</v>
      </c>
      <c r="J48">
        <v>1</v>
      </c>
      <c r="K48">
        <v>4</v>
      </c>
      <c r="L48">
        <v>16</v>
      </c>
      <c r="M48">
        <v>0</v>
      </c>
      <c r="N48">
        <v>24</v>
      </c>
      <c r="O48">
        <v>25</v>
      </c>
      <c r="P48">
        <v>9</v>
      </c>
      <c r="Q48">
        <v>1</v>
      </c>
      <c r="R48">
        <v>16</v>
      </c>
      <c r="S48">
        <v>5</v>
      </c>
      <c r="T48">
        <v>3.38</v>
      </c>
      <c r="U48">
        <v>3.11</v>
      </c>
      <c r="V48">
        <v>1.25</v>
      </c>
      <c r="W48">
        <v>0.308</v>
      </c>
      <c r="X48">
        <v>100</v>
      </c>
      <c r="Y48">
        <f t="shared" si="7"/>
        <v>3.2</v>
      </c>
      <c r="Z48" t="str">
        <f t="shared" si="8"/>
        <v>STELLAR</v>
      </c>
      <c r="AA48" s="176" t="str">
        <f t="shared" si="9"/>
        <v>Didn't Start</v>
      </c>
      <c r="AB48" s="192">
        <f t="shared" si="0"/>
        <v>0.66666666666666663</v>
      </c>
    </row>
    <row r="49" spans="2:28" x14ac:dyDescent="0.3">
      <c r="B49" t="s">
        <v>409</v>
      </c>
      <c r="C49" t="s">
        <v>224</v>
      </c>
      <c r="D49" t="s">
        <v>1623</v>
      </c>
      <c r="E49" t="s">
        <v>1623</v>
      </c>
      <c r="F49">
        <v>9.6</v>
      </c>
      <c r="G49">
        <v>9</v>
      </c>
      <c r="H49">
        <v>9</v>
      </c>
      <c r="I49">
        <v>4</v>
      </c>
      <c r="J49">
        <v>4</v>
      </c>
      <c r="K49">
        <v>1</v>
      </c>
      <c r="L49">
        <v>0</v>
      </c>
      <c r="M49">
        <v>0</v>
      </c>
      <c r="N49">
        <v>50.7</v>
      </c>
      <c r="O49">
        <v>47</v>
      </c>
      <c r="P49">
        <v>18</v>
      </c>
      <c r="Q49">
        <v>3</v>
      </c>
      <c r="R49">
        <v>56</v>
      </c>
      <c r="S49">
        <v>17</v>
      </c>
      <c r="T49">
        <v>3.2</v>
      </c>
      <c r="U49">
        <v>3.08</v>
      </c>
      <c r="V49">
        <v>1.26</v>
      </c>
      <c r="W49">
        <v>0.34100000000000003</v>
      </c>
      <c r="X49">
        <v>100</v>
      </c>
      <c r="Y49">
        <f t="shared" si="7"/>
        <v>3.2941176470588234</v>
      </c>
      <c r="Z49">
        <f t="shared" si="8"/>
        <v>6.2222222222222223</v>
      </c>
      <c r="AA49" s="176">
        <f t="shared" si="9"/>
        <v>0.44444444444444442</v>
      </c>
      <c r="AB49" s="192">
        <f t="shared" si="0"/>
        <v>1.1045364891518736</v>
      </c>
    </row>
    <row r="50" spans="2:28" x14ac:dyDescent="0.3">
      <c r="B50" t="s">
        <v>144</v>
      </c>
      <c r="C50" t="s">
        <v>226</v>
      </c>
      <c r="D50" t="s">
        <v>1623</v>
      </c>
      <c r="E50" t="s">
        <v>1623</v>
      </c>
      <c r="F50">
        <v>9.1</v>
      </c>
      <c r="G50">
        <v>10</v>
      </c>
      <c r="H50">
        <v>10</v>
      </c>
      <c r="I50">
        <v>5</v>
      </c>
      <c r="J50">
        <v>5</v>
      </c>
      <c r="K50">
        <v>4</v>
      </c>
      <c r="L50">
        <v>0</v>
      </c>
      <c r="M50">
        <v>0</v>
      </c>
      <c r="N50">
        <v>55.3</v>
      </c>
      <c r="O50">
        <v>53</v>
      </c>
      <c r="P50">
        <v>27</v>
      </c>
      <c r="Q50">
        <v>14</v>
      </c>
      <c r="R50">
        <v>53</v>
      </c>
      <c r="S50">
        <v>11</v>
      </c>
      <c r="T50">
        <v>4.3899999999999997</v>
      </c>
      <c r="U50">
        <v>5.3</v>
      </c>
      <c r="V50">
        <v>1.1599999999999999</v>
      </c>
      <c r="W50">
        <v>0.26900000000000002</v>
      </c>
      <c r="X50">
        <v>100</v>
      </c>
      <c r="Y50">
        <f t="shared" si="7"/>
        <v>4.8181818181818183</v>
      </c>
      <c r="Z50">
        <f t="shared" si="8"/>
        <v>5.3</v>
      </c>
      <c r="AA50" s="176">
        <f t="shared" si="9"/>
        <v>0.5</v>
      </c>
      <c r="AB50" s="192">
        <f t="shared" si="0"/>
        <v>0.95840867992766732</v>
      </c>
    </row>
    <row r="51" spans="2:28" x14ac:dyDescent="0.3">
      <c r="B51" t="s">
        <v>793</v>
      </c>
      <c r="C51" t="s">
        <v>264</v>
      </c>
      <c r="D51" t="s">
        <v>1623</v>
      </c>
      <c r="E51" t="s">
        <v>1623</v>
      </c>
      <c r="F51">
        <v>8.9</v>
      </c>
      <c r="G51">
        <v>9</v>
      </c>
      <c r="H51">
        <v>9</v>
      </c>
      <c r="I51">
        <v>4</v>
      </c>
      <c r="J51">
        <v>4</v>
      </c>
      <c r="K51">
        <v>1</v>
      </c>
      <c r="L51">
        <v>0</v>
      </c>
      <c r="M51">
        <v>0</v>
      </c>
      <c r="N51">
        <v>50.7</v>
      </c>
      <c r="O51">
        <v>40</v>
      </c>
      <c r="P51">
        <v>17</v>
      </c>
      <c r="Q51">
        <v>7</v>
      </c>
      <c r="R51">
        <v>38</v>
      </c>
      <c r="S51">
        <v>18</v>
      </c>
      <c r="T51">
        <v>3.02</v>
      </c>
      <c r="U51">
        <v>4.82</v>
      </c>
      <c r="V51">
        <v>1.1399999999999999</v>
      </c>
      <c r="W51">
        <v>0.24099999999999999</v>
      </c>
      <c r="X51">
        <v>100</v>
      </c>
      <c r="Y51">
        <f t="shared" si="7"/>
        <v>2.1111111111111112</v>
      </c>
      <c r="Z51">
        <f t="shared" si="8"/>
        <v>4.2222222222222223</v>
      </c>
      <c r="AA51" s="176">
        <f t="shared" si="9"/>
        <v>0.44444444444444442</v>
      </c>
      <c r="AB51" s="192">
        <f t="shared" si="0"/>
        <v>0.74950690335305714</v>
      </c>
    </row>
    <row r="52" spans="2:28" x14ac:dyDescent="0.3">
      <c r="B52" t="s">
        <v>189</v>
      </c>
      <c r="C52" t="s">
        <v>243</v>
      </c>
      <c r="D52" t="s">
        <v>1623</v>
      </c>
      <c r="E52" t="s">
        <v>1623</v>
      </c>
      <c r="F52">
        <v>8.9</v>
      </c>
      <c r="G52">
        <v>10</v>
      </c>
      <c r="H52">
        <v>10</v>
      </c>
      <c r="I52">
        <v>6</v>
      </c>
      <c r="J52">
        <v>3</v>
      </c>
      <c r="K52">
        <v>3</v>
      </c>
      <c r="L52">
        <v>0</v>
      </c>
      <c r="M52">
        <v>0</v>
      </c>
      <c r="N52">
        <v>59.7</v>
      </c>
      <c r="O52">
        <v>55</v>
      </c>
      <c r="P52">
        <v>24</v>
      </c>
      <c r="Q52">
        <v>8</v>
      </c>
      <c r="R52">
        <v>60</v>
      </c>
      <c r="S52">
        <v>12</v>
      </c>
      <c r="T52">
        <v>3.62</v>
      </c>
      <c r="U52">
        <v>3.81</v>
      </c>
      <c r="V52">
        <v>1.1200000000000001</v>
      </c>
      <c r="W52">
        <v>0.28999999999999998</v>
      </c>
      <c r="X52">
        <v>100</v>
      </c>
      <c r="Y52">
        <f t="shared" si="7"/>
        <v>5</v>
      </c>
      <c r="Z52">
        <f t="shared" si="8"/>
        <v>6</v>
      </c>
      <c r="AA52" s="176">
        <f t="shared" si="9"/>
        <v>0.3</v>
      </c>
      <c r="AB52" s="192">
        <f t="shared" si="0"/>
        <v>1.0050251256281406</v>
      </c>
    </row>
    <row r="53" spans="2:28" x14ac:dyDescent="0.3">
      <c r="B53" t="s">
        <v>166</v>
      </c>
      <c r="C53" t="s">
        <v>244</v>
      </c>
      <c r="D53" t="s">
        <v>1623</v>
      </c>
      <c r="E53" t="s">
        <v>1623</v>
      </c>
      <c r="F53">
        <v>8.9</v>
      </c>
      <c r="G53">
        <v>9</v>
      </c>
      <c r="H53">
        <v>9</v>
      </c>
      <c r="I53">
        <v>5</v>
      </c>
      <c r="J53">
        <v>2</v>
      </c>
      <c r="K53">
        <v>2</v>
      </c>
      <c r="L53">
        <v>0</v>
      </c>
      <c r="M53">
        <v>0</v>
      </c>
      <c r="N53">
        <v>52</v>
      </c>
      <c r="O53">
        <v>42</v>
      </c>
      <c r="P53">
        <v>22</v>
      </c>
      <c r="Q53">
        <v>5</v>
      </c>
      <c r="R53">
        <v>63</v>
      </c>
      <c r="S53">
        <v>10</v>
      </c>
      <c r="T53">
        <v>3.81</v>
      </c>
      <c r="U53">
        <v>2.68</v>
      </c>
      <c r="V53">
        <v>1</v>
      </c>
      <c r="W53">
        <v>0.28899999999999998</v>
      </c>
      <c r="X53">
        <v>100</v>
      </c>
      <c r="Y53">
        <f>IFERROR(R69/S69,"STELLAR")</f>
        <v>4.7692307692307692</v>
      </c>
      <c r="Z53">
        <f>IFERROR(R69/H69,"STELLAR")</f>
        <v>6.8888888888888893</v>
      </c>
      <c r="AA53" s="176">
        <f>IFERROR(J69/H69,"Didn't Start")</f>
        <v>0.44444444444444442</v>
      </c>
      <c r="AB53" s="192">
        <f t="shared" si="0"/>
        <v>1.2115384615384615</v>
      </c>
    </row>
    <row r="54" spans="2:28" x14ac:dyDescent="0.3">
      <c r="B54" t="s">
        <v>323</v>
      </c>
      <c r="C54" t="s">
        <v>1521</v>
      </c>
      <c r="D54" t="s">
        <v>1623</v>
      </c>
      <c r="E54" t="s">
        <v>1623</v>
      </c>
      <c r="F54">
        <v>8.8000000000000007</v>
      </c>
      <c r="G54">
        <v>10</v>
      </c>
      <c r="H54">
        <v>10</v>
      </c>
      <c r="I54">
        <v>5</v>
      </c>
      <c r="J54">
        <v>3</v>
      </c>
      <c r="K54">
        <v>4</v>
      </c>
      <c r="L54">
        <v>0</v>
      </c>
      <c r="M54">
        <v>0</v>
      </c>
      <c r="N54">
        <v>60.3</v>
      </c>
      <c r="O54">
        <v>54</v>
      </c>
      <c r="P54">
        <v>23</v>
      </c>
      <c r="Q54">
        <v>6</v>
      </c>
      <c r="R54">
        <v>47</v>
      </c>
      <c r="S54">
        <v>9</v>
      </c>
      <c r="T54">
        <v>3.43</v>
      </c>
      <c r="U54">
        <v>3.56</v>
      </c>
      <c r="V54">
        <v>1.04</v>
      </c>
      <c r="W54">
        <v>0.26700000000000002</v>
      </c>
      <c r="X54">
        <v>99</v>
      </c>
      <c r="Y54">
        <f>IFERROR(R70/S70,"STELLAR")</f>
        <v>4.833333333333333</v>
      </c>
      <c r="Z54" t="str">
        <f>IFERROR(R70/H70,"STELLAR")</f>
        <v>STELLAR</v>
      </c>
      <c r="AA54" s="176" t="str">
        <f>IFERROR(J70/H70,"Didn't Start")</f>
        <v>Didn't Start</v>
      </c>
      <c r="AB54" s="192">
        <f t="shared" si="0"/>
        <v>0.77943615257048093</v>
      </c>
    </row>
    <row r="55" spans="2:28" x14ac:dyDescent="0.3">
      <c r="B55" t="s">
        <v>168</v>
      </c>
      <c r="C55" t="s">
        <v>274</v>
      </c>
      <c r="D55" t="s">
        <v>1623</v>
      </c>
      <c r="E55" t="s">
        <v>1623</v>
      </c>
      <c r="F55">
        <v>8.6999999999999993</v>
      </c>
      <c r="G55">
        <v>10</v>
      </c>
      <c r="H55">
        <v>10</v>
      </c>
      <c r="I55">
        <v>6</v>
      </c>
      <c r="J55">
        <v>2</v>
      </c>
      <c r="K55">
        <v>3</v>
      </c>
      <c r="L55">
        <v>0</v>
      </c>
      <c r="M55">
        <v>0</v>
      </c>
      <c r="N55">
        <v>60</v>
      </c>
      <c r="O55">
        <v>49</v>
      </c>
      <c r="P55">
        <v>26</v>
      </c>
      <c r="Q55">
        <v>8</v>
      </c>
      <c r="R55">
        <v>75</v>
      </c>
      <c r="S55">
        <v>17</v>
      </c>
      <c r="T55">
        <v>3.9</v>
      </c>
      <c r="U55">
        <v>3.61</v>
      </c>
      <c r="V55">
        <v>1.1000000000000001</v>
      </c>
      <c r="W55">
        <v>0.29699999999999999</v>
      </c>
      <c r="X55">
        <v>100</v>
      </c>
      <c r="Y55">
        <f t="shared" ref="Y55:Y118" si="10">IFERROR(R55/S55,"STELLAR")</f>
        <v>4.4117647058823533</v>
      </c>
      <c r="Z55">
        <f t="shared" ref="Z55:Z118" si="11">IFERROR(R55/H55,"STELLAR")</f>
        <v>7.5</v>
      </c>
      <c r="AA55" s="176">
        <f t="shared" ref="AA55:AA118" si="12">IFERROR(J55/H55,"Didn't Start")</f>
        <v>0.2</v>
      </c>
      <c r="AB55" s="192">
        <f t="shared" si="0"/>
        <v>1.25</v>
      </c>
    </row>
    <row r="56" spans="2:28" x14ac:dyDescent="0.3">
      <c r="B56" t="s">
        <v>177</v>
      </c>
      <c r="C56" t="s">
        <v>311</v>
      </c>
      <c r="D56" t="s">
        <v>1623</v>
      </c>
      <c r="E56" t="s">
        <v>1623</v>
      </c>
      <c r="F56">
        <v>8.4</v>
      </c>
      <c r="G56">
        <v>10</v>
      </c>
      <c r="H56">
        <v>10</v>
      </c>
      <c r="I56">
        <v>7</v>
      </c>
      <c r="J56">
        <v>4</v>
      </c>
      <c r="K56">
        <v>3</v>
      </c>
      <c r="L56">
        <v>0</v>
      </c>
      <c r="M56">
        <v>0</v>
      </c>
      <c r="N56">
        <v>62.7</v>
      </c>
      <c r="O56">
        <v>54</v>
      </c>
      <c r="P56">
        <v>30</v>
      </c>
      <c r="Q56">
        <v>8</v>
      </c>
      <c r="R56">
        <v>53</v>
      </c>
      <c r="S56">
        <v>13</v>
      </c>
      <c r="T56">
        <v>4.3099999999999996</v>
      </c>
      <c r="U56">
        <v>3.92</v>
      </c>
      <c r="V56">
        <v>1.07</v>
      </c>
      <c r="W56">
        <v>0.26600000000000001</v>
      </c>
      <c r="X56">
        <v>100</v>
      </c>
      <c r="Y56">
        <f t="shared" si="10"/>
        <v>4.0769230769230766</v>
      </c>
      <c r="Z56">
        <f t="shared" si="11"/>
        <v>5.3</v>
      </c>
      <c r="AA56" s="176">
        <f t="shared" si="12"/>
        <v>0.4</v>
      </c>
      <c r="AB56" s="192">
        <f t="shared" si="0"/>
        <v>0.84529505582137154</v>
      </c>
    </row>
    <row r="57" spans="2:28" x14ac:dyDescent="0.3">
      <c r="B57" t="s">
        <v>1639</v>
      </c>
      <c r="C57" t="s">
        <v>224</v>
      </c>
      <c r="D57" t="s">
        <v>1624</v>
      </c>
      <c r="E57" t="s">
        <v>1624</v>
      </c>
      <c r="F57">
        <v>8.1999999999999993</v>
      </c>
      <c r="G57">
        <v>20</v>
      </c>
      <c r="H57">
        <v>0</v>
      </c>
      <c r="I57">
        <v>0</v>
      </c>
      <c r="J57">
        <v>3</v>
      </c>
      <c r="K57">
        <v>1</v>
      </c>
      <c r="L57">
        <v>2</v>
      </c>
      <c r="M57">
        <v>6</v>
      </c>
      <c r="N57">
        <v>20.3</v>
      </c>
      <c r="O57">
        <v>10</v>
      </c>
      <c r="P57">
        <v>3</v>
      </c>
      <c r="Q57">
        <v>2</v>
      </c>
      <c r="R57">
        <v>24</v>
      </c>
      <c r="S57">
        <v>8</v>
      </c>
      <c r="T57">
        <v>1.33</v>
      </c>
      <c r="U57">
        <v>3.38</v>
      </c>
      <c r="V57">
        <v>0.89</v>
      </c>
      <c r="W57">
        <v>0.186</v>
      </c>
      <c r="X57">
        <v>2</v>
      </c>
      <c r="Y57">
        <f t="shared" si="10"/>
        <v>3</v>
      </c>
      <c r="Z57" t="str">
        <f t="shared" si="11"/>
        <v>STELLAR</v>
      </c>
      <c r="AA57" s="176" t="str">
        <f t="shared" si="12"/>
        <v>Didn't Start</v>
      </c>
      <c r="AB57" s="192">
        <f t="shared" si="0"/>
        <v>1.1822660098522166</v>
      </c>
    </row>
    <row r="58" spans="2:28" x14ac:dyDescent="0.3">
      <c r="B58" t="s">
        <v>1632</v>
      </c>
      <c r="C58" t="s">
        <v>222</v>
      </c>
      <c r="D58" t="s">
        <v>1623</v>
      </c>
      <c r="E58" t="s">
        <v>1623</v>
      </c>
      <c r="F58">
        <v>8.1999999999999993</v>
      </c>
      <c r="G58">
        <v>9</v>
      </c>
      <c r="H58">
        <v>9</v>
      </c>
      <c r="I58">
        <v>2</v>
      </c>
      <c r="J58">
        <v>2</v>
      </c>
      <c r="K58">
        <v>3</v>
      </c>
      <c r="L58">
        <v>0</v>
      </c>
      <c r="M58">
        <v>0</v>
      </c>
      <c r="N58">
        <v>48</v>
      </c>
      <c r="O58">
        <v>28</v>
      </c>
      <c r="P58">
        <v>20</v>
      </c>
      <c r="Q58">
        <v>7</v>
      </c>
      <c r="R58">
        <v>49</v>
      </c>
      <c r="S58">
        <v>15</v>
      </c>
      <c r="T58">
        <v>3.75</v>
      </c>
      <c r="U58">
        <v>4.1900000000000004</v>
      </c>
      <c r="V58">
        <v>0.9</v>
      </c>
      <c r="W58">
        <v>0.184</v>
      </c>
      <c r="X58">
        <v>98</v>
      </c>
      <c r="Y58">
        <f t="shared" si="10"/>
        <v>3.2666666666666666</v>
      </c>
      <c r="Z58">
        <f t="shared" si="11"/>
        <v>5.4444444444444446</v>
      </c>
      <c r="AA58" s="176">
        <f t="shared" si="12"/>
        <v>0.22222222222222221</v>
      </c>
      <c r="AB58" s="192">
        <f t="shared" si="0"/>
        <v>1.0208333333333333</v>
      </c>
    </row>
    <row r="59" spans="2:28" x14ac:dyDescent="0.3">
      <c r="B59" t="s">
        <v>698</v>
      </c>
      <c r="C59" t="s">
        <v>1523</v>
      </c>
      <c r="D59" t="s">
        <v>1623</v>
      </c>
      <c r="E59" t="s">
        <v>1623</v>
      </c>
      <c r="F59">
        <v>8</v>
      </c>
      <c r="G59">
        <v>9</v>
      </c>
      <c r="H59">
        <v>9</v>
      </c>
      <c r="I59">
        <v>5</v>
      </c>
      <c r="J59">
        <v>3</v>
      </c>
      <c r="K59">
        <v>3</v>
      </c>
      <c r="L59">
        <v>0</v>
      </c>
      <c r="M59">
        <v>0</v>
      </c>
      <c r="N59">
        <v>54</v>
      </c>
      <c r="O59">
        <v>44</v>
      </c>
      <c r="P59">
        <v>22</v>
      </c>
      <c r="Q59">
        <v>7</v>
      </c>
      <c r="R59">
        <v>57</v>
      </c>
      <c r="S59">
        <v>17</v>
      </c>
      <c r="T59">
        <v>3.67</v>
      </c>
      <c r="U59">
        <v>4.0199999999999996</v>
      </c>
      <c r="V59">
        <v>1.1299999999999999</v>
      </c>
      <c r="W59">
        <v>0.28699999999999998</v>
      </c>
      <c r="X59">
        <v>100</v>
      </c>
      <c r="Y59">
        <f t="shared" si="10"/>
        <v>3.3529411764705883</v>
      </c>
      <c r="Z59">
        <f t="shared" si="11"/>
        <v>6.333333333333333</v>
      </c>
      <c r="AA59" s="176">
        <f t="shared" si="12"/>
        <v>0.33333333333333331</v>
      </c>
      <c r="AB59" s="192">
        <f t="shared" si="0"/>
        <v>1.0555555555555556</v>
      </c>
    </row>
    <row r="60" spans="2:28" x14ac:dyDescent="0.3">
      <c r="B60" t="s">
        <v>258</v>
      </c>
      <c r="C60" t="s">
        <v>1522</v>
      </c>
      <c r="D60" t="s">
        <v>1623</v>
      </c>
      <c r="E60" t="s">
        <v>1623</v>
      </c>
      <c r="F60">
        <v>8</v>
      </c>
      <c r="G60">
        <v>3</v>
      </c>
      <c r="H60">
        <v>3</v>
      </c>
      <c r="I60">
        <v>2</v>
      </c>
      <c r="J60">
        <v>2</v>
      </c>
      <c r="K60">
        <v>0</v>
      </c>
      <c r="L60">
        <v>0</v>
      </c>
      <c r="M60">
        <v>0</v>
      </c>
      <c r="N60">
        <v>16</v>
      </c>
      <c r="O60">
        <v>4</v>
      </c>
      <c r="P60">
        <v>1</v>
      </c>
      <c r="Q60">
        <v>1</v>
      </c>
      <c r="R60">
        <v>24</v>
      </c>
      <c r="S60">
        <v>4</v>
      </c>
      <c r="T60">
        <v>0.56000000000000005</v>
      </c>
      <c r="U60">
        <v>1.84</v>
      </c>
      <c r="V60">
        <v>0.5</v>
      </c>
      <c r="W60">
        <v>0.12</v>
      </c>
      <c r="X60">
        <v>2</v>
      </c>
      <c r="Y60">
        <f t="shared" si="10"/>
        <v>6</v>
      </c>
      <c r="Z60">
        <f t="shared" si="11"/>
        <v>8</v>
      </c>
      <c r="AA60" s="176">
        <f t="shared" si="12"/>
        <v>0.66666666666666663</v>
      </c>
      <c r="AB60" s="192">
        <f t="shared" si="0"/>
        <v>1.5</v>
      </c>
    </row>
    <row r="61" spans="2:28" x14ac:dyDescent="0.3">
      <c r="B61" t="s">
        <v>3098</v>
      </c>
      <c r="C61" t="s">
        <v>274</v>
      </c>
      <c r="D61" t="s">
        <v>1623</v>
      </c>
      <c r="E61" t="s">
        <v>1623</v>
      </c>
      <c r="F61">
        <v>7.9</v>
      </c>
      <c r="G61">
        <v>6</v>
      </c>
      <c r="H61">
        <v>6</v>
      </c>
      <c r="I61">
        <v>3</v>
      </c>
      <c r="J61">
        <v>3</v>
      </c>
      <c r="K61">
        <v>1</v>
      </c>
      <c r="L61">
        <v>0</v>
      </c>
      <c r="M61">
        <v>0</v>
      </c>
      <c r="N61">
        <v>35.299999999999997</v>
      </c>
      <c r="O61">
        <v>25</v>
      </c>
      <c r="P61">
        <v>10</v>
      </c>
      <c r="Q61">
        <v>3</v>
      </c>
      <c r="R61">
        <v>30</v>
      </c>
      <c r="S61">
        <v>10</v>
      </c>
      <c r="T61">
        <v>2.5499999999999998</v>
      </c>
      <c r="U61">
        <v>3.53</v>
      </c>
      <c r="V61">
        <v>0.99</v>
      </c>
      <c r="W61">
        <v>0.22900000000000001</v>
      </c>
      <c r="X61">
        <v>100</v>
      </c>
      <c r="Y61">
        <f t="shared" si="10"/>
        <v>3</v>
      </c>
      <c r="Z61">
        <f t="shared" si="11"/>
        <v>5</v>
      </c>
      <c r="AA61" s="176">
        <f t="shared" si="12"/>
        <v>0.5</v>
      </c>
      <c r="AB61" s="192">
        <f t="shared" si="0"/>
        <v>0.84985835694050993</v>
      </c>
    </row>
    <row r="62" spans="2:28" x14ac:dyDescent="0.3">
      <c r="B62" t="s">
        <v>838</v>
      </c>
      <c r="C62" t="s">
        <v>231</v>
      </c>
      <c r="D62" t="s">
        <v>1623</v>
      </c>
      <c r="E62" t="s">
        <v>1623</v>
      </c>
      <c r="F62">
        <v>7.5</v>
      </c>
      <c r="G62">
        <v>7</v>
      </c>
      <c r="H62">
        <v>7</v>
      </c>
      <c r="I62">
        <v>4</v>
      </c>
      <c r="J62">
        <v>4</v>
      </c>
      <c r="K62">
        <v>3</v>
      </c>
      <c r="L62">
        <v>0</v>
      </c>
      <c r="M62">
        <v>0</v>
      </c>
      <c r="N62">
        <v>35.299999999999997</v>
      </c>
      <c r="O62">
        <v>28</v>
      </c>
      <c r="P62">
        <v>12</v>
      </c>
      <c r="Q62">
        <v>4</v>
      </c>
      <c r="R62">
        <v>34</v>
      </c>
      <c r="S62">
        <v>13</v>
      </c>
      <c r="T62">
        <v>3.06</v>
      </c>
      <c r="U62">
        <v>4.01</v>
      </c>
      <c r="V62">
        <v>1.1599999999999999</v>
      </c>
      <c r="W62">
        <v>0.253</v>
      </c>
      <c r="X62">
        <v>22</v>
      </c>
      <c r="Y62">
        <f t="shared" si="10"/>
        <v>2.6153846153846154</v>
      </c>
      <c r="Z62">
        <f t="shared" si="11"/>
        <v>4.8571428571428568</v>
      </c>
      <c r="AA62" s="176">
        <f t="shared" si="12"/>
        <v>0.5714285714285714</v>
      </c>
      <c r="AB62" s="192">
        <f t="shared" si="0"/>
        <v>0.96317280453257803</v>
      </c>
    </row>
    <row r="63" spans="2:28" x14ac:dyDescent="0.3">
      <c r="B63" t="s">
        <v>596</v>
      </c>
      <c r="C63" t="s">
        <v>226</v>
      </c>
      <c r="D63" t="s">
        <v>1624</v>
      </c>
      <c r="E63" t="s">
        <v>1624</v>
      </c>
      <c r="F63">
        <v>7.1</v>
      </c>
      <c r="G63">
        <v>20</v>
      </c>
      <c r="H63">
        <v>0</v>
      </c>
      <c r="I63">
        <v>0</v>
      </c>
      <c r="J63">
        <v>1</v>
      </c>
      <c r="K63">
        <v>0</v>
      </c>
      <c r="L63">
        <v>7</v>
      </c>
      <c r="M63">
        <v>3</v>
      </c>
      <c r="N63">
        <v>19</v>
      </c>
      <c r="O63">
        <v>11</v>
      </c>
      <c r="P63">
        <v>4</v>
      </c>
      <c r="Q63">
        <v>2</v>
      </c>
      <c r="R63">
        <v>24</v>
      </c>
      <c r="S63">
        <v>5</v>
      </c>
      <c r="T63">
        <v>1.9</v>
      </c>
      <c r="U63">
        <v>3.07</v>
      </c>
      <c r="V63">
        <v>0.84</v>
      </c>
      <c r="W63">
        <v>0.23100000000000001</v>
      </c>
      <c r="X63">
        <v>100</v>
      </c>
      <c r="Y63">
        <f t="shared" si="10"/>
        <v>4.8</v>
      </c>
      <c r="Z63" t="str">
        <f t="shared" si="11"/>
        <v>STELLAR</v>
      </c>
      <c r="AA63" s="176" t="str">
        <f t="shared" si="12"/>
        <v>Didn't Start</v>
      </c>
      <c r="AB63" s="192">
        <f t="shared" si="0"/>
        <v>1.263157894736842</v>
      </c>
    </row>
    <row r="64" spans="2:28" x14ac:dyDescent="0.3">
      <c r="B64" t="s">
        <v>154</v>
      </c>
      <c r="C64" t="s">
        <v>239</v>
      </c>
      <c r="D64" t="s">
        <v>1623</v>
      </c>
      <c r="E64" t="s">
        <v>1623</v>
      </c>
      <c r="F64">
        <v>7.1</v>
      </c>
      <c r="G64">
        <v>9</v>
      </c>
      <c r="H64">
        <v>9</v>
      </c>
      <c r="I64">
        <v>6</v>
      </c>
      <c r="J64">
        <v>5</v>
      </c>
      <c r="K64">
        <v>3</v>
      </c>
      <c r="L64">
        <v>0</v>
      </c>
      <c r="M64">
        <v>0</v>
      </c>
      <c r="N64">
        <v>52</v>
      </c>
      <c r="O64">
        <v>46</v>
      </c>
      <c r="P64">
        <v>24</v>
      </c>
      <c r="Q64">
        <v>6</v>
      </c>
      <c r="R64">
        <v>54</v>
      </c>
      <c r="S64">
        <v>22</v>
      </c>
      <c r="T64">
        <v>4.1500000000000004</v>
      </c>
      <c r="U64">
        <v>4.09</v>
      </c>
      <c r="V64">
        <v>1.31</v>
      </c>
      <c r="W64">
        <v>0.29199999999999998</v>
      </c>
      <c r="X64">
        <v>100</v>
      </c>
      <c r="Y64">
        <f t="shared" si="10"/>
        <v>2.4545454545454546</v>
      </c>
      <c r="Z64">
        <f t="shared" si="11"/>
        <v>6</v>
      </c>
      <c r="AA64" s="176">
        <f t="shared" si="12"/>
        <v>0.55555555555555558</v>
      </c>
      <c r="AB64" s="192">
        <f t="shared" si="0"/>
        <v>1.0384615384615385</v>
      </c>
    </row>
    <row r="65" spans="2:28" x14ac:dyDescent="0.3">
      <c r="B65" t="s">
        <v>195</v>
      </c>
      <c r="C65" t="s">
        <v>1524</v>
      </c>
      <c r="D65" t="s">
        <v>1623</v>
      </c>
      <c r="E65" t="s">
        <v>1623</v>
      </c>
      <c r="F65">
        <v>6.9</v>
      </c>
      <c r="G65">
        <v>10</v>
      </c>
      <c r="H65">
        <v>10</v>
      </c>
      <c r="I65">
        <v>5</v>
      </c>
      <c r="J65">
        <v>4</v>
      </c>
      <c r="K65">
        <v>5</v>
      </c>
      <c r="L65">
        <v>0</v>
      </c>
      <c r="M65">
        <v>0</v>
      </c>
      <c r="N65">
        <v>57.7</v>
      </c>
      <c r="O65">
        <v>51</v>
      </c>
      <c r="P65">
        <v>17</v>
      </c>
      <c r="Q65">
        <v>5</v>
      </c>
      <c r="R65">
        <v>47</v>
      </c>
      <c r="S65">
        <v>28</v>
      </c>
      <c r="T65">
        <v>2.65</v>
      </c>
      <c r="U65">
        <v>4.34</v>
      </c>
      <c r="V65">
        <v>1.37</v>
      </c>
      <c r="W65">
        <v>0.27500000000000002</v>
      </c>
      <c r="X65">
        <v>100</v>
      </c>
      <c r="Y65">
        <f t="shared" si="10"/>
        <v>1.6785714285714286</v>
      </c>
      <c r="Z65">
        <f t="shared" si="11"/>
        <v>4.7</v>
      </c>
      <c r="AA65" s="176">
        <f t="shared" si="12"/>
        <v>0.4</v>
      </c>
      <c r="AB65" s="192">
        <f t="shared" si="0"/>
        <v>0.81455805892547661</v>
      </c>
    </row>
    <row r="66" spans="2:28" x14ac:dyDescent="0.3">
      <c r="B66" t="s">
        <v>499</v>
      </c>
      <c r="C66" t="s">
        <v>235</v>
      </c>
      <c r="D66" t="s">
        <v>1624</v>
      </c>
      <c r="E66" t="s">
        <v>1624</v>
      </c>
      <c r="F66">
        <v>6.8</v>
      </c>
      <c r="G66">
        <v>22</v>
      </c>
      <c r="H66">
        <v>0</v>
      </c>
      <c r="I66">
        <v>0</v>
      </c>
      <c r="J66">
        <v>3</v>
      </c>
      <c r="K66">
        <v>1</v>
      </c>
      <c r="L66">
        <v>0</v>
      </c>
      <c r="M66">
        <v>12</v>
      </c>
      <c r="N66">
        <v>25</v>
      </c>
      <c r="O66">
        <v>13</v>
      </c>
      <c r="P66">
        <v>4</v>
      </c>
      <c r="Q66">
        <v>2</v>
      </c>
      <c r="R66">
        <v>21</v>
      </c>
      <c r="S66">
        <v>7</v>
      </c>
      <c r="T66">
        <v>1.44</v>
      </c>
      <c r="U66">
        <v>3.72</v>
      </c>
      <c r="V66">
        <v>0.8</v>
      </c>
      <c r="W66">
        <v>0.18</v>
      </c>
      <c r="X66">
        <v>1</v>
      </c>
      <c r="Y66">
        <f t="shared" si="10"/>
        <v>3</v>
      </c>
      <c r="Z66" t="str">
        <f t="shared" si="11"/>
        <v>STELLAR</v>
      </c>
      <c r="AA66" s="176" t="str">
        <f t="shared" si="12"/>
        <v>Didn't Start</v>
      </c>
      <c r="AB66" s="192">
        <f t="shared" si="0"/>
        <v>0.84</v>
      </c>
    </row>
    <row r="67" spans="2:28" x14ac:dyDescent="0.3">
      <c r="B67" t="s">
        <v>503</v>
      </c>
      <c r="C67" t="s">
        <v>250</v>
      </c>
      <c r="D67" t="s">
        <v>1623</v>
      </c>
      <c r="E67" t="s">
        <v>1623</v>
      </c>
      <c r="F67">
        <v>6.8</v>
      </c>
      <c r="G67">
        <v>9</v>
      </c>
      <c r="H67">
        <v>9</v>
      </c>
      <c r="I67">
        <v>5</v>
      </c>
      <c r="J67">
        <v>5</v>
      </c>
      <c r="K67">
        <v>4</v>
      </c>
      <c r="L67">
        <v>0</v>
      </c>
      <c r="M67">
        <v>0</v>
      </c>
      <c r="N67">
        <v>52.3</v>
      </c>
      <c r="O67">
        <v>54</v>
      </c>
      <c r="P67">
        <v>21</v>
      </c>
      <c r="Q67">
        <v>6</v>
      </c>
      <c r="R67">
        <v>54</v>
      </c>
      <c r="S67">
        <v>20</v>
      </c>
      <c r="T67">
        <v>3.61</v>
      </c>
      <c r="U67">
        <v>3.97</v>
      </c>
      <c r="V67">
        <v>1.41</v>
      </c>
      <c r="W67">
        <v>0.33100000000000002</v>
      </c>
      <c r="X67">
        <v>100</v>
      </c>
      <c r="Y67">
        <f t="shared" si="10"/>
        <v>2.7</v>
      </c>
      <c r="Z67">
        <f t="shared" si="11"/>
        <v>6</v>
      </c>
      <c r="AA67" s="176">
        <f t="shared" si="12"/>
        <v>0.55555555555555558</v>
      </c>
      <c r="AB67" s="192">
        <f t="shared" ref="AB67:AB130" si="13">R67/N67</f>
        <v>1.0325047801147229</v>
      </c>
    </row>
    <row r="68" spans="2:28" x14ac:dyDescent="0.3">
      <c r="B68" t="s">
        <v>419</v>
      </c>
      <c r="C68" t="s">
        <v>286</v>
      </c>
      <c r="D68" t="s">
        <v>1624</v>
      </c>
      <c r="E68" t="s">
        <v>1624</v>
      </c>
      <c r="F68">
        <v>6.4</v>
      </c>
      <c r="G68">
        <v>24</v>
      </c>
      <c r="H68">
        <v>0</v>
      </c>
      <c r="I68">
        <v>0</v>
      </c>
      <c r="J68">
        <v>3</v>
      </c>
      <c r="K68">
        <v>1</v>
      </c>
      <c r="L68">
        <v>4</v>
      </c>
      <c r="M68">
        <v>8</v>
      </c>
      <c r="N68">
        <v>22.3</v>
      </c>
      <c r="O68">
        <v>15</v>
      </c>
      <c r="P68">
        <v>6</v>
      </c>
      <c r="Q68">
        <v>1</v>
      </c>
      <c r="R68">
        <v>20</v>
      </c>
      <c r="S68">
        <v>8</v>
      </c>
      <c r="T68">
        <v>2.42</v>
      </c>
      <c r="U68">
        <v>3.14</v>
      </c>
      <c r="V68">
        <v>1.03</v>
      </c>
      <c r="W68">
        <v>0.23300000000000001</v>
      </c>
      <c r="X68">
        <v>84</v>
      </c>
      <c r="Y68">
        <f t="shared" si="10"/>
        <v>2.5</v>
      </c>
      <c r="Z68" t="str">
        <f t="shared" si="11"/>
        <v>STELLAR</v>
      </c>
      <c r="AA68" s="176" t="str">
        <f t="shared" si="12"/>
        <v>Didn't Start</v>
      </c>
      <c r="AB68" s="192">
        <f t="shared" si="13"/>
        <v>0.89686098654708513</v>
      </c>
    </row>
    <row r="69" spans="2:28" x14ac:dyDescent="0.3">
      <c r="B69" t="s">
        <v>208</v>
      </c>
      <c r="C69" t="s">
        <v>221</v>
      </c>
      <c r="D69" t="s">
        <v>1623</v>
      </c>
      <c r="E69" t="s">
        <v>1623</v>
      </c>
      <c r="F69">
        <v>6</v>
      </c>
      <c r="G69">
        <v>9</v>
      </c>
      <c r="H69">
        <v>9</v>
      </c>
      <c r="I69">
        <v>5</v>
      </c>
      <c r="J69">
        <v>4</v>
      </c>
      <c r="K69">
        <v>2</v>
      </c>
      <c r="L69">
        <v>0</v>
      </c>
      <c r="M69">
        <v>0</v>
      </c>
      <c r="N69">
        <v>50.3</v>
      </c>
      <c r="O69">
        <v>46</v>
      </c>
      <c r="P69">
        <v>28</v>
      </c>
      <c r="Q69">
        <v>8</v>
      </c>
      <c r="R69">
        <v>62</v>
      </c>
      <c r="S69">
        <v>13</v>
      </c>
      <c r="T69">
        <v>5.01</v>
      </c>
      <c r="U69">
        <v>4.01</v>
      </c>
      <c r="V69">
        <v>1.17</v>
      </c>
      <c r="W69">
        <v>0.309</v>
      </c>
      <c r="X69">
        <v>100</v>
      </c>
      <c r="Y69">
        <f t="shared" si="10"/>
        <v>4.7692307692307692</v>
      </c>
      <c r="Z69">
        <f t="shared" si="11"/>
        <v>6.8888888888888893</v>
      </c>
      <c r="AA69" s="176">
        <f t="shared" si="12"/>
        <v>0.44444444444444442</v>
      </c>
      <c r="AB69" s="192">
        <f t="shared" si="13"/>
        <v>1.2326043737574552</v>
      </c>
    </row>
    <row r="70" spans="2:28" x14ac:dyDescent="0.3">
      <c r="B70" t="s">
        <v>463</v>
      </c>
      <c r="C70" t="s">
        <v>286</v>
      </c>
      <c r="D70" t="s">
        <v>1624</v>
      </c>
      <c r="E70" t="s">
        <v>1624</v>
      </c>
      <c r="F70">
        <v>6</v>
      </c>
      <c r="G70">
        <v>24</v>
      </c>
      <c r="H70">
        <v>0</v>
      </c>
      <c r="I70">
        <v>0</v>
      </c>
      <c r="J70">
        <v>2</v>
      </c>
      <c r="K70">
        <v>1</v>
      </c>
      <c r="L70">
        <v>7</v>
      </c>
      <c r="M70">
        <v>5</v>
      </c>
      <c r="N70">
        <v>19.3</v>
      </c>
      <c r="O70">
        <v>17</v>
      </c>
      <c r="P70">
        <v>7</v>
      </c>
      <c r="Q70">
        <v>2</v>
      </c>
      <c r="R70">
        <v>29</v>
      </c>
      <c r="S70">
        <v>6</v>
      </c>
      <c r="T70">
        <v>3.26</v>
      </c>
      <c r="U70">
        <v>2.5499999999999998</v>
      </c>
      <c r="V70">
        <v>1.19</v>
      </c>
      <c r="W70">
        <v>0.33300000000000002</v>
      </c>
      <c r="X70">
        <v>90</v>
      </c>
      <c r="Y70">
        <f t="shared" si="10"/>
        <v>4.833333333333333</v>
      </c>
      <c r="Z70" t="str">
        <f t="shared" si="11"/>
        <v>STELLAR</v>
      </c>
      <c r="AA70" s="176" t="str">
        <f t="shared" si="12"/>
        <v>Didn't Start</v>
      </c>
      <c r="AB70" s="192">
        <f t="shared" si="13"/>
        <v>1.5025906735751295</v>
      </c>
    </row>
    <row r="71" spans="2:28" x14ac:dyDescent="0.3">
      <c r="B71" t="s">
        <v>202</v>
      </c>
      <c r="C71" t="s">
        <v>239</v>
      </c>
      <c r="D71" t="s">
        <v>1623</v>
      </c>
      <c r="E71" t="s">
        <v>1623</v>
      </c>
      <c r="F71">
        <v>6</v>
      </c>
      <c r="G71">
        <v>10</v>
      </c>
      <c r="H71">
        <v>10</v>
      </c>
      <c r="I71">
        <v>5</v>
      </c>
      <c r="J71">
        <v>4</v>
      </c>
      <c r="K71">
        <v>4</v>
      </c>
      <c r="L71">
        <v>0</v>
      </c>
      <c r="M71">
        <v>0</v>
      </c>
      <c r="N71">
        <v>56.7</v>
      </c>
      <c r="O71">
        <v>48</v>
      </c>
      <c r="P71">
        <v>25</v>
      </c>
      <c r="Q71">
        <v>9</v>
      </c>
      <c r="R71">
        <v>51</v>
      </c>
      <c r="S71">
        <v>21</v>
      </c>
      <c r="T71">
        <v>3.97</v>
      </c>
      <c r="U71">
        <v>4.8099999999999996</v>
      </c>
      <c r="V71">
        <v>1.22</v>
      </c>
      <c r="W71">
        <v>0.25700000000000001</v>
      </c>
      <c r="X71">
        <v>100</v>
      </c>
      <c r="Y71">
        <f t="shared" si="10"/>
        <v>2.4285714285714284</v>
      </c>
      <c r="Z71">
        <f t="shared" si="11"/>
        <v>5.0999999999999996</v>
      </c>
      <c r="AA71" s="176">
        <f t="shared" si="12"/>
        <v>0.4</v>
      </c>
      <c r="AB71" s="192">
        <f t="shared" si="13"/>
        <v>0.89947089947089942</v>
      </c>
    </row>
    <row r="72" spans="2:28" x14ac:dyDescent="0.3">
      <c r="B72" t="s">
        <v>149</v>
      </c>
      <c r="C72" t="s">
        <v>251</v>
      </c>
      <c r="D72" t="s">
        <v>1623</v>
      </c>
      <c r="E72" t="s">
        <v>1623</v>
      </c>
      <c r="F72">
        <v>6</v>
      </c>
      <c r="G72">
        <v>10</v>
      </c>
      <c r="H72">
        <v>10</v>
      </c>
      <c r="I72">
        <v>8</v>
      </c>
      <c r="J72">
        <v>3</v>
      </c>
      <c r="K72">
        <v>3</v>
      </c>
      <c r="L72">
        <v>0</v>
      </c>
      <c r="M72">
        <v>0</v>
      </c>
      <c r="N72">
        <v>64.3</v>
      </c>
      <c r="O72">
        <v>63</v>
      </c>
      <c r="P72">
        <v>22</v>
      </c>
      <c r="Q72">
        <v>7</v>
      </c>
      <c r="R72">
        <v>47</v>
      </c>
      <c r="S72">
        <v>15</v>
      </c>
      <c r="T72">
        <v>3.08</v>
      </c>
      <c r="U72">
        <v>3.98</v>
      </c>
      <c r="V72">
        <v>1.21</v>
      </c>
      <c r="W72">
        <v>0.29299999999999998</v>
      </c>
      <c r="X72">
        <v>100</v>
      </c>
      <c r="Y72">
        <f t="shared" si="10"/>
        <v>3.1333333333333333</v>
      </c>
      <c r="Z72">
        <f t="shared" si="11"/>
        <v>4.7</v>
      </c>
      <c r="AA72" s="176">
        <f t="shared" si="12"/>
        <v>0.3</v>
      </c>
      <c r="AB72" s="192">
        <f t="shared" si="13"/>
        <v>0.73094867807153974</v>
      </c>
    </row>
    <row r="73" spans="2:28" x14ac:dyDescent="0.3">
      <c r="B73" t="s">
        <v>1239</v>
      </c>
      <c r="C73" t="s">
        <v>234</v>
      </c>
      <c r="D73" t="s">
        <v>1623</v>
      </c>
      <c r="E73" t="s">
        <v>1623</v>
      </c>
      <c r="F73">
        <v>5.8</v>
      </c>
      <c r="G73">
        <v>10</v>
      </c>
      <c r="H73">
        <v>10</v>
      </c>
      <c r="I73">
        <v>5</v>
      </c>
      <c r="J73">
        <v>4</v>
      </c>
      <c r="K73">
        <v>4</v>
      </c>
      <c r="L73">
        <v>0</v>
      </c>
      <c r="M73">
        <v>0</v>
      </c>
      <c r="N73">
        <v>59.7</v>
      </c>
      <c r="O73">
        <v>59</v>
      </c>
      <c r="P73">
        <v>28</v>
      </c>
      <c r="Q73">
        <v>7</v>
      </c>
      <c r="R73">
        <v>57</v>
      </c>
      <c r="S73">
        <v>14</v>
      </c>
      <c r="T73">
        <v>4.22</v>
      </c>
      <c r="U73">
        <v>3.75</v>
      </c>
      <c r="V73">
        <v>1.22</v>
      </c>
      <c r="W73">
        <v>0.311</v>
      </c>
      <c r="X73">
        <v>100</v>
      </c>
      <c r="Y73">
        <f t="shared" si="10"/>
        <v>4.0714285714285712</v>
      </c>
      <c r="Z73">
        <f t="shared" si="11"/>
        <v>5.7</v>
      </c>
      <c r="AA73" s="176">
        <f t="shared" si="12"/>
        <v>0.4</v>
      </c>
      <c r="AB73" s="192">
        <f t="shared" si="13"/>
        <v>0.95477386934673358</v>
      </c>
    </row>
    <row r="74" spans="2:28" x14ac:dyDescent="0.3">
      <c r="B74" t="s">
        <v>3182</v>
      </c>
      <c r="C74" t="s">
        <v>226</v>
      </c>
      <c r="D74" t="s">
        <v>1623</v>
      </c>
      <c r="E74" t="s">
        <v>1623</v>
      </c>
      <c r="F74">
        <v>5.7</v>
      </c>
      <c r="G74">
        <v>6</v>
      </c>
      <c r="H74">
        <v>6</v>
      </c>
      <c r="I74">
        <v>1</v>
      </c>
      <c r="J74">
        <v>2</v>
      </c>
      <c r="K74">
        <v>1</v>
      </c>
      <c r="L74">
        <v>0</v>
      </c>
      <c r="M74">
        <v>0</v>
      </c>
      <c r="N74">
        <v>29.7</v>
      </c>
      <c r="O74">
        <v>16</v>
      </c>
      <c r="P74">
        <v>6</v>
      </c>
      <c r="Q74">
        <v>4</v>
      </c>
      <c r="R74">
        <v>23</v>
      </c>
      <c r="S74">
        <v>11</v>
      </c>
      <c r="T74">
        <v>1.82</v>
      </c>
      <c r="U74">
        <v>4.6900000000000004</v>
      </c>
      <c r="V74">
        <v>0.91</v>
      </c>
      <c r="W74">
        <v>0.15</v>
      </c>
      <c r="X74">
        <v>100</v>
      </c>
      <c r="Y74">
        <f t="shared" si="10"/>
        <v>2.0909090909090908</v>
      </c>
      <c r="Z74">
        <f t="shared" si="11"/>
        <v>3.8333333333333335</v>
      </c>
      <c r="AA74" s="176">
        <f t="shared" si="12"/>
        <v>0.33333333333333331</v>
      </c>
      <c r="AB74" s="192">
        <f t="shared" si="13"/>
        <v>0.77441077441077444</v>
      </c>
    </row>
    <row r="75" spans="2:28" x14ac:dyDescent="0.3">
      <c r="B75" t="s">
        <v>817</v>
      </c>
      <c r="C75" t="s">
        <v>246</v>
      </c>
      <c r="D75" t="s">
        <v>1624</v>
      </c>
      <c r="E75" t="s">
        <v>1624</v>
      </c>
      <c r="F75">
        <v>5.5</v>
      </c>
      <c r="G75">
        <v>15</v>
      </c>
      <c r="H75">
        <v>0</v>
      </c>
      <c r="I75">
        <v>0</v>
      </c>
      <c r="J75">
        <v>3</v>
      </c>
      <c r="K75">
        <v>1</v>
      </c>
      <c r="L75">
        <v>6</v>
      </c>
      <c r="M75">
        <v>0</v>
      </c>
      <c r="N75">
        <v>14.7</v>
      </c>
      <c r="O75">
        <v>15</v>
      </c>
      <c r="P75">
        <v>5</v>
      </c>
      <c r="Q75">
        <v>2</v>
      </c>
      <c r="R75">
        <v>19</v>
      </c>
      <c r="S75">
        <v>3</v>
      </c>
      <c r="T75">
        <v>3.07</v>
      </c>
      <c r="U75">
        <v>3.28</v>
      </c>
      <c r="V75">
        <v>1.23</v>
      </c>
      <c r="W75">
        <v>0.34200000000000003</v>
      </c>
      <c r="X75">
        <v>86</v>
      </c>
      <c r="Y75">
        <f t="shared" si="10"/>
        <v>6.333333333333333</v>
      </c>
      <c r="Z75" t="str">
        <f t="shared" si="11"/>
        <v>STELLAR</v>
      </c>
      <c r="AA75" s="176" t="str">
        <f t="shared" si="12"/>
        <v>Didn't Start</v>
      </c>
      <c r="AB75" s="192">
        <f t="shared" si="13"/>
        <v>1.2925170068027212</v>
      </c>
    </row>
    <row r="76" spans="2:28" x14ac:dyDescent="0.3">
      <c r="B76" t="s">
        <v>175</v>
      </c>
      <c r="C76" t="s">
        <v>311</v>
      </c>
      <c r="D76" t="s">
        <v>1623</v>
      </c>
      <c r="E76" t="s">
        <v>1623</v>
      </c>
      <c r="F76">
        <v>5.2</v>
      </c>
      <c r="G76">
        <v>10</v>
      </c>
      <c r="H76">
        <v>10</v>
      </c>
      <c r="I76">
        <v>5</v>
      </c>
      <c r="J76">
        <v>3</v>
      </c>
      <c r="K76">
        <v>4</v>
      </c>
      <c r="L76">
        <v>0</v>
      </c>
      <c r="M76">
        <v>0</v>
      </c>
      <c r="N76">
        <v>57</v>
      </c>
      <c r="O76">
        <v>56</v>
      </c>
      <c r="P76">
        <v>26</v>
      </c>
      <c r="Q76">
        <v>4</v>
      </c>
      <c r="R76">
        <v>64</v>
      </c>
      <c r="S76">
        <v>14</v>
      </c>
      <c r="T76">
        <v>4.1100000000000003</v>
      </c>
      <c r="U76">
        <v>2.89</v>
      </c>
      <c r="V76">
        <v>1.23</v>
      </c>
      <c r="W76">
        <v>0.33500000000000002</v>
      </c>
      <c r="X76">
        <v>100</v>
      </c>
      <c r="Y76">
        <f t="shared" si="10"/>
        <v>4.5714285714285712</v>
      </c>
      <c r="Z76">
        <f t="shared" si="11"/>
        <v>6.4</v>
      </c>
      <c r="AA76" s="176">
        <f t="shared" si="12"/>
        <v>0.3</v>
      </c>
      <c r="AB76" s="192">
        <f t="shared" si="13"/>
        <v>1.1228070175438596</v>
      </c>
    </row>
    <row r="77" spans="2:28" x14ac:dyDescent="0.3">
      <c r="B77" t="s">
        <v>579</v>
      </c>
      <c r="C77" t="s">
        <v>266</v>
      </c>
      <c r="D77" t="s">
        <v>1624</v>
      </c>
      <c r="E77" t="s">
        <v>1624</v>
      </c>
      <c r="F77">
        <v>5.0999999999999996</v>
      </c>
      <c r="G77">
        <v>20</v>
      </c>
      <c r="H77">
        <v>0</v>
      </c>
      <c r="I77">
        <v>0</v>
      </c>
      <c r="J77">
        <v>2</v>
      </c>
      <c r="K77">
        <v>0</v>
      </c>
      <c r="L77">
        <v>0</v>
      </c>
      <c r="M77">
        <v>2</v>
      </c>
      <c r="N77">
        <v>30.7</v>
      </c>
      <c r="O77">
        <v>20</v>
      </c>
      <c r="P77">
        <v>3</v>
      </c>
      <c r="Q77">
        <v>0</v>
      </c>
      <c r="R77">
        <v>28</v>
      </c>
      <c r="S77">
        <v>11</v>
      </c>
      <c r="T77">
        <v>0.88</v>
      </c>
      <c r="U77">
        <v>2.63</v>
      </c>
      <c r="V77">
        <v>1.01</v>
      </c>
      <c r="W77">
        <v>0.247</v>
      </c>
      <c r="X77">
        <v>0</v>
      </c>
      <c r="Y77">
        <f t="shared" si="10"/>
        <v>2.5454545454545454</v>
      </c>
      <c r="Z77" t="str">
        <f t="shared" si="11"/>
        <v>STELLAR</v>
      </c>
      <c r="AA77" s="176" t="str">
        <f t="shared" si="12"/>
        <v>Didn't Start</v>
      </c>
      <c r="AB77" s="192">
        <f t="shared" si="13"/>
        <v>0.91205211726384372</v>
      </c>
    </row>
    <row r="78" spans="2:28" x14ac:dyDescent="0.3">
      <c r="B78" t="s">
        <v>399</v>
      </c>
      <c r="C78" t="s">
        <v>255</v>
      </c>
      <c r="D78" t="s">
        <v>1624</v>
      </c>
      <c r="E78" t="s">
        <v>1624</v>
      </c>
      <c r="F78">
        <v>4.8</v>
      </c>
      <c r="G78">
        <v>18</v>
      </c>
      <c r="H78">
        <v>0</v>
      </c>
      <c r="I78">
        <v>0</v>
      </c>
      <c r="J78">
        <v>2</v>
      </c>
      <c r="K78">
        <v>3</v>
      </c>
      <c r="L78">
        <v>6</v>
      </c>
      <c r="M78">
        <v>2</v>
      </c>
      <c r="N78">
        <v>21</v>
      </c>
      <c r="O78">
        <v>16</v>
      </c>
      <c r="P78">
        <v>7</v>
      </c>
      <c r="Q78">
        <v>1</v>
      </c>
      <c r="R78">
        <v>28</v>
      </c>
      <c r="S78">
        <v>9</v>
      </c>
      <c r="T78">
        <v>3</v>
      </c>
      <c r="U78">
        <v>2.66</v>
      </c>
      <c r="V78">
        <v>1.19</v>
      </c>
      <c r="W78">
        <v>0.32600000000000001</v>
      </c>
      <c r="X78">
        <v>100</v>
      </c>
      <c r="Y78">
        <f t="shared" si="10"/>
        <v>3.1111111111111112</v>
      </c>
      <c r="Z78" t="str">
        <f t="shared" si="11"/>
        <v>STELLAR</v>
      </c>
      <c r="AA78" s="176" t="str">
        <f t="shared" si="12"/>
        <v>Didn't Start</v>
      </c>
      <c r="AB78" s="192">
        <f t="shared" si="13"/>
        <v>1.3333333333333333</v>
      </c>
    </row>
    <row r="79" spans="2:28" x14ac:dyDescent="0.3">
      <c r="B79" t="s">
        <v>194</v>
      </c>
      <c r="C79" t="s">
        <v>1523</v>
      </c>
      <c r="D79" t="s">
        <v>1623</v>
      </c>
      <c r="E79" t="s">
        <v>1623</v>
      </c>
      <c r="F79">
        <v>4.7</v>
      </c>
      <c r="G79">
        <v>15</v>
      </c>
      <c r="H79">
        <v>4</v>
      </c>
      <c r="I79">
        <v>2</v>
      </c>
      <c r="J79">
        <v>2</v>
      </c>
      <c r="K79">
        <v>1</v>
      </c>
      <c r="L79">
        <v>1</v>
      </c>
      <c r="M79">
        <v>3</v>
      </c>
      <c r="N79">
        <v>41.3</v>
      </c>
      <c r="O79">
        <v>29</v>
      </c>
      <c r="P79">
        <v>13</v>
      </c>
      <c r="Q79">
        <v>4</v>
      </c>
      <c r="R79">
        <v>36</v>
      </c>
      <c r="S79">
        <v>15</v>
      </c>
      <c r="T79">
        <v>2.83</v>
      </c>
      <c r="U79">
        <v>3.88</v>
      </c>
      <c r="V79">
        <v>1.06</v>
      </c>
      <c r="W79">
        <v>0.223</v>
      </c>
      <c r="X79">
        <v>7</v>
      </c>
      <c r="Y79">
        <f t="shared" si="10"/>
        <v>2.4</v>
      </c>
      <c r="Z79">
        <f t="shared" si="11"/>
        <v>9</v>
      </c>
      <c r="AA79" s="176">
        <f t="shared" si="12"/>
        <v>0.5</v>
      </c>
      <c r="AB79" s="192">
        <f t="shared" si="13"/>
        <v>0.87167070217917686</v>
      </c>
    </row>
    <row r="80" spans="2:28" x14ac:dyDescent="0.3">
      <c r="B80" t="s">
        <v>1634</v>
      </c>
      <c r="C80" t="s">
        <v>235</v>
      </c>
      <c r="D80" t="s">
        <v>1623</v>
      </c>
      <c r="E80" t="s">
        <v>1623</v>
      </c>
      <c r="F80">
        <v>4.5999999999999996</v>
      </c>
      <c r="G80">
        <v>11</v>
      </c>
      <c r="H80">
        <v>1</v>
      </c>
      <c r="I80">
        <v>0</v>
      </c>
      <c r="J80">
        <v>1</v>
      </c>
      <c r="K80">
        <v>1</v>
      </c>
      <c r="L80">
        <v>0</v>
      </c>
      <c r="M80">
        <v>1</v>
      </c>
      <c r="N80">
        <v>28</v>
      </c>
      <c r="O80">
        <v>18</v>
      </c>
      <c r="P80">
        <v>5</v>
      </c>
      <c r="Q80">
        <v>2</v>
      </c>
      <c r="R80">
        <v>27</v>
      </c>
      <c r="S80">
        <v>6</v>
      </c>
      <c r="T80">
        <v>1.61</v>
      </c>
      <c r="U80">
        <v>3.03</v>
      </c>
      <c r="V80">
        <v>0.86</v>
      </c>
      <c r="W80">
        <v>0.22500000000000001</v>
      </c>
      <c r="X80">
        <v>0</v>
      </c>
      <c r="Y80">
        <f t="shared" si="10"/>
        <v>4.5</v>
      </c>
      <c r="Z80">
        <f t="shared" si="11"/>
        <v>27</v>
      </c>
      <c r="AA80" s="176">
        <f t="shared" si="12"/>
        <v>1</v>
      </c>
      <c r="AB80" s="192">
        <f t="shared" si="13"/>
        <v>0.9642857142857143</v>
      </c>
    </row>
    <row r="81" spans="2:28" x14ac:dyDescent="0.3">
      <c r="B81" t="s">
        <v>507</v>
      </c>
      <c r="C81" t="s">
        <v>246</v>
      </c>
      <c r="D81" t="s">
        <v>1624</v>
      </c>
      <c r="E81" t="s">
        <v>1624</v>
      </c>
      <c r="F81">
        <v>4.2</v>
      </c>
      <c r="G81">
        <v>21</v>
      </c>
      <c r="H81">
        <v>0</v>
      </c>
      <c r="I81">
        <v>0</v>
      </c>
      <c r="J81">
        <v>2</v>
      </c>
      <c r="K81">
        <v>2</v>
      </c>
      <c r="L81">
        <v>5</v>
      </c>
      <c r="M81">
        <v>5</v>
      </c>
      <c r="N81">
        <v>21.7</v>
      </c>
      <c r="O81">
        <v>17</v>
      </c>
      <c r="P81">
        <v>6</v>
      </c>
      <c r="Q81">
        <v>2</v>
      </c>
      <c r="R81">
        <v>20</v>
      </c>
      <c r="S81">
        <v>5</v>
      </c>
      <c r="T81">
        <v>2.4900000000000002</v>
      </c>
      <c r="U81">
        <v>3.46</v>
      </c>
      <c r="V81">
        <v>1.02</v>
      </c>
      <c r="W81">
        <v>0.26800000000000002</v>
      </c>
      <c r="X81">
        <v>99</v>
      </c>
      <c r="Y81">
        <f t="shared" si="10"/>
        <v>4</v>
      </c>
      <c r="Z81" t="str">
        <f t="shared" si="11"/>
        <v>STELLAR</v>
      </c>
      <c r="AA81" s="176" t="str">
        <f t="shared" si="12"/>
        <v>Didn't Start</v>
      </c>
      <c r="AB81" s="192">
        <f t="shared" si="13"/>
        <v>0.92165898617511521</v>
      </c>
    </row>
    <row r="82" spans="2:28" x14ac:dyDescent="0.3">
      <c r="B82" t="s">
        <v>675</v>
      </c>
      <c r="C82" t="s">
        <v>226</v>
      </c>
      <c r="D82" t="s">
        <v>1624</v>
      </c>
      <c r="E82" t="s">
        <v>1624</v>
      </c>
      <c r="F82">
        <v>4.0999999999999996</v>
      </c>
      <c r="G82">
        <v>21</v>
      </c>
      <c r="H82">
        <v>0</v>
      </c>
      <c r="I82">
        <v>0</v>
      </c>
      <c r="J82">
        <v>3</v>
      </c>
      <c r="K82">
        <v>0</v>
      </c>
      <c r="L82">
        <v>1</v>
      </c>
      <c r="M82">
        <v>8</v>
      </c>
      <c r="N82">
        <v>18.3</v>
      </c>
      <c r="O82">
        <v>15</v>
      </c>
      <c r="P82">
        <v>2</v>
      </c>
      <c r="Q82">
        <v>0</v>
      </c>
      <c r="R82">
        <v>22</v>
      </c>
      <c r="S82">
        <v>5</v>
      </c>
      <c r="T82">
        <v>0.98</v>
      </c>
      <c r="U82">
        <v>2.19</v>
      </c>
      <c r="V82">
        <v>1.0900000000000001</v>
      </c>
      <c r="W82">
        <v>0.31900000000000001</v>
      </c>
      <c r="X82">
        <v>1</v>
      </c>
      <c r="Y82">
        <f t="shared" si="10"/>
        <v>4.4000000000000004</v>
      </c>
      <c r="Z82" t="str">
        <f t="shared" si="11"/>
        <v>STELLAR</v>
      </c>
      <c r="AA82" s="176" t="str">
        <f t="shared" si="12"/>
        <v>Didn't Start</v>
      </c>
      <c r="AB82" s="192">
        <f t="shared" si="13"/>
        <v>1.2021857923497268</v>
      </c>
    </row>
    <row r="83" spans="2:28" x14ac:dyDescent="0.3">
      <c r="B83" t="s">
        <v>1240</v>
      </c>
      <c r="C83" t="s">
        <v>264</v>
      </c>
      <c r="D83" t="s">
        <v>1623</v>
      </c>
      <c r="E83" t="s">
        <v>1623</v>
      </c>
      <c r="F83">
        <v>3.8</v>
      </c>
      <c r="G83">
        <v>10</v>
      </c>
      <c r="H83">
        <v>10</v>
      </c>
      <c r="I83">
        <v>4</v>
      </c>
      <c r="J83">
        <v>6</v>
      </c>
      <c r="K83">
        <v>1</v>
      </c>
      <c r="L83">
        <v>0</v>
      </c>
      <c r="M83">
        <v>0</v>
      </c>
      <c r="N83">
        <v>56.3</v>
      </c>
      <c r="O83">
        <v>67</v>
      </c>
      <c r="P83">
        <v>24</v>
      </c>
      <c r="Q83">
        <v>8</v>
      </c>
      <c r="R83">
        <v>41</v>
      </c>
      <c r="S83">
        <v>16</v>
      </c>
      <c r="T83">
        <v>3.83</v>
      </c>
      <c r="U83">
        <v>4.57</v>
      </c>
      <c r="V83">
        <v>1.47</v>
      </c>
      <c r="W83">
        <v>0.33300000000000002</v>
      </c>
      <c r="X83">
        <v>92</v>
      </c>
      <c r="Y83">
        <f t="shared" si="10"/>
        <v>2.5625</v>
      </c>
      <c r="Z83">
        <f t="shared" si="11"/>
        <v>4.0999999999999996</v>
      </c>
      <c r="AA83" s="176">
        <f t="shared" si="12"/>
        <v>0.6</v>
      </c>
      <c r="AB83" s="192">
        <f t="shared" si="13"/>
        <v>0.72824156305506216</v>
      </c>
    </row>
    <row r="84" spans="2:28" x14ac:dyDescent="0.3">
      <c r="B84" t="s">
        <v>970</v>
      </c>
      <c r="C84" t="s">
        <v>243</v>
      </c>
      <c r="D84" t="s">
        <v>1623</v>
      </c>
      <c r="E84" t="s">
        <v>1623</v>
      </c>
      <c r="F84">
        <v>3.8</v>
      </c>
      <c r="G84">
        <v>10</v>
      </c>
      <c r="H84">
        <v>10</v>
      </c>
      <c r="I84">
        <v>4</v>
      </c>
      <c r="J84">
        <v>3</v>
      </c>
      <c r="K84">
        <v>4</v>
      </c>
      <c r="L84">
        <v>0</v>
      </c>
      <c r="M84">
        <v>0</v>
      </c>
      <c r="N84">
        <v>57.3</v>
      </c>
      <c r="O84">
        <v>41</v>
      </c>
      <c r="P84">
        <v>27</v>
      </c>
      <c r="Q84">
        <v>12</v>
      </c>
      <c r="R84">
        <v>60</v>
      </c>
      <c r="S84">
        <v>29</v>
      </c>
      <c r="T84">
        <v>4.24</v>
      </c>
      <c r="U84">
        <v>5.63</v>
      </c>
      <c r="V84">
        <v>1.22</v>
      </c>
      <c r="W84">
        <v>0.218</v>
      </c>
      <c r="X84">
        <v>96</v>
      </c>
      <c r="Y84">
        <f t="shared" si="10"/>
        <v>2.0689655172413794</v>
      </c>
      <c r="Z84">
        <f t="shared" si="11"/>
        <v>6</v>
      </c>
      <c r="AA84" s="176">
        <f t="shared" si="12"/>
        <v>0.3</v>
      </c>
      <c r="AB84" s="192">
        <f t="shared" si="13"/>
        <v>1.0471204188481675</v>
      </c>
    </row>
    <row r="85" spans="2:28" x14ac:dyDescent="0.3">
      <c r="B85" t="s">
        <v>926</v>
      </c>
      <c r="C85" t="s">
        <v>264</v>
      </c>
      <c r="D85" t="s">
        <v>1623</v>
      </c>
      <c r="E85" t="s">
        <v>1623</v>
      </c>
      <c r="F85">
        <v>3.7</v>
      </c>
      <c r="G85">
        <v>9</v>
      </c>
      <c r="H85">
        <v>9</v>
      </c>
      <c r="I85">
        <v>5</v>
      </c>
      <c r="J85">
        <v>3</v>
      </c>
      <c r="K85">
        <v>3</v>
      </c>
      <c r="L85">
        <v>0</v>
      </c>
      <c r="M85">
        <v>0</v>
      </c>
      <c r="N85">
        <v>48</v>
      </c>
      <c r="O85">
        <v>38</v>
      </c>
      <c r="P85">
        <v>22</v>
      </c>
      <c r="Q85">
        <v>8</v>
      </c>
      <c r="R85">
        <v>52</v>
      </c>
      <c r="S85">
        <v>20</v>
      </c>
      <c r="T85">
        <v>4.13</v>
      </c>
      <c r="U85">
        <v>4.78</v>
      </c>
      <c r="V85">
        <v>1.21</v>
      </c>
      <c r="W85">
        <v>0.254</v>
      </c>
      <c r="X85">
        <v>100</v>
      </c>
      <c r="Y85">
        <f t="shared" si="10"/>
        <v>2.6</v>
      </c>
      <c r="Z85">
        <f t="shared" si="11"/>
        <v>5.7777777777777777</v>
      </c>
      <c r="AA85" s="176">
        <f t="shared" si="12"/>
        <v>0.33333333333333331</v>
      </c>
      <c r="AB85" s="192">
        <f t="shared" si="13"/>
        <v>1.0833333333333333</v>
      </c>
    </row>
    <row r="86" spans="2:28" x14ac:dyDescent="0.3">
      <c r="B86" t="s">
        <v>225</v>
      </c>
      <c r="C86" t="s">
        <v>264</v>
      </c>
      <c r="D86" t="s">
        <v>1624</v>
      </c>
      <c r="E86" t="s">
        <v>1624</v>
      </c>
      <c r="F86">
        <v>3.3</v>
      </c>
      <c r="G86">
        <v>17</v>
      </c>
      <c r="H86">
        <v>0</v>
      </c>
      <c r="I86">
        <v>0</v>
      </c>
      <c r="J86">
        <v>0</v>
      </c>
      <c r="K86">
        <v>2</v>
      </c>
      <c r="L86">
        <v>9</v>
      </c>
      <c r="M86">
        <v>4</v>
      </c>
      <c r="N86">
        <v>17</v>
      </c>
      <c r="O86">
        <v>10</v>
      </c>
      <c r="P86">
        <v>5</v>
      </c>
      <c r="Q86">
        <v>1</v>
      </c>
      <c r="R86">
        <v>21</v>
      </c>
      <c r="S86">
        <v>5</v>
      </c>
      <c r="T86">
        <v>2.65</v>
      </c>
      <c r="U86">
        <v>2.4500000000000002</v>
      </c>
      <c r="V86">
        <v>0.88</v>
      </c>
      <c r="W86">
        <v>0.23699999999999999</v>
      </c>
      <c r="X86">
        <v>100</v>
      </c>
      <c r="Y86">
        <f t="shared" si="10"/>
        <v>4.2</v>
      </c>
      <c r="Z86" t="str">
        <f t="shared" si="11"/>
        <v>STELLAR</v>
      </c>
      <c r="AA86" s="176" t="str">
        <f t="shared" si="12"/>
        <v>Didn't Start</v>
      </c>
      <c r="AB86" s="192">
        <f t="shared" si="13"/>
        <v>1.2352941176470589</v>
      </c>
    </row>
    <row r="87" spans="2:28" x14ac:dyDescent="0.3">
      <c r="B87" t="s">
        <v>169</v>
      </c>
      <c r="C87" t="s">
        <v>266</v>
      </c>
      <c r="D87" t="s">
        <v>1623</v>
      </c>
      <c r="E87" t="s">
        <v>1623</v>
      </c>
      <c r="F87">
        <v>3.2</v>
      </c>
      <c r="G87">
        <v>10</v>
      </c>
      <c r="H87">
        <v>10</v>
      </c>
      <c r="I87">
        <v>6</v>
      </c>
      <c r="J87">
        <v>4</v>
      </c>
      <c r="K87">
        <v>5</v>
      </c>
      <c r="L87">
        <v>0</v>
      </c>
      <c r="M87">
        <v>0</v>
      </c>
      <c r="N87">
        <v>53.3</v>
      </c>
      <c r="O87">
        <v>54</v>
      </c>
      <c r="P87">
        <v>23</v>
      </c>
      <c r="Q87">
        <v>8</v>
      </c>
      <c r="R87">
        <v>38</v>
      </c>
      <c r="S87">
        <v>12</v>
      </c>
      <c r="T87">
        <v>3.88</v>
      </c>
      <c r="U87">
        <v>4.4800000000000004</v>
      </c>
      <c r="V87">
        <v>1.24</v>
      </c>
      <c r="W87">
        <v>0.29099999999999998</v>
      </c>
      <c r="X87">
        <v>25</v>
      </c>
      <c r="Y87">
        <f t="shared" si="10"/>
        <v>3.1666666666666665</v>
      </c>
      <c r="Z87">
        <f t="shared" si="11"/>
        <v>3.8</v>
      </c>
      <c r="AA87" s="176">
        <f t="shared" si="12"/>
        <v>0.4</v>
      </c>
      <c r="AB87" s="192">
        <f t="shared" si="13"/>
        <v>0.71294559099437149</v>
      </c>
    </row>
    <row r="88" spans="2:28" x14ac:dyDescent="0.3">
      <c r="B88" t="s">
        <v>685</v>
      </c>
      <c r="C88" t="s">
        <v>274</v>
      </c>
      <c r="D88" t="s">
        <v>1624</v>
      </c>
      <c r="E88" t="s">
        <v>1624</v>
      </c>
      <c r="F88">
        <v>3.1</v>
      </c>
      <c r="G88">
        <v>18</v>
      </c>
      <c r="H88">
        <v>0</v>
      </c>
      <c r="I88">
        <v>0</v>
      </c>
      <c r="J88">
        <v>0</v>
      </c>
      <c r="K88">
        <v>1</v>
      </c>
      <c r="L88">
        <v>7</v>
      </c>
      <c r="M88">
        <v>0</v>
      </c>
      <c r="N88">
        <v>18.3</v>
      </c>
      <c r="O88">
        <v>8</v>
      </c>
      <c r="P88">
        <v>3</v>
      </c>
      <c r="Q88">
        <v>2</v>
      </c>
      <c r="R88">
        <v>24</v>
      </c>
      <c r="S88">
        <v>9</v>
      </c>
      <c r="T88">
        <v>1.47</v>
      </c>
      <c r="U88">
        <v>3.55</v>
      </c>
      <c r="V88">
        <v>0.93</v>
      </c>
      <c r="W88">
        <v>0.182</v>
      </c>
      <c r="X88">
        <v>100</v>
      </c>
      <c r="Y88">
        <f t="shared" si="10"/>
        <v>2.6666666666666665</v>
      </c>
      <c r="Z88" t="str">
        <f t="shared" si="11"/>
        <v>STELLAR</v>
      </c>
      <c r="AA88" s="176" t="str">
        <f t="shared" si="12"/>
        <v>Didn't Start</v>
      </c>
      <c r="AB88" s="192">
        <f t="shared" si="13"/>
        <v>1.3114754098360655</v>
      </c>
    </row>
    <row r="89" spans="2:28" x14ac:dyDescent="0.3">
      <c r="B89" t="s">
        <v>420</v>
      </c>
      <c r="C89" t="s">
        <v>250</v>
      </c>
      <c r="D89" t="s">
        <v>1623</v>
      </c>
      <c r="E89" t="s">
        <v>1623</v>
      </c>
      <c r="F89">
        <v>2.8</v>
      </c>
      <c r="G89">
        <v>5</v>
      </c>
      <c r="H89">
        <v>5</v>
      </c>
      <c r="I89">
        <v>2</v>
      </c>
      <c r="J89">
        <v>2</v>
      </c>
      <c r="K89">
        <v>1</v>
      </c>
      <c r="L89">
        <v>0</v>
      </c>
      <c r="M89">
        <v>0</v>
      </c>
      <c r="N89">
        <v>26</v>
      </c>
      <c r="O89">
        <v>22</v>
      </c>
      <c r="P89">
        <v>6</v>
      </c>
      <c r="Q89">
        <v>2</v>
      </c>
      <c r="R89">
        <v>25</v>
      </c>
      <c r="S89">
        <v>6</v>
      </c>
      <c r="T89">
        <v>2.08</v>
      </c>
      <c r="U89">
        <v>3.05</v>
      </c>
      <c r="V89">
        <v>1.08</v>
      </c>
      <c r="W89">
        <v>0.29399999999999998</v>
      </c>
      <c r="X89">
        <v>81</v>
      </c>
      <c r="Y89">
        <f t="shared" si="10"/>
        <v>4.166666666666667</v>
      </c>
      <c r="Z89">
        <f t="shared" si="11"/>
        <v>5</v>
      </c>
      <c r="AA89" s="176">
        <f t="shared" si="12"/>
        <v>0.4</v>
      </c>
      <c r="AB89" s="192">
        <f t="shared" si="13"/>
        <v>0.96153846153846156</v>
      </c>
    </row>
    <row r="90" spans="2:28" x14ac:dyDescent="0.3">
      <c r="B90" t="s">
        <v>434</v>
      </c>
      <c r="C90" t="s">
        <v>221</v>
      </c>
      <c r="D90" t="s">
        <v>1624</v>
      </c>
      <c r="E90" t="s">
        <v>1624</v>
      </c>
      <c r="F90">
        <v>2.8</v>
      </c>
      <c r="G90">
        <v>17</v>
      </c>
      <c r="H90">
        <v>0</v>
      </c>
      <c r="I90">
        <v>0</v>
      </c>
      <c r="J90">
        <v>2</v>
      </c>
      <c r="K90">
        <v>0</v>
      </c>
      <c r="L90">
        <v>2</v>
      </c>
      <c r="M90">
        <v>6</v>
      </c>
      <c r="N90">
        <v>29.3</v>
      </c>
      <c r="O90">
        <v>23</v>
      </c>
      <c r="P90">
        <v>7</v>
      </c>
      <c r="Q90">
        <v>2</v>
      </c>
      <c r="R90">
        <v>22</v>
      </c>
      <c r="S90">
        <v>6</v>
      </c>
      <c r="T90">
        <v>2.15</v>
      </c>
      <c r="U90">
        <v>3.38</v>
      </c>
      <c r="V90">
        <v>0.99</v>
      </c>
      <c r="W90">
        <v>0.247</v>
      </c>
      <c r="X90">
        <v>1</v>
      </c>
      <c r="Y90">
        <f t="shared" si="10"/>
        <v>3.6666666666666665</v>
      </c>
      <c r="Z90" t="str">
        <f t="shared" si="11"/>
        <v>STELLAR</v>
      </c>
      <c r="AA90" s="176" t="str">
        <f t="shared" si="12"/>
        <v>Didn't Start</v>
      </c>
      <c r="AB90" s="192">
        <f t="shared" si="13"/>
        <v>0.75085324232081907</v>
      </c>
    </row>
    <row r="91" spans="2:28" x14ac:dyDescent="0.3">
      <c r="B91" t="s">
        <v>151</v>
      </c>
      <c r="C91" t="s">
        <v>246</v>
      </c>
      <c r="D91" t="s">
        <v>1623</v>
      </c>
      <c r="E91" t="s">
        <v>1623</v>
      </c>
      <c r="F91">
        <v>2.7</v>
      </c>
      <c r="G91">
        <v>10</v>
      </c>
      <c r="H91">
        <v>10</v>
      </c>
      <c r="I91">
        <v>5</v>
      </c>
      <c r="J91">
        <v>3</v>
      </c>
      <c r="K91">
        <v>3</v>
      </c>
      <c r="L91">
        <v>0</v>
      </c>
      <c r="M91">
        <v>0</v>
      </c>
      <c r="N91">
        <v>56.3</v>
      </c>
      <c r="O91">
        <v>59</v>
      </c>
      <c r="P91">
        <v>24</v>
      </c>
      <c r="Q91">
        <v>8</v>
      </c>
      <c r="R91">
        <v>63</v>
      </c>
      <c r="S91">
        <v>18</v>
      </c>
      <c r="T91">
        <v>3.83</v>
      </c>
      <c r="U91">
        <v>3.9</v>
      </c>
      <c r="V91">
        <v>1.37</v>
      </c>
      <c r="W91">
        <v>0.34200000000000003</v>
      </c>
      <c r="X91">
        <v>100</v>
      </c>
      <c r="Y91">
        <f t="shared" si="10"/>
        <v>3.5</v>
      </c>
      <c r="Z91">
        <f t="shared" si="11"/>
        <v>6.3</v>
      </c>
      <c r="AA91" s="176">
        <f t="shared" si="12"/>
        <v>0.3</v>
      </c>
      <c r="AB91" s="192">
        <f t="shared" si="13"/>
        <v>1.1190053285968029</v>
      </c>
    </row>
    <row r="92" spans="2:28" x14ac:dyDescent="0.3">
      <c r="B92" t="s">
        <v>724</v>
      </c>
      <c r="C92" t="s">
        <v>234</v>
      </c>
      <c r="D92" t="s">
        <v>1623</v>
      </c>
      <c r="E92" t="s">
        <v>1623</v>
      </c>
      <c r="F92">
        <v>2.6</v>
      </c>
      <c r="G92">
        <v>10</v>
      </c>
      <c r="H92">
        <v>10</v>
      </c>
      <c r="I92">
        <v>3</v>
      </c>
      <c r="J92">
        <v>5</v>
      </c>
      <c r="K92">
        <v>2</v>
      </c>
      <c r="L92">
        <v>0</v>
      </c>
      <c r="M92">
        <v>0</v>
      </c>
      <c r="N92">
        <v>51.3</v>
      </c>
      <c r="O92">
        <v>57</v>
      </c>
      <c r="P92">
        <v>26</v>
      </c>
      <c r="Q92">
        <v>14</v>
      </c>
      <c r="R92">
        <v>48</v>
      </c>
      <c r="S92">
        <v>14</v>
      </c>
      <c r="T92">
        <v>4.5599999999999996</v>
      </c>
      <c r="U92">
        <v>5.83</v>
      </c>
      <c r="V92">
        <v>1.38</v>
      </c>
      <c r="W92">
        <v>0.29699999999999999</v>
      </c>
      <c r="X92">
        <v>78</v>
      </c>
      <c r="Y92">
        <f t="shared" si="10"/>
        <v>3.4285714285714284</v>
      </c>
      <c r="Z92">
        <f t="shared" si="11"/>
        <v>4.8</v>
      </c>
      <c r="AA92" s="176">
        <f t="shared" si="12"/>
        <v>0.5</v>
      </c>
      <c r="AB92" s="192">
        <f t="shared" si="13"/>
        <v>0.9356725146198831</v>
      </c>
    </row>
    <row r="93" spans="2:28" x14ac:dyDescent="0.3">
      <c r="B93" t="s">
        <v>338</v>
      </c>
      <c r="C93" t="s">
        <v>339</v>
      </c>
      <c r="D93" t="s">
        <v>1623</v>
      </c>
      <c r="E93" t="s">
        <v>1623</v>
      </c>
      <c r="F93">
        <v>2.6</v>
      </c>
      <c r="G93">
        <v>9</v>
      </c>
      <c r="H93">
        <v>9</v>
      </c>
      <c r="I93">
        <v>3</v>
      </c>
      <c r="J93">
        <v>4</v>
      </c>
      <c r="K93">
        <v>3</v>
      </c>
      <c r="L93">
        <v>0</v>
      </c>
      <c r="M93">
        <v>0</v>
      </c>
      <c r="N93">
        <v>48</v>
      </c>
      <c r="O93">
        <v>42</v>
      </c>
      <c r="P93">
        <v>21</v>
      </c>
      <c r="Q93">
        <v>6</v>
      </c>
      <c r="R93">
        <v>61</v>
      </c>
      <c r="S93">
        <v>31</v>
      </c>
      <c r="T93">
        <v>3.94</v>
      </c>
      <c r="U93">
        <v>4.3</v>
      </c>
      <c r="V93">
        <v>1.52</v>
      </c>
      <c r="W93">
        <v>0.30299999999999999</v>
      </c>
      <c r="X93">
        <v>100</v>
      </c>
      <c r="Y93">
        <f t="shared" si="10"/>
        <v>1.967741935483871</v>
      </c>
      <c r="Z93">
        <f t="shared" si="11"/>
        <v>6.7777777777777777</v>
      </c>
      <c r="AA93" s="176">
        <f t="shared" si="12"/>
        <v>0.44444444444444442</v>
      </c>
      <c r="AB93" s="192">
        <f t="shared" si="13"/>
        <v>1.2708333333333333</v>
      </c>
    </row>
    <row r="94" spans="2:28" x14ac:dyDescent="0.3">
      <c r="B94" t="s">
        <v>474</v>
      </c>
      <c r="C94" t="s">
        <v>1524</v>
      </c>
      <c r="D94" t="s">
        <v>1624</v>
      </c>
      <c r="E94" t="s">
        <v>1624</v>
      </c>
      <c r="F94">
        <v>2.4</v>
      </c>
      <c r="G94">
        <v>21</v>
      </c>
      <c r="H94">
        <v>0</v>
      </c>
      <c r="I94">
        <v>0</v>
      </c>
      <c r="J94">
        <v>2</v>
      </c>
      <c r="K94">
        <v>1</v>
      </c>
      <c r="L94">
        <v>2</v>
      </c>
      <c r="M94">
        <v>9</v>
      </c>
      <c r="N94">
        <v>22.3</v>
      </c>
      <c r="O94">
        <v>13</v>
      </c>
      <c r="P94">
        <v>7</v>
      </c>
      <c r="Q94">
        <v>2</v>
      </c>
      <c r="R94">
        <v>26</v>
      </c>
      <c r="S94">
        <v>7</v>
      </c>
      <c r="T94">
        <v>2.82</v>
      </c>
      <c r="U94">
        <v>3.05</v>
      </c>
      <c r="V94">
        <v>0.9</v>
      </c>
      <c r="W94">
        <v>0.23400000000000001</v>
      </c>
      <c r="X94">
        <v>38</v>
      </c>
      <c r="Y94">
        <f t="shared" si="10"/>
        <v>3.7142857142857144</v>
      </c>
      <c r="Z94" t="str">
        <f t="shared" si="11"/>
        <v>STELLAR</v>
      </c>
      <c r="AA94" s="176" t="str">
        <f t="shared" si="12"/>
        <v>Didn't Start</v>
      </c>
      <c r="AB94" s="192">
        <f t="shared" si="13"/>
        <v>1.1659192825112108</v>
      </c>
    </row>
    <row r="95" spans="2:28" x14ac:dyDescent="0.3">
      <c r="B95" t="s">
        <v>545</v>
      </c>
      <c r="C95" t="s">
        <v>222</v>
      </c>
      <c r="D95" t="s">
        <v>1624</v>
      </c>
      <c r="E95" t="s">
        <v>1624</v>
      </c>
      <c r="F95">
        <v>2.2000000000000002</v>
      </c>
      <c r="G95">
        <v>16</v>
      </c>
      <c r="H95">
        <v>0</v>
      </c>
      <c r="I95">
        <v>0</v>
      </c>
      <c r="J95">
        <v>1</v>
      </c>
      <c r="K95">
        <v>1</v>
      </c>
      <c r="L95">
        <v>3</v>
      </c>
      <c r="M95">
        <v>1</v>
      </c>
      <c r="N95">
        <v>27.7</v>
      </c>
      <c r="O95">
        <v>21</v>
      </c>
      <c r="P95">
        <v>6</v>
      </c>
      <c r="Q95">
        <v>1</v>
      </c>
      <c r="R95">
        <v>30</v>
      </c>
      <c r="S95">
        <v>8</v>
      </c>
      <c r="T95">
        <v>1.95</v>
      </c>
      <c r="U95">
        <v>2.66</v>
      </c>
      <c r="V95">
        <v>1.05</v>
      </c>
      <c r="W95">
        <v>0.28599999999999998</v>
      </c>
      <c r="X95">
        <v>88</v>
      </c>
      <c r="Y95">
        <f t="shared" si="10"/>
        <v>3.75</v>
      </c>
      <c r="Z95" t="str">
        <f t="shared" si="11"/>
        <v>STELLAR</v>
      </c>
      <c r="AA95" s="176" t="str">
        <f t="shared" si="12"/>
        <v>Didn't Start</v>
      </c>
      <c r="AB95" s="192">
        <f t="shared" si="13"/>
        <v>1.0830324909747293</v>
      </c>
    </row>
    <row r="96" spans="2:28" x14ac:dyDescent="0.3">
      <c r="B96" t="s">
        <v>1628</v>
      </c>
      <c r="C96" t="s">
        <v>311</v>
      </c>
      <c r="D96" t="s">
        <v>1624</v>
      </c>
      <c r="E96" t="s">
        <v>1624</v>
      </c>
      <c r="F96">
        <v>2.1</v>
      </c>
      <c r="G96">
        <v>14</v>
      </c>
      <c r="H96">
        <v>0</v>
      </c>
      <c r="I96">
        <v>0</v>
      </c>
      <c r="J96">
        <v>0</v>
      </c>
      <c r="K96">
        <v>0</v>
      </c>
      <c r="L96">
        <v>5</v>
      </c>
      <c r="M96">
        <v>4</v>
      </c>
      <c r="N96">
        <v>14.3</v>
      </c>
      <c r="O96">
        <v>10</v>
      </c>
      <c r="P96">
        <v>1</v>
      </c>
      <c r="Q96">
        <v>1</v>
      </c>
      <c r="R96">
        <v>24</v>
      </c>
      <c r="S96">
        <v>0</v>
      </c>
      <c r="T96">
        <v>0.63</v>
      </c>
      <c r="U96">
        <v>0.84</v>
      </c>
      <c r="V96">
        <v>0.7</v>
      </c>
      <c r="W96">
        <v>0.33300000000000002</v>
      </c>
      <c r="X96">
        <v>98</v>
      </c>
      <c r="Y96" t="str">
        <f t="shared" si="10"/>
        <v>STELLAR</v>
      </c>
      <c r="Z96" t="str">
        <f t="shared" si="11"/>
        <v>STELLAR</v>
      </c>
      <c r="AA96" s="176" t="str">
        <f t="shared" si="12"/>
        <v>Didn't Start</v>
      </c>
      <c r="AB96" s="192">
        <f t="shared" si="13"/>
        <v>1.6783216783216783</v>
      </c>
    </row>
    <row r="97" spans="2:28" x14ac:dyDescent="0.3">
      <c r="B97" t="s">
        <v>648</v>
      </c>
      <c r="C97" t="s">
        <v>248</v>
      </c>
      <c r="D97" t="s">
        <v>1624</v>
      </c>
      <c r="E97" t="s">
        <v>1624</v>
      </c>
      <c r="F97">
        <v>2</v>
      </c>
      <c r="G97">
        <v>20</v>
      </c>
      <c r="H97">
        <v>0</v>
      </c>
      <c r="I97">
        <v>0</v>
      </c>
      <c r="J97">
        <v>1</v>
      </c>
      <c r="K97">
        <v>0</v>
      </c>
      <c r="L97">
        <v>2</v>
      </c>
      <c r="M97">
        <v>8</v>
      </c>
      <c r="N97">
        <v>20.3</v>
      </c>
      <c r="O97">
        <v>12</v>
      </c>
      <c r="P97">
        <v>4</v>
      </c>
      <c r="Q97">
        <v>1</v>
      </c>
      <c r="R97">
        <v>31</v>
      </c>
      <c r="S97">
        <v>6</v>
      </c>
      <c r="T97">
        <v>1.77</v>
      </c>
      <c r="U97">
        <v>2.2000000000000002</v>
      </c>
      <c r="V97">
        <v>0.89</v>
      </c>
      <c r="W97">
        <v>0.26800000000000002</v>
      </c>
      <c r="X97">
        <v>64</v>
      </c>
      <c r="Y97">
        <f t="shared" si="10"/>
        <v>5.166666666666667</v>
      </c>
      <c r="Z97" t="str">
        <f t="shared" si="11"/>
        <v>STELLAR</v>
      </c>
      <c r="AA97" s="176" t="str">
        <f t="shared" si="12"/>
        <v>Didn't Start</v>
      </c>
      <c r="AB97" s="192">
        <f t="shared" si="13"/>
        <v>1.5270935960591132</v>
      </c>
    </row>
    <row r="98" spans="2:28" x14ac:dyDescent="0.3">
      <c r="B98" t="s">
        <v>1739</v>
      </c>
      <c r="C98" t="s">
        <v>1522</v>
      </c>
      <c r="D98" t="s">
        <v>1623</v>
      </c>
      <c r="E98" t="s">
        <v>1623</v>
      </c>
      <c r="F98">
        <v>2</v>
      </c>
      <c r="G98">
        <v>5</v>
      </c>
      <c r="H98">
        <v>5</v>
      </c>
      <c r="I98">
        <v>0</v>
      </c>
      <c r="J98">
        <v>3</v>
      </c>
      <c r="K98">
        <v>1</v>
      </c>
      <c r="L98">
        <v>0</v>
      </c>
      <c r="M98">
        <v>0</v>
      </c>
      <c r="N98">
        <v>24.3</v>
      </c>
      <c r="O98">
        <v>24</v>
      </c>
      <c r="P98">
        <v>12</v>
      </c>
      <c r="Q98">
        <v>4</v>
      </c>
      <c r="R98">
        <v>34</v>
      </c>
      <c r="S98">
        <v>4</v>
      </c>
      <c r="T98">
        <v>4.4400000000000004</v>
      </c>
      <c r="U98">
        <v>3.24</v>
      </c>
      <c r="V98">
        <v>1.1499999999999999</v>
      </c>
      <c r="W98">
        <v>0.34499999999999997</v>
      </c>
      <c r="X98">
        <v>100</v>
      </c>
      <c r="Y98">
        <f t="shared" si="10"/>
        <v>8.5</v>
      </c>
      <c r="Z98">
        <f t="shared" si="11"/>
        <v>6.8</v>
      </c>
      <c r="AA98" s="176">
        <f t="shared" si="12"/>
        <v>0.6</v>
      </c>
      <c r="AB98" s="192">
        <f t="shared" si="13"/>
        <v>1.3991769547325101</v>
      </c>
    </row>
    <row r="99" spans="2:28" x14ac:dyDescent="0.3">
      <c r="B99" t="s">
        <v>188</v>
      </c>
      <c r="C99" t="s">
        <v>278</v>
      </c>
      <c r="D99" t="s">
        <v>1623</v>
      </c>
      <c r="E99" t="s">
        <v>1623</v>
      </c>
      <c r="F99">
        <v>1.6</v>
      </c>
      <c r="G99">
        <v>10</v>
      </c>
      <c r="H99">
        <v>10</v>
      </c>
      <c r="I99">
        <v>6</v>
      </c>
      <c r="J99">
        <v>5</v>
      </c>
      <c r="K99">
        <v>3</v>
      </c>
      <c r="L99">
        <v>0</v>
      </c>
      <c r="M99">
        <v>0</v>
      </c>
      <c r="N99">
        <v>59</v>
      </c>
      <c r="O99">
        <v>62</v>
      </c>
      <c r="P99">
        <v>28</v>
      </c>
      <c r="Q99">
        <v>6</v>
      </c>
      <c r="R99">
        <v>41</v>
      </c>
      <c r="S99">
        <v>18</v>
      </c>
      <c r="T99">
        <v>4.2699999999999996</v>
      </c>
      <c r="U99">
        <v>4.18</v>
      </c>
      <c r="V99">
        <v>1.36</v>
      </c>
      <c r="W99">
        <v>0.313</v>
      </c>
      <c r="X99">
        <v>41</v>
      </c>
      <c r="Y99">
        <f t="shared" si="10"/>
        <v>2.2777777777777777</v>
      </c>
      <c r="Z99">
        <f t="shared" si="11"/>
        <v>4.0999999999999996</v>
      </c>
      <c r="AA99" s="176">
        <f t="shared" si="12"/>
        <v>0.5</v>
      </c>
      <c r="AB99" s="192">
        <f t="shared" si="13"/>
        <v>0.69491525423728817</v>
      </c>
    </row>
    <row r="100" spans="2:28" x14ac:dyDescent="0.3">
      <c r="B100" t="s">
        <v>209</v>
      </c>
      <c r="C100" t="s">
        <v>231</v>
      </c>
      <c r="D100" t="s">
        <v>1623</v>
      </c>
      <c r="E100" t="s">
        <v>1623</v>
      </c>
      <c r="F100">
        <v>1.5</v>
      </c>
      <c r="G100">
        <v>10</v>
      </c>
      <c r="H100">
        <v>10</v>
      </c>
      <c r="I100">
        <v>4</v>
      </c>
      <c r="J100">
        <v>4</v>
      </c>
      <c r="K100">
        <v>4</v>
      </c>
      <c r="L100">
        <v>0</v>
      </c>
      <c r="M100">
        <v>0</v>
      </c>
      <c r="N100">
        <v>52.7</v>
      </c>
      <c r="O100">
        <v>56</v>
      </c>
      <c r="P100">
        <v>25</v>
      </c>
      <c r="Q100">
        <v>8</v>
      </c>
      <c r="R100">
        <v>52</v>
      </c>
      <c r="S100">
        <v>17</v>
      </c>
      <c r="T100">
        <v>4.2699999999999996</v>
      </c>
      <c r="U100">
        <v>4.25</v>
      </c>
      <c r="V100">
        <v>1.39</v>
      </c>
      <c r="W100">
        <v>0.32</v>
      </c>
      <c r="X100">
        <v>8</v>
      </c>
      <c r="Y100">
        <f t="shared" si="10"/>
        <v>3.0588235294117645</v>
      </c>
      <c r="Z100">
        <f t="shared" si="11"/>
        <v>5.2</v>
      </c>
      <c r="AA100" s="176">
        <f t="shared" si="12"/>
        <v>0.4</v>
      </c>
      <c r="AB100" s="192">
        <f t="shared" si="13"/>
        <v>0.98671726755218214</v>
      </c>
    </row>
    <row r="101" spans="2:28" x14ac:dyDescent="0.3">
      <c r="B101" t="s">
        <v>779</v>
      </c>
      <c r="C101" t="s">
        <v>239</v>
      </c>
      <c r="D101" t="s">
        <v>1624</v>
      </c>
      <c r="E101" t="s">
        <v>1624</v>
      </c>
      <c r="F101">
        <v>1.5</v>
      </c>
      <c r="G101">
        <v>23</v>
      </c>
      <c r="H101">
        <v>0</v>
      </c>
      <c r="I101">
        <v>0</v>
      </c>
      <c r="J101">
        <v>2</v>
      </c>
      <c r="K101">
        <v>0</v>
      </c>
      <c r="L101">
        <v>1</v>
      </c>
      <c r="M101">
        <v>6</v>
      </c>
      <c r="N101">
        <v>24.3</v>
      </c>
      <c r="O101">
        <v>21</v>
      </c>
      <c r="P101">
        <v>6</v>
      </c>
      <c r="Q101">
        <v>3</v>
      </c>
      <c r="R101">
        <v>28</v>
      </c>
      <c r="S101">
        <v>4</v>
      </c>
      <c r="T101">
        <v>2.2200000000000002</v>
      </c>
      <c r="U101">
        <v>3.32</v>
      </c>
      <c r="V101">
        <v>1.03</v>
      </c>
      <c r="W101">
        <v>0.28599999999999998</v>
      </c>
      <c r="X101">
        <v>0</v>
      </c>
      <c r="Y101">
        <f t="shared" si="10"/>
        <v>7</v>
      </c>
      <c r="Z101" t="str">
        <f t="shared" si="11"/>
        <v>STELLAR</v>
      </c>
      <c r="AA101" s="176" t="str">
        <f t="shared" si="12"/>
        <v>Didn't Start</v>
      </c>
      <c r="AB101" s="192">
        <f t="shared" si="13"/>
        <v>1.1522633744855966</v>
      </c>
    </row>
    <row r="102" spans="2:28" x14ac:dyDescent="0.3">
      <c r="B102" t="s">
        <v>677</v>
      </c>
      <c r="C102" t="s">
        <v>224</v>
      </c>
      <c r="D102" t="s">
        <v>1624</v>
      </c>
      <c r="E102" t="s">
        <v>1624</v>
      </c>
      <c r="F102">
        <v>1.5</v>
      </c>
      <c r="G102">
        <v>20</v>
      </c>
      <c r="H102">
        <v>0</v>
      </c>
      <c r="I102">
        <v>0</v>
      </c>
      <c r="J102">
        <v>0</v>
      </c>
      <c r="K102">
        <v>0</v>
      </c>
      <c r="L102">
        <v>0</v>
      </c>
      <c r="M102">
        <v>2</v>
      </c>
      <c r="N102">
        <v>23.3</v>
      </c>
      <c r="O102">
        <v>10</v>
      </c>
      <c r="P102">
        <v>2</v>
      </c>
      <c r="Q102">
        <v>1</v>
      </c>
      <c r="R102">
        <v>25</v>
      </c>
      <c r="S102">
        <v>2</v>
      </c>
      <c r="T102">
        <v>0.77</v>
      </c>
      <c r="U102">
        <v>2.34</v>
      </c>
      <c r="V102">
        <v>0.51</v>
      </c>
      <c r="W102">
        <v>0.17</v>
      </c>
      <c r="X102">
        <v>0</v>
      </c>
      <c r="Y102">
        <f t="shared" si="10"/>
        <v>12.5</v>
      </c>
      <c r="Z102" t="str">
        <f t="shared" si="11"/>
        <v>STELLAR</v>
      </c>
      <c r="AA102" s="176" t="str">
        <f t="shared" si="12"/>
        <v>Didn't Start</v>
      </c>
      <c r="AB102" s="192">
        <f t="shared" si="13"/>
        <v>1.0729613733905579</v>
      </c>
    </row>
    <row r="103" spans="2:28" x14ac:dyDescent="0.3">
      <c r="B103" t="s">
        <v>765</v>
      </c>
      <c r="C103" t="s">
        <v>235</v>
      </c>
      <c r="D103" t="s">
        <v>1623</v>
      </c>
      <c r="E103" t="s">
        <v>1623</v>
      </c>
      <c r="F103">
        <v>1.4</v>
      </c>
      <c r="G103">
        <v>9</v>
      </c>
      <c r="H103">
        <v>9</v>
      </c>
      <c r="I103">
        <v>3</v>
      </c>
      <c r="J103">
        <v>3</v>
      </c>
      <c r="K103">
        <v>3</v>
      </c>
      <c r="L103">
        <v>0</v>
      </c>
      <c r="M103">
        <v>0</v>
      </c>
      <c r="N103">
        <v>49.3</v>
      </c>
      <c r="O103">
        <v>41</v>
      </c>
      <c r="P103">
        <v>19</v>
      </c>
      <c r="Q103">
        <v>3</v>
      </c>
      <c r="R103">
        <v>34</v>
      </c>
      <c r="S103">
        <v>20</v>
      </c>
      <c r="T103">
        <v>3.47</v>
      </c>
      <c r="U103">
        <v>4.03</v>
      </c>
      <c r="V103">
        <v>1.24</v>
      </c>
      <c r="W103">
        <v>0.252</v>
      </c>
      <c r="X103">
        <v>98</v>
      </c>
      <c r="Y103">
        <f t="shared" si="10"/>
        <v>1.7</v>
      </c>
      <c r="Z103">
        <f t="shared" si="11"/>
        <v>3.7777777777777777</v>
      </c>
      <c r="AA103" s="176">
        <f t="shared" si="12"/>
        <v>0.33333333333333331</v>
      </c>
      <c r="AB103" s="192">
        <f t="shared" si="13"/>
        <v>0.68965517241379315</v>
      </c>
    </row>
    <row r="104" spans="2:28" x14ac:dyDescent="0.3">
      <c r="B104" t="s">
        <v>727</v>
      </c>
      <c r="C104" t="s">
        <v>286</v>
      </c>
      <c r="D104" t="s">
        <v>1624</v>
      </c>
      <c r="E104" t="s">
        <v>1624</v>
      </c>
      <c r="F104">
        <v>1.3</v>
      </c>
      <c r="G104">
        <v>23</v>
      </c>
      <c r="H104">
        <v>0</v>
      </c>
      <c r="I104">
        <v>0</v>
      </c>
      <c r="J104">
        <v>4</v>
      </c>
      <c r="K104">
        <v>1</v>
      </c>
      <c r="L104">
        <v>0</v>
      </c>
      <c r="M104">
        <v>5</v>
      </c>
      <c r="N104">
        <v>19.3</v>
      </c>
      <c r="O104">
        <v>20</v>
      </c>
      <c r="P104">
        <v>5</v>
      </c>
      <c r="Q104">
        <v>2</v>
      </c>
      <c r="R104">
        <v>22</v>
      </c>
      <c r="S104">
        <v>6</v>
      </c>
      <c r="T104">
        <v>2.33</v>
      </c>
      <c r="U104">
        <v>3.43</v>
      </c>
      <c r="V104">
        <v>1.34</v>
      </c>
      <c r="W104">
        <v>0.36</v>
      </c>
      <c r="X104">
        <v>1</v>
      </c>
      <c r="Y104">
        <f t="shared" si="10"/>
        <v>3.6666666666666665</v>
      </c>
      <c r="Z104" t="str">
        <f t="shared" si="11"/>
        <v>STELLAR</v>
      </c>
      <c r="AA104" s="176" t="str">
        <f t="shared" si="12"/>
        <v>Didn't Start</v>
      </c>
      <c r="AB104" s="192">
        <f t="shared" si="13"/>
        <v>1.1398963730569949</v>
      </c>
    </row>
    <row r="105" spans="2:28" x14ac:dyDescent="0.3">
      <c r="B105" t="s">
        <v>3339</v>
      </c>
      <c r="C105" t="s">
        <v>270</v>
      </c>
      <c r="D105" t="s">
        <v>1623</v>
      </c>
      <c r="E105" t="s">
        <v>1623</v>
      </c>
      <c r="F105">
        <v>1.1000000000000001</v>
      </c>
      <c r="G105">
        <v>4</v>
      </c>
      <c r="H105">
        <v>2</v>
      </c>
      <c r="I105">
        <v>1</v>
      </c>
      <c r="J105">
        <v>2</v>
      </c>
      <c r="K105">
        <v>2</v>
      </c>
      <c r="L105">
        <v>0</v>
      </c>
      <c r="M105">
        <v>0</v>
      </c>
      <c r="N105">
        <v>17</v>
      </c>
      <c r="O105">
        <v>12</v>
      </c>
      <c r="P105">
        <v>5</v>
      </c>
      <c r="Q105">
        <v>3</v>
      </c>
      <c r="R105">
        <v>18</v>
      </c>
      <c r="S105">
        <v>3</v>
      </c>
      <c r="T105">
        <v>2.65</v>
      </c>
      <c r="U105">
        <v>3.98</v>
      </c>
      <c r="V105">
        <v>0.88</v>
      </c>
      <c r="W105">
        <v>0.214</v>
      </c>
      <c r="X105">
        <v>4</v>
      </c>
      <c r="Y105">
        <f t="shared" si="10"/>
        <v>6</v>
      </c>
      <c r="Z105">
        <f t="shared" si="11"/>
        <v>9</v>
      </c>
      <c r="AA105" s="176">
        <f t="shared" si="12"/>
        <v>1</v>
      </c>
      <c r="AB105" s="192">
        <f t="shared" si="13"/>
        <v>1.0588235294117647</v>
      </c>
    </row>
    <row r="106" spans="2:28" x14ac:dyDescent="0.3">
      <c r="B106" t="s">
        <v>663</v>
      </c>
      <c r="C106" t="s">
        <v>278</v>
      </c>
      <c r="D106" t="s">
        <v>1624</v>
      </c>
      <c r="E106" t="s">
        <v>1624</v>
      </c>
      <c r="F106">
        <v>1.1000000000000001</v>
      </c>
      <c r="G106">
        <v>22</v>
      </c>
      <c r="H106">
        <v>0</v>
      </c>
      <c r="I106">
        <v>0</v>
      </c>
      <c r="J106">
        <v>4</v>
      </c>
      <c r="K106">
        <v>0</v>
      </c>
      <c r="L106">
        <v>0</v>
      </c>
      <c r="M106">
        <v>1</v>
      </c>
      <c r="N106">
        <v>26</v>
      </c>
      <c r="O106">
        <v>18</v>
      </c>
      <c r="P106">
        <v>11</v>
      </c>
      <c r="Q106">
        <v>3</v>
      </c>
      <c r="R106">
        <v>27</v>
      </c>
      <c r="S106">
        <v>13</v>
      </c>
      <c r="T106">
        <v>3.81</v>
      </c>
      <c r="U106">
        <v>4.2</v>
      </c>
      <c r="V106">
        <v>1.19</v>
      </c>
      <c r="W106">
        <v>0.23100000000000001</v>
      </c>
      <c r="X106">
        <v>0</v>
      </c>
      <c r="Y106">
        <f t="shared" si="10"/>
        <v>2.0769230769230771</v>
      </c>
      <c r="Z106" t="str">
        <f t="shared" si="11"/>
        <v>STELLAR</v>
      </c>
      <c r="AA106" s="176" t="str">
        <f t="shared" si="12"/>
        <v>Didn't Start</v>
      </c>
      <c r="AB106" s="192">
        <f t="shared" si="13"/>
        <v>1.0384615384615385</v>
      </c>
    </row>
    <row r="107" spans="2:28" x14ac:dyDescent="0.3">
      <c r="B107" t="s">
        <v>204</v>
      </c>
      <c r="C107" t="s">
        <v>339</v>
      </c>
      <c r="D107" t="s">
        <v>1623</v>
      </c>
      <c r="E107" t="s">
        <v>1623</v>
      </c>
      <c r="F107">
        <v>1</v>
      </c>
      <c r="G107">
        <v>7</v>
      </c>
      <c r="H107">
        <v>7</v>
      </c>
      <c r="I107">
        <v>2</v>
      </c>
      <c r="J107">
        <v>3</v>
      </c>
      <c r="K107">
        <v>2</v>
      </c>
      <c r="L107">
        <v>0</v>
      </c>
      <c r="M107">
        <v>0</v>
      </c>
      <c r="N107">
        <v>33.700000000000003</v>
      </c>
      <c r="O107">
        <v>27</v>
      </c>
      <c r="P107">
        <v>15</v>
      </c>
      <c r="Q107">
        <v>6</v>
      </c>
      <c r="R107">
        <v>31</v>
      </c>
      <c r="S107">
        <v>13</v>
      </c>
      <c r="T107">
        <v>4.01</v>
      </c>
      <c r="U107">
        <v>5</v>
      </c>
      <c r="V107">
        <v>1.19</v>
      </c>
      <c r="W107">
        <v>0.24099999999999999</v>
      </c>
      <c r="X107">
        <v>100</v>
      </c>
      <c r="Y107">
        <f t="shared" si="10"/>
        <v>2.3846153846153846</v>
      </c>
      <c r="Z107">
        <f t="shared" si="11"/>
        <v>4.4285714285714288</v>
      </c>
      <c r="AA107" s="176">
        <f t="shared" si="12"/>
        <v>0.42857142857142855</v>
      </c>
      <c r="AB107" s="192">
        <f t="shared" si="13"/>
        <v>0.91988130563798209</v>
      </c>
    </row>
    <row r="108" spans="2:28" x14ac:dyDescent="0.3">
      <c r="B108" t="s">
        <v>162</v>
      </c>
      <c r="C108" t="s">
        <v>239</v>
      </c>
      <c r="D108" t="s">
        <v>1623</v>
      </c>
      <c r="E108" t="s">
        <v>1623</v>
      </c>
      <c r="F108">
        <v>1</v>
      </c>
      <c r="G108">
        <v>8</v>
      </c>
      <c r="H108">
        <v>8</v>
      </c>
      <c r="I108">
        <v>4</v>
      </c>
      <c r="J108">
        <v>3</v>
      </c>
      <c r="K108">
        <v>2</v>
      </c>
      <c r="L108">
        <v>0</v>
      </c>
      <c r="M108">
        <v>0</v>
      </c>
      <c r="N108">
        <v>41.7</v>
      </c>
      <c r="O108">
        <v>38</v>
      </c>
      <c r="P108">
        <v>17</v>
      </c>
      <c r="Q108">
        <v>6</v>
      </c>
      <c r="R108">
        <v>24</v>
      </c>
      <c r="S108">
        <v>9</v>
      </c>
      <c r="T108">
        <v>3.67</v>
      </c>
      <c r="U108">
        <v>4.79</v>
      </c>
      <c r="V108">
        <v>1.1299999999999999</v>
      </c>
      <c r="W108">
        <v>0.246</v>
      </c>
      <c r="X108">
        <v>16</v>
      </c>
      <c r="Y108">
        <f t="shared" si="10"/>
        <v>2.6666666666666665</v>
      </c>
      <c r="Z108">
        <f t="shared" si="11"/>
        <v>3</v>
      </c>
      <c r="AA108" s="176">
        <f t="shared" si="12"/>
        <v>0.375</v>
      </c>
      <c r="AB108" s="192">
        <f t="shared" si="13"/>
        <v>0.57553956834532372</v>
      </c>
    </row>
    <row r="109" spans="2:28" x14ac:dyDescent="0.3">
      <c r="B109" t="s">
        <v>664</v>
      </c>
      <c r="C109" t="s">
        <v>246</v>
      </c>
      <c r="D109" t="s">
        <v>1624</v>
      </c>
      <c r="E109" t="s">
        <v>1624</v>
      </c>
      <c r="F109">
        <v>1</v>
      </c>
      <c r="G109">
        <v>22</v>
      </c>
      <c r="H109">
        <v>0</v>
      </c>
      <c r="I109">
        <v>0</v>
      </c>
      <c r="J109">
        <v>3</v>
      </c>
      <c r="K109">
        <v>1</v>
      </c>
      <c r="L109">
        <v>2</v>
      </c>
      <c r="M109">
        <v>7</v>
      </c>
      <c r="N109">
        <v>22</v>
      </c>
      <c r="O109">
        <v>14</v>
      </c>
      <c r="P109">
        <v>10</v>
      </c>
      <c r="Q109">
        <v>2</v>
      </c>
      <c r="R109">
        <v>28</v>
      </c>
      <c r="S109">
        <v>11</v>
      </c>
      <c r="T109">
        <v>4.09</v>
      </c>
      <c r="U109">
        <v>3.55</v>
      </c>
      <c r="V109">
        <v>1.1399999999999999</v>
      </c>
      <c r="W109">
        <v>0.26100000000000001</v>
      </c>
      <c r="X109">
        <v>1</v>
      </c>
      <c r="Y109">
        <f t="shared" si="10"/>
        <v>2.5454545454545454</v>
      </c>
      <c r="Z109" t="str">
        <f t="shared" si="11"/>
        <v>STELLAR</v>
      </c>
      <c r="AA109" s="176" t="str">
        <f t="shared" si="12"/>
        <v>Didn't Start</v>
      </c>
      <c r="AB109" s="192">
        <f t="shared" si="13"/>
        <v>1.2727272727272727</v>
      </c>
    </row>
    <row r="110" spans="2:28" x14ac:dyDescent="0.3">
      <c r="B110" t="s">
        <v>469</v>
      </c>
      <c r="C110" t="s">
        <v>270</v>
      </c>
      <c r="D110" t="s">
        <v>1624</v>
      </c>
      <c r="E110" t="s">
        <v>1624</v>
      </c>
      <c r="F110">
        <v>1</v>
      </c>
      <c r="G110">
        <v>22</v>
      </c>
      <c r="H110">
        <v>0</v>
      </c>
      <c r="I110">
        <v>0</v>
      </c>
      <c r="J110">
        <v>4</v>
      </c>
      <c r="K110">
        <v>1</v>
      </c>
      <c r="L110">
        <v>1</v>
      </c>
      <c r="M110">
        <v>5</v>
      </c>
      <c r="N110">
        <v>22.3</v>
      </c>
      <c r="O110">
        <v>19</v>
      </c>
      <c r="P110">
        <v>9</v>
      </c>
      <c r="Q110">
        <v>3</v>
      </c>
      <c r="R110">
        <v>22</v>
      </c>
      <c r="S110">
        <v>9</v>
      </c>
      <c r="T110">
        <v>3.63</v>
      </c>
      <c r="U110">
        <v>4.53</v>
      </c>
      <c r="V110">
        <v>1.25</v>
      </c>
      <c r="W110">
        <v>0.28100000000000003</v>
      </c>
      <c r="X110">
        <v>0</v>
      </c>
      <c r="Y110">
        <f t="shared" si="10"/>
        <v>2.4444444444444446</v>
      </c>
      <c r="Z110" t="str">
        <f t="shared" si="11"/>
        <v>STELLAR</v>
      </c>
      <c r="AA110" s="176" t="str">
        <f t="shared" si="12"/>
        <v>Didn't Start</v>
      </c>
      <c r="AB110" s="192">
        <f t="shared" si="13"/>
        <v>0.98654708520179368</v>
      </c>
    </row>
    <row r="111" spans="2:28" x14ac:dyDescent="0.3">
      <c r="B111" t="s">
        <v>841</v>
      </c>
      <c r="C111" t="s">
        <v>311</v>
      </c>
      <c r="D111" t="s">
        <v>1624</v>
      </c>
      <c r="E111" t="s">
        <v>1624</v>
      </c>
      <c r="F111">
        <v>0.9</v>
      </c>
      <c r="G111">
        <v>20</v>
      </c>
      <c r="H111">
        <v>0</v>
      </c>
      <c r="I111">
        <v>0</v>
      </c>
      <c r="J111">
        <v>3</v>
      </c>
      <c r="K111">
        <v>1</v>
      </c>
      <c r="L111">
        <v>5</v>
      </c>
      <c r="M111">
        <v>3</v>
      </c>
      <c r="N111">
        <v>18</v>
      </c>
      <c r="O111">
        <v>14</v>
      </c>
      <c r="P111">
        <v>12</v>
      </c>
      <c r="Q111">
        <v>4</v>
      </c>
      <c r="R111">
        <v>30</v>
      </c>
      <c r="S111">
        <v>10</v>
      </c>
      <c r="T111">
        <v>6</v>
      </c>
      <c r="U111">
        <v>4.5</v>
      </c>
      <c r="V111">
        <v>1.33</v>
      </c>
      <c r="W111">
        <v>0.32300000000000001</v>
      </c>
      <c r="X111">
        <v>95</v>
      </c>
      <c r="Y111">
        <f t="shared" si="10"/>
        <v>3</v>
      </c>
      <c r="Z111" t="str">
        <f t="shared" si="11"/>
        <v>STELLAR</v>
      </c>
      <c r="AA111" s="176" t="str">
        <f t="shared" si="12"/>
        <v>Didn't Start</v>
      </c>
      <c r="AB111" s="192">
        <f t="shared" si="13"/>
        <v>1.6666666666666667</v>
      </c>
    </row>
    <row r="112" spans="2:28" x14ac:dyDescent="0.3">
      <c r="B112" t="s">
        <v>516</v>
      </c>
      <c r="C112" t="s">
        <v>222</v>
      </c>
      <c r="D112" t="s">
        <v>1624</v>
      </c>
      <c r="E112" t="s">
        <v>1624</v>
      </c>
      <c r="F112">
        <v>0.6</v>
      </c>
      <c r="G112">
        <v>23</v>
      </c>
      <c r="H112">
        <v>0</v>
      </c>
      <c r="I112">
        <v>0</v>
      </c>
      <c r="J112">
        <v>2</v>
      </c>
      <c r="K112">
        <v>1</v>
      </c>
      <c r="L112">
        <v>3</v>
      </c>
      <c r="M112">
        <v>5</v>
      </c>
      <c r="N112">
        <v>19.7</v>
      </c>
      <c r="O112">
        <v>13</v>
      </c>
      <c r="P112">
        <v>4</v>
      </c>
      <c r="Q112">
        <v>2</v>
      </c>
      <c r="R112">
        <v>20</v>
      </c>
      <c r="S112">
        <v>10</v>
      </c>
      <c r="T112">
        <v>1.83</v>
      </c>
      <c r="U112">
        <v>4.4000000000000004</v>
      </c>
      <c r="V112">
        <v>1.17</v>
      </c>
      <c r="W112">
        <v>0.224</v>
      </c>
      <c r="X112">
        <v>40</v>
      </c>
      <c r="Y112">
        <f t="shared" si="10"/>
        <v>2</v>
      </c>
      <c r="Z112" t="str">
        <f t="shared" si="11"/>
        <v>STELLAR</v>
      </c>
      <c r="AA112" s="176" t="str">
        <f t="shared" si="12"/>
        <v>Didn't Start</v>
      </c>
      <c r="AB112" s="192">
        <f t="shared" si="13"/>
        <v>1.015228426395939</v>
      </c>
    </row>
    <row r="113" spans="2:28" x14ac:dyDescent="0.3">
      <c r="B113" t="s">
        <v>3263</v>
      </c>
      <c r="C113" t="s">
        <v>339</v>
      </c>
      <c r="D113" t="s">
        <v>1623</v>
      </c>
      <c r="E113" t="s">
        <v>1623</v>
      </c>
      <c r="F113">
        <v>0.4</v>
      </c>
      <c r="G113">
        <v>4</v>
      </c>
      <c r="H113">
        <v>4</v>
      </c>
      <c r="I113">
        <v>2</v>
      </c>
      <c r="J113">
        <v>2</v>
      </c>
      <c r="K113">
        <v>2</v>
      </c>
      <c r="L113">
        <v>0</v>
      </c>
      <c r="M113">
        <v>0</v>
      </c>
      <c r="N113">
        <v>25</v>
      </c>
      <c r="O113">
        <v>18</v>
      </c>
      <c r="P113">
        <v>10</v>
      </c>
      <c r="Q113">
        <v>5</v>
      </c>
      <c r="R113">
        <v>20</v>
      </c>
      <c r="S113">
        <v>5</v>
      </c>
      <c r="T113">
        <v>3.6</v>
      </c>
      <c r="U113">
        <v>4.88</v>
      </c>
      <c r="V113">
        <v>0.92</v>
      </c>
      <c r="W113">
        <v>0.19400000000000001</v>
      </c>
      <c r="X113">
        <v>100</v>
      </c>
      <c r="Y113">
        <f t="shared" si="10"/>
        <v>4</v>
      </c>
      <c r="Z113">
        <f t="shared" si="11"/>
        <v>5</v>
      </c>
      <c r="AA113" s="176">
        <f t="shared" si="12"/>
        <v>0.5</v>
      </c>
      <c r="AB113" s="192">
        <f t="shared" si="13"/>
        <v>0.8</v>
      </c>
    </row>
    <row r="114" spans="2:28" x14ac:dyDescent="0.3">
      <c r="B114" t="s">
        <v>445</v>
      </c>
      <c r="C114" t="s">
        <v>231</v>
      </c>
      <c r="D114" t="s">
        <v>1624</v>
      </c>
      <c r="E114" t="s">
        <v>1624</v>
      </c>
      <c r="F114">
        <v>0.4</v>
      </c>
      <c r="G114">
        <v>20</v>
      </c>
      <c r="H114">
        <v>0</v>
      </c>
      <c r="I114">
        <v>0</v>
      </c>
      <c r="J114">
        <v>1</v>
      </c>
      <c r="K114">
        <v>1</v>
      </c>
      <c r="L114">
        <v>1</v>
      </c>
      <c r="M114">
        <v>2</v>
      </c>
      <c r="N114">
        <v>22.3</v>
      </c>
      <c r="O114">
        <v>9</v>
      </c>
      <c r="P114">
        <v>5</v>
      </c>
      <c r="Q114">
        <v>2</v>
      </c>
      <c r="R114">
        <v>33</v>
      </c>
      <c r="S114">
        <v>12</v>
      </c>
      <c r="T114">
        <v>2.02</v>
      </c>
      <c r="U114">
        <v>3.1</v>
      </c>
      <c r="V114">
        <v>0.94</v>
      </c>
      <c r="W114">
        <v>0.16300000000000001</v>
      </c>
      <c r="X114">
        <v>0</v>
      </c>
      <c r="Y114">
        <f t="shared" si="10"/>
        <v>2.75</v>
      </c>
      <c r="Z114" t="str">
        <f t="shared" si="11"/>
        <v>STELLAR</v>
      </c>
      <c r="AA114" s="176" t="str">
        <f t="shared" si="12"/>
        <v>Didn't Start</v>
      </c>
      <c r="AB114" s="192">
        <f t="shared" si="13"/>
        <v>1.4798206278026906</v>
      </c>
    </row>
    <row r="115" spans="2:28" x14ac:dyDescent="0.3">
      <c r="B115" t="s">
        <v>574</v>
      </c>
      <c r="C115" t="s">
        <v>224</v>
      </c>
      <c r="D115" t="s">
        <v>1624</v>
      </c>
      <c r="E115" t="s">
        <v>1624</v>
      </c>
      <c r="F115">
        <v>0.1</v>
      </c>
      <c r="G115">
        <v>20</v>
      </c>
      <c r="H115">
        <v>0</v>
      </c>
      <c r="I115">
        <v>0</v>
      </c>
      <c r="J115">
        <v>0</v>
      </c>
      <c r="K115">
        <v>2</v>
      </c>
      <c r="L115">
        <v>8</v>
      </c>
      <c r="M115">
        <v>0</v>
      </c>
      <c r="N115">
        <v>19.3</v>
      </c>
      <c r="O115">
        <v>15</v>
      </c>
      <c r="P115">
        <v>7</v>
      </c>
      <c r="Q115">
        <v>2</v>
      </c>
      <c r="R115">
        <v>17</v>
      </c>
      <c r="S115">
        <v>2</v>
      </c>
      <c r="T115">
        <v>3.26</v>
      </c>
      <c r="U115">
        <v>3.17</v>
      </c>
      <c r="V115">
        <v>0.88</v>
      </c>
      <c r="W115">
        <v>0.255</v>
      </c>
      <c r="X115">
        <v>100</v>
      </c>
      <c r="Y115">
        <f t="shared" si="10"/>
        <v>8.5</v>
      </c>
      <c r="Z115" t="str">
        <f t="shared" si="11"/>
        <v>STELLAR</v>
      </c>
      <c r="AA115" s="176" t="str">
        <f t="shared" si="12"/>
        <v>Didn't Start</v>
      </c>
      <c r="AB115" s="192">
        <f t="shared" si="13"/>
        <v>0.88082901554404147</v>
      </c>
    </row>
    <row r="116" spans="2:28" x14ac:dyDescent="0.3">
      <c r="B116" t="s">
        <v>2023</v>
      </c>
      <c r="C116" t="s">
        <v>1522</v>
      </c>
      <c r="D116" t="s">
        <v>1623</v>
      </c>
      <c r="E116" t="s">
        <v>1623</v>
      </c>
      <c r="F116">
        <v>-0.1</v>
      </c>
      <c r="G116">
        <v>7</v>
      </c>
      <c r="H116">
        <v>1</v>
      </c>
      <c r="I116">
        <v>0</v>
      </c>
      <c r="J116">
        <v>2</v>
      </c>
      <c r="K116">
        <v>1</v>
      </c>
      <c r="L116">
        <v>0</v>
      </c>
      <c r="M116">
        <v>1</v>
      </c>
      <c r="N116">
        <v>29</v>
      </c>
      <c r="O116">
        <v>17</v>
      </c>
      <c r="P116">
        <v>9</v>
      </c>
      <c r="Q116">
        <v>2</v>
      </c>
      <c r="R116">
        <v>11</v>
      </c>
      <c r="S116">
        <v>11</v>
      </c>
      <c r="T116">
        <v>2.79</v>
      </c>
      <c r="U116">
        <v>4.66</v>
      </c>
      <c r="V116">
        <v>0.97</v>
      </c>
      <c r="W116">
        <v>0.17</v>
      </c>
      <c r="X116">
        <v>2</v>
      </c>
      <c r="Y116">
        <f t="shared" si="10"/>
        <v>1</v>
      </c>
      <c r="Z116">
        <f t="shared" si="11"/>
        <v>11</v>
      </c>
      <c r="AA116" s="176">
        <f t="shared" si="12"/>
        <v>2</v>
      </c>
      <c r="AB116" s="192">
        <f t="shared" si="13"/>
        <v>0.37931034482758619</v>
      </c>
    </row>
    <row r="117" spans="2:28" x14ac:dyDescent="0.3">
      <c r="B117" t="s">
        <v>313</v>
      </c>
      <c r="C117" t="s">
        <v>222</v>
      </c>
      <c r="D117" t="s">
        <v>1623</v>
      </c>
      <c r="E117" t="s">
        <v>1623</v>
      </c>
      <c r="F117">
        <v>-0.1</v>
      </c>
      <c r="G117">
        <v>10</v>
      </c>
      <c r="H117">
        <v>10</v>
      </c>
      <c r="I117">
        <v>4</v>
      </c>
      <c r="J117">
        <v>4</v>
      </c>
      <c r="K117">
        <v>2</v>
      </c>
      <c r="L117">
        <v>0</v>
      </c>
      <c r="M117">
        <v>0</v>
      </c>
      <c r="N117">
        <v>54.3</v>
      </c>
      <c r="O117">
        <v>53</v>
      </c>
      <c r="P117">
        <v>32</v>
      </c>
      <c r="Q117">
        <v>10</v>
      </c>
      <c r="R117">
        <v>53</v>
      </c>
      <c r="S117">
        <v>16</v>
      </c>
      <c r="T117">
        <v>5.3</v>
      </c>
      <c r="U117">
        <v>4.7699999999999996</v>
      </c>
      <c r="V117">
        <v>1.27</v>
      </c>
      <c r="W117">
        <v>0.29499999999999998</v>
      </c>
      <c r="X117">
        <v>100</v>
      </c>
      <c r="Y117">
        <f t="shared" si="10"/>
        <v>3.3125</v>
      </c>
      <c r="Z117">
        <f t="shared" si="11"/>
        <v>5.3</v>
      </c>
      <c r="AA117" s="176">
        <f t="shared" si="12"/>
        <v>0.4</v>
      </c>
      <c r="AB117" s="192">
        <f t="shared" si="13"/>
        <v>0.97605893186003689</v>
      </c>
    </row>
    <row r="118" spans="2:28" x14ac:dyDescent="0.3">
      <c r="B118" t="s">
        <v>178</v>
      </c>
      <c r="C118" t="s">
        <v>339</v>
      </c>
      <c r="D118" t="s">
        <v>1623</v>
      </c>
      <c r="E118" t="s">
        <v>1623</v>
      </c>
      <c r="F118">
        <v>-0.2</v>
      </c>
      <c r="G118">
        <v>10</v>
      </c>
      <c r="H118">
        <v>10</v>
      </c>
      <c r="I118">
        <v>3</v>
      </c>
      <c r="J118">
        <v>5</v>
      </c>
      <c r="K118">
        <v>3</v>
      </c>
      <c r="L118">
        <v>0</v>
      </c>
      <c r="M118">
        <v>0</v>
      </c>
      <c r="N118">
        <v>50</v>
      </c>
      <c r="O118">
        <v>49</v>
      </c>
      <c r="P118">
        <v>24</v>
      </c>
      <c r="Q118">
        <v>8</v>
      </c>
      <c r="R118">
        <v>40</v>
      </c>
      <c r="S118">
        <v>25</v>
      </c>
      <c r="T118">
        <v>4.32</v>
      </c>
      <c r="U118">
        <v>5.44</v>
      </c>
      <c r="V118">
        <v>1.48</v>
      </c>
      <c r="W118">
        <v>0.28299999999999997</v>
      </c>
      <c r="X118">
        <v>54</v>
      </c>
      <c r="Y118">
        <f t="shared" si="10"/>
        <v>1.6</v>
      </c>
      <c r="Z118">
        <f t="shared" si="11"/>
        <v>4</v>
      </c>
      <c r="AA118" s="176">
        <f t="shared" si="12"/>
        <v>0.5</v>
      </c>
      <c r="AB118" s="192">
        <f t="shared" si="13"/>
        <v>0.8</v>
      </c>
    </row>
    <row r="119" spans="2:28" x14ac:dyDescent="0.3">
      <c r="B119" t="s">
        <v>600</v>
      </c>
      <c r="C119" t="s">
        <v>255</v>
      </c>
      <c r="D119" t="s">
        <v>1624</v>
      </c>
      <c r="E119" t="s">
        <v>1624</v>
      </c>
      <c r="F119">
        <v>-0.3</v>
      </c>
      <c r="G119">
        <v>18</v>
      </c>
      <c r="H119">
        <v>0</v>
      </c>
      <c r="I119">
        <v>0</v>
      </c>
      <c r="J119">
        <v>1</v>
      </c>
      <c r="K119">
        <v>2</v>
      </c>
      <c r="L119">
        <v>4</v>
      </c>
      <c r="M119">
        <v>4</v>
      </c>
      <c r="N119">
        <v>19.3</v>
      </c>
      <c r="O119">
        <v>15</v>
      </c>
      <c r="P119">
        <v>4</v>
      </c>
      <c r="Q119">
        <v>2</v>
      </c>
      <c r="R119">
        <v>18</v>
      </c>
      <c r="S119">
        <v>4</v>
      </c>
      <c r="T119">
        <v>1.86</v>
      </c>
      <c r="U119">
        <v>3.38</v>
      </c>
      <c r="V119">
        <v>0.98</v>
      </c>
      <c r="W119">
        <v>0.255</v>
      </c>
      <c r="X119">
        <v>79</v>
      </c>
      <c r="Y119">
        <f t="shared" ref="Y119:Y182" si="14">IFERROR(R119/S119,"STELLAR")</f>
        <v>4.5</v>
      </c>
      <c r="Z119" t="str">
        <f t="shared" ref="Z119:Z182" si="15">IFERROR(R119/H119,"STELLAR")</f>
        <v>STELLAR</v>
      </c>
      <c r="AA119" s="176" t="str">
        <f t="shared" ref="AA119:AA182" si="16">IFERROR(J119/H119,"Didn't Start")</f>
        <v>Didn't Start</v>
      </c>
      <c r="AB119" s="192">
        <f t="shared" si="13"/>
        <v>0.93264248704663211</v>
      </c>
    </row>
    <row r="120" spans="2:28" x14ac:dyDescent="0.3">
      <c r="B120" t="s">
        <v>558</v>
      </c>
      <c r="C120" t="s">
        <v>278</v>
      </c>
      <c r="D120" t="s">
        <v>1624</v>
      </c>
      <c r="E120" t="s">
        <v>1624</v>
      </c>
      <c r="F120">
        <v>-0.3</v>
      </c>
      <c r="G120">
        <v>24</v>
      </c>
      <c r="H120">
        <v>0</v>
      </c>
      <c r="I120">
        <v>0</v>
      </c>
      <c r="J120">
        <v>3</v>
      </c>
      <c r="K120">
        <v>2</v>
      </c>
      <c r="L120">
        <v>0</v>
      </c>
      <c r="M120">
        <v>9</v>
      </c>
      <c r="N120">
        <v>22.7</v>
      </c>
      <c r="O120">
        <v>14</v>
      </c>
      <c r="P120">
        <v>7</v>
      </c>
      <c r="Q120">
        <v>1</v>
      </c>
      <c r="R120">
        <v>28</v>
      </c>
      <c r="S120">
        <v>14</v>
      </c>
      <c r="T120">
        <v>2.78</v>
      </c>
      <c r="U120">
        <v>3.37</v>
      </c>
      <c r="V120">
        <v>1.24</v>
      </c>
      <c r="W120">
        <v>0.28899999999999998</v>
      </c>
      <c r="X120">
        <v>0</v>
      </c>
      <c r="Y120">
        <f t="shared" si="14"/>
        <v>2</v>
      </c>
      <c r="Z120" t="str">
        <f t="shared" si="15"/>
        <v>STELLAR</v>
      </c>
      <c r="AA120" s="176" t="str">
        <f t="shared" si="16"/>
        <v>Didn't Start</v>
      </c>
      <c r="AB120" s="192">
        <f t="shared" si="13"/>
        <v>1.2334801762114538</v>
      </c>
    </row>
    <row r="121" spans="2:28" x14ac:dyDescent="0.3">
      <c r="B121" t="s">
        <v>697</v>
      </c>
      <c r="C121" t="s">
        <v>250</v>
      </c>
      <c r="D121" t="s">
        <v>1624</v>
      </c>
      <c r="E121" t="s">
        <v>1624</v>
      </c>
      <c r="F121">
        <v>-0.4</v>
      </c>
      <c r="G121">
        <v>13</v>
      </c>
      <c r="H121">
        <v>0</v>
      </c>
      <c r="I121">
        <v>0</v>
      </c>
      <c r="J121">
        <v>3</v>
      </c>
      <c r="K121">
        <v>2</v>
      </c>
      <c r="L121">
        <v>0</v>
      </c>
      <c r="M121">
        <v>1</v>
      </c>
      <c r="N121">
        <v>26.3</v>
      </c>
      <c r="O121">
        <v>19</v>
      </c>
      <c r="P121">
        <v>10</v>
      </c>
      <c r="Q121">
        <v>4</v>
      </c>
      <c r="R121">
        <v>19</v>
      </c>
      <c r="S121">
        <v>6</v>
      </c>
      <c r="T121">
        <v>3.42</v>
      </c>
      <c r="U121">
        <v>4.49</v>
      </c>
      <c r="V121">
        <v>0.95</v>
      </c>
      <c r="W121">
        <v>0.21099999999999999</v>
      </c>
      <c r="Y121">
        <f t="shared" si="14"/>
        <v>3.1666666666666665</v>
      </c>
      <c r="Z121" t="str">
        <f t="shared" si="15"/>
        <v>STELLAR</v>
      </c>
      <c r="AA121" s="176" t="str">
        <f t="shared" si="16"/>
        <v>Didn't Start</v>
      </c>
      <c r="AB121" s="192">
        <f t="shared" si="13"/>
        <v>0.72243346007604559</v>
      </c>
    </row>
    <row r="122" spans="2:28" x14ac:dyDescent="0.3">
      <c r="B122" t="s">
        <v>357</v>
      </c>
      <c r="C122" t="s">
        <v>251</v>
      </c>
      <c r="D122" t="s">
        <v>1624</v>
      </c>
      <c r="E122" t="s">
        <v>1624</v>
      </c>
      <c r="F122">
        <v>-0.4</v>
      </c>
      <c r="G122">
        <v>22</v>
      </c>
      <c r="H122">
        <v>0</v>
      </c>
      <c r="I122">
        <v>0</v>
      </c>
      <c r="J122">
        <v>2</v>
      </c>
      <c r="K122">
        <v>2</v>
      </c>
      <c r="L122">
        <v>2</v>
      </c>
      <c r="M122">
        <v>7</v>
      </c>
      <c r="N122">
        <v>20.7</v>
      </c>
      <c r="O122">
        <v>18</v>
      </c>
      <c r="P122">
        <v>5</v>
      </c>
      <c r="Q122">
        <v>4</v>
      </c>
      <c r="R122">
        <v>25</v>
      </c>
      <c r="S122">
        <v>7</v>
      </c>
      <c r="T122">
        <v>2.1800000000000002</v>
      </c>
      <c r="U122">
        <v>4.3899999999999997</v>
      </c>
      <c r="V122">
        <v>1.21</v>
      </c>
      <c r="W122">
        <v>0.29199999999999998</v>
      </c>
      <c r="X122">
        <v>1</v>
      </c>
      <c r="Y122">
        <f t="shared" si="14"/>
        <v>3.5714285714285716</v>
      </c>
      <c r="Z122" t="str">
        <f t="shared" si="15"/>
        <v>STELLAR</v>
      </c>
      <c r="AA122" s="176" t="str">
        <f t="shared" si="16"/>
        <v>Didn't Start</v>
      </c>
      <c r="AB122" s="192">
        <f t="shared" si="13"/>
        <v>1.2077294685990339</v>
      </c>
    </row>
    <row r="123" spans="2:28" x14ac:dyDescent="0.3">
      <c r="B123" t="s">
        <v>404</v>
      </c>
      <c r="C123" t="s">
        <v>1524</v>
      </c>
      <c r="D123" t="s">
        <v>1623</v>
      </c>
      <c r="E123" t="s">
        <v>1623</v>
      </c>
      <c r="F123">
        <v>-0.4</v>
      </c>
      <c r="G123">
        <v>10</v>
      </c>
      <c r="H123">
        <v>10</v>
      </c>
      <c r="I123">
        <v>4</v>
      </c>
      <c r="J123">
        <v>3</v>
      </c>
      <c r="K123">
        <v>3</v>
      </c>
      <c r="L123">
        <v>0</v>
      </c>
      <c r="M123">
        <v>0</v>
      </c>
      <c r="N123">
        <v>51</v>
      </c>
      <c r="O123">
        <v>51</v>
      </c>
      <c r="P123">
        <v>22</v>
      </c>
      <c r="Q123">
        <v>7</v>
      </c>
      <c r="R123">
        <v>63</v>
      </c>
      <c r="S123">
        <v>27</v>
      </c>
      <c r="T123">
        <v>3.88</v>
      </c>
      <c r="U123">
        <v>4.18</v>
      </c>
      <c r="V123">
        <v>1.53</v>
      </c>
      <c r="W123">
        <v>0.34599999999999997</v>
      </c>
      <c r="X123">
        <v>100</v>
      </c>
      <c r="Y123">
        <f t="shared" si="14"/>
        <v>2.3333333333333335</v>
      </c>
      <c r="Z123">
        <f t="shared" si="15"/>
        <v>6.3</v>
      </c>
      <c r="AA123" s="176">
        <f t="shared" si="16"/>
        <v>0.3</v>
      </c>
      <c r="AB123" s="192">
        <f t="shared" si="13"/>
        <v>1.2352941176470589</v>
      </c>
    </row>
    <row r="124" spans="2:28" x14ac:dyDescent="0.3">
      <c r="B124" t="s">
        <v>795</v>
      </c>
      <c r="C124" t="s">
        <v>246</v>
      </c>
      <c r="D124" t="s">
        <v>1624</v>
      </c>
      <c r="E124" t="s">
        <v>1624</v>
      </c>
      <c r="F124">
        <v>-0.4</v>
      </c>
      <c r="G124">
        <v>24</v>
      </c>
      <c r="H124">
        <v>0</v>
      </c>
      <c r="I124">
        <v>0</v>
      </c>
      <c r="J124">
        <v>3</v>
      </c>
      <c r="K124">
        <v>1</v>
      </c>
      <c r="L124">
        <v>1</v>
      </c>
      <c r="M124">
        <v>1</v>
      </c>
      <c r="N124">
        <v>22.3</v>
      </c>
      <c r="O124">
        <v>19</v>
      </c>
      <c r="P124">
        <v>8</v>
      </c>
      <c r="Q124">
        <v>4</v>
      </c>
      <c r="R124">
        <v>25</v>
      </c>
      <c r="S124">
        <v>8</v>
      </c>
      <c r="T124">
        <v>3.22</v>
      </c>
      <c r="U124">
        <v>4.58</v>
      </c>
      <c r="V124">
        <v>1.21</v>
      </c>
      <c r="W124">
        <v>0.27800000000000002</v>
      </c>
      <c r="X124">
        <v>0</v>
      </c>
      <c r="Y124">
        <f t="shared" si="14"/>
        <v>3.125</v>
      </c>
      <c r="Z124" t="str">
        <f t="shared" si="15"/>
        <v>STELLAR</v>
      </c>
      <c r="AA124" s="176" t="str">
        <f t="shared" si="16"/>
        <v>Didn't Start</v>
      </c>
      <c r="AB124" s="192">
        <f t="shared" si="13"/>
        <v>1.1210762331838564</v>
      </c>
    </row>
    <row r="125" spans="2:28" x14ac:dyDescent="0.3">
      <c r="B125" t="s">
        <v>438</v>
      </c>
      <c r="C125" t="s">
        <v>339</v>
      </c>
      <c r="D125" t="s">
        <v>1624</v>
      </c>
      <c r="E125" t="s">
        <v>1624</v>
      </c>
      <c r="F125">
        <v>-0.6</v>
      </c>
      <c r="G125">
        <v>19</v>
      </c>
      <c r="H125">
        <v>0</v>
      </c>
      <c r="I125">
        <v>0</v>
      </c>
      <c r="J125">
        <v>3</v>
      </c>
      <c r="K125">
        <v>1</v>
      </c>
      <c r="L125">
        <v>1</v>
      </c>
      <c r="M125">
        <v>7</v>
      </c>
      <c r="N125">
        <v>17.3</v>
      </c>
      <c r="O125">
        <v>12</v>
      </c>
      <c r="P125">
        <v>6</v>
      </c>
      <c r="Q125">
        <v>2</v>
      </c>
      <c r="R125">
        <v>23</v>
      </c>
      <c r="S125">
        <v>9</v>
      </c>
      <c r="T125">
        <v>3.12</v>
      </c>
      <c r="U125">
        <v>4.37</v>
      </c>
      <c r="V125">
        <v>1.21</v>
      </c>
      <c r="W125">
        <v>0.26300000000000001</v>
      </c>
      <c r="X125">
        <v>0</v>
      </c>
      <c r="Y125">
        <f t="shared" si="14"/>
        <v>2.5555555555555554</v>
      </c>
      <c r="Z125" t="str">
        <f t="shared" si="15"/>
        <v>STELLAR</v>
      </c>
      <c r="AA125" s="176" t="str">
        <f t="shared" si="16"/>
        <v>Didn't Start</v>
      </c>
      <c r="AB125" s="192">
        <f t="shared" si="13"/>
        <v>1.3294797687861271</v>
      </c>
    </row>
    <row r="126" spans="2:28" x14ac:dyDescent="0.3">
      <c r="B126" t="s">
        <v>588</v>
      </c>
      <c r="C126" t="s">
        <v>222</v>
      </c>
      <c r="D126" t="s">
        <v>1624</v>
      </c>
      <c r="E126" t="s">
        <v>1624</v>
      </c>
      <c r="F126">
        <v>-0.6</v>
      </c>
      <c r="G126">
        <v>16</v>
      </c>
      <c r="H126">
        <v>0</v>
      </c>
      <c r="I126">
        <v>0</v>
      </c>
      <c r="J126">
        <v>1</v>
      </c>
      <c r="K126">
        <v>1</v>
      </c>
      <c r="L126">
        <v>1</v>
      </c>
      <c r="M126">
        <v>1</v>
      </c>
      <c r="N126">
        <v>22</v>
      </c>
      <c r="O126">
        <v>15</v>
      </c>
      <c r="P126">
        <v>3</v>
      </c>
      <c r="Q126">
        <v>0</v>
      </c>
      <c r="R126">
        <v>30</v>
      </c>
      <c r="S126">
        <v>9</v>
      </c>
      <c r="T126">
        <v>1.23</v>
      </c>
      <c r="U126">
        <v>1.78</v>
      </c>
      <c r="V126">
        <v>1.0900000000000001</v>
      </c>
      <c r="W126">
        <v>0.312</v>
      </c>
      <c r="X126">
        <v>2</v>
      </c>
      <c r="Y126">
        <f t="shared" si="14"/>
        <v>3.3333333333333335</v>
      </c>
      <c r="Z126" t="str">
        <f t="shared" si="15"/>
        <v>STELLAR</v>
      </c>
      <c r="AA126" s="176" t="str">
        <f t="shared" si="16"/>
        <v>Didn't Start</v>
      </c>
      <c r="AB126" s="192">
        <f t="shared" si="13"/>
        <v>1.3636363636363635</v>
      </c>
    </row>
    <row r="127" spans="2:28" x14ac:dyDescent="0.3">
      <c r="B127" t="s">
        <v>336</v>
      </c>
      <c r="C127" t="s">
        <v>270</v>
      </c>
      <c r="D127" t="s">
        <v>1623</v>
      </c>
      <c r="E127" t="s">
        <v>1623</v>
      </c>
      <c r="F127">
        <v>-0.8</v>
      </c>
      <c r="G127">
        <v>20</v>
      </c>
      <c r="H127">
        <v>2</v>
      </c>
      <c r="I127">
        <v>0</v>
      </c>
      <c r="J127">
        <v>3</v>
      </c>
      <c r="K127">
        <v>4</v>
      </c>
      <c r="L127">
        <v>1</v>
      </c>
      <c r="M127">
        <v>2</v>
      </c>
      <c r="N127">
        <v>21</v>
      </c>
      <c r="O127">
        <v>18</v>
      </c>
      <c r="P127">
        <v>6</v>
      </c>
      <c r="Q127">
        <v>3</v>
      </c>
      <c r="R127">
        <v>20</v>
      </c>
      <c r="S127">
        <v>13</v>
      </c>
      <c r="T127">
        <v>2.57</v>
      </c>
      <c r="U127">
        <v>5.09</v>
      </c>
      <c r="V127">
        <v>1.48</v>
      </c>
      <c r="W127">
        <v>0.27800000000000002</v>
      </c>
      <c r="X127">
        <v>0</v>
      </c>
      <c r="Y127">
        <f t="shared" si="14"/>
        <v>1.5384615384615385</v>
      </c>
      <c r="Z127">
        <f t="shared" si="15"/>
        <v>10</v>
      </c>
      <c r="AA127" s="176">
        <f t="shared" si="16"/>
        <v>1.5</v>
      </c>
      <c r="AB127" s="192">
        <f t="shared" si="13"/>
        <v>0.95238095238095233</v>
      </c>
    </row>
    <row r="128" spans="2:28" x14ac:dyDescent="0.3">
      <c r="B128" t="s">
        <v>423</v>
      </c>
      <c r="C128" t="s">
        <v>222</v>
      </c>
      <c r="D128" t="s">
        <v>1624</v>
      </c>
      <c r="E128" t="s">
        <v>1624</v>
      </c>
      <c r="F128">
        <v>-0.8</v>
      </c>
      <c r="G128">
        <v>21</v>
      </c>
      <c r="H128">
        <v>0</v>
      </c>
      <c r="I128">
        <v>0</v>
      </c>
      <c r="J128">
        <v>2</v>
      </c>
      <c r="K128">
        <v>2</v>
      </c>
      <c r="L128">
        <v>5</v>
      </c>
      <c r="M128">
        <v>3</v>
      </c>
      <c r="N128">
        <v>19.3</v>
      </c>
      <c r="O128">
        <v>20</v>
      </c>
      <c r="P128">
        <v>7</v>
      </c>
      <c r="Q128">
        <v>0</v>
      </c>
      <c r="R128">
        <v>25</v>
      </c>
      <c r="S128">
        <v>8</v>
      </c>
      <c r="T128">
        <v>3.26</v>
      </c>
      <c r="U128">
        <v>2.2400000000000002</v>
      </c>
      <c r="V128">
        <v>1.45</v>
      </c>
      <c r="W128">
        <v>0.377</v>
      </c>
      <c r="X128">
        <v>98</v>
      </c>
      <c r="Y128">
        <f t="shared" si="14"/>
        <v>3.125</v>
      </c>
      <c r="Z128" t="str">
        <f t="shared" si="15"/>
        <v>STELLAR</v>
      </c>
      <c r="AA128" s="176" t="str">
        <f t="shared" si="16"/>
        <v>Didn't Start</v>
      </c>
      <c r="AB128" s="192">
        <f t="shared" si="13"/>
        <v>1.2953367875647668</v>
      </c>
    </row>
    <row r="129" spans="2:28" x14ac:dyDescent="0.3">
      <c r="B129" t="s">
        <v>608</v>
      </c>
      <c r="C129" t="s">
        <v>221</v>
      </c>
      <c r="D129" t="s">
        <v>1624</v>
      </c>
      <c r="E129" t="s">
        <v>1624</v>
      </c>
      <c r="F129">
        <v>-0.9</v>
      </c>
      <c r="G129">
        <v>16</v>
      </c>
      <c r="H129">
        <v>0</v>
      </c>
      <c r="I129">
        <v>0</v>
      </c>
      <c r="J129">
        <v>1</v>
      </c>
      <c r="K129">
        <v>2</v>
      </c>
      <c r="L129">
        <v>10</v>
      </c>
      <c r="M129">
        <v>0</v>
      </c>
      <c r="N129">
        <v>14.7</v>
      </c>
      <c r="O129">
        <v>14</v>
      </c>
      <c r="P129">
        <v>6</v>
      </c>
      <c r="Q129">
        <v>1</v>
      </c>
      <c r="R129">
        <v>17</v>
      </c>
      <c r="S129">
        <v>10</v>
      </c>
      <c r="T129">
        <v>3.68</v>
      </c>
      <c r="U129">
        <v>3.89</v>
      </c>
      <c r="V129">
        <v>1.64</v>
      </c>
      <c r="W129">
        <v>0.29499999999999998</v>
      </c>
      <c r="X129">
        <v>100</v>
      </c>
      <c r="Y129">
        <f t="shared" si="14"/>
        <v>1.7</v>
      </c>
      <c r="Z129" t="str">
        <f t="shared" si="15"/>
        <v>STELLAR</v>
      </c>
      <c r="AA129" s="176" t="str">
        <f t="shared" si="16"/>
        <v>Didn't Start</v>
      </c>
      <c r="AB129" s="192">
        <f t="shared" si="13"/>
        <v>1.1564625850340136</v>
      </c>
    </row>
    <row r="130" spans="2:28" x14ac:dyDescent="0.3">
      <c r="B130" t="s">
        <v>631</v>
      </c>
      <c r="C130" t="s">
        <v>1521</v>
      </c>
      <c r="D130" t="s">
        <v>1624</v>
      </c>
      <c r="E130" t="s">
        <v>1624</v>
      </c>
      <c r="F130">
        <v>-0.9</v>
      </c>
      <c r="G130">
        <v>21</v>
      </c>
      <c r="H130">
        <v>0</v>
      </c>
      <c r="I130">
        <v>0</v>
      </c>
      <c r="J130">
        <v>4</v>
      </c>
      <c r="K130">
        <v>0</v>
      </c>
      <c r="L130">
        <v>1</v>
      </c>
      <c r="M130">
        <v>3</v>
      </c>
      <c r="N130">
        <v>18.3</v>
      </c>
      <c r="O130">
        <v>14</v>
      </c>
      <c r="P130">
        <v>9</v>
      </c>
      <c r="Q130">
        <v>1</v>
      </c>
      <c r="R130">
        <v>9</v>
      </c>
      <c r="S130">
        <v>4</v>
      </c>
      <c r="T130">
        <v>4.42</v>
      </c>
      <c r="U130">
        <v>3.82</v>
      </c>
      <c r="V130">
        <v>0.98</v>
      </c>
      <c r="W130">
        <v>0.22</v>
      </c>
      <c r="X130">
        <v>0</v>
      </c>
      <c r="Y130">
        <f t="shared" si="14"/>
        <v>2.25</v>
      </c>
      <c r="Z130" t="str">
        <f t="shared" si="15"/>
        <v>STELLAR</v>
      </c>
      <c r="AA130" s="176" t="str">
        <f t="shared" si="16"/>
        <v>Didn't Start</v>
      </c>
      <c r="AB130" s="192">
        <f t="shared" si="13"/>
        <v>0.49180327868852458</v>
      </c>
    </row>
    <row r="131" spans="2:28" x14ac:dyDescent="0.3">
      <c r="B131" t="s">
        <v>593</v>
      </c>
      <c r="C131" t="s">
        <v>226</v>
      </c>
      <c r="D131" t="s">
        <v>1624</v>
      </c>
      <c r="E131" t="s">
        <v>1624</v>
      </c>
      <c r="F131">
        <v>-1</v>
      </c>
      <c r="G131">
        <v>22</v>
      </c>
      <c r="H131">
        <v>0</v>
      </c>
      <c r="I131">
        <v>0</v>
      </c>
      <c r="J131">
        <v>2</v>
      </c>
      <c r="K131">
        <v>1</v>
      </c>
      <c r="L131">
        <v>3</v>
      </c>
      <c r="M131">
        <v>5</v>
      </c>
      <c r="N131">
        <v>20.7</v>
      </c>
      <c r="O131">
        <v>21</v>
      </c>
      <c r="P131">
        <v>5</v>
      </c>
      <c r="Q131">
        <v>0</v>
      </c>
      <c r="R131">
        <v>16</v>
      </c>
      <c r="S131">
        <v>3</v>
      </c>
      <c r="T131">
        <v>2.1800000000000002</v>
      </c>
      <c r="U131">
        <v>2.17</v>
      </c>
      <c r="V131">
        <v>1.1599999999999999</v>
      </c>
      <c r="W131">
        <v>0.32300000000000001</v>
      </c>
      <c r="X131">
        <v>43</v>
      </c>
      <c r="Y131">
        <f t="shared" si="14"/>
        <v>5.333333333333333</v>
      </c>
      <c r="Z131" t="str">
        <f t="shared" si="15"/>
        <v>STELLAR</v>
      </c>
      <c r="AA131" s="176" t="str">
        <f t="shared" si="16"/>
        <v>Didn't Start</v>
      </c>
      <c r="AB131" s="192">
        <f t="shared" ref="AB131:AB194" si="17">R131/N131</f>
        <v>0.77294685990338163</v>
      </c>
    </row>
    <row r="132" spans="2:28" x14ac:dyDescent="0.3">
      <c r="B132" t="s">
        <v>205</v>
      </c>
      <c r="C132" t="s">
        <v>278</v>
      </c>
      <c r="D132" t="s">
        <v>1623</v>
      </c>
      <c r="E132" t="s">
        <v>1623</v>
      </c>
      <c r="F132">
        <v>-1.2</v>
      </c>
      <c r="G132">
        <v>10</v>
      </c>
      <c r="H132">
        <v>10</v>
      </c>
      <c r="I132">
        <v>3</v>
      </c>
      <c r="J132">
        <v>5</v>
      </c>
      <c r="K132">
        <v>1</v>
      </c>
      <c r="L132">
        <v>0</v>
      </c>
      <c r="M132">
        <v>0</v>
      </c>
      <c r="N132">
        <v>52.7</v>
      </c>
      <c r="O132">
        <v>63</v>
      </c>
      <c r="P132">
        <v>27</v>
      </c>
      <c r="Q132">
        <v>9</v>
      </c>
      <c r="R132">
        <v>43</v>
      </c>
      <c r="S132">
        <v>15</v>
      </c>
      <c r="T132">
        <v>4.6100000000000003</v>
      </c>
      <c r="U132">
        <v>4.84</v>
      </c>
      <c r="V132">
        <v>1.48</v>
      </c>
      <c r="W132">
        <v>0.33800000000000002</v>
      </c>
      <c r="X132">
        <v>16</v>
      </c>
      <c r="Y132">
        <f t="shared" si="14"/>
        <v>2.8666666666666667</v>
      </c>
      <c r="Z132">
        <f t="shared" si="15"/>
        <v>4.3</v>
      </c>
      <c r="AA132" s="176">
        <f t="shared" si="16"/>
        <v>0.5</v>
      </c>
      <c r="AB132" s="192">
        <f t="shared" si="17"/>
        <v>0.81593927893738138</v>
      </c>
    </row>
    <row r="133" spans="2:28" x14ac:dyDescent="0.3">
      <c r="B133" t="s">
        <v>375</v>
      </c>
      <c r="C133" t="s">
        <v>255</v>
      </c>
      <c r="D133" t="s">
        <v>1624</v>
      </c>
      <c r="E133" t="s">
        <v>1624</v>
      </c>
      <c r="F133">
        <v>-1.3</v>
      </c>
      <c r="G133">
        <v>22</v>
      </c>
      <c r="H133">
        <v>0</v>
      </c>
      <c r="I133">
        <v>0</v>
      </c>
      <c r="J133">
        <v>3</v>
      </c>
      <c r="K133">
        <v>0</v>
      </c>
      <c r="L133">
        <v>0</v>
      </c>
      <c r="M133">
        <v>5</v>
      </c>
      <c r="N133">
        <v>25</v>
      </c>
      <c r="O133">
        <v>20</v>
      </c>
      <c r="P133">
        <v>10</v>
      </c>
      <c r="Q133">
        <v>1</v>
      </c>
      <c r="R133">
        <v>26</v>
      </c>
      <c r="S133">
        <v>8</v>
      </c>
      <c r="T133">
        <v>3.6</v>
      </c>
      <c r="U133">
        <v>2.68</v>
      </c>
      <c r="V133">
        <v>1.1200000000000001</v>
      </c>
      <c r="W133">
        <v>0.27500000000000002</v>
      </c>
      <c r="X133">
        <v>0</v>
      </c>
      <c r="Y133">
        <f t="shared" si="14"/>
        <v>3.25</v>
      </c>
      <c r="Z133" t="str">
        <f t="shared" si="15"/>
        <v>STELLAR</v>
      </c>
      <c r="AA133" s="176" t="str">
        <f t="shared" si="16"/>
        <v>Didn't Start</v>
      </c>
      <c r="AB133" s="192">
        <f t="shared" si="17"/>
        <v>1.04</v>
      </c>
    </row>
    <row r="134" spans="2:28" x14ac:dyDescent="0.3">
      <c r="B134" t="s">
        <v>319</v>
      </c>
      <c r="C134" t="s">
        <v>274</v>
      </c>
      <c r="D134" t="s">
        <v>1623</v>
      </c>
      <c r="E134" t="s">
        <v>1623</v>
      </c>
      <c r="F134">
        <v>-1.3</v>
      </c>
      <c r="G134">
        <v>5</v>
      </c>
      <c r="H134">
        <v>5</v>
      </c>
      <c r="I134">
        <v>1</v>
      </c>
      <c r="J134">
        <v>1</v>
      </c>
      <c r="K134">
        <v>2</v>
      </c>
      <c r="L134">
        <v>0</v>
      </c>
      <c r="M134">
        <v>0</v>
      </c>
      <c r="N134">
        <v>25.7</v>
      </c>
      <c r="O134">
        <v>22</v>
      </c>
      <c r="P134">
        <v>9</v>
      </c>
      <c r="Q134">
        <v>5</v>
      </c>
      <c r="R134">
        <v>28</v>
      </c>
      <c r="S134">
        <v>5</v>
      </c>
      <c r="T134">
        <v>3.16</v>
      </c>
      <c r="U134">
        <v>4.21</v>
      </c>
      <c r="V134">
        <v>1.05</v>
      </c>
      <c r="W134">
        <v>0.26600000000000001</v>
      </c>
      <c r="X134">
        <v>4</v>
      </c>
      <c r="Y134">
        <f t="shared" si="14"/>
        <v>5.6</v>
      </c>
      <c r="Z134">
        <f t="shared" si="15"/>
        <v>5.6</v>
      </c>
      <c r="AA134" s="176">
        <f t="shared" si="16"/>
        <v>0.2</v>
      </c>
      <c r="AB134" s="192">
        <f t="shared" si="17"/>
        <v>1.0894941634241246</v>
      </c>
    </row>
    <row r="135" spans="2:28" x14ac:dyDescent="0.3">
      <c r="B135" t="s">
        <v>597</v>
      </c>
      <c r="C135" t="s">
        <v>250</v>
      </c>
      <c r="D135" t="s">
        <v>1624</v>
      </c>
      <c r="E135" t="s">
        <v>1624</v>
      </c>
      <c r="F135">
        <v>-1.4</v>
      </c>
      <c r="G135">
        <v>20</v>
      </c>
      <c r="H135">
        <v>0</v>
      </c>
      <c r="I135">
        <v>0</v>
      </c>
      <c r="J135">
        <v>2</v>
      </c>
      <c r="K135">
        <v>0</v>
      </c>
      <c r="L135">
        <v>1</v>
      </c>
      <c r="M135">
        <v>8</v>
      </c>
      <c r="N135">
        <v>21.3</v>
      </c>
      <c r="O135">
        <v>16</v>
      </c>
      <c r="P135">
        <v>9</v>
      </c>
      <c r="Q135">
        <v>2</v>
      </c>
      <c r="R135">
        <v>25</v>
      </c>
      <c r="S135">
        <v>3</v>
      </c>
      <c r="T135">
        <v>3.8</v>
      </c>
      <c r="U135">
        <v>2.57</v>
      </c>
      <c r="V135">
        <v>0.89</v>
      </c>
      <c r="W135">
        <v>0.27500000000000002</v>
      </c>
      <c r="X135">
        <v>4</v>
      </c>
      <c r="Y135">
        <f t="shared" si="14"/>
        <v>8.3333333333333339</v>
      </c>
      <c r="Z135" t="str">
        <f t="shared" si="15"/>
        <v>STELLAR</v>
      </c>
      <c r="AA135" s="176" t="str">
        <f t="shared" si="16"/>
        <v>Didn't Start</v>
      </c>
      <c r="AB135" s="192">
        <f t="shared" si="17"/>
        <v>1.1737089201877935</v>
      </c>
    </row>
    <row r="136" spans="2:28" x14ac:dyDescent="0.3">
      <c r="B136" t="s">
        <v>164</v>
      </c>
      <c r="C136" t="s">
        <v>243</v>
      </c>
      <c r="D136" t="s">
        <v>1623</v>
      </c>
      <c r="E136" t="s">
        <v>1623</v>
      </c>
      <c r="F136">
        <v>-1.5</v>
      </c>
      <c r="G136">
        <v>11</v>
      </c>
      <c r="H136">
        <v>11</v>
      </c>
      <c r="I136">
        <v>5</v>
      </c>
      <c r="J136">
        <v>3</v>
      </c>
      <c r="K136">
        <v>3</v>
      </c>
      <c r="L136">
        <v>0</v>
      </c>
      <c r="M136">
        <v>0</v>
      </c>
      <c r="N136">
        <v>58.7</v>
      </c>
      <c r="O136">
        <v>55</v>
      </c>
      <c r="P136">
        <v>30</v>
      </c>
      <c r="Q136">
        <v>7</v>
      </c>
      <c r="R136">
        <v>60</v>
      </c>
      <c r="S136">
        <v>25</v>
      </c>
      <c r="T136">
        <v>4.5999999999999996</v>
      </c>
      <c r="U136">
        <v>4.32</v>
      </c>
      <c r="V136">
        <v>1.36</v>
      </c>
      <c r="W136">
        <v>0.29399999999999998</v>
      </c>
      <c r="X136">
        <v>100</v>
      </c>
      <c r="Y136">
        <f t="shared" si="14"/>
        <v>2.4</v>
      </c>
      <c r="Z136">
        <f t="shared" si="15"/>
        <v>5.4545454545454541</v>
      </c>
      <c r="AA136" s="176">
        <f t="shared" si="16"/>
        <v>0.27272727272727271</v>
      </c>
      <c r="AB136" s="192">
        <f t="shared" si="17"/>
        <v>1.0221465076660987</v>
      </c>
    </row>
    <row r="137" spans="2:28" x14ac:dyDescent="0.3">
      <c r="B137" t="s">
        <v>367</v>
      </c>
      <c r="C137" t="s">
        <v>1523</v>
      </c>
      <c r="D137" t="s">
        <v>1623</v>
      </c>
      <c r="E137" t="s">
        <v>1623</v>
      </c>
      <c r="F137">
        <v>-1.8</v>
      </c>
      <c r="G137">
        <v>8</v>
      </c>
      <c r="H137">
        <v>8</v>
      </c>
      <c r="I137">
        <v>5</v>
      </c>
      <c r="J137">
        <v>3</v>
      </c>
      <c r="K137">
        <v>3</v>
      </c>
      <c r="L137">
        <v>0</v>
      </c>
      <c r="M137">
        <v>0</v>
      </c>
      <c r="N137">
        <v>41.7</v>
      </c>
      <c r="O137">
        <v>46</v>
      </c>
      <c r="P137">
        <v>19</v>
      </c>
      <c r="Q137">
        <v>5</v>
      </c>
      <c r="R137">
        <v>38</v>
      </c>
      <c r="S137">
        <v>11</v>
      </c>
      <c r="T137">
        <v>4.0999999999999996</v>
      </c>
      <c r="U137">
        <v>3.95</v>
      </c>
      <c r="V137">
        <v>1.37</v>
      </c>
      <c r="W137">
        <v>0.33300000000000002</v>
      </c>
      <c r="X137">
        <v>40</v>
      </c>
      <c r="Y137">
        <f t="shared" si="14"/>
        <v>3.4545454545454546</v>
      </c>
      <c r="Z137">
        <f t="shared" si="15"/>
        <v>4.75</v>
      </c>
      <c r="AA137" s="176">
        <f t="shared" si="16"/>
        <v>0.375</v>
      </c>
      <c r="AB137" s="192">
        <f t="shared" si="17"/>
        <v>0.91127098321342914</v>
      </c>
    </row>
    <row r="138" spans="2:28" x14ac:dyDescent="0.3">
      <c r="B138" t="s">
        <v>833</v>
      </c>
      <c r="C138" t="s">
        <v>221</v>
      </c>
      <c r="D138" t="s">
        <v>1623</v>
      </c>
      <c r="E138" t="s">
        <v>1623</v>
      </c>
      <c r="F138">
        <v>-1.9</v>
      </c>
      <c r="G138">
        <v>9</v>
      </c>
      <c r="H138">
        <v>9</v>
      </c>
      <c r="I138">
        <v>2</v>
      </c>
      <c r="J138">
        <v>3</v>
      </c>
      <c r="K138">
        <v>3</v>
      </c>
      <c r="L138">
        <v>0</v>
      </c>
      <c r="M138">
        <v>0</v>
      </c>
      <c r="N138">
        <v>48.7</v>
      </c>
      <c r="O138">
        <v>44</v>
      </c>
      <c r="P138">
        <v>27</v>
      </c>
      <c r="Q138">
        <v>5</v>
      </c>
      <c r="R138">
        <v>46</v>
      </c>
      <c r="S138">
        <v>17</v>
      </c>
      <c r="T138">
        <v>4.99</v>
      </c>
      <c r="U138">
        <v>3.83</v>
      </c>
      <c r="V138">
        <v>1.25</v>
      </c>
      <c r="W138">
        <v>0.29799999999999999</v>
      </c>
      <c r="X138">
        <v>42</v>
      </c>
      <c r="Y138">
        <f t="shared" si="14"/>
        <v>2.7058823529411766</v>
      </c>
      <c r="Z138">
        <f t="shared" si="15"/>
        <v>5.1111111111111107</v>
      </c>
      <c r="AA138" s="176">
        <f t="shared" si="16"/>
        <v>0.33333333333333331</v>
      </c>
      <c r="AB138" s="192">
        <f t="shared" si="17"/>
        <v>0.94455852156057485</v>
      </c>
    </row>
    <row r="139" spans="2:28" x14ac:dyDescent="0.3">
      <c r="B139" t="s">
        <v>337</v>
      </c>
      <c r="C139" t="s">
        <v>251</v>
      </c>
      <c r="D139" t="s">
        <v>1624</v>
      </c>
      <c r="E139" t="s">
        <v>1624</v>
      </c>
      <c r="F139">
        <v>-1.9</v>
      </c>
      <c r="G139">
        <v>17</v>
      </c>
      <c r="H139">
        <v>0</v>
      </c>
      <c r="I139">
        <v>0</v>
      </c>
      <c r="J139">
        <v>2</v>
      </c>
      <c r="K139">
        <v>0</v>
      </c>
      <c r="L139">
        <v>1</v>
      </c>
      <c r="M139">
        <v>2</v>
      </c>
      <c r="N139">
        <v>21</v>
      </c>
      <c r="O139">
        <v>22</v>
      </c>
      <c r="P139">
        <v>4</v>
      </c>
      <c r="Q139">
        <v>3</v>
      </c>
      <c r="R139">
        <v>23</v>
      </c>
      <c r="S139">
        <v>4</v>
      </c>
      <c r="T139">
        <v>1.71</v>
      </c>
      <c r="U139">
        <v>3.52</v>
      </c>
      <c r="V139">
        <v>1.24</v>
      </c>
      <c r="W139">
        <v>0.311</v>
      </c>
      <c r="X139">
        <v>0</v>
      </c>
      <c r="Y139">
        <f t="shared" si="14"/>
        <v>5.75</v>
      </c>
      <c r="Z139" t="str">
        <f t="shared" si="15"/>
        <v>STELLAR</v>
      </c>
      <c r="AA139" s="176" t="str">
        <f t="shared" si="16"/>
        <v>Didn't Start</v>
      </c>
      <c r="AB139" s="192">
        <f t="shared" si="17"/>
        <v>1.0952380952380953</v>
      </c>
    </row>
    <row r="140" spans="2:28" x14ac:dyDescent="0.3">
      <c r="B140" t="s">
        <v>938</v>
      </c>
      <c r="C140" t="s">
        <v>221</v>
      </c>
      <c r="D140" t="s">
        <v>1623</v>
      </c>
      <c r="E140" t="s">
        <v>1623</v>
      </c>
      <c r="F140">
        <v>-1.9</v>
      </c>
      <c r="G140">
        <v>8</v>
      </c>
      <c r="H140">
        <v>2</v>
      </c>
      <c r="I140">
        <v>0</v>
      </c>
      <c r="J140">
        <v>1</v>
      </c>
      <c r="K140">
        <v>2</v>
      </c>
      <c r="L140">
        <v>0</v>
      </c>
      <c r="M140">
        <v>0</v>
      </c>
      <c r="N140">
        <v>27.7</v>
      </c>
      <c r="O140">
        <v>24</v>
      </c>
      <c r="P140">
        <v>11</v>
      </c>
      <c r="Q140">
        <v>6</v>
      </c>
      <c r="R140">
        <v>27</v>
      </c>
      <c r="S140">
        <v>4</v>
      </c>
      <c r="T140">
        <v>3.58</v>
      </c>
      <c r="U140">
        <v>4.58</v>
      </c>
      <c r="V140">
        <v>1.01</v>
      </c>
      <c r="W140">
        <v>0.24</v>
      </c>
      <c r="X140">
        <v>1</v>
      </c>
      <c r="Y140">
        <f t="shared" si="14"/>
        <v>6.75</v>
      </c>
      <c r="Z140">
        <f t="shared" si="15"/>
        <v>13.5</v>
      </c>
      <c r="AA140" s="176">
        <f t="shared" si="16"/>
        <v>0.5</v>
      </c>
      <c r="AB140" s="192">
        <f t="shared" si="17"/>
        <v>0.97472924187725629</v>
      </c>
    </row>
    <row r="141" spans="2:28" x14ac:dyDescent="0.3">
      <c r="B141" t="s">
        <v>559</v>
      </c>
      <c r="C141" t="s">
        <v>222</v>
      </c>
      <c r="D141" t="s">
        <v>1624</v>
      </c>
      <c r="E141" t="s">
        <v>1624</v>
      </c>
      <c r="F141">
        <v>-2</v>
      </c>
      <c r="G141">
        <v>20</v>
      </c>
      <c r="H141">
        <v>1</v>
      </c>
      <c r="I141">
        <v>0</v>
      </c>
      <c r="J141">
        <v>3</v>
      </c>
      <c r="K141">
        <v>2</v>
      </c>
      <c r="L141">
        <v>0</v>
      </c>
      <c r="M141">
        <v>3</v>
      </c>
      <c r="N141">
        <v>21.3</v>
      </c>
      <c r="O141">
        <v>16</v>
      </c>
      <c r="P141">
        <v>9</v>
      </c>
      <c r="Q141">
        <v>1</v>
      </c>
      <c r="R141">
        <v>21</v>
      </c>
      <c r="S141">
        <v>6</v>
      </c>
      <c r="T141">
        <v>3.8</v>
      </c>
      <c r="U141">
        <v>3.04</v>
      </c>
      <c r="V141">
        <v>1.03</v>
      </c>
      <c r="W141">
        <v>0.25900000000000001</v>
      </c>
      <c r="X141">
        <v>0</v>
      </c>
      <c r="Y141">
        <f t="shared" si="14"/>
        <v>3.5</v>
      </c>
      <c r="Z141">
        <f t="shared" si="15"/>
        <v>21</v>
      </c>
      <c r="AA141" s="176">
        <f t="shared" si="16"/>
        <v>3</v>
      </c>
      <c r="AB141" s="192">
        <f t="shared" si="17"/>
        <v>0.9859154929577465</v>
      </c>
    </row>
    <row r="142" spans="2:28" x14ac:dyDescent="0.3">
      <c r="B142" t="s">
        <v>3022</v>
      </c>
      <c r="C142" t="s">
        <v>221</v>
      </c>
      <c r="D142" t="s">
        <v>1623</v>
      </c>
      <c r="E142" t="s">
        <v>1623</v>
      </c>
      <c r="F142">
        <v>-2.2000000000000002</v>
      </c>
      <c r="G142">
        <v>7</v>
      </c>
      <c r="H142">
        <v>7</v>
      </c>
      <c r="I142">
        <v>2</v>
      </c>
      <c r="J142">
        <v>3</v>
      </c>
      <c r="K142">
        <v>2</v>
      </c>
      <c r="L142">
        <v>0</v>
      </c>
      <c r="M142">
        <v>0</v>
      </c>
      <c r="N142">
        <v>35.299999999999997</v>
      </c>
      <c r="O142">
        <v>39</v>
      </c>
      <c r="P142">
        <v>16</v>
      </c>
      <c r="Q142">
        <v>7</v>
      </c>
      <c r="R142">
        <v>37</v>
      </c>
      <c r="S142">
        <v>12</v>
      </c>
      <c r="T142">
        <v>4.08</v>
      </c>
      <c r="U142">
        <v>4.95</v>
      </c>
      <c r="V142">
        <v>1.44</v>
      </c>
      <c r="W142">
        <v>0.33700000000000002</v>
      </c>
      <c r="X142">
        <v>98</v>
      </c>
      <c r="Y142">
        <f t="shared" si="14"/>
        <v>3.0833333333333335</v>
      </c>
      <c r="Z142">
        <f t="shared" si="15"/>
        <v>5.2857142857142856</v>
      </c>
      <c r="AA142" s="176">
        <f t="shared" si="16"/>
        <v>0.42857142857142855</v>
      </c>
      <c r="AB142" s="192">
        <f t="shared" si="17"/>
        <v>1.048158640226629</v>
      </c>
    </row>
    <row r="143" spans="2:28" x14ac:dyDescent="0.3">
      <c r="B143" t="s">
        <v>667</v>
      </c>
      <c r="C143" t="s">
        <v>1520</v>
      </c>
      <c r="D143" t="s">
        <v>1624</v>
      </c>
      <c r="E143" t="s">
        <v>1624</v>
      </c>
      <c r="F143">
        <v>-2.2999999999999998</v>
      </c>
      <c r="G143">
        <v>18</v>
      </c>
      <c r="H143">
        <v>0</v>
      </c>
      <c r="I143">
        <v>0</v>
      </c>
      <c r="J143">
        <v>1</v>
      </c>
      <c r="K143">
        <v>3</v>
      </c>
      <c r="L143" s="1">
        <v>6</v>
      </c>
      <c r="M143">
        <v>0</v>
      </c>
      <c r="N143">
        <v>19</v>
      </c>
      <c r="O143">
        <v>14</v>
      </c>
      <c r="P143">
        <v>9</v>
      </c>
      <c r="Q143">
        <v>2</v>
      </c>
      <c r="R143">
        <v>27</v>
      </c>
      <c r="S143">
        <v>10</v>
      </c>
      <c r="T143">
        <v>4.26</v>
      </c>
      <c r="U143">
        <v>3.38</v>
      </c>
      <c r="V143">
        <v>1.26</v>
      </c>
      <c r="W143">
        <v>0.3</v>
      </c>
      <c r="X143">
        <v>100</v>
      </c>
      <c r="Y143">
        <f t="shared" si="14"/>
        <v>2.7</v>
      </c>
      <c r="Z143" t="str">
        <f t="shared" si="15"/>
        <v>STELLAR</v>
      </c>
      <c r="AA143" s="176" t="str">
        <f t="shared" si="16"/>
        <v>Didn't Start</v>
      </c>
      <c r="AB143" s="192">
        <f t="shared" si="17"/>
        <v>1.4210526315789473</v>
      </c>
    </row>
    <row r="144" spans="2:28" x14ac:dyDescent="0.3">
      <c r="B144" t="s">
        <v>172</v>
      </c>
      <c r="C144" t="s">
        <v>239</v>
      </c>
      <c r="D144" t="s">
        <v>1623</v>
      </c>
      <c r="E144" t="s">
        <v>1623</v>
      </c>
      <c r="F144">
        <v>-2.2999999999999998</v>
      </c>
      <c r="G144">
        <v>2</v>
      </c>
      <c r="H144">
        <v>2</v>
      </c>
      <c r="I144">
        <v>1</v>
      </c>
      <c r="J144">
        <v>1</v>
      </c>
      <c r="K144">
        <v>0</v>
      </c>
      <c r="L144">
        <v>0</v>
      </c>
      <c r="M144">
        <v>0</v>
      </c>
      <c r="N144">
        <v>11.3</v>
      </c>
      <c r="O144">
        <v>7</v>
      </c>
      <c r="P144">
        <v>1</v>
      </c>
      <c r="Q144">
        <v>1</v>
      </c>
      <c r="R144">
        <v>12</v>
      </c>
      <c r="S144">
        <v>3</v>
      </c>
      <c r="T144">
        <v>0.79</v>
      </c>
      <c r="U144">
        <v>3.1</v>
      </c>
      <c r="V144">
        <v>0.88</v>
      </c>
      <c r="W144">
        <v>0.23100000000000001</v>
      </c>
      <c r="X144">
        <v>100</v>
      </c>
      <c r="Y144">
        <f t="shared" si="14"/>
        <v>4</v>
      </c>
      <c r="Z144">
        <f t="shared" si="15"/>
        <v>6</v>
      </c>
      <c r="AA144" s="176">
        <f t="shared" si="16"/>
        <v>0.5</v>
      </c>
      <c r="AB144" s="192">
        <f t="shared" si="17"/>
        <v>1.0619469026548671</v>
      </c>
    </row>
    <row r="145" spans="2:28" x14ac:dyDescent="0.3">
      <c r="B145" t="s">
        <v>736</v>
      </c>
      <c r="C145" t="s">
        <v>1522</v>
      </c>
      <c r="D145" t="s">
        <v>1624</v>
      </c>
      <c r="E145" t="s">
        <v>1624</v>
      </c>
      <c r="F145">
        <v>-2.4</v>
      </c>
      <c r="G145">
        <v>22</v>
      </c>
      <c r="H145">
        <v>0</v>
      </c>
      <c r="I145">
        <v>0</v>
      </c>
      <c r="J145">
        <v>1</v>
      </c>
      <c r="K145">
        <v>1</v>
      </c>
      <c r="L145">
        <v>5</v>
      </c>
      <c r="M145">
        <v>4</v>
      </c>
      <c r="N145">
        <v>20</v>
      </c>
      <c r="O145">
        <v>17</v>
      </c>
      <c r="P145">
        <v>8</v>
      </c>
      <c r="Q145">
        <v>4</v>
      </c>
      <c r="R145">
        <v>25</v>
      </c>
      <c r="S145">
        <v>7</v>
      </c>
      <c r="T145">
        <v>3.6</v>
      </c>
      <c r="U145">
        <v>4.88</v>
      </c>
      <c r="V145">
        <v>1.2</v>
      </c>
      <c r="W145">
        <v>0.255</v>
      </c>
      <c r="X145">
        <v>97</v>
      </c>
      <c r="Y145">
        <f t="shared" si="14"/>
        <v>3.5714285714285716</v>
      </c>
      <c r="Z145" t="str">
        <f t="shared" si="15"/>
        <v>STELLAR</v>
      </c>
      <c r="AA145" s="176" t="str">
        <f t="shared" si="16"/>
        <v>Didn't Start</v>
      </c>
      <c r="AB145" s="192">
        <f t="shared" si="17"/>
        <v>1.25</v>
      </c>
    </row>
    <row r="146" spans="2:28" x14ac:dyDescent="0.3">
      <c r="B146" t="s">
        <v>639</v>
      </c>
      <c r="C146" t="s">
        <v>243</v>
      </c>
      <c r="D146" t="s">
        <v>1624</v>
      </c>
      <c r="E146" t="s">
        <v>1624</v>
      </c>
      <c r="F146">
        <v>-2.5</v>
      </c>
      <c r="G146">
        <v>21</v>
      </c>
      <c r="H146">
        <v>0</v>
      </c>
      <c r="I146">
        <v>0</v>
      </c>
      <c r="J146">
        <v>1</v>
      </c>
      <c r="K146">
        <v>2</v>
      </c>
      <c r="L146">
        <v>4</v>
      </c>
      <c r="M146">
        <v>6</v>
      </c>
      <c r="N146">
        <v>20.3</v>
      </c>
      <c r="O146">
        <v>12</v>
      </c>
      <c r="P146">
        <v>7</v>
      </c>
      <c r="Q146">
        <v>3</v>
      </c>
      <c r="R146">
        <v>20</v>
      </c>
      <c r="S146">
        <v>9</v>
      </c>
      <c r="T146">
        <v>3.1</v>
      </c>
      <c r="U146">
        <v>4.8499999999999996</v>
      </c>
      <c r="V146">
        <v>1.03</v>
      </c>
      <c r="W146">
        <v>0.184</v>
      </c>
      <c r="X146">
        <v>41</v>
      </c>
      <c r="Y146">
        <f t="shared" si="14"/>
        <v>2.2222222222222223</v>
      </c>
      <c r="Z146" t="str">
        <f t="shared" si="15"/>
        <v>STELLAR</v>
      </c>
      <c r="AA146" s="176" t="str">
        <f t="shared" si="16"/>
        <v>Didn't Start</v>
      </c>
      <c r="AB146" s="192">
        <f t="shared" si="17"/>
        <v>0.98522167487684731</v>
      </c>
    </row>
    <row r="147" spans="2:28" x14ac:dyDescent="0.3">
      <c r="B147" t="s">
        <v>2024</v>
      </c>
      <c r="C147" t="s">
        <v>274</v>
      </c>
      <c r="D147" t="s">
        <v>1623</v>
      </c>
      <c r="E147" t="s">
        <v>1623</v>
      </c>
      <c r="F147">
        <v>-2.6</v>
      </c>
      <c r="G147">
        <v>5</v>
      </c>
      <c r="H147">
        <v>5</v>
      </c>
      <c r="I147">
        <v>3</v>
      </c>
      <c r="J147">
        <v>2</v>
      </c>
      <c r="K147">
        <v>0</v>
      </c>
      <c r="L147">
        <v>0</v>
      </c>
      <c r="M147">
        <v>0</v>
      </c>
      <c r="N147">
        <v>28</v>
      </c>
      <c r="O147">
        <v>28</v>
      </c>
      <c r="P147">
        <v>13</v>
      </c>
      <c r="Q147">
        <v>7</v>
      </c>
      <c r="R147">
        <v>31</v>
      </c>
      <c r="S147">
        <v>7</v>
      </c>
      <c r="T147">
        <v>4.18</v>
      </c>
      <c r="U147">
        <v>5.17</v>
      </c>
      <c r="V147">
        <v>1.25</v>
      </c>
      <c r="W147">
        <v>0.28799999999999998</v>
      </c>
      <c r="X147">
        <v>100</v>
      </c>
      <c r="Y147">
        <f t="shared" si="14"/>
        <v>4.4285714285714288</v>
      </c>
      <c r="Z147">
        <f t="shared" si="15"/>
        <v>6.2</v>
      </c>
      <c r="AA147" s="176">
        <f t="shared" si="16"/>
        <v>0.4</v>
      </c>
      <c r="AB147" s="192">
        <f t="shared" si="17"/>
        <v>1.1071428571428572</v>
      </c>
    </row>
    <row r="148" spans="2:28" x14ac:dyDescent="0.3">
      <c r="B148" t="s">
        <v>397</v>
      </c>
      <c r="C148" t="s">
        <v>222</v>
      </c>
      <c r="D148" t="s">
        <v>1624</v>
      </c>
      <c r="E148" t="s">
        <v>1624</v>
      </c>
      <c r="F148">
        <v>-2.7</v>
      </c>
      <c r="G148">
        <v>21</v>
      </c>
      <c r="H148">
        <v>0</v>
      </c>
      <c r="I148">
        <v>0</v>
      </c>
      <c r="J148">
        <v>2</v>
      </c>
      <c r="K148">
        <v>1</v>
      </c>
      <c r="L148">
        <v>1</v>
      </c>
      <c r="M148">
        <v>4</v>
      </c>
      <c r="N148">
        <v>24</v>
      </c>
      <c r="O148">
        <v>15</v>
      </c>
      <c r="P148">
        <v>10</v>
      </c>
      <c r="Q148">
        <v>2</v>
      </c>
      <c r="R148">
        <v>30</v>
      </c>
      <c r="S148">
        <v>12</v>
      </c>
      <c r="T148">
        <v>3.75</v>
      </c>
      <c r="U148">
        <v>3.61</v>
      </c>
      <c r="V148">
        <v>1.1299999999999999</v>
      </c>
      <c r="W148">
        <v>0.25</v>
      </c>
      <c r="X148">
        <v>1</v>
      </c>
      <c r="Y148">
        <f t="shared" si="14"/>
        <v>2.5</v>
      </c>
      <c r="Z148" t="str">
        <f t="shared" si="15"/>
        <v>STELLAR</v>
      </c>
      <c r="AA148" s="176" t="str">
        <f t="shared" si="16"/>
        <v>Didn't Start</v>
      </c>
      <c r="AB148" s="192">
        <f t="shared" si="17"/>
        <v>1.25</v>
      </c>
    </row>
    <row r="149" spans="2:28" x14ac:dyDescent="0.3">
      <c r="B149" t="s">
        <v>741</v>
      </c>
      <c r="C149" t="s">
        <v>224</v>
      </c>
      <c r="D149" t="s">
        <v>1623</v>
      </c>
      <c r="E149" t="s">
        <v>1623</v>
      </c>
      <c r="F149">
        <v>-2.7</v>
      </c>
      <c r="G149">
        <v>6</v>
      </c>
      <c r="H149">
        <v>6</v>
      </c>
      <c r="I149">
        <v>2</v>
      </c>
      <c r="J149">
        <v>2</v>
      </c>
      <c r="K149">
        <v>2</v>
      </c>
      <c r="L149">
        <v>0</v>
      </c>
      <c r="M149">
        <v>0</v>
      </c>
      <c r="N149">
        <v>27</v>
      </c>
      <c r="O149">
        <v>25</v>
      </c>
      <c r="P149">
        <v>12</v>
      </c>
      <c r="Q149">
        <v>3</v>
      </c>
      <c r="R149">
        <v>31</v>
      </c>
      <c r="S149">
        <v>10</v>
      </c>
      <c r="T149">
        <v>4</v>
      </c>
      <c r="U149">
        <v>3.65</v>
      </c>
      <c r="V149">
        <v>1.3</v>
      </c>
      <c r="W149">
        <v>0.32400000000000001</v>
      </c>
      <c r="X149">
        <v>11</v>
      </c>
      <c r="Y149">
        <f t="shared" si="14"/>
        <v>3.1</v>
      </c>
      <c r="Z149">
        <f t="shared" si="15"/>
        <v>5.166666666666667</v>
      </c>
      <c r="AA149" s="176">
        <f t="shared" si="16"/>
        <v>0.33333333333333331</v>
      </c>
      <c r="AB149" s="192">
        <f t="shared" si="17"/>
        <v>1.1481481481481481</v>
      </c>
    </row>
    <row r="150" spans="2:28" x14ac:dyDescent="0.3">
      <c r="B150" t="s">
        <v>1625</v>
      </c>
      <c r="C150" t="s">
        <v>274</v>
      </c>
      <c r="D150" t="s">
        <v>1624</v>
      </c>
      <c r="E150" t="s">
        <v>1624</v>
      </c>
      <c r="F150">
        <v>-2.9</v>
      </c>
      <c r="G150">
        <v>23</v>
      </c>
      <c r="H150">
        <v>0</v>
      </c>
      <c r="I150">
        <v>0</v>
      </c>
      <c r="J150">
        <v>1</v>
      </c>
      <c r="K150">
        <v>2</v>
      </c>
      <c r="L150">
        <v>3</v>
      </c>
      <c r="M150">
        <v>6</v>
      </c>
      <c r="N150">
        <v>22</v>
      </c>
      <c r="O150">
        <v>16</v>
      </c>
      <c r="P150">
        <v>6</v>
      </c>
      <c r="Q150">
        <v>2</v>
      </c>
      <c r="R150">
        <v>19</v>
      </c>
      <c r="S150">
        <v>7</v>
      </c>
      <c r="T150">
        <v>2.4500000000000002</v>
      </c>
      <c r="U150">
        <v>3.82</v>
      </c>
      <c r="V150">
        <v>1.05</v>
      </c>
      <c r="W150">
        <v>0.23300000000000001</v>
      </c>
      <c r="X150">
        <v>39</v>
      </c>
      <c r="Y150">
        <f t="shared" si="14"/>
        <v>2.7142857142857144</v>
      </c>
      <c r="Z150" t="str">
        <f t="shared" si="15"/>
        <v>STELLAR</v>
      </c>
      <c r="AA150" s="176" t="str">
        <f t="shared" si="16"/>
        <v>Didn't Start</v>
      </c>
      <c r="AB150" s="192">
        <f t="shared" si="17"/>
        <v>0.86363636363636365</v>
      </c>
    </row>
    <row r="151" spans="2:28" x14ac:dyDescent="0.3">
      <c r="B151" t="s">
        <v>2211</v>
      </c>
      <c r="C151" t="s">
        <v>346</v>
      </c>
      <c r="D151" t="s">
        <v>1623</v>
      </c>
      <c r="E151" t="s">
        <v>1623</v>
      </c>
      <c r="F151">
        <v>-3</v>
      </c>
      <c r="G151">
        <v>7</v>
      </c>
      <c r="H151">
        <v>7</v>
      </c>
      <c r="I151">
        <v>3</v>
      </c>
      <c r="J151">
        <v>2</v>
      </c>
      <c r="K151">
        <v>2</v>
      </c>
      <c r="L151">
        <v>0</v>
      </c>
      <c r="M151">
        <v>0</v>
      </c>
      <c r="N151">
        <v>39.700000000000003</v>
      </c>
      <c r="O151">
        <v>37</v>
      </c>
      <c r="P151">
        <v>18</v>
      </c>
      <c r="Q151">
        <v>6</v>
      </c>
      <c r="R151">
        <v>31</v>
      </c>
      <c r="S151">
        <v>11</v>
      </c>
      <c r="T151">
        <v>4.08</v>
      </c>
      <c r="U151">
        <v>4.59</v>
      </c>
      <c r="V151">
        <v>1.21</v>
      </c>
      <c r="W151">
        <v>0.27700000000000002</v>
      </c>
      <c r="X151">
        <v>78</v>
      </c>
      <c r="Y151">
        <f t="shared" si="14"/>
        <v>2.8181818181818183</v>
      </c>
      <c r="Z151">
        <f t="shared" si="15"/>
        <v>4.4285714285714288</v>
      </c>
      <c r="AA151" s="176">
        <f t="shared" si="16"/>
        <v>0.2857142857142857</v>
      </c>
      <c r="AB151" s="192">
        <f t="shared" si="17"/>
        <v>0.78085642317380344</v>
      </c>
    </row>
    <row r="152" spans="2:28" x14ac:dyDescent="0.3">
      <c r="B152" t="s">
        <v>482</v>
      </c>
      <c r="C152" t="s">
        <v>248</v>
      </c>
      <c r="D152" t="s">
        <v>1624</v>
      </c>
      <c r="E152" t="s">
        <v>1624</v>
      </c>
      <c r="F152">
        <v>-3.1</v>
      </c>
      <c r="G152">
        <v>18</v>
      </c>
      <c r="H152">
        <v>0</v>
      </c>
      <c r="I152">
        <v>0</v>
      </c>
      <c r="J152">
        <v>1</v>
      </c>
      <c r="K152">
        <v>3</v>
      </c>
      <c r="L152">
        <v>1</v>
      </c>
      <c r="M152">
        <v>6</v>
      </c>
      <c r="N152">
        <v>23.7</v>
      </c>
      <c r="O152">
        <v>17</v>
      </c>
      <c r="P152">
        <v>7</v>
      </c>
      <c r="Q152">
        <v>2</v>
      </c>
      <c r="R152">
        <v>22</v>
      </c>
      <c r="S152">
        <v>4</v>
      </c>
      <c r="T152">
        <v>2.66</v>
      </c>
      <c r="U152">
        <v>3.02</v>
      </c>
      <c r="V152">
        <v>0.89</v>
      </c>
      <c r="W152">
        <v>0.25</v>
      </c>
      <c r="X152">
        <v>18</v>
      </c>
      <c r="Y152">
        <f t="shared" si="14"/>
        <v>5.5</v>
      </c>
      <c r="Z152" t="str">
        <f t="shared" si="15"/>
        <v>STELLAR</v>
      </c>
      <c r="AA152" s="176" t="str">
        <f t="shared" si="16"/>
        <v>Didn't Start</v>
      </c>
      <c r="AB152" s="192">
        <f t="shared" si="17"/>
        <v>0.92827004219409281</v>
      </c>
    </row>
    <row r="153" spans="2:28" x14ac:dyDescent="0.3">
      <c r="B153" t="s">
        <v>509</v>
      </c>
      <c r="C153" t="s">
        <v>234</v>
      </c>
      <c r="D153" t="s">
        <v>1624</v>
      </c>
      <c r="E153" t="s">
        <v>1624</v>
      </c>
      <c r="F153">
        <v>-3.2</v>
      </c>
      <c r="G153">
        <v>23</v>
      </c>
      <c r="H153">
        <v>0</v>
      </c>
      <c r="I153">
        <v>0</v>
      </c>
      <c r="J153">
        <v>2</v>
      </c>
      <c r="K153">
        <v>2</v>
      </c>
      <c r="L153">
        <v>0</v>
      </c>
      <c r="M153">
        <v>10</v>
      </c>
      <c r="N153">
        <v>23</v>
      </c>
      <c r="O153">
        <v>13</v>
      </c>
      <c r="P153">
        <v>9</v>
      </c>
      <c r="Q153">
        <v>4</v>
      </c>
      <c r="R153">
        <v>28</v>
      </c>
      <c r="S153">
        <v>11</v>
      </c>
      <c r="T153">
        <v>3.52</v>
      </c>
      <c r="U153">
        <v>4.54</v>
      </c>
      <c r="V153">
        <v>1.04</v>
      </c>
      <c r="W153">
        <v>0.188</v>
      </c>
      <c r="X153">
        <v>1</v>
      </c>
      <c r="Y153">
        <f t="shared" si="14"/>
        <v>2.5454545454545454</v>
      </c>
      <c r="Z153" t="str">
        <f t="shared" si="15"/>
        <v>STELLAR</v>
      </c>
      <c r="AA153" s="176" t="str">
        <f t="shared" si="16"/>
        <v>Didn't Start</v>
      </c>
      <c r="AB153" s="192">
        <f t="shared" si="17"/>
        <v>1.2173913043478262</v>
      </c>
    </row>
    <row r="154" spans="2:28" x14ac:dyDescent="0.3">
      <c r="B154" t="s">
        <v>819</v>
      </c>
      <c r="C154" t="s">
        <v>266</v>
      </c>
      <c r="D154" t="s">
        <v>1624</v>
      </c>
      <c r="E154" t="s">
        <v>1624</v>
      </c>
      <c r="F154">
        <v>-3.3</v>
      </c>
      <c r="G154">
        <v>23</v>
      </c>
      <c r="H154">
        <v>0</v>
      </c>
      <c r="I154">
        <v>0</v>
      </c>
      <c r="J154">
        <v>1</v>
      </c>
      <c r="K154">
        <v>0</v>
      </c>
      <c r="L154">
        <v>0</v>
      </c>
      <c r="M154">
        <v>2</v>
      </c>
      <c r="N154">
        <v>32.700000000000003</v>
      </c>
      <c r="O154">
        <v>26</v>
      </c>
      <c r="P154">
        <v>9</v>
      </c>
      <c r="Q154">
        <v>1</v>
      </c>
      <c r="R154">
        <v>34</v>
      </c>
      <c r="S154">
        <v>11</v>
      </c>
      <c r="T154">
        <v>2.48</v>
      </c>
      <c r="U154">
        <v>2.79</v>
      </c>
      <c r="V154">
        <v>1.1299999999999999</v>
      </c>
      <c r="W154">
        <v>0.28699999999999998</v>
      </c>
      <c r="X154">
        <v>0</v>
      </c>
      <c r="Y154">
        <f t="shared" si="14"/>
        <v>3.0909090909090908</v>
      </c>
      <c r="Z154" t="str">
        <f t="shared" si="15"/>
        <v>STELLAR</v>
      </c>
      <c r="AA154" s="176" t="str">
        <f t="shared" si="16"/>
        <v>Didn't Start</v>
      </c>
      <c r="AB154" s="192">
        <f t="shared" si="17"/>
        <v>1.0397553516819571</v>
      </c>
    </row>
    <row r="155" spans="2:28" x14ac:dyDescent="0.3">
      <c r="B155" t="s">
        <v>589</v>
      </c>
      <c r="C155" t="s">
        <v>243</v>
      </c>
      <c r="D155" t="s">
        <v>1624</v>
      </c>
      <c r="E155" t="s">
        <v>1624</v>
      </c>
      <c r="F155">
        <v>-3.4</v>
      </c>
      <c r="G155">
        <v>14</v>
      </c>
      <c r="H155">
        <v>0</v>
      </c>
      <c r="I155">
        <v>0</v>
      </c>
      <c r="J155">
        <v>1</v>
      </c>
      <c r="K155">
        <v>1</v>
      </c>
      <c r="L155">
        <v>1</v>
      </c>
      <c r="M155">
        <v>5</v>
      </c>
      <c r="N155">
        <v>14.3</v>
      </c>
      <c r="O155">
        <v>8</v>
      </c>
      <c r="P155">
        <v>4</v>
      </c>
      <c r="Q155">
        <v>1</v>
      </c>
      <c r="R155">
        <v>19</v>
      </c>
      <c r="S155">
        <v>1</v>
      </c>
      <c r="T155">
        <v>2.5099999999999998</v>
      </c>
      <c r="U155">
        <v>1.74</v>
      </c>
      <c r="V155">
        <v>0.63</v>
      </c>
      <c r="W155">
        <v>0.22600000000000001</v>
      </c>
      <c r="X155">
        <v>2</v>
      </c>
      <c r="Y155">
        <f t="shared" si="14"/>
        <v>19</v>
      </c>
      <c r="Z155" t="str">
        <f t="shared" si="15"/>
        <v>STELLAR</v>
      </c>
      <c r="AA155" s="176" t="str">
        <f t="shared" si="16"/>
        <v>Didn't Start</v>
      </c>
      <c r="AB155" s="192">
        <f t="shared" si="17"/>
        <v>1.3286713286713285</v>
      </c>
    </row>
    <row r="156" spans="2:28" x14ac:dyDescent="0.3">
      <c r="B156" t="s">
        <v>3180</v>
      </c>
      <c r="C156" t="s">
        <v>235</v>
      </c>
      <c r="D156" t="s">
        <v>1624</v>
      </c>
      <c r="E156" t="s">
        <v>1624</v>
      </c>
      <c r="F156">
        <v>-3.4</v>
      </c>
      <c r="G156">
        <v>11</v>
      </c>
      <c r="H156">
        <v>0</v>
      </c>
      <c r="I156">
        <v>0</v>
      </c>
      <c r="J156">
        <v>2</v>
      </c>
      <c r="K156">
        <v>0</v>
      </c>
      <c r="L156">
        <v>0</v>
      </c>
      <c r="M156">
        <v>4</v>
      </c>
      <c r="N156">
        <v>14.7</v>
      </c>
      <c r="O156">
        <v>9</v>
      </c>
      <c r="P156">
        <v>5</v>
      </c>
      <c r="Q156">
        <v>2</v>
      </c>
      <c r="R156">
        <v>13</v>
      </c>
      <c r="S156">
        <v>0</v>
      </c>
      <c r="T156">
        <v>3.07</v>
      </c>
      <c r="U156">
        <v>3.28</v>
      </c>
      <c r="V156">
        <v>0.61</v>
      </c>
      <c r="W156">
        <v>0.19400000000000001</v>
      </c>
      <c r="X156">
        <v>0</v>
      </c>
      <c r="Y156" t="str">
        <f t="shared" si="14"/>
        <v>STELLAR</v>
      </c>
      <c r="Z156" t="str">
        <f t="shared" si="15"/>
        <v>STELLAR</v>
      </c>
      <c r="AA156" s="176" t="str">
        <f t="shared" si="16"/>
        <v>Didn't Start</v>
      </c>
      <c r="AB156" s="192">
        <f t="shared" si="17"/>
        <v>0.88435374149659873</v>
      </c>
    </row>
    <row r="157" spans="2:28" x14ac:dyDescent="0.3">
      <c r="B157" t="s">
        <v>752</v>
      </c>
      <c r="C157" t="s">
        <v>251</v>
      </c>
      <c r="D157" t="s">
        <v>1624</v>
      </c>
      <c r="E157" t="s">
        <v>1624</v>
      </c>
      <c r="F157">
        <v>-3.4</v>
      </c>
      <c r="G157">
        <v>18</v>
      </c>
      <c r="H157">
        <v>0</v>
      </c>
      <c r="I157">
        <v>0</v>
      </c>
      <c r="J157">
        <v>2</v>
      </c>
      <c r="K157">
        <v>1</v>
      </c>
      <c r="L157">
        <v>0</v>
      </c>
      <c r="M157">
        <v>1</v>
      </c>
      <c r="N157">
        <v>18.3</v>
      </c>
      <c r="O157">
        <v>9</v>
      </c>
      <c r="P157">
        <v>7</v>
      </c>
      <c r="Q157">
        <v>3</v>
      </c>
      <c r="R157">
        <v>17</v>
      </c>
      <c r="S157">
        <v>5</v>
      </c>
      <c r="T157">
        <v>3.44</v>
      </c>
      <c r="U157">
        <v>4.37</v>
      </c>
      <c r="V157">
        <v>0.76</v>
      </c>
      <c r="W157">
        <v>0.15</v>
      </c>
      <c r="X157">
        <v>0</v>
      </c>
      <c r="Y157">
        <f t="shared" si="14"/>
        <v>3.4</v>
      </c>
      <c r="Z157" t="str">
        <f t="shared" si="15"/>
        <v>STELLAR</v>
      </c>
      <c r="AA157" s="176" t="str">
        <f t="shared" si="16"/>
        <v>Didn't Start</v>
      </c>
      <c r="AB157" s="192">
        <f t="shared" si="17"/>
        <v>0.9289617486338797</v>
      </c>
    </row>
    <row r="158" spans="2:28" x14ac:dyDescent="0.3">
      <c r="B158" t="s">
        <v>709</v>
      </c>
      <c r="C158" t="s">
        <v>239</v>
      </c>
      <c r="D158" t="s">
        <v>1624</v>
      </c>
      <c r="E158" t="s">
        <v>1624</v>
      </c>
      <c r="F158">
        <v>-3.5</v>
      </c>
      <c r="G158">
        <v>15</v>
      </c>
      <c r="H158">
        <v>0</v>
      </c>
      <c r="I158">
        <v>0</v>
      </c>
      <c r="J158">
        <v>1</v>
      </c>
      <c r="K158">
        <v>0</v>
      </c>
      <c r="L158">
        <v>2</v>
      </c>
      <c r="M158">
        <v>2</v>
      </c>
      <c r="N158">
        <v>26.7</v>
      </c>
      <c r="O158">
        <v>21</v>
      </c>
      <c r="P158">
        <v>8</v>
      </c>
      <c r="Q158">
        <v>2</v>
      </c>
      <c r="R158">
        <v>24</v>
      </c>
      <c r="S158">
        <v>8</v>
      </c>
      <c r="T158">
        <v>2.7</v>
      </c>
      <c r="U158">
        <v>3.47</v>
      </c>
      <c r="V158">
        <v>1.0900000000000001</v>
      </c>
      <c r="W158">
        <v>0.26800000000000002</v>
      </c>
      <c r="X158">
        <v>0</v>
      </c>
      <c r="Y158">
        <f t="shared" si="14"/>
        <v>3</v>
      </c>
      <c r="Z158" t="str">
        <f t="shared" si="15"/>
        <v>STELLAR</v>
      </c>
      <c r="AA158" s="176" t="str">
        <f t="shared" si="16"/>
        <v>Didn't Start</v>
      </c>
      <c r="AB158" s="192">
        <f t="shared" si="17"/>
        <v>0.898876404494382</v>
      </c>
    </row>
    <row r="159" spans="2:28" x14ac:dyDescent="0.3">
      <c r="B159" t="s">
        <v>173</v>
      </c>
      <c r="C159" t="s">
        <v>246</v>
      </c>
      <c r="D159" t="s">
        <v>1623</v>
      </c>
      <c r="E159" t="s">
        <v>1623</v>
      </c>
      <c r="F159">
        <v>-3.6</v>
      </c>
      <c r="G159">
        <v>10</v>
      </c>
      <c r="H159">
        <v>10</v>
      </c>
      <c r="I159">
        <v>5</v>
      </c>
      <c r="J159">
        <v>2</v>
      </c>
      <c r="K159">
        <v>5</v>
      </c>
      <c r="L159">
        <v>0</v>
      </c>
      <c r="M159">
        <v>0</v>
      </c>
      <c r="N159">
        <v>63</v>
      </c>
      <c r="O159">
        <v>58</v>
      </c>
      <c r="P159">
        <v>34</v>
      </c>
      <c r="Q159">
        <v>6</v>
      </c>
      <c r="R159">
        <v>57</v>
      </c>
      <c r="S159">
        <v>20</v>
      </c>
      <c r="T159">
        <v>4.8600000000000003</v>
      </c>
      <c r="U159">
        <v>3.8</v>
      </c>
      <c r="V159">
        <v>1.24</v>
      </c>
      <c r="W159">
        <v>0.29699999999999999</v>
      </c>
      <c r="X159">
        <v>100</v>
      </c>
      <c r="Y159">
        <f t="shared" si="14"/>
        <v>2.85</v>
      </c>
      <c r="Z159">
        <f t="shared" si="15"/>
        <v>5.7</v>
      </c>
      <c r="AA159" s="176">
        <f t="shared" si="16"/>
        <v>0.2</v>
      </c>
      <c r="AB159" s="192">
        <f t="shared" si="17"/>
        <v>0.90476190476190477</v>
      </c>
    </row>
    <row r="160" spans="2:28" x14ac:dyDescent="0.3">
      <c r="B160" t="s">
        <v>764</v>
      </c>
      <c r="C160" t="s">
        <v>246</v>
      </c>
      <c r="D160" t="s">
        <v>1623</v>
      </c>
      <c r="E160" t="s">
        <v>1623</v>
      </c>
      <c r="F160">
        <v>-3.7</v>
      </c>
      <c r="G160">
        <v>10</v>
      </c>
      <c r="H160">
        <v>10</v>
      </c>
      <c r="I160">
        <v>2</v>
      </c>
      <c r="J160">
        <v>3</v>
      </c>
      <c r="K160">
        <v>4</v>
      </c>
      <c r="L160">
        <v>0</v>
      </c>
      <c r="M160">
        <v>0</v>
      </c>
      <c r="N160">
        <v>46.3</v>
      </c>
      <c r="O160">
        <v>39</v>
      </c>
      <c r="P160">
        <v>26</v>
      </c>
      <c r="Q160">
        <v>7</v>
      </c>
      <c r="R160">
        <v>61</v>
      </c>
      <c r="S160">
        <v>31</v>
      </c>
      <c r="T160">
        <v>5.05</v>
      </c>
      <c r="U160">
        <v>4.68</v>
      </c>
      <c r="V160">
        <v>1.51</v>
      </c>
      <c r="W160">
        <v>0.29399999999999998</v>
      </c>
      <c r="X160">
        <v>92</v>
      </c>
      <c r="Y160">
        <f t="shared" si="14"/>
        <v>1.967741935483871</v>
      </c>
      <c r="Z160">
        <f t="shared" si="15"/>
        <v>6.1</v>
      </c>
      <c r="AA160" s="176">
        <f t="shared" si="16"/>
        <v>0.3</v>
      </c>
      <c r="AB160" s="192">
        <f t="shared" si="17"/>
        <v>1.3174946004319654</v>
      </c>
    </row>
    <row r="161" spans="2:28" x14ac:dyDescent="0.3">
      <c r="B161" t="s">
        <v>973</v>
      </c>
      <c r="C161" t="s">
        <v>1524</v>
      </c>
      <c r="D161" t="s">
        <v>1624</v>
      </c>
      <c r="E161" t="s">
        <v>1624</v>
      </c>
      <c r="F161">
        <v>-3.8</v>
      </c>
      <c r="G161">
        <v>20</v>
      </c>
      <c r="H161">
        <v>0</v>
      </c>
      <c r="I161">
        <v>0</v>
      </c>
      <c r="J161">
        <v>1</v>
      </c>
      <c r="K161">
        <v>2</v>
      </c>
      <c r="L161">
        <v>10</v>
      </c>
      <c r="M161">
        <v>2</v>
      </c>
      <c r="N161">
        <v>19</v>
      </c>
      <c r="O161">
        <v>21</v>
      </c>
      <c r="P161">
        <v>10</v>
      </c>
      <c r="Q161">
        <v>4</v>
      </c>
      <c r="R161">
        <v>18</v>
      </c>
      <c r="S161">
        <v>10</v>
      </c>
      <c r="T161">
        <v>4.74</v>
      </c>
      <c r="U161">
        <v>5.86</v>
      </c>
      <c r="V161">
        <v>1.63</v>
      </c>
      <c r="W161">
        <v>0.33300000000000002</v>
      </c>
      <c r="X161">
        <v>96</v>
      </c>
      <c r="Y161">
        <f t="shared" si="14"/>
        <v>1.8</v>
      </c>
      <c r="Z161" t="str">
        <f t="shared" si="15"/>
        <v>STELLAR</v>
      </c>
      <c r="AA161" s="176" t="str">
        <f t="shared" si="16"/>
        <v>Didn't Start</v>
      </c>
      <c r="AB161" s="192">
        <f t="shared" si="17"/>
        <v>0.94736842105263153</v>
      </c>
    </row>
    <row r="162" spans="2:28" x14ac:dyDescent="0.3">
      <c r="B162" t="s">
        <v>3169</v>
      </c>
      <c r="C162" t="s">
        <v>251</v>
      </c>
      <c r="D162" t="s">
        <v>1623</v>
      </c>
      <c r="E162" t="s">
        <v>1623</v>
      </c>
      <c r="F162">
        <v>-3.9</v>
      </c>
      <c r="G162">
        <v>5</v>
      </c>
      <c r="H162">
        <v>5</v>
      </c>
      <c r="I162">
        <v>3</v>
      </c>
      <c r="J162">
        <v>1</v>
      </c>
      <c r="K162">
        <v>1</v>
      </c>
      <c r="L162">
        <v>0</v>
      </c>
      <c r="M162">
        <v>0</v>
      </c>
      <c r="N162">
        <v>28.3</v>
      </c>
      <c r="O162">
        <v>26</v>
      </c>
      <c r="P162">
        <v>10</v>
      </c>
      <c r="Q162">
        <v>1</v>
      </c>
      <c r="R162">
        <v>25</v>
      </c>
      <c r="S162">
        <v>8</v>
      </c>
      <c r="T162">
        <v>3.18</v>
      </c>
      <c r="U162">
        <v>3.03</v>
      </c>
      <c r="V162">
        <v>1.2</v>
      </c>
      <c r="W162">
        <v>0.312</v>
      </c>
      <c r="X162">
        <v>100</v>
      </c>
      <c r="Y162">
        <f t="shared" si="14"/>
        <v>3.125</v>
      </c>
      <c r="Z162">
        <f t="shared" si="15"/>
        <v>5</v>
      </c>
      <c r="AA162" s="176">
        <f t="shared" si="16"/>
        <v>0.2</v>
      </c>
      <c r="AB162" s="192">
        <f t="shared" si="17"/>
        <v>0.88339222614840984</v>
      </c>
    </row>
    <row r="163" spans="2:28" x14ac:dyDescent="0.3">
      <c r="B163" t="s">
        <v>653</v>
      </c>
      <c r="C163" t="s">
        <v>1522</v>
      </c>
      <c r="D163" t="s">
        <v>1624</v>
      </c>
      <c r="E163" t="s">
        <v>1624</v>
      </c>
      <c r="F163">
        <v>-4</v>
      </c>
      <c r="G163">
        <v>19</v>
      </c>
      <c r="H163">
        <v>0</v>
      </c>
      <c r="I163">
        <v>0</v>
      </c>
      <c r="J163">
        <v>3</v>
      </c>
      <c r="K163">
        <v>0</v>
      </c>
      <c r="L163">
        <v>0</v>
      </c>
      <c r="M163">
        <v>6</v>
      </c>
      <c r="N163">
        <v>16.7</v>
      </c>
      <c r="O163">
        <v>14</v>
      </c>
      <c r="P163">
        <v>3</v>
      </c>
      <c r="Q163">
        <v>1</v>
      </c>
      <c r="R163">
        <v>11</v>
      </c>
      <c r="S163">
        <v>8</v>
      </c>
      <c r="T163">
        <v>1.62</v>
      </c>
      <c r="U163">
        <v>4.3600000000000003</v>
      </c>
      <c r="V163">
        <v>1.32</v>
      </c>
      <c r="W163">
        <v>0.25</v>
      </c>
      <c r="X163">
        <v>0</v>
      </c>
      <c r="Y163">
        <f t="shared" si="14"/>
        <v>1.375</v>
      </c>
      <c r="Z163" t="str">
        <f t="shared" si="15"/>
        <v>STELLAR</v>
      </c>
      <c r="AA163" s="176" t="str">
        <f t="shared" si="16"/>
        <v>Didn't Start</v>
      </c>
      <c r="AB163" s="192">
        <f t="shared" si="17"/>
        <v>0.6586826347305389</v>
      </c>
    </row>
    <row r="164" spans="2:28" x14ac:dyDescent="0.3">
      <c r="B164" t="s">
        <v>510</v>
      </c>
      <c r="C164" t="s">
        <v>251</v>
      </c>
      <c r="D164" t="s">
        <v>1624</v>
      </c>
      <c r="E164" t="s">
        <v>1624</v>
      </c>
      <c r="F164">
        <v>-4</v>
      </c>
      <c r="G164">
        <v>18</v>
      </c>
      <c r="H164">
        <v>0</v>
      </c>
      <c r="I164">
        <v>0</v>
      </c>
      <c r="J164">
        <v>2</v>
      </c>
      <c r="K164">
        <v>0</v>
      </c>
      <c r="L164">
        <v>0</v>
      </c>
      <c r="M164">
        <v>1</v>
      </c>
      <c r="N164">
        <v>17.3</v>
      </c>
      <c r="O164">
        <v>10</v>
      </c>
      <c r="P164">
        <v>4</v>
      </c>
      <c r="Q164">
        <v>1</v>
      </c>
      <c r="R164">
        <v>17</v>
      </c>
      <c r="S164">
        <v>8</v>
      </c>
      <c r="T164">
        <v>2.08</v>
      </c>
      <c r="U164">
        <v>3.97</v>
      </c>
      <c r="V164">
        <v>1.04</v>
      </c>
      <c r="W164">
        <v>0.23100000000000001</v>
      </c>
      <c r="X164">
        <v>0</v>
      </c>
      <c r="Y164">
        <f t="shared" si="14"/>
        <v>2.125</v>
      </c>
      <c r="Z164" t="str">
        <f t="shared" si="15"/>
        <v>STELLAR</v>
      </c>
      <c r="AA164" s="176" t="str">
        <f t="shared" si="16"/>
        <v>Didn't Start</v>
      </c>
      <c r="AB164" s="192">
        <f t="shared" si="17"/>
        <v>0.98265895953757221</v>
      </c>
    </row>
    <row r="165" spans="2:28" x14ac:dyDescent="0.3">
      <c r="B165" t="s">
        <v>454</v>
      </c>
      <c r="C165" t="s">
        <v>266</v>
      </c>
      <c r="D165" t="s">
        <v>1624</v>
      </c>
      <c r="E165" t="s">
        <v>1624</v>
      </c>
      <c r="F165">
        <v>-4</v>
      </c>
      <c r="G165">
        <v>21</v>
      </c>
      <c r="H165">
        <v>0</v>
      </c>
      <c r="I165">
        <v>0</v>
      </c>
      <c r="J165">
        <v>1</v>
      </c>
      <c r="K165">
        <v>2</v>
      </c>
      <c r="L165">
        <v>0</v>
      </c>
      <c r="M165">
        <v>6</v>
      </c>
      <c r="N165">
        <v>26</v>
      </c>
      <c r="O165">
        <v>17</v>
      </c>
      <c r="P165">
        <v>7</v>
      </c>
      <c r="Q165">
        <v>1</v>
      </c>
      <c r="R165">
        <v>28</v>
      </c>
      <c r="S165">
        <v>10</v>
      </c>
      <c r="T165">
        <v>2.42</v>
      </c>
      <c r="U165">
        <v>2.78</v>
      </c>
      <c r="V165">
        <v>1.04</v>
      </c>
      <c r="W165">
        <v>0.254</v>
      </c>
      <c r="X165">
        <v>0</v>
      </c>
      <c r="Y165">
        <f t="shared" si="14"/>
        <v>2.8</v>
      </c>
      <c r="Z165" t="str">
        <f t="shared" si="15"/>
        <v>STELLAR</v>
      </c>
      <c r="AA165" s="176" t="str">
        <f t="shared" si="16"/>
        <v>Didn't Start</v>
      </c>
      <c r="AB165" s="192">
        <f t="shared" si="17"/>
        <v>1.0769230769230769</v>
      </c>
    </row>
    <row r="166" spans="2:28" x14ac:dyDescent="0.3">
      <c r="B166" t="s">
        <v>821</v>
      </c>
      <c r="C166" t="s">
        <v>1524</v>
      </c>
      <c r="D166" t="s">
        <v>1623</v>
      </c>
      <c r="E166" t="s">
        <v>1623</v>
      </c>
      <c r="F166">
        <v>-4.0999999999999996</v>
      </c>
      <c r="G166">
        <v>10</v>
      </c>
      <c r="H166">
        <v>10</v>
      </c>
      <c r="I166">
        <v>2</v>
      </c>
      <c r="J166">
        <v>2</v>
      </c>
      <c r="K166">
        <v>2</v>
      </c>
      <c r="L166">
        <v>0</v>
      </c>
      <c r="M166">
        <v>0</v>
      </c>
      <c r="N166">
        <v>50</v>
      </c>
      <c r="O166">
        <v>49</v>
      </c>
      <c r="P166">
        <v>24</v>
      </c>
      <c r="Q166">
        <v>9</v>
      </c>
      <c r="R166">
        <v>37</v>
      </c>
      <c r="S166">
        <v>13</v>
      </c>
      <c r="T166">
        <v>4.32</v>
      </c>
      <c r="U166">
        <v>5.04</v>
      </c>
      <c r="V166">
        <v>1.24</v>
      </c>
      <c r="W166">
        <v>0.26800000000000002</v>
      </c>
      <c r="X166">
        <v>0</v>
      </c>
      <c r="Y166">
        <f t="shared" si="14"/>
        <v>2.8461538461538463</v>
      </c>
      <c r="Z166">
        <f t="shared" si="15"/>
        <v>3.7</v>
      </c>
      <c r="AA166" s="176">
        <f t="shared" si="16"/>
        <v>0.2</v>
      </c>
      <c r="AB166" s="192">
        <f t="shared" si="17"/>
        <v>0.74</v>
      </c>
    </row>
    <row r="167" spans="2:28" x14ac:dyDescent="0.3">
      <c r="B167" t="s">
        <v>728</v>
      </c>
      <c r="C167" t="s">
        <v>311</v>
      </c>
      <c r="D167" t="s">
        <v>1624</v>
      </c>
      <c r="E167" t="s">
        <v>1624</v>
      </c>
      <c r="F167">
        <v>-4.0999999999999996</v>
      </c>
      <c r="G167">
        <v>15</v>
      </c>
      <c r="H167">
        <v>0</v>
      </c>
      <c r="I167">
        <v>0</v>
      </c>
      <c r="J167">
        <v>1</v>
      </c>
      <c r="K167">
        <v>0</v>
      </c>
      <c r="L167">
        <v>0</v>
      </c>
      <c r="M167">
        <v>0</v>
      </c>
      <c r="N167">
        <v>22.3</v>
      </c>
      <c r="O167">
        <v>15</v>
      </c>
      <c r="P167">
        <v>3</v>
      </c>
      <c r="Q167">
        <v>1</v>
      </c>
      <c r="R167">
        <v>20</v>
      </c>
      <c r="S167">
        <v>8</v>
      </c>
      <c r="T167">
        <v>1.21</v>
      </c>
      <c r="U167">
        <v>3.82</v>
      </c>
      <c r="V167">
        <v>1.03</v>
      </c>
      <c r="W167">
        <v>0.23699999999999999</v>
      </c>
      <c r="X167">
        <v>0</v>
      </c>
      <c r="Y167">
        <f t="shared" si="14"/>
        <v>2.5</v>
      </c>
      <c r="Z167" t="str">
        <f t="shared" si="15"/>
        <v>STELLAR</v>
      </c>
      <c r="AA167" s="176" t="str">
        <f t="shared" si="16"/>
        <v>Didn't Start</v>
      </c>
      <c r="AB167" s="192">
        <f t="shared" si="17"/>
        <v>0.89686098654708513</v>
      </c>
    </row>
    <row r="168" spans="2:28" x14ac:dyDescent="0.3">
      <c r="B168" t="s">
        <v>800</v>
      </c>
      <c r="C168" t="s">
        <v>346</v>
      </c>
      <c r="D168" t="s">
        <v>1624</v>
      </c>
      <c r="E168" t="s">
        <v>1624</v>
      </c>
      <c r="F168">
        <v>-4.2</v>
      </c>
      <c r="G168">
        <v>21</v>
      </c>
      <c r="H168">
        <v>0</v>
      </c>
      <c r="I168">
        <v>0</v>
      </c>
      <c r="J168">
        <v>1</v>
      </c>
      <c r="K168">
        <v>1</v>
      </c>
      <c r="L168">
        <v>2</v>
      </c>
      <c r="M168">
        <v>8</v>
      </c>
      <c r="N168">
        <v>20.3</v>
      </c>
      <c r="O168">
        <v>17</v>
      </c>
      <c r="P168">
        <v>4</v>
      </c>
      <c r="Q168">
        <v>0</v>
      </c>
      <c r="R168">
        <v>15</v>
      </c>
      <c r="S168">
        <v>4</v>
      </c>
      <c r="T168">
        <v>1.77</v>
      </c>
      <c r="U168">
        <v>2.54</v>
      </c>
      <c r="V168">
        <v>1.03</v>
      </c>
      <c r="W168">
        <v>0.29799999999999999</v>
      </c>
      <c r="X168">
        <v>0</v>
      </c>
      <c r="Y168">
        <f t="shared" si="14"/>
        <v>3.75</v>
      </c>
      <c r="Z168" t="str">
        <f t="shared" si="15"/>
        <v>STELLAR</v>
      </c>
      <c r="AA168" s="176" t="str">
        <f t="shared" si="16"/>
        <v>Didn't Start</v>
      </c>
      <c r="AB168" s="192">
        <f t="shared" si="17"/>
        <v>0.73891625615763545</v>
      </c>
    </row>
    <row r="169" spans="2:28" x14ac:dyDescent="0.3">
      <c r="B169" t="s">
        <v>430</v>
      </c>
      <c r="C169" t="s">
        <v>1521</v>
      </c>
      <c r="D169" t="s">
        <v>1624</v>
      </c>
      <c r="E169" t="s">
        <v>1624</v>
      </c>
      <c r="F169">
        <v>-4.3</v>
      </c>
      <c r="G169">
        <v>22</v>
      </c>
      <c r="H169">
        <v>3</v>
      </c>
      <c r="I169">
        <v>0</v>
      </c>
      <c r="J169">
        <v>2</v>
      </c>
      <c r="K169">
        <v>0</v>
      </c>
      <c r="L169">
        <v>0</v>
      </c>
      <c r="M169">
        <v>7</v>
      </c>
      <c r="N169">
        <v>20</v>
      </c>
      <c r="O169">
        <v>15</v>
      </c>
      <c r="P169">
        <v>9</v>
      </c>
      <c r="Q169">
        <v>1</v>
      </c>
      <c r="R169">
        <v>30</v>
      </c>
      <c r="S169">
        <v>7</v>
      </c>
      <c r="T169">
        <v>4.05</v>
      </c>
      <c r="U169">
        <v>1.98</v>
      </c>
      <c r="V169">
        <v>1.1000000000000001</v>
      </c>
      <c r="W169">
        <v>0.32600000000000001</v>
      </c>
      <c r="X169">
        <v>0</v>
      </c>
      <c r="Y169">
        <f t="shared" si="14"/>
        <v>4.2857142857142856</v>
      </c>
      <c r="Z169">
        <f t="shared" si="15"/>
        <v>10</v>
      </c>
      <c r="AA169" s="176">
        <f t="shared" si="16"/>
        <v>0.66666666666666663</v>
      </c>
      <c r="AB169" s="192">
        <f t="shared" si="17"/>
        <v>1.5</v>
      </c>
    </row>
    <row r="170" spans="2:28" x14ac:dyDescent="0.3">
      <c r="B170" t="s">
        <v>1740</v>
      </c>
      <c r="C170" t="s">
        <v>235</v>
      </c>
      <c r="D170" t="s">
        <v>1623</v>
      </c>
      <c r="E170" t="s">
        <v>1623</v>
      </c>
      <c r="F170">
        <v>-4.4000000000000004</v>
      </c>
      <c r="G170">
        <v>7</v>
      </c>
      <c r="H170">
        <v>7</v>
      </c>
      <c r="I170">
        <v>1</v>
      </c>
      <c r="J170">
        <v>3</v>
      </c>
      <c r="K170">
        <v>2</v>
      </c>
      <c r="L170">
        <v>0</v>
      </c>
      <c r="M170">
        <v>0</v>
      </c>
      <c r="N170">
        <v>36.299999999999997</v>
      </c>
      <c r="O170">
        <v>34</v>
      </c>
      <c r="P170">
        <v>20</v>
      </c>
      <c r="Q170">
        <v>5</v>
      </c>
      <c r="R170">
        <v>30</v>
      </c>
      <c r="S170">
        <v>14</v>
      </c>
      <c r="T170">
        <v>4.95</v>
      </c>
      <c r="U170">
        <v>4.74</v>
      </c>
      <c r="V170">
        <v>1.32</v>
      </c>
      <c r="W170">
        <v>0.27400000000000002</v>
      </c>
      <c r="X170">
        <v>12</v>
      </c>
      <c r="Y170">
        <f t="shared" si="14"/>
        <v>2.1428571428571428</v>
      </c>
      <c r="Z170">
        <f t="shared" si="15"/>
        <v>4.2857142857142856</v>
      </c>
      <c r="AA170" s="176">
        <f t="shared" si="16"/>
        <v>0.42857142857142855</v>
      </c>
      <c r="AB170" s="192">
        <f t="shared" si="17"/>
        <v>0.82644628099173556</v>
      </c>
    </row>
    <row r="171" spans="2:28" x14ac:dyDescent="0.3">
      <c r="B171" t="s">
        <v>480</v>
      </c>
      <c r="C171" t="s">
        <v>244</v>
      </c>
      <c r="D171" t="s">
        <v>1624</v>
      </c>
      <c r="E171" t="s">
        <v>1624</v>
      </c>
      <c r="F171">
        <v>-4.4000000000000004</v>
      </c>
      <c r="G171">
        <v>25</v>
      </c>
      <c r="H171">
        <v>0</v>
      </c>
      <c r="I171">
        <v>0</v>
      </c>
      <c r="J171">
        <v>3</v>
      </c>
      <c r="K171">
        <v>3</v>
      </c>
      <c r="L171">
        <v>1</v>
      </c>
      <c r="M171">
        <v>4</v>
      </c>
      <c r="N171">
        <v>21</v>
      </c>
      <c r="O171">
        <v>26</v>
      </c>
      <c r="P171">
        <v>11</v>
      </c>
      <c r="Q171">
        <v>1</v>
      </c>
      <c r="R171">
        <v>40</v>
      </c>
      <c r="S171">
        <v>9</v>
      </c>
      <c r="T171">
        <v>4.71</v>
      </c>
      <c r="U171">
        <v>1.94</v>
      </c>
      <c r="V171">
        <v>1.67</v>
      </c>
      <c r="W171">
        <v>0.53200000000000003</v>
      </c>
      <c r="X171">
        <v>1</v>
      </c>
      <c r="Y171">
        <f t="shared" si="14"/>
        <v>4.4444444444444446</v>
      </c>
      <c r="Z171" t="str">
        <f t="shared" si="15"/>
        <v>STELLAR</v>
      </c>
      <c r="AA171" s="176" t="str">
        <f t="shared" si="16"/>
        <v>Didn't Start</v>
      </c>
      <c r="AB171" s="192">
        <f t="shared" si="17"/>
        <v>1.9047619047619047</v>
      </c>
    </row>
    <row r="172" spans="2:28" x14ac:dyDescent="0.3">
      <c r="B172" t="s">
        <v>541</v>
      </c>
      <c r="C172" t="s">
        <v>226</v>
      </c>
      <c r="D172" t="s">
        <v>1624</v>
      </c>
      <c r="E172" t="s">
        <v>1624</v>
      </c>
      <c r="F172">
        <v>-4.5</v>
      </c>
      <c r="G172">
        <v>19</v>
      </c>
      <c r="H172">
        <v>0</v>
      </c>
      <c r="I172">
        <v>0</v>
      </c>
      <c r="J172">
        <v>1</v>
      </c>
      <c r="K172">
        <v>0</v>
      </c>
      <c r="L172">
        <v>1</v>
      </c>
      <c r="M172">
        <v>2</v>
      </c>
      <c r="N172">
        <v>23</v>
      </c>
      <c r="O172">
        <v>8</v>
      </c>
      <c r="P172">
        <v>7</v>
      </c>
      <c r="Q172">
        <v>2</v>
      </c>
      <c r="R172">
        <v>23</v>
      </c>
      <c r="S172">
        <v>15</v>
      </c>
      <c r="T172">
        <v>2.74</v>
      </c>
      <c r="U172">
        <v>4.5</v>
      </c>
      <c r="V172">
        <v>1</v>
      </c>
      <c r="W172">
        <v>0.11799999999999999</v>
      </c>
      <c r="X172">
        <v>0</v>
      </c>
      <c r="Y172">
        <f t="shared" si="14"/>
        <v>1.5333333333333334</v>
      </c>
      <c r="Z172" t="str">
        <f t="shared" si="15"/>
        <v>STELLAR</v>
      </c>
      <c r="AA172" s="176" t="str">
        <f t="shared" si="16"/>
        <v>Didn't Start</v>
      </c>
      <c r="AB172" s="192">
        <f t="shared" si="17"/>
        <v>1</v>
      </c>
    </row>
    <row r="173" spans="2:28" x14ac:dyDescent="0.3">
      <c r="B173" t="s">
        <v>560</v>
      </c>
      <c r="C173" t="s">
        <v>1520</v>
      </c>
      <c r="D173" t="s">
        <v>1624</v>
      </c>
      <c r="E173" t="s">
        <v>1624</v>
      </c>
      <c r="F173">
        <v>-4.5999999999999996</v>
      </c>
      <c r="G173">
        <v>20</v>
      </c>
      <c r="H173">
        <v>0</v>
      </c>
      <c r="I173">
        <v>0</v>
      </c>
      <c r="J173">
        <v>1</v>
      </c>
      <c r="K173">
        <v>2</v>
      </c>
      <c r="L173">
        <v>2</v>
      </c>
      <c r="M173">
        <v>6</v>
      </c>
      <c r="N173">
        <v>18.7</v>
      </c>
      <c r="O173">
        <v>12</v>
      </c>
      <c r="P173">
        <v>6</v>
      </c>
      <c r="Q173">
        <v>0</v>
      </c>
      <c r="R173">
        <v>31</v>
      </c>
      <c r="S173">
        <v>12</v>
      </c>
      <c r="T173">
        <v>2.89</v>
      </c>
      <c r="U173">
        <v>1.89</v>
      </c>
      <c r="V173">
        <v>1.29</v>
      </c>
      <c r="W173">
        <v>0.32400000000000001</v>
      </c>
      <c r="X173">
        <v>40</v>
      </c>
      <c r="Y173">
        <f t="shared" si="14"/>
        <v>2.5833333333333335</v>
      </c>
      <c r="Z173" t="str">
        <f t="shared" si="15"/>
        <v>STELLAR</v>
      </c>
      <c r="AA173" s="176" t="str">
        <f t="shared" si="16"/>
        <v>Didn't Start</v>
      </c>
      <c r="AB173" s="192">
        <f t="shared" si="17"/>
        <v>1.6577540106951871</v>
      </c>
    </row>
    <row r="174" spans="2:28" x14ac:dyDescent="0.3">
      <c r="B174" t="s">
        <v>3105</v>
      </c>
      <c r="C174" t="s">
        <v>246</v>
      </c>
      <c r="D174" t="s">
        <v>1624</v>
      </c>
      <c r="E174" t="s">
        <v>1624</v>
      </c>
      <c r="F174">
        <v>-4.5999999999999996</v>
      </c>
      <c r="G174">
        <v>17</v>
      </c>
      <c r="H174">
        <v>0</v>
      </c>
      <c r="I174">
        <v>0</v>
      </c>
      <c r="J174">
        <v>1</v>
      </c>
      <c r="K174">
        <v>0</v>
      </c>
      <c r="L174">
        <v>0</v>
      </c>
      <c r="M174">
        <v>3</v>
      </c>
      <c r="N174">
        <v>14.3</v>
      </c>
      <c r="O174">
        <v>4</v>
      </c>
      <c r="P174">
        <v>3</v>
      </c>
      <c r="Q174">
        <v>1</v>
      </c>
      <c r="R174">
        <v>21</v>
      </c>
      <c r="S174">
        <v>7</v>
      </c>
      <c r="T174">
        <v>1.88</v>
      </c>
      <c r="U174">
        <v>2.72</v>
      </c>
      <c r="V174">
        <v>0.77</v>
      </c>
      <c r="W174">
        <v>0.115</v>
      </c>
      <c r="X174">
        <v>0</v>
      </c>
      <c r="Y174">
        <f t="shared" si="14"/>
        <v>3</v>
      </c>
      <c r="Z174" t="str">
        <f t="shared" si="15"/>
        <v>STELLAR</v>
      </c>
      <c r="AA174" s="176" t="str">
        <f t="shared" si="16"/>
        <v>Didn't Start</v>
      </c>
      <c r="AB174" s="192">
        <f t="shared" si="17"/>
        <v>1.4685314685314685</v>
      </c>
    </row>
    <row r="175" spans="2:28" x14ac:dyDescent="0.3">
      <c r="B175" t="s">
        <v>193</v>
      </c>
      <c r="C175" t="s">
        <v>266</v>
      </c>
      <c r="D175" t="s">
        <v>1623</v>
      </c>
      <c r="E175" t="s">
        <v>1623</v>
      </c>
      <c r="F175">
        <v>-4.5999999999999996</v>
      </c>
      <c r="G175">
        <v>4</v>
      </c>
      <c r="H175">
        <v>4</v>
      </c>
      <c r="I175">
        <v>1</v>
      </c>
      <c r="J175">
        <v>2</v>
      </c>
      <c r="K175">
        <v>2</v>
      </c>
      <c r="L175">
        <v>0</v>
      </c>
      <c r="M175">
        <v>0</v>
      </c>
      <c r="N175">
        <v>20</v>
      </c>
      <c r="O175">
        <v>19</v>
      </c>
      <c r="P175">
        <v>11</v>
      </c>
      <c r="Q175">
        <v>4</v>
      </c>
      <c r="R175">
        <v>17</v>
      </c>
      <c r="S175">
        <v>3</v>
      </c>
      <c r="T175">
        <v>4.95</v>
      </c>
      <c r="U175">
        <v>4.63</v>
      </c>
      <c r="V175">
        <v>1.1000000000000001</v>
      </c>
      <c r="W175">
        <v>0.28299999999999997</v>
      </c>
      <c r="X175">
        <v>1</v>
      </c>
      <c r="Y175">
        <f t="shared" si="14"/>
        <v>5.666666666666667</v>
      </c>
      <c r="Z175">
        <f t="shared" si="15"/>
        <v>4.25</v>
      </c>
      <c r="AA175" s="176">
        <f t="shared" si="16"/>
        <v>0.5</v>
      </c>
      <c r="AB175" s="192">
        <f t="shared" si="17"/>
        <v>0.85</v>
      </c>
    </row>
    <row r="176" spans="2:28" x14ac:dyDescent="0.3">
      <c r="B176" t="s">
        <v>1642</v>
      </c>
      <c r="C176" t="s">
        <v>1520</v>
      </c>
      <c r="D176" t="s">
        <v>1623</v>
      </c>
      <c r="E176" t="s">
        <v>1623</v>
      </c>
      <c r="F176">
        <v>-4.5999999999999996</v>
      </c>
      <c r="G176">
        <v>21</v>
      </c>
      <c r="H176">
        <v>2</v>
      </c>
      <c r="I176">
        <v>0</v>
      </c>
      <c r="J176">
        <v>0</v>
      </c>
      <c r="K176">
        <v>1</v>
      </c>
      <c r="L176">
        <v>0</v>
      </c>
      <c r="M176">
        <v>3</v>
      </c>
      <c r="N176">
        <v>25</v>
      </c>
      <c r="O176">
        <v>20</v>
      </c>
      <c r="P176">
        <v>10</v>
      </c>
      <c r="Q176">
        <v>3</v>
      </c>
      <c r="R176">
        <v>34</v>
      </c>
      <c r="S176">
        <v>8</v>
      </c>
      <c r="T176">
        <v>3.6</v>
      </c>
      <c r="U176">
        <v>3.08</v>
      </c>
      <c r="V176">
        <v>1.1200000000000001</v>
      </c>
      <c r="W176">
        <v>0.30399999999999999</v>
      </c>
      <c r="X176">
        <v>0</v>
      </c>
      <c r="Y176">
        <f t="shared" si="14"/>
        <v>4.25</v>
      </c>
      <c r="Z176">
        <f t="shared" si="15"/>
        <v>17</v>
      </c>
      <c r="AA176" s="176">
        <f t="shared" si="16"/>
        <v>0</v>
      </c>
      <c r="AB176" s="192">
        <f t="shared" si="17"/>
        <v>1.36</v>
      </c>
    </row>
    <row r="177" spans="2:28" x14ac:dyDescent="0.3">
      <c r="B177" t="s">
        <v>672</v>
      </c>
      <c r="C177" t="s">
        <v>266</v>
      </c>
      <c r="D177" t="s">
        <v>1624</v>
      </c>
      <c r="E177" t="s">
        <v>1624</v>
      </c>
      <c r="F177">
        <v>-5.0999999999999996</v>
      </c>
      <c r="G177">
        <v>19</v>
      </c>
      <c r="H177">
        <v>0</v>
      </c>
      <c r="I177">
        <v>0</v>
      </c>
      <c r="J177">
        <v>2</v>
      </c>
      <c r="K177">
        <v>1</v>
      </c>
      <c r="L177">
        <v>0</v>
      </c>
      <c r="M177">
        <v>1</v>
      </c>
      <c r="N177">
        <v>17.7</v>
      </c>
      <c r="O177">
        <v>15</v>
      </c>
      <c r="P177">
        <v>6</v>
      </c>
      <c r="Q177">
        <v>0</v>
      </c>
      <c r="R177">
        <v>26</v>
      </c>
      <c r="S177">
        <v>7</v>
      </c>
      <c r="T177">
        <v>3.06</v>
      </c>
      <c r="U177">
        <v>1.69</v>
      </c>
      <c r="V177">
        <v>1.25</v>
      </c>
      <c r="W177">
        <v>0.39500000000000002</v>
      </c>
      <c r="X177">
        <v>0</v>
      </c>
      <c r="Y177">
        <f t="shared" si="14"/>
        <v>3.7142857142857144</v>
      </c>
      <c r="Z177" t="str">
        <f t="shared" si="15"/>
        <v>STELLAR</v>
      </c>
      <c r="AA177" s="176" t="str">
        <f t="shared" si="16"/>
        <v>Didn't Start</v>
      </c>
      <c r="AB177" s="192">
        <f t="shared" si="17"/>
        <v>1.4689265536723164</v>
      </c>
    </row>
    <row r="178" spans="2:28" x14ac:dyDescent="0.3">
      <c r="B178" t="s">
        <v>3265</v>
      </c>
      <c r="C178" t="s">
        <v>239</v>
      </c>
      <c r="D178" t="s">
        <v>1623</v>
      </c>
      <c r="E178" t="s">
        <v>1623</v>
      </c>
      <c r="F178">
        <v>-5.0999999999999996</v>
      </c>
      <c r="G178">
        <v>4</v>
      </c>
      <c r="H178">
        <v>4</v>
      </c>
      <c r="I178">
        <v>1</v>
      </c>
      <c r="J178">
        <v>1</v>
      </c>
      <c r="K178">
        <v>0</v>
      </c>
      <c r="L178">
        <v>0</v>
      </c>
      <c r="M178">
        <v>0</v>
      </c>
      <c r="N178">
        <v>20</v>
      </c>
      <c r="O178">
        <v>21</v>
      </c>
      <c r="P178">
        <v>5</v>
      </c>
      <c r="Q178">
        <v>1</v>
      </c>
      <c r="R178">
        <v>14</v>
      </c>
      <c r="S178">
        <v>4</v>
      </c>
      <c r="T178">
        <v>2.25</v>
      </c>
      <c r="U178">
        <v>3.13</v>
      </c>
      <c r="V178">
        <v>1.25</v>
      </c>
      <c r="W178">
        <v>0.312</v>
      </c>
      <c r="X178">
        <v>2</v>
      </c>
      <c r="Y178">
        <f t="shared" si="14"/>
        <v>3.5</v>
      </c>
      <c r="Z178">
        <f t="shared" si="15"/>
        <v>3.5</v>
      </c>
      <c r="AA178" s="176">
        <f t="shared" si="16"/>
        <v>0.25</v>
      </c>
      <c r="AB178" s="192">
        <f t="shared" si="17"/>
        <v>0.7</v>
      </c>
    </row>
    <row r="179" spans="2:28" x14ac:dyDescent="0.3">
      <c r="B179" t="s">
        <v>3101</v>
      </c>
      <c r="C179" t="s">
        <v>346</v>
      </c>
      <c r="D179" t="s">
        <v>1624</v>
      </c>
      <c r="E179" t="s">
        <v>1624</v>
      </c>
      <c r="F179">
        <v>-5.2</v>
      </c>
      <c r="G179">
        <v>13</v>
      </c>
      <c r="H179">
        <v>0</v>
      </c>
      <c r="I179">
        <v>0</v>
      </c>
      <c r="J179">
        <v>1</v>
      </c>
      <c r="K179">
        <v>0</v>
      </c>
      <c r="L179">
        <v>0</v>
      </c>
      <c r="M179">
        <v>1</v>
      </c>
      <c r="N179">
        <v>16</v>
      </c>
      <c r="O179">
        <v>7</v>
      </c>
      <c r="P179">
        <v>3</v>
      </c>
      <c r="Q179">
        <v>0</v>
      </c>
      <c r="R179">
        <v>17</v>
      </c>
      <c r="S179">
        <v>6</v>
      </c>
      <c r="T179">
        <v>1.69</v>
      </c>
      <c r="U179">
        <v>2.2799999999999998</v>
      </c>
      <c r="V179">
        <v>0.81</v>
      </c>
      <c r="W179">
        <v>0.184</v>
      </c>
      <c r="X179">
        <v>0</v>
      </c>
      <c r="Y179">
        <f t="shared" si="14"/>
        <v>2.8333333333333335</v>
      </c>
      <c r="Z179" t="str">
        <f t="shared" si="15"/>
        <v>STELLAR</v>
      </c>
      <c r="AA179" s="176" t="str">
        <f t="shared" si="16"/>
        <v>Didn't Start</v>
      </c>
      <c r="AB179" s="192">
        <f t="shared" si="17"/>
        <v>1.0625</v>
      </c>
    </row>
    <row r="180" spans="2:28" x14ac:dyDescent="0.3">
      <c r="B180" t="s">
        <v>716</v>
      </c>
      <c r="C180" t="s">
        <v>311</v>
      </c>
      <c r="D180" t="s">
        <v>1624</v>
      </c>
      <c r="E180" t="s">
        <v>1624</v>
      </c>
      <c r="F180">
        <v>-5.3</v>
      </c>
      <c r="G180">
        <v>23</v>
      </c>
      <c r="H180">
        <v>1</v>
      </c>
      <c r="I180">
        <v>0</v>
      </c>
      <c r="J180">
        <v>2</v>
      </c>
      <c r="K180">
        <v>0</v>
      </c>
      <c r="L180">
        <v>0</v>
      </c>
      <c r="M180">
        <v>3</v>
      </c>
      <c r="N180">
        <v>25.7</v>
      </c>
      <c r="O180">
        <v>21</v>
      </c>
      <c r="P180">
        <v>7</v>
      </c>
      <c r="Q180">
        <v>3</v>
      </c>
      <c r="R180">
        <v>23</v>
      </c>
      <c r="S180">
        <v>12</v>
      </c>
      <c r="T180">
        <v>2.4500000000000002</v>
      </c>
      <c r="U180">
        <v>4.5199999999999996</v>
      </c>
      <c r="V180">
        <v>1.29</v>
      </c>
      <c r="W180">
        <v>0.26900000000000002</v>
      </c>
      <c r="X180">
        <v>0</v>
      </c>
      <c r="Y180">
        <f t="shared" si="14"/>
        <v>1.9166666666666667</v>
      </c>
      <c r="Z180">
        <f t="shared" si="15"/>
        <v>23</v>
      </c>
      <c r="AA180" s="176">
        <f t="shared" si="16"/>
        <v>2</v>
      </c>
      <c r="AB180" s="192">
        <f t="shared" si="17"/>
        <v>0.89494163424124518</v>
      </c>
    </row>
    <row r="181" spans="2:28" x14ac:dyDescent="0.3">
      <c r="B181" t="s">
        <v>673</v>
      </c>
      <c r="C181" t="s">
        <v>278</v>
      </c>
      <c r="D181" t="s">
        <v>1624</v>
      </c>
      <c r="E181" t="s">
        <v>1624</v>
      </c>
      <c r="F181">
        <v>-5.5</v>
      </c>
      <c r="G181">
        <v>22</v>
      </c>
      <c r="H181">
        <v>0</v>
      </c>
      <c r="I181">
        <v>0</v>
      </c>
      <c r="J181">
        <v>1</v>
      </c>
      <c r="K181">
        <v>1</v>
      </c>
      <c r="L181">
        <v>0</v>
      </c>
      <c r="M181">
        <v>10</v>
      </c>
      <c r="N181">
        <v>18.7</v>
      </c>
      <c r="O181">
        <v>16</v>
      </c>
      <c r="P181">
        <v>5</v>
      </c>
      <c r="Q181">
        <v>2</v>
      </c>
      <c r="R181">
        <v>27</v>
      </c>
      <c r="S181">
        <v>4</v>
      </c>
      <c r="T181">
        <v>2.41</v>
      </c>
      <c r="U181">
        <v>2.74</v>
      </c>
      <c r="V181">
        <v>1.07</v>
      </c>
      <c r="W181">
        <v>0.32600000000000001</v>
      </c>
      <c r="X181">
        <v>0</v>
      </c>
      <c r="Y181">
        <f t="shared" si="14"/>
        <v>6.75</v>
      </c>
      <c r="Z181" t="str">
        <f t="shared" si="15"/>
        <v>STELLAR</v>
      </c>
      <c r="AA181" s="176" t="str">
        <f t="shared" si="16"/>
        <v>Didn't Start</v>
      </c>
      <c r="AB181" s="192">
        <f t="shared" si="17"/>
        <v>1.4438502673796791</v>
      </c>
    </row>
    <row r="182" spans="2:28" x14ac:dyDescent="0.3">
      <c r="B182" t="s">
        <v>3051</v>
      </c>
      <c r="C182" t="s">
        <v>325</v>
      </c>
      <c r="D182" t="s">
        <v>1623</v>
      </c>
      <c r="E182" t="s">
        <v>1623</v>
      </c>
      <c r="F182">
        <v>-5.5</v>
      </c>
      <c r="G182">
        <v>4</v>
      </c>
      <c r="H182">
        <v>4</v>
      </c>
      <c r="I182">
        <v>2</v>
      </c>
      <c r="J182">
        <v>0</v>
      </c>
      <c r="K182">
        <v>2</v>
      </c>
      <c r="L182">
        <v>0</v>
      </c>
      <c r="M182">
        <v>0</v>
      </c>
      <c r="N182">
        <v>21.3</v>
      </c>
      <c r="O182">
        <v>14</v>
      </c>
      <c r="P182">
        <v>8</v>
      </c>
      <c r="Q182">
        <v>1</v>
      </c>
      <c r="R182">
        <v>22</v>
      </c>
      <c r="S182">
        <v>7</v>
      </c>
      <c r="T182">
        <v>3.38</v>
      </c>
      <c r="U182">
        <v>3.09</v>
      </c>
      <c r="V182">
        <v>0.98</v>
      </c>
      <c r="W182">
        <v>0.25</v>
      </c>
      <c r="X182">
        <v>40</v>
      </c>
      <c r="Y182">
        <f t="shared" si="14"/>
        <v>3.1428571428571428</v>
      </c>
      <c r="Z182">
        <f t="shared" si="15"/>
        <v>5.5</v>
      </c>
      <c r="AA182" s="176">
        <f t="shared" si="16"/>
        <v>0</v>
      </c>
      <c r="AB182" s="192">
        <f t="shared" si="17"/>
        <v>1.0328638497652582</v>
      </c>
    </row>
    <row r="183" spans="2:28" x14ac:dyDescent="0.3">
      <c r="B183" t="s">
        <v>512</v>
      </c>
      <c r="C183" t="s">
        <v>250</v>
      </c>
      <c r="D183" t="s">
        <v>1624</v>
      </c>
      <c r="E183" t="s">
        <v>1624</v>
      </c>
      <c r="F183">
        <v>-5.6</v>
      </c>
      <c r="G183">
        <v>23</v>
      </c>
      <c r="H183">
        <v>0</v>
      </c>
      <c r="I183">
        <v>0</v>
      </c>
      <c r="J183">
        <v>2</v>
      </c>
      <c r="K183">
        <v>5</v>
      </c>
      <c r="L183">
        <v>7</v>
      </c>
      <c r="M183">
        <v>0</v>
      </c>
      <c r="N183">
        <v>22</v>
      </c>
      <c r="O183">
        <v>25</v>
      </c>
      <c r="P183">
        <v>18</v>
      </c>
      <c r="Q183">
        <v>3</v>
      </c>
      <c r="R183">
        <v>28</v>
      </c>
      <c r="S183">
        <v>6</v>
      </c>
      <c r="T183">
        <v>7.36</v>
      </c>
      <c r="U183">
        <v>3.32</v>
      </c>
      <c r="V183">
        <v>1.41</v>
      </c>
      <c r="W183">
        <v>0.38600000000000001</v>
      </c>
      <c r="X183">
        <v>16</v>
      </c>
      <c r="Y183">
        <f t="shared" ref="Y183:Y246" si="18">IFERROR(R183/S183,"STELLAR")</f>
        <v>4.666666666666667</v>
      </c>
      <c r="Z183" t="str">
        <f t="shared" ref="Z183:Z246" si="19">IFERROR(R183/H183,"STELLAR")</f>
        <v>STELLAR</v>
      </c>
      <c r="AA183" s="176" t="str">
        <f t="shared" ref="AA183:AA246" si="20">IFERROR(J183/H183,"Didn't Start")</f>
        <v>Didn't Start</v>
      </c>
      <c r="AB183" s="192">
        <f t="shared" si="17"/>
        <v>1.2727272727272727</v>
      </c>
    </row>
    <row r="184" spans="2:28" x14ac:dyDescent="0.3">
      <c r="B184" t="s">
        <v>3257</v>
      </c>
      <c r="C184" t="s">
        <v>224</v>
      </c>
      <c r="D184" t="s">
        <v>1623</v>
      </c>
      <c r="E184" t="s">
        <v>1623</v>
      </c>
      <c r="F184">
        <v>-5.6</v>
      </c>
      <c r="G184">
        <v>4</v>
      </c>
      <c r="H184">
        <v>4</v>
      </c>
      <c r="I184">
        <v>1</v>
      </c>
      <c r="J184">
        <v>1</v>
      </c>
      <c r="K184">
        <v>1</v>
      </c>
      <c r="L184">
        <v>0</v>
      </c>
      <c r="M184">
        <v>0</v>
      </c>
      <c r="N184">
        <v>21</v>
      </c>
      <c r="O184">
        <v>20</v>
      </c>
      <c r="P184">
        <v>8</v>
      </c>
      <c r="Q184">
        <v>5</v>
      </c>
      <c r="R184">
        <v>18</v>
      </c>
      <c r="S184">
        <v>5</v>
      </c>
      <c r="T184">
        <v>3.43</v>
      </c>
      <c r="U184">
        <v>5.52</v>
      </c>
      <c r="V184">
        <v>1.19</v>
      </c>
      <c r="W184">
        <v>0.24199999999999999</v>
      </c>
      <c r="X184">
        <v>85</v>
      </c>
      <c r="Y184">
        <f t="shared" si="18"/>
        <v>3.6</v>
      </c>
      <c r="Z184">
        <f t="shared" si="19"/>
        <v>4.5</v>
      </c>
      <c r="AA184" s="176">
        <f t="shared" si="20"/>
        <v>0.25</v>
      </c>
      <c r="AB184" s="192">
        <f t="shared" si="17"/>
        <v>0.8571428571428571</v>
      </c>
    </row>
    <row r="185" spans="2:28" x14ac:dyDescent="0.3">
      <c r="B185" t="s">
        <v>426</v>
      </c>
      <c r="C185" t="s">
        <v>234</v>
      </c>
      <c r="D185" t="s">
        <v>1624</v>
      </c>
      <c r="E185" t="s">
        <v>1624</v>
      </c>
      <c r="F185">
        <v>-5.6</v>
      </c>
      <c r="G185">
        <v>22</v>
      </c>
      <c r="H185">
        <v>0</v>
      </c>
      <c r="I185">
        <v>0</v>
      </c>
      <c r="J185">
        <v>1</v>
      </c>
      <c r="K185">
        <v>1</v>
      </c>
      <c r="L185">
        <v>1</v>
      </c>
      <c r="M185">
        <v>3</v>
      </c>
      <c r="N185">
        <v>17</v>
      </c>
      <c r="O185">
        <v>16</v>
      </c>
      <c r="P185">
        <v>2</v>
      </c>
      <c r="Q185">
        <v>0</v>
      </c>
      <c r="R185">
        <v>16</v>
      </c>
      <c r="S185">
        <v>3</v>
      </c>
      <c r="T185">
        <v>1.06</v>
      </c>
      <c r="U185">
        <v>1.93</v>
      </c>
      <c r="V185">
        <v>1.1200000000000001</v>
      </c>
      <c r="W185">
        <v>0.32700000000000001</v>
      </c>
      <c r="X185">
        <v>0</v>
      </c>
      <c r="Y185">
        <f t="shared" si="18"/>
        <v>5.333333333333333</v>
      </c>
      <c r="Z185" t="str">
        <f t="shared" si="19"/>
        <v>STELLAR</v>
      </c>
      <c r="AA185" s="176" t="str">
        <f t="shared" si="20"/>
        <v>Didn't Start</v>
      </c>
      <c r="AB185" s="192">
        <f t="shared" si="17"/>
        <v>0.94117647058823528</v>
      </c>
    </row>
    <row r="186" spans="2:28" x14ac:dyDescent="0.3">
      <c r="B186" t="s">
        <v>393</v>
      </c>
      <c r="C186" t="s">
        <v>243</v>
      </c>
      <c r="D186" t="s">
        <v>1623</v>
      </c>
      <c r="E186" t="s">
        <v>1623</v>
      </c>
      <c r="F186">
        <v>-5.8</v>
      </c>
      <c r="G186">
        <v>9</v>
      </c>
      <c r="H186">
        <v>9</v>
      </c>
      <c r="I186">
        <v>3</v>
      </c>
      <c r="J186">
        <v>3</v>
      </c>
      <c r="K186">
        <v>3</v>
      </c>
      <c r="L186">
        <v>0</v>
      </c>
      <c r="M186">
        <v>0</v>
      </c>
      <c r="N186">
        <v>47.3</v>
      </c>
      <c r="O186">
        <v>47</v>
      </c>
      <c r="P186">
        <v>24</v>
      </c>
      <c r="Q186">
        <v>7</v>
      </c>
      <c r="R186">
        <v>40</v>
      </c>
      <c r="S186">
        <v>22</v>
      </c>
      <c r="T186">
        <v>4.5599999999999996</v>
      </c>
      <c r="U186">
        <v>5.0999999999999996</v>
      </c>
      <c r="V186">
        <v>1.46</v>
      </c>
      <c r="W186">
        <v>0.28399999999999997</v>
      </c>
      <c r="X186">
        <v>37</v>
      </c>
      <c r="Y186">
        <f t="shared" si="18"/>
        <v>1.8181818181818181</v>
      </c>
      <c r="Z186">
        <f t="shared" si="19"/>
        <v>4.4444444444444446</v>
      </c>
      <c r="AA186" s="176">
        <f t="shared" si="20"/>
        <v>0.33333333333333331</v>
      </c>
      <c r="AB186" s="192">
        <f t="shared" si="17"/>
        <v>0.84566596194503174</v>
      </c>
    </row>
    <row r="187" spans="2:28" x14ac:dyDescent="0.3">
      <c r="B187" t="s">
        <v>155</v>
      </c>
      <c r="C187" t="s">
        <v>251</v>
      </c>
      <c r="D187" t="s">
        <v>1623</v>
      </c>
      <c r="E187" t="s">
        <v>1623</v>
      </c>
      <c r="F187">
        <v>-5.8</v>
      </c>
      <c r="G187">
        <v>2</v>
      </c>
      <c r="H187">
        <v>2</v>
      </c>
      <c r="I187">
        <v>1</v>
      </c>
      <c r="J187">
        <v>1</v>
      </c>
      <c r="K187">
        <v>1</v>
      </c>
      <c r="L187">
        <v>0</v>
      </c>
      <c r="M187">
        <v>0</v>
      </c>
      <c r="N187">
        <v>12.7</v>
      </c>
      <c r="O187">
        <v>11</v>
      </c>
      <c r="P187">
        <v>4</v>
      </c>
      <c r="Q187">
        <v>0</v>
      </c>
      <c r="R187">
        <v>8</v>
      </c>
      <c r="S187">
        <v>2</v>
      </c>
      <c r="T187">
        <v>2.84</v>
      </c>
      <c r="U187">
        <v>2.4900000000000002</v>
      </c>
      <c r="V187">
        <v>1.03</v>
      </c>
      <c r="W187">
        <v>0.27500000000000002</v>
      </c>
      <c r="X187">
        <v>51</v>
      </c>
      <c r="Y187">
        <f t="shared" si="18"/>
        <v>4</v>
      </c>
      <c r="Z187">
        <f t="shared" si="19"/>
        <v>4</v>
      </c>
      <c r="AA187" s="176">
        <f t="shared" si="20"/>
        <v>0.5</v>
      </c>
      <c r="AB187" s="192">
        <f t="shared" si="17"/>
        <v>0.62992125984251968</v>
      </c>
    </row>
    <row r="188" spans="2:28" x14ac:dyDescent="0.3">
      <c r="B188" t="s">
        <v>555</v>
      </c>
      <c r="C188" t="s">
        <v>239</v>
      </c>
      <c r="D188" t="s">
        <v>1623</v>
      </c>
      <c r="E188" t="s">
        <v>1623</v>
      </c>
      <c r="F188">
        <v>-5.9</v>
      </c>
      <c r="G188">
        <v>9</v>
      </c>
      <c r="H188">
        <v>8</v>
      </c>
      <c r="I188">
        <v>2</v>
      </c>
      <c r="J188">
        <v>4</v>
      </c>
      <c r="K188">
        <v>5</v>
      </c>
      <c r="L188">
        <v>0</v>
      </c>
      <c r="M188">
        <v>0</v>
      </c>
      <c r="N188">
        <v>42.7</v>
      </c>
      <c r="O188">
        <v>45</v>
      </c>
      <c r="P188">
        <v>26</v>
      </c>
      <c r="Q188">
        <v>13</v>
      </c>
      <c r="R188">
        <v>41</v>
      </c>
      <c r="S188">
        <v>20</v>
      </c>
      <c r="T188">
        <v>5.48</v>
      </c>
      <c r="U188">
        <v>6.72</v>
      </c>
      <c r="V188">
        <v>1.52</v>
      </c>
      <c r="W188">
        <v>0.28599999999999998</v>
      </c>
      <c r="X188">
        <v>27</v>
      </c>
      <c r="Y188">
        <f t="shared" si="18"/>
        <v>2.0499999999999998</v>
      </c>
      <c r="Z188">
        <f t="shared" si="19"/>
        <v>5.125</v>
      </c>
      <c r="AA188" s="176">
        <f t="shared" si="20"/>
        <v>0.5</v>
      </c>
      <c r="AB188" s="192">
        <f t="shared" si="17"/>
        <v>0.96018735362997654</v>
      </c>
    </row>
    <row r="189" spans="2:28" x14ac:dyDescent="0.3">
      <c r="B189" t="s">
        <v>455</v>
      </c>
      <c r="C189" t="s">
        <v>1520</v>
      </c>
      <c r="D189" t="s">
        <v>1624</v>
      </c>
      <c r="E189" t="s">
        <v>1624</v>
      </c>
      <c r="F189">
        <v>-6</v>
      </c>
      <c r="G189">
        <v>22</v>
      </c>
      <c r="H189">
        <v>0</v>
      </c>
      <c r="I189">
        <v>0</v>
      </c>
      <c r="J189">
        <v>3</v>
      </c>
      <c r="K189">
        <v>0</v>
      </c>
      <c r="L189">
        <v>0</v>
      </c>
      <c r="M189">
        <v>1</v>
      </c>
      <c r="N189">
        <v>21.7</v>
      </c>
      <c r="O189">
        <v>24</v>
      </c>
      <c r="P189">
        <v>10</v>
      </c>
      <c r="Q189">
        <v>5</v>
      </c>
      <c r="R189">
        <v>28</v>
      </c>
      <c r="S189">
        <v>8</v>
      </c>
      <c r="T189">
        <v>4.1500000000000004</v>
      </c>
      <c r="U189">
        <v>4.9400000000000004</v>
      </c>
      <c r="V189">
        <v>1.48</v>
      </c>
      <c r="W189">
        <v>0.33900000000000002</v>
      </c>
      <c r="X189">
        <v>0</v>
      </c>
      <c r="Y189">
        <f t="shared" si="18"/>
        <v>3.5</v>
      </c>
      <c r="Z189" t="str">
        <f t="shared" si="19"/>
        <v>STELLAR</v>
      </c>
      <c r="AA189" s="176" t="str">
        <f t="shared" si="20"/>
        <v>Didn't Start</v>
      </c>
      <c r="AB189" s="192">
        <f t="shared" si="17"/>
        <v>1.2903225806451613</v>
      </c>
    </row>
    <row r="190" spans="2:28" x14ac:dyDescent="0.3">
      <c r="B190" t="s">
        <v>3259</v>
      </c>
      <c r="C190" t="s">
        <v>266</v>
      </c>
      <c r="D190" t="s">
        <v>1623</v>
      </c>
      <c r="E190" t="s">
        <v>1623</v>
      </c>
      <c r="F190">
        <v>-6.1</v>
      </c>
      <c r="G190">
        <v>4</v>
      </c>
      <c r="H190">
        <v>2</v>
      </c>
      <c r="I190">
        <v>0</v>
      </c>
      <c r="J190">
        <v>0</v>
      </c>
      <c r="K190">
        <v>0</v>
      </c>
      <c r="L190">
        <v>1</v>
      </c>
      <c r="M190">
        <v>0</v>
      </c>
      <c r="N190">
        <v>15.7</v>
      </c>
      <c r="O190">
        <v>11</v>
      </c>
      <c r="P190">
        <v>2</v>
      </c>
      <c r="Q190">
        <v>0</v>
      </c>
      <c r="R190">
        <v>6</v>
      </c>
      <c r="S190">
        <v>4</v>
      </c>
      <c r="T190">
        <v>1.1499999999999999</v>
      </c>
      <c r="U190">
        <v>3.47</v>
      </c>
      <c r="V190">
        <v>0.96</v>
      </c>
      <c r="W190">
        <v>0.22</v>
      </c>
      <c r="X190">
        <v>1</v>
      </c>
      <c r="Y190">
        <f t="shared" si="18"/>
        <v>1.5</v>
      </c>
      <c r="Z190">
        <f t="shared" si="19"/>
        <v>3</v>
      </c>
      <c r="AA190" s="176">
        <f t="shared" si="20"/>
        <v>0</v>
      </c>
      <c r="AB190" s="192">
        <f t="shared" si="17"/>
        <v>0.38216560509554143</v>
      </c>
    </row>
    <row r="191" spans="2:28" x14ac:dyDescent="0.3">
      <c r="B191" t="s">
        <v>153</v>
      </c>
      <c r="C191" t="s">
        <v>1520</v>
      </c>
      <c r="D191" t="s">
        <v>1623</v>
      </c>
      <c r="E191" t="s">
        <v>1623</v>
      </c>
      <c r="F191">
        <v>-6.2</v>
      </c>
      <c r="G191">
        <v>11</v>
      </c>
      <c r="H191">
        <v>11</v>
      </c>
      <c r="I191">
        <v>1</v>
      </c>
      <c r="J191">
        <v>1</v>
      </c>
      <c r="K191">
        <v>5</v>
      </c>
      <c r="L191">
        <v>0</v>
      </c>
      <c r="M191">
        <v>0</v>
      </c>
      <c r="N191">
        <v>57.3</v>
      </c>
      <c r="O191">
        <v>59</v>
      </c>
      <c r="P191">
        <v>29</v>
      </c>
      <c r="Q191">
        <v>10</v>
      </c>
      <c r="R191">
        <v>41</v>
      </c>
      <c r="S191">
        <v>8</v>
      </c>
      <c r="T191">
        <v>4.55</v>
      </c>
      <c r="U191">
        <v>4.59</v>
      </c>
      <c r="V191">
        <v>1.17</v>
      </c>
      <c r="W191">
        <v>0.28199999999999997</v>
      </c>
      <c r="X191">
        <v>3</v>
      </c>
      <c r="Y191">
        <f t="shared" si="18"/>
        <v>5.125</v>
      </c>
      <c r="Z191">
        <f t="shared" si="19"/>
        <v>3.7272727272727271</v>
      </c>
      <c r="AA191" s="176">
        <f t="shared" si="20"/>
        <v>9.0909090909090912E-2</v>
      </c>
      <c r="AB191" s="192">
        <f t="shared" si="17"/>
        <v>0.71553228621291454</v>
      </c>
    </row>
    <row r="192" spans="2:28" x14ac:dyDescent="0.3">
      <c r="B192" t="s">
        <v>3097</v>
      </c>
      <c r="C192" t="s">
        <v>251</v>
      </c>
      <c r="D192" t="s">
        <v>1623</v>
      </c>
      <c r="E192" t="s">
        <v>1623</v>
      </c>
      <c r="F192">
        <v>-6.2</v>
      </c>
      <c r="G192">
        <v>6</v>
      </c>
      <c r="H192">
        <v>6</v>
      </c>
      <c r="I192">
        <v>2</v>
      </c>
      <c r="J192">
        <v>1</v>
      </c>
      <c r="K192">
        <v>2</v>
      </c>
      <c r="L192">
        <v>0</v>
      </c>
      <c r="M192">
        <v>0</v>
      </c>
      <c r="N192">
        <v>32.700000000000003</v>
      </c>
      <c r="O192">
        <v>38</v>
      </c>
      <c r="P192">
        <v>12</v>
      </c>
      <c r="Q192">
        <v>3</v>
      </c>
      <c r="R192">
        <v>33</v>
      </c>
      <c r="S192">
        <v>9</v>
      </c>
      <c r="T192">
        <v>3.31</v>
      </c>
      <c r="U192">
        <v>3.28</v>
      </c>
      <c r="V192">
        <v>1.44</v>
      </c>
      <c r="W192">
        <v>0.34300000000000003</v>
      </c>
      <c r="X192">
        <v>100</v>
      </c>
      <c r="Y192">
        <f t="shared" si="18"/>
        <v>3.6666666666666665</v>
      </c>
      <c r="Z192">
        <f t="shared" si="19"/>
        <v>5.5</v>
      </c>
      <c r="AA192" s="176">
        <f t="shared" si="20"/>
        <v>0.16666666666666666</v>
      </c>
      <c r="AB192" s="192">
        <f t="shared" si="17"/>
        <v>1.0091743119266054</v>
      </c>
    </row>
    <row r="193" spans="2:28" x14ac:dyDescent="0.3">
      <c r="B193" t="s">
        <v>816</v>
      </c>
      <c r="C193" t="s">
        <v>246</v>
      </c>
      <c r="D193" t="s">
        <v>1623</v>
      </c>
      <c r="E193" t="s">
        <v>1623</v>
      </c>
      <c r="F193">
        <v>-6.4</v>
      </c>
      <c r="G193">
        <v>4</v>
      </c>
      <c r="H193">
        <v>4</v>
      </c>
      <c r="I193">
        <v>1</v>
      </c>
      <c r="J193">
        <v>1</v>
      </c>
      <c r="K193">
        <v>2</v>
      </c>
      <c r="L193">
        <v>0</v>
      </c>
      <c r="M193">
        <v>0</v>
      </c>
      <c r="N193">
        <v>18</v>
      </c>
      <c r="O193">
        <v>16</v>
      </c>
      <c r="P193">
        <v>8</v>
      </c>
      <c r="Q193">
        <v>2</v>
      </c>
      <c r="R193">
        <v>19</v>
      </c>
      <c r="S193">
        <v>6</v>
      </c>
      <c r="T193">
        <v>4</v>
      </c>
      <c r="U193">
        <v>4.1100000000000003</v>
      </c>
      <c r="V193">
        <v>1.22</v>
      </c>
      <c r="W193">
        <v>0.28599999999999998</v>
      </c>
      <c r="X193">
        <v>20</v>
      </c>
      <c r="Y193">
        <f t="shared" si="18"/>
        <v>3.1666666666666665</v>
      </c>
      <c r="Z193">
        <f t="shared" si="19"/>
        <v>4.75</v>
      </c>
      <c r="AA193" s="176">
        <f t="shared" si="20"/>
        <v>0.25</v>
      </c>
      <c r="AB193" s="192">
        <f t="shared" si="17"/>
        <v>1.0555555555555556</v>
      </c>
    </row>
    <row r="194" spans="2:28" x14ac:dyDescent="0.3">
      <c r="B194" t="s">
        <v>376</v>
      </c>
      <c r="C194" t="s">
        <v>231</v>
      </c>
      <c r="D194" t="s">
        <v>1623</v>
      </c>
      <c r="E194" t="s">
        <v>1623</v>
      </c>
      <c r="F194">
        <v>-6.4</v>
      </c>
      <c r="G194">
        <v>9</v>
      </c>
      <c r="H194">
        <v>9</v>
      </c>
      <c r="I194">
        <v>4</v>
      </c>
      <c r="J194">
        <v>3</v>
      </c>
      <c r="K194">
        <v>4</v>
      </c>
      <c r="L194">
        <v>0</v>
      </c>
      <c r="M194">
        <v>0</v>
      </c>
      <c r="N194">
        <v>50</v>
      </c>
      <c r="O194">
        <v>48</v>
      </c>
      <c r="P194">
        <v>25</v>
      </c>
      <c r="Q194">
        <v>5</v>
      </c>
      <c r="R194">
        <v>35</v>
      </c>
      <c r="S194">
        <v>23</v>
      </c>
      <c r="T194">
        <v>4.5</v>
      </c>
      <c r="U194">
        <v>4.62</v>
      </c>
      <c r="V194">
        <v>1.42</v>
      </c>
      <c r="W194">
        <v>0.28899999999999998</v>
      </c>
      <c r="X194">
        <v>73</v>
      </c>
      <c r="Y194">
        <f t="shared" si="18"/>
        <v>1.5217391304347827</v>
      </c>
      <c r="Z194">
        <f t="shared" si="19"/>
        <v>3.8888888888888888</v>
      </c>
      <c r="AA194" s="176">
        <f t="shared" si="20"/>
        <v>0.33333333333333331</v>
      </c>
      <c r="AB194" s="192">
        <f t="shared" si="17"/>
        <v>0.7</v>
      </c>
    </row>
    <row r="195" spans="2:28" x14ac:dyDescent="0.3">
      <c r="B195" t="s">
        <v>571</v>
      </c>
      <c r="C195" t="s">
        <v>278</v>
      </c>
      <c r="D195" t="s">
        <v>1623</v>
      </c>
      <c r="E195" t="s">
        <v>1623</v>
      </c>
      <c r="F195">
        <v>-6.4</v>
      </c>
      <c r="G195">
        <v>8</v>
      </c>
      <c r="H195">
        <v>8</v>
      </c>
      <c r="I195">
        <v>3</v>
      </c>
      <c r="J195">
        <v>2</v>
      </c>
      <c r="K195">
        <v>1</v>
      </c>
      <c r="L195">
        <v>0</v>
      </c>
      <c r="M195">
        <v>0</v>
      </c>
      <c r="N195">
        <v>37.299999999999997</v>
      </c>
      <c r="O195">
        <v>39</v>
      </c>
      <c r="P195">
        <v>18</v>
      </c>
      <c r="Q195">
        <v>5</v>
      </c>
      <c r="R195">
        <v>32</v>
      </c>
      <c r="S195">
        <v>13</v>
      </c>
      <c r="T195">
        <v>4.34</v>
      </c>
      <c r="U195">
        <v>4.51</v>
      </c>
      <c r="V195">
        <v>1.39</v>
      </c>
      <c r="W195">
        <v>0.312</v>
      </c>
      <c r="X195">
        <v>95</v>
      </c>
      <c r="Y195">
        <f t="shared" si="18"/>
        <v>2.4615384615384617</v>
      </c>
      <c r="Z195">
        <f t="shared" si="19"/>
        <v>4</v>
      </c>
      <c r="AA195" s="176">
        <f t="shared" si="20"/>
        <v>0.25</v>
      </c>
      <c r="AB195" s="192">
        <f t="shared" ref="AB195:AB258" si="21">R195/N195</f>
        <v>0.85790884718498661</v>
      </c>
    </row>
    <row r="196" spans="2:28" x14ac:dyDescent="0.3">
      <c r="B196" t="s">
        <v>3340</v>
      </c>
      <c r="C196" t="s">
        <v>246</v>
      </c>
      <c r="D196" t="s">
        <v>1623</v>
      </c>
      <c r="E196" t="s">
        <v>1623</v>
      </c>
      <c r="F196">
        <v>-6.4</v>
      </c>
      <c r="G196">
        <v>3</v>
      </c>
      <c r="H196">
        <v>3</v>
      </c>
      <c r="I196">
        <v>0</v>
      </c>
      <c r="J196">
        <v>1</v>
      </c>
      <c r="K196">
        <v>1</v>
      </c>
      <c r="L196">
        <v>0</v>
      </c>
      <c r="M196">
        <v>0</v>
      </c>
      <c r="N196">
        <v>14</v>
      </c>
      <c r="O196">
        <v>11</v>
      </c>
      <c r="P196">
        <v>6</v>
      </c>
      <c r="Q196">
        <v>3</v>
      </c>
      <c r="R196">
        <v>16</v>
      </c>
      <c r="S196">
        <v>6</v>
      </c>
      <c r="T196">
        <v>3.86</v>
      </c>
      <c r="U196">
        <v>5.0599999999999996</v>
      </c>
      <c r="V196">
        <v>1.21</v>
      </c>
      <c r="W196">
        <v>0.216</v>
      </c>
      <c r="X196">
        <v>100</v>
      </c>
      <c r="Y196">
        <f t="shared" si="18"/>
        <v>2.6666666666666665</v>
      </c>
      <c r="Z196">
        <f t="shared" si="19"/>
        <v>5.333333333333333</v>
      </c>
      <c r="AA196" s="176">
        <f t="shared" si="20"/>
        <v>0.33333333333333331</v>
      </c>
      <c r="AB196" s="192">
        <f t="shared" si="21"/>
        <v>1.1428571428571428</v>
      </c>
    </row>
    <row r="197" spans="2:28" x14ac:dyDescent="0.3">
      <c r="B197" t="s">
        <v>340</v>
      </c>
      <c r="C197" t="s">
        <v>266</v>
      </c>
      <c r="D197" t="s">
        <v>1624</v>
      </c>
      <c r="E197" t="s">
        <v>1624</v>
      </c>
      <c r="F197">
        <v>-6.5</v>
      </c>
      <c r="G197">
        <v>21</v>
      </c>
      <c r="H197">
        <v>0</v>
      </c>
      <c r="I197">
        <v>0</v>
      </c>
      <c r="J197">
        <v>0</v>
      </c>
      <c r="K197">
        <v>1</v>
      </c>
      <c r="L197">
        <v>10</v>
      </c>
      <c r="M197">
        <v>0</v>
      </c>
      <c r="N197">
        <v>20</v>
      </c>
      <c r="O197">
        <v>22</v>
      </c>
      <c r="P197">
        <v>11</v>
      </c>
      <c r="Q197">
        <v>3</v>
      </c>
      <c r="R197">
        <v>27</v>
      </c>
      <c r="S197">
        <v>12</v>
      </c>
      <c r="T197">
        <v>4.95</v>
      </c>
      <c r="U197">
        <v>4.33</v>
      </c>
      <c r="V197">
        <v>1.7</v>
      </c>
      <c r="W197">
        <v>0.373</v>
      </c>
      <c r="X197">
        <v>97</v>
      </c>
      <c r="Y197">
        <f t="shared" si="18"/>
        <v>2.25</v>
      </c>
      <c r="Z197" t="str">
        <f t="shared" si="19"/>
        <v>STELLAR</v>
      </c>
      <c r="AA197" s="176" t="str">
        <f t="shared" si="20"/>
        <v>Didn't Start</v>
      </c>
      <c r="AB197" s="192">
        <f t="shared" si="21"/>
        <v>1.35</v>
      </c>
    </row>
    <row r="198" spans="2:28" x14ac:dyDescent="0.3">
      <c r="B198" t="s">
        <v>351</v>
      </c>
      <c r="C198" t="s">
        <v>255</v>
      </c>
      <c r="D198" t="s">
        <v>1623</v>
      </c>
      <c r="E198" t="s">
        <v>1623</v>
      </c>
      <c r="F198">
        <v>-6.5</v>
      </c>
      <c r="G198">
        <v>10</v>
      </c>
      <c r="H198">
        <v>10</v>
      </c>
      <c r="I198">
        <v>5</v>
      </c>
      <c r="J198">
        <v>2</v>
      </c>
      <c r="K198">
        <v>6</v>
      </c>
      <c r="L198">
        <v>0</v>
      </c>
      <c r="M198">
        <v>0</v>
      </c>
      <c r="N198">
        <v>55.3</v>
      </c>
      <c r="O198">
        <v>62</v>
      </c>
      <c r="P198">
        <v>28</v>
      </c>
      <c r="Q198">
        <v>7</v>
      </c>
      <c r="R198">
        <v>52</v>
      </c>
      <c r="S198">
        <v>16</v>
      </c>
      <c r="T198">
        <v>4.55</v>
      </c>
      <c r="U198">
        <v>4.0199999999999996</v>
      </c>
      <c r="V198">
        <v>1.41</v>
      </c>
      <c r="W198">
        <v>0.32200000000000001</v>
      </c>
      <c r="X198">
        <v>100</v>
      </c>
      <c r="Y198">
        <f t="shared" si="18"/>
        <v>3.25</v>
      </c>
      <c r="Z198">
        <f t="shared" si="19"/>
        <v>5.2</v>
      </c>
      <c r="AA198" s="176">
        <f t="shared" si="20"/>
        <v>0.2</v>
      </c>
      <c r="AB198" s="192">
        <f t="shared" si="21"/>
        <v>0.94032549728752268</v>
      </c>
    </row>
    <row r="199" spans="2:28" x14ac:dyDescent="0.3">
      <c r="B199" t="s">
        <v>3171</v>
      </c>
      <c r="C199" t="s">
        <v>244</v>
      </c>
      <c r="D199" t="s">
        <v>1623</v>
      </c>
      <c r="E199" t="s">
        <v>1623</v>
      </c>
      <c r="F199">
        <v>-6.5</v>
      </c>
      <c r="G199">
        <v>1</v>
      </c>
      <c r="H199">
        <v>1</v>
      </c>
      <c r="I199">
        <v>1</v>
      </c>
      <c r="J199">
        <v>0</v>
      </c>
      <c r="K199">
        <v>0</v>
      </c>
      <c r="L199">
        <v>0</v>
      </c>
      <c r="M199">
        <v>0</v>
      </c>
      <c r="N199">
        <v>6.7</v>
      </c>
      <c r="O199">
        <v>1</v>
      </c>
      <c r="P199">
        <v>0</v>
      </c>
      <c r="Q199">
        <v>0</v>
      </c>
      <c r="R199">
        <v>2</v>
      </c>
      <c r="S199">
        <v>1</v>
      </c>
      <c r="T199">
        <v>0</v>
      </c>
      <c r="U199">
        <v>3.13</v>
      </c>
      <c r="V199">
        <v>0.3</v>
      </c>
      <c r="W199">
        <v>5.2999999999999999E-2</v>
      </c>
      <c r="X199">
        <v>0</v>
      </c>
      <c r="Y199">
        <f t="shared" si="18"/>
        <v>2</v>
      </c>
      <c r="Z199">
        <f t="shared" si="19"/>
        <v>2</v>
      </c>
      <c r="AA199" s="176">
        <f t="shared" si="20"/>
        <v>0</v>
      </c>
      <c r="AB199" s="192">
        <f t="shared" si="21"/>
        <v>0.29850746268656714</v>
      </c>
    </row>
    <row r="200" spans="2:28" x14ac:dyDescent="0.3">
      <c r="B200" t="s">
        <v>610</v>
      </c>
      <c r="C200" t="s">
        <v>1521</v>
      </c>
      <c r="D200" t="s">
        <v>1624</v>
      </c>
      <c r="E200" t="s">
        <v>1624</v>
      </c>
      <c r="F200">
        <v>-6.6</v>
      </c>
      <c r="G200">
        <v>21</v>
      </c>
      <c r="H200">
        <v>0</v>
      </c>
      <c r="I200">
        <v>0</v>
      </c>
      <c r="J200">
        <v>0</v>
      </c>
      <c r="K200">
        <v>4</v>
      </c>
      <c r="L200">
        <v>2</v>
      </c>
      <c r="M200">
        <v>9</v>
      </c>
      <c r="N200">
        <v>25</v>
      </c>
      <c r="O200">
        <v>17</v>
      </c>
      <c r="P200">
        <v>6</v>
      </c>
      <c r="Q200">
        <v>2</v>
      </c>
      <c r="R200">
        <v>20</v>
      </c>
      <c r="S200">
        <v>9</v>
      </c>
      <c r="T200">
        <v>2.16</v>
      </c>
      <c r="U200">
        <v>3.8</v>
      </c>
      <c r="V200">
        <v>1.04</v>
      </c>
      <c r="W200">
        <v>0.224</v>
      </c>
      <c r="X200">
        <v>1</v>
      </c>
      <c r="Y200">
        <f t="shared" si="18"/>
        <v>2.2222222222222223</v>
      </c>
      <c r="Z200" t="str">
        <f t="shared" si="19"/>
        <v>STELLAR</v>
      </c>
      <c r="AA200" s="176" t="str">
        <f t="shared" si="20"/>
        <v>Didn't Start</v>
      </c>
      <c r="AB200" s="192">
        <f t="shared" si="21"/>
        <v>0.8</v>
      </c>
    </row>
    <row r="201" spans="2:28" x14ac:dyDescent="0.3">
      <c r="B201" t="s">
        <v>3341</v>
      </c>
      <c r="C201" t="s">
        <v>226</v>
      </c>
      <c r="D201" t="s">
        <v>1623</v>
      </c>
      <c r="E201" t="s">
        <v>1623</v>
      </c>
      <c r="F201">
        <v>-6.6</v>
      </c>
      <c r="G201">
        <v>1</v>
      </c>
      <c r="H201">
        <v>1</v>
      </c>
      <c r="I201">
        <v>0</v>
      </c>
      <c r="J201">
        <v>1</v>
      </c>
      <c r="K201">
        <v>0</v>
      </c>
      <c r="L201">
        <v>0</v>
      </c>
      <c r="M201">
        <v>0</v>
      </c>
      <c r="N201">
        <v>5</v>
      </c>
      <c r="O201">
        <v>4</v>
      </c>
      <c r="P201">
        <v>1</v>
      </c>
      <c r="Q201">
        <v>0</v>
      </c>
      <c r="R201">
        <v>5</v>
      </c>
      <c r="S201">
        <v>1</v>
      </c>
      <c r="T201">
        <v>1.8</v>
      </c>
      <c r="U201">
        <v>1.88</v>
      </c>
      <c r="V201">
        <v>1</v>
      </c>
      <c r="W201">
        <v>0.28599999999999998</v>
      </c>
      <c r="X201">
        <v>1</v>
      </c>
      <c r="Y201">
        <f t="shared" si="18"/>
        <v>5</v>
      </c>
      <c r="Z201">
        <f t="shared" si="19"/>
        <v>5</v>
      </c>
      <c r="AA201" s="176">
        <f t="shared" si="20"/>
        <v>1</v>
      </c>
      <c r="AB201" s="192">
        <f t="shared" si="21"/>
        <v>1</v>
      </c>
    </row>
    <row r="202" spans="2:28" x14ac:dyDescent="0.3">
      <c r="B202" t="s">
        <v>491</v>
      </c>
      <c r="C202" t="s">
        <v>325</v>
      </c>
      <c r="D202" t="s">
        <v>1624</v>
      </c>
      <c r="E202" t="s">
        <v>1624</v>
      </c>
      <c r="F202">
        <v>-6.7</v>
      </c>
      <c r="G202">
        <v>19</v>
      </c>
      <c r="H202">
        <v>0</v>
      </c>
      <c r="I202">
        <v>0</v>
      </c>
      <c r="J202">
        <v>2</v>
      </c>
      <c r="K202">
        <v>1</v>
      </c>
      <c r="L202">
        <v>1</v>
      </c>
      <c r="M202">
        <v>1</v>
      </c>
      <c r="N202">
        <v>18</v>
      </c>
      <c r="O202">
        <v>18</v>
      </c>
      <c r="P202">
        <v>5</v>
      </c>
      <c r="Q202">
        <v>1</v>
      </c>
      <c r="R202">
        <v>23</v>
      </c>
      <c r="S202">
        <v>10</v>
      </c>
      <c r="T202">
        <v>2.5</v>
      </c>
      <c r="U202">
        <v>3.11</v>
      </c>
      <c r="V202">
        <v>1.56</v>
      </c>
      <c r="W202">
        <v>0.378</v>
      </c>
      <c r="X202">
        <v>2</v>
      </c>
      <c r="Y202">
        <f t="shared" si="18"/>
        <v>2.2999999999999998</v>
      </c>
      <c r="Z202" t="str">
        <f t="shared" si="19"/>
        <v>STELLAR</v>
      </c>
      <c r="AA202" s="176" t="str">
        <f t="shared" si="20"/>
        <v>Didn't Start</v>
      </c>
      <c r="AB202" s="192">
        <f t="shared" si="21"/>
        <v>1.2777777777777777</v>
      </c>
    </row>
    <row r="203" spans="2:28" x14ac:dyDescent="0.3">
      <c r="B203" t="s">
        <v>1592</v>
      </c>
      <c r="C203" t="s">
        <v>270</v>
      </c>
      <c r="D203" t="s">
        <v>1624</v>
      </c>
      <c r="E203" t="s">
        <v>1624</v>
      </c>
      <c r="F203">
        <v>-6.8</v>
      </c>
      <c r="G203">
        <v>9</v>
      </c>
      <c r="H203">
        <v>0</v>
      </c>
      <c r="I203">
        <v>0</v>
      </c>
      <c r="J203">
        <v>1</v>
      </c>
      <c r="K203">
        <v>1</v>
      </c>
      <c r="L203">
        <v>1</v>
      </c>
      <c r="M203">
        <v>0</v>
      </c>
      <c r="N203">
        <v>16.7</v>
      </c>
      <c r="O203">
        <v>12</v>
      </c>
      <c r="P203">
        <v>3</v>
      </c>
      <c r="Q203">
        <v>1</v>
      </c>
      <c r="R203">
        <v>10</v>
      </c>
      <c r="S203">
        <v>4</v>
      </c>
      <c r="T203">
        <v>1.62</v>
      </c>
      <c r="U203">
        <v>3.76</v>
      </c>
      <c r="V203">
        <v>0.96</v>
      </c>
      <c r="W203">
        <v>0.216</v>
      </c>
      <c r="X203">
        <v>0</v>
      </c>
      <c r="Y203">
        <f t="shared" si="18"/>
        <v>2.5</v>
      </c>
      <c r="Z203" t="str">
        <f t="shared" si="19"/>
        <v>STELLAR</v>
      </c>
      <c r="AA203" s="176" t="str">
        <f t="shared" si="20"/>
        <v>Didn't Start</v>
      </c>
      <c r="AB203" s="192">
        <f t="shared" si="21"/>
        <v>0.5988023952095809</v>
      </c>
    </row>
    <row r="204" spans="2:28" x14ac:dyDescent="0.3">
      <c r="B204" t="s">
        <v>196</v>
      </c>
      <c r="C204" t="s">
        <v>1524</v>
      </c>
      <c r="D204" t="s">
        <v>1623</v>
      </c>
      <c r="E204" t="s">
        <v>1623</v>
      </c>
      <c r="F204">
        <v>-6.9</v>
      </c>
      <c r="G204">
        <v>10</v>
      </c>
      <c r="H204">
        <v>10</v>
      </c>
      <c r="I204">
        <v>6</v>
      </c>
      <c r="J204">
        <v>3</v>
      </c>
      <c r="K204">
        <v>5</v>
      </c>
      <c r="L204">
        <v>0</v>
      </c>
      <c r="M204">
        <v>0</v>
      </c>
      <c r="N204">
        <v>56.3</v>
      </c>
      <c r="O204">
        <v>68</v>
      </c>
      <c r="P204">
        <v>28</v>
      </c>
      <c r="Q204">
        <v>8</v>
      </c>
      <c r="R204">
        <v>34</v>
      </c>
      <c r="S204">
        <v>10</v>
      </c>
      <c r="T204">
        <v>4.47</v>
      </c>
      <c r="U204">
        <v>4.45</v>
      </c>
      <c r="V204">
        <v>1.38</v>
      </c>
      <c r="W204">
        <v>0.308</v>
      </c>
      <c r="X204">
        <v>6</v>
      </c>
      <c r="Y204">
        <f t="shared" si="18"/>
        <v>3.4</v>
      </c>
      <c r="Z204">
        <f t="shared" si="19"/>
        <v>3.4</v>
      </c>
      <c r="AA204" s="176">
        <f t="shared" si="20"/>
        <v>0.3</v>
      </c>
      <c r="AB204" s="192">
        <f t="shared" si="21"/>
        <v>0.60390763765541744</v>
      </c>
    </row>
    <row r="205" spans="2:28" x14ac:dyDescent="0.3">
      <c r="B205" t="s">
        <v>487</v>
      </c>
      <c r="C205" t="s">
        <v>239</v>
      </c>
      <c r="D205" t="s">
        <v>1624</v>
      </c>
      <c r="E205" t="s">
        <v>1624</v>
      </c>
      <c r="F205">
        <v>-6.9</v>
      </c>
      <c r="G205">
        <v>23</v>
      </c>
      <c r="H205">
        <v>0</v>
      </c>
      <c r="I205">
        <v>0</v>
      </c>
      <c r="J205">
        <v>2</v>
      </c>
      <c r="K205">
        <v>3</v>
      </c>
      <c r="L205">
        <v>0</v>
      </c>
      <c r="M205">
        <v>12</v>
      </c>
      <c r="N205">
        <v>22</v>
      </c>
      <c r="O205">
        <v>20</v>
      </c>
      <c r="P205">
        <v>9</v>
      </c>
      <c r="Q205">
        <v>0</v>
      </c>
      <c r="R205">
        <v>20</v>
      </c>
      <c r="S205">
        <v>5</v>
      </c>
      <c r="T205">
        <v>3.68</v>
      </c>
      <c r="U205">
        <v>2.82</v>
      </c>
      <c r="V205">
        <v>1.1399999999999999</v>
      </c>
      <c r="W205">
        <v>0.29899999999999999</v>
      </c>
      <c r="X205">
        <v>0</v>
      </c>
      <c r="Y205">
        <f t="shared" si="18"/>
        <v>4</v>
      </c>
      <c r="Z205" t="str">
        <f t="shared" si="19"/>
        <v>STELLAR</v>
      </c>
      <c r="AA205" s="176" t="str">
        <f t="shared" si="20"/>
        <v>Didn't Start</v>
      </c>
      <c r="AB205" s="192">
        <f t="shared" si="21"/>
        <v>0.90909090909090906</v>
      </c>
    </row>
    <row r="206" spans="2:28" x14ac:dyDescent="0.3">
      <c r="B206" t="s">
        <v>661</v>
      </c>
      <c r="C206" t="s">
        <v>246</v>
      </c>
      <c r="D206" t="s">
        <v>1623</v>
      </c>
      <c r="E206" t="s">
        <v>1623</v>
      </c>
      <c r="F206">
        <v>-7.1</v>
      </c>
      <c r="G206">
        <v>21</v>
      </c>
      <c r="H206">
        <v>1</v>
      </c>
      <c r="I206">
        <v>0</v>
      </c>
      <c r="J206">
        <v>1</v>
      </c>
      <c r="K206">
        <v>0</v>
      </c>
      <c r="L206">
        <v>0</v>
      </c>
      <c r="M206">
        <v>2</v>
      </c>
      <c r="N206">
        <v>20.3</v>
      </c>
      <c r="O206">
        <v>20</v>
      </c>
      <c r="P206">
        <v>8</v>
      </c>
      <c r="Q206">
        <v>2</v>
      </c>
      <c r="R206">
        <v>18</v>
      </c>
      <c r="S206">
        <v>7</v>
      </c>
      <c r="T206">
        <v>3.54</v>
      </c>
      <c r="U206">
        <v>3.97</v>
      </c>
      <c r="V206">
        <v>1.33</v>
      </c>
      <c r="W206">
        <v>0.3</v>
      </c>
      <c r="X206">
        <v>0</v>
      </c>
      <c r="Y206">
        <f t="shared" si="18"/>
        <v>2.5714285714285716</v>
      </c>
      <c r="Z206">
        <f t="shared" si="19"/>
        <v>18</v>
      </c>
      <c r="AA206" s="176">
        <f t="shared" si="20"/>
        <v>1</v>
      </c>
      <c r="AB206" s="192">
        <f t="shared" si="21"/>
        <v>0.88669950738916248</v>
      </c>
    </row>
    <row r="207" spans="2:28" x14ac:dyDescent="0.3">
      <c r="B207" t="s">
        <v>1627</v>
      </c>
      <c r="C207" t="s">
        <v>1523</v>
      </c>
      <c r="D207" t="s">
        <v>1624</v>
      </c>
      <c r="E207" t="s">
        <v>1624</v>
      </c>
      <c r="F207">
        <v>-7.1</v>
      </c>
      <c r="G207">
        <v>18</v>
      </c>
      <c r="H207">
        <v>0</v>
      </c>
      <c r="I207">
        <v>0</v>
      </c>
      <c r="J207">
        <v>2</v>
      </c>
      <c r="K207">
        <v>2</v>
      </c>
      <c r="L207">
        <v>0</v>
      </c>
      <c r="M207">
        <v>3</v>
      </c>
      <c r="N207">
        <v>25.7</v>
      </c>
      <c r="O207">
        <v>21</v>
      </c>
      <c r="P207">
        <v>10</v>
      </c>
      <c r="Q207">
        <v>4</v>
      </c>
      <c r="R207">
        <v>22</v>
      </c>
      <c r="S207">
        <v>10</v>
      </c>
      <c r="T207">
        <v>3.51</v>
      </c>
      <c r="U207">
        <v>4.88</v>
      </c>
      <c r="V207">
        <v>1.21</v>
      </c>
      <c r="W207">
        <v>0.24299999999999999</v>
      </c>
      <c r="X207">
        <v>0</v>
      </c>
      <c r="Y207">
        <f t="shared" si="18"/>
        <v>2.2000000000000002</v>
      </c>
      <c r="Z207" t="str">
        <f t="shared" si="19"/>
        <v>STELLAR</v>
      </c>
      <c r="AA207" s="176" t="str">
        <f t="shared" si="20"/>
        <v>Didn't Start</v>
      </c>
      <c r="AB207" s="192">
        <f t="shared" si="21"/>
        <v>0.85603112840466933</v>
      </c>
    </row>
    <row r="208" spans="2:28" x14ac:dyDescent="0.3">
      <c r="B208" t="s">
        <v>534</v>
      </c>
      <c r="C208" t="s">
        <v>325</v>
      </c>
      <c r="D208" t="s">
        <v>1623</v>
      </c>
      <c r="E208" t="s">
        <v>1623</v>
      </c>
      <c r="F208">
        <v>-7.2</v>
      </c>
      <c r="G208">
        <v>9</v>
      </c>
      <c r="H208">
        <v>9</v>
      </c>
      <c r="I208">
        <v>3</v>
      </c>
      <c r="J208">
        <v>0</v>
      </c>
      <c r="K208">
        <v>3</v>
      </c>
      <c r="L208">
        <v>0</v>
      </c>
      <c r="M208">
        <v>0</v>
      </c>
      <c r="N208">
        <v>48.7</v>
      </c>
      <c r="O208">
        <v>46</v>
      </c>
      <c r="P208">
        <v>27</v>
      </c>
      <c r="Q208">
        <v>11</v>
      </c>
      <c r="R208">
        <v>51</v>
      </c>
      <c r="S208">
        <v>10</v>
      </c>
      <c r="T208">
        <v>4.99</v>
      </c>
      <c r="U208">
        <v>4.9800000000000004</v>
      </c>
      <c r="V208">
        <v>1.1499999999999999</v>
      </c>
      <c r="W208">
        <v>0.27800000000000002</v>
      </c>
      <c r="X208">
        <v>37</v>
      </c>
      <c r="Y208">
        <f t="shared" si="18"/>
        <v>5.0999999999999996</v>
      </c>
      <c r="Z208">
        <f t="shared" si="19"/>
        <v>5.666666666666667</v>
      </c>
      <c r="AA208" s="176">
        <f t="shared" si="20"/>
        <v>0</v>
      </c>
      <c r="AB208" s="192">
        <f t="shared" si="21"/>
        <v>1.0472279260780286</v>
      </c>
    </row>
    <row r="209" spans="2:28" x14ac:dyDescent="0.3">
      <c r="B209" t="s">
        <v>3178</v>
      </c>
      <c r="C209" t="s">
        <v>1523</v>
      </c>
      <c r="D209" t="s">
        <v>1624</v>
      </c>
      <c r="E209" t="s">
        <v>1624</v>
      </c>
      <c r="F209">
        <v>-7.3</v>
      </c>
      <c r="G209">
        <v>9</v>
      </c>
      <c r="H209">
        <v>0</v>
      </c>
      <c r="I209">
        <v>0</v>
      </c>
      <c r="J209">
        <v>1</v>
      </c>
      <c r="K209">
        <v>0</v>
      </c>
      <c r="L209">
        <v>0</v>
      </c>
      <c r="M209">
        <v>0</v>
      </c>
      <c r="N209">
        <v>9</v>
      </c>
      <c r="O209">
        <v>4</v>
      </c>
      <c r="P209">
        <v>0</v>
      </c>
      <c r="Q209">
        <v>0</v>
      </c>
      <c r="R209">
        <v>8</v>
      </c>
      <c r="S209">
        <v>1</v>
      </c>
      <c r="T209">
        <v>0</v>
      </c>
      <c r="U209">
        <v>1.83</v>
      </c>
      <c r="V209">
        <v>0.56000000000000005</v>
      </c>
      <c r="W209">
        <v>0.16700000000000001</v>
      </c>
      <c r="X209">
        <v>0</v>
      </c>
      <c r="Y209">
        <f t="shared" si="18"/>
        <v>8</v>
      </c>
      <c r="Z209" t="str">
        <f t="shared" si="19"/>
        <v>STELLAR</v>
      </c>
      <c r="AA209" s="176" t="str">
        <f t="shared" si="20"/>
        <v>Didn't Start</v>
      </c>
      <c r="AB209" s="192">
        <f t="shared" si="21"/>
        <v>0.88888888888888884</v>
      </c>
    </row>
    <row r="210" spans="2:28" x14ac:dyDescent="0.3">
      <c r="B210" t="s">
        <v>513</v>
      </c>
      <c r="C210" t="s">
        <v>1522</v>
      </c>
      <c r="D210" t="s">
        <v>1624</v>
      </c>
      <c r="E210" t="s">
        <v>1624</v>
      </c>
      <c r="F210">
        <v>-7.4</v>
      </c>
      <c r="G210">
        <v>20</v>
      </c>
      <c r="H210">
        <v>0</v>
      </c>
      <c r="I210">
        <v>0</v>
      </c>
      <c r="J210">
        <v>3</v>
      </c>
      <c r="K210">
        <v>1</v>
      </c>
      <c r="L210">
        <v>2</v>
      </c>
      <c r="M210">
        <v>5</v>
      </c>
      <c r="N210">
        <v>24.3</v>
      </c>
      <c r="O210">
        <v>30</v>
      </c>
      <c r="P210">
        <v>12</v>
      </c>
      <c r="Q210">
        <v>0</v>
      </c>
      <c r="R210">
        <v>18</v>
      </c>
      <c r="S210">
        <v>6</v>
      </c>
      <c r="T210">
        <v>4.4400000000000004</v>
      </c>
      <c r="U210">
        <v>2.91</v>
      </c>
      <c r="V210">
        <v>1.48</v>
      </c>
      <c r="W210">
        <v>0.37</v>
      </c>
      <c r="X210">
        <v>0</v>
      </c>
      <c r="Y210">
        <f t="shared" si="18"/>
        <v>3</v>
      </c>
      <c r="Z210" t="str">
        <f t="shared" si="19"/>
        <v>STELLAR</v>
      </c>
      <c r="AA210" s="176" t="str">
        <f t="shared" si="20"/>
        <v>Didn't Start</v>
      </c>
      <c r="AB210" s="192">
        <f t="shared" si="21"/>
        <v>0.7407407407407407</v>
      </c>
    </row>
    <row r="211" spans="2:28" x14ac:dyDescent="0.3">
      <c r="B211" t="s">
        <v>1650</v>
      </c>
      <c r="C211" t="s">
        <v>346</v>
      </c>
      <c r="D211" t="s">
        <v>1624</v>
      </c>
      <c r="E211" t="s">
        <v>1624</v>
      </c>
      <c r="F211">
        <v>-7.5</v>
      </c>
      <c r="G211">
        <v>20</v>
      </c>
      <c r="H211">
        <v>0</v>
      </c>
      <c r="I211">
        <v>0</v>
      </c>
      <c r="J211">
        <v>2</v>
      </c>
      <c r="K211">
        <v>0</v>
      </c>
      <c r="L211">
        <v>1</v>
      </c>
      <c r="M211">
        <v>4</v>
      </c>
      <c r="N211">
        <v>18</v>
      </c>
      <c r="O211">
        <v>19</v>
      </c>
      <c r="P211">
        <v>5</v>
      </c>
      <c r="Q211">
        <v>3</v>
      </c>
      <c r="R211">
        <v>18</v>
      </c>
      <c r="S211">
        <v>8</v>
      </c>
      <c r="T211">
        <v>2.5</v>
      </c>
      <c r="U211">
        <v>5.1100000000000003</v>
      </c>
      <c r="V211">
        <v>1.5</v>
      </c>
      <c r="W211">
        <v>0.314</v>
      </c>
      <c r="X211">
        <v>0</v>
      </c>
      <c r="Y211">
        <f t="shared" si="18"/>
        <v>2.25</v>
      </c>
      <c r="Z211" t="str">
        <f t="shared" si="19"/>
        <v>STELLAR</v>
      </c>
      <c r="AA211" s="176" t="str">
        <f t="shared" si="20"/>
        <v>Didn't Start</v>
      </c>
      <c r="AB211" s="192">
        <f t="shared" si="21"/>
        <v>1</v>
      </c>
    </row>
    <row r="212" spans="2:28" x14ac:dyDescent="0.3">
      <c r="B212" t="s">
        <v>950</v>
      </c>
      <c r="C212" t="s">
        <v>231</v>
      </c>
      <c r="D212" t="s">
        <v>1623</v>
      </c>
      <c r="E212" t="s">
        <v>1623</v>
      </c>
      <c r="F212">
        <v>-7.5</v>
      </c>
      <c r="G212">
        <v>10</v>
      </c>
      <c r="H212">
        <v>10</v>
      </c>
      <c r="I212">
        <v>4</v>
      </c>
      <c r="J212">
        <v>3</v>
      </c>
      <c r="K212">
        <v>4</v>
      </c>
      <c r="L212">
        <v>0</v>
      </c>
      <c r="M212">
        <v>0</v>
      </c>
      <c r="N212">
        <v>53.7</v>
      </c>
      <c r="O212">
        <v>57</v>
      </c>
      <c r="P212">
        <v>28</v>
      </c>
      <c r="Q212">
        <v>5</v>
      </c>
      <c r="R212">
        <v>48</v>
      </c>
      <c r="S212">
        <v>25</v>
      </c>
      <c r="T212">
        <v>4.7</v>
      </c>
      <c r="U212">
        <v>4.0999999999999996</v>
      </c>
      <c r="V212">
        <v>1.53</v>
      </c>
      <c r="W212">
        <v>0.308</v>
      </c>
      <c r="X212">
        <v>34</v>
      </c>
      <c r="Y212">
        <f t="shared" si="18"/>
        <v>1.92</v>
      </c>
      <c r="Z212">
        <f t="shared" si="19"/>
        <v>4.8</v>
      </c>
      <c r="AA212" s="176">
        <f t="shared" si="20"/>
        <v>0.3</v>
      </c>
      <c r="AB212" s="192">
        <f t="shared" si="21"/>
        <v>0.8938547486033519</v>
      </c>
    </row>
    <row r="213" spans="2:28" x14ac:dyDescent="0.3">
      <c r="B213" t="s">
        <v>342</v>
      </c>
      <c r="C213" t="s">
        <v>1523</v>
      </c>
      <c r="D213" t="s">
        <v>1623</v>
      </c>
      <c r="E213" t="s">
        <v>1623</v>
      </c>
      <c r="F213">
        <v>-7.5</v>
      </c>
      <c r="G213">
        <v>7</v>
      </c>
      <c r="H213">
        <v>5</v>
      </c>
      <c r="I213">
        <v>1</v>
      </c>
      <c r="J213">
        <v>1</v>
      </c>
      <c r="K213">
        <v>3</v>
      </c>
      <c r="L213">
        <v>0</v>
      </c>
      <c r="M213">
        <v>1</v>
      </c>
      <c r="N213">
        <v>29.7</v>
      </c>
      <c r="O213">
        <v>25</v>
      </c>
      <c r="P213">
        <v>13</v>
      </c>
      <c r="Q213">
        <v>2</v>
      </c>
      <c r="R213">
        <v>18</v>
      </c>
      <c r="S213">
        <v>11</v>
      </c>
      <c r="T213">
        <v>3.94</v>
      </c>
      <c r="U213">
        <v>4.1500000000000004</v>
      </c>
      <c r="V213">
        <v>1.21</v>
      </c>
      <c r="W213">
        <v>0.26700000000000002</v>
      </c>
      <c r="X213">
        <v>2</v>
      </c>
      <c r="Y213">
        <f t="shared" si="18"/>
        <v>1.6363636363636365</v>
      </c>
      <c r="Z213">
        <f t="shared" si="19"/>
        <v>3.6</v>
      </c>
      <c r="AA213" s="176">
        <f t="shared" si="20"/>
        <v>0.2</v>
      </c>
      <c r="AB213" s="192">
        <f t="shared" si="21"/>
        <v>0.60606060606060608</v>
      </c>
    </row>
    <row r="214" spans="2:28" x14ac:dyDescent="0.3">
      <c r="B214" t="s">
        <v>2200</v>
      </c>
      <c r="C214" t="s">
        <v>346</v>
      </c>
      <c r="D214" t="s">
        <v>1624</v>
      </c>
      <c r="E214" t="s">
        <v>1624</v>
      </c>
      <c r="F214">
        <v>-7.6</v>
      </c>
      <c r="G214">
        <v>13</v>
      </c>
      <c r="H214">
        <v>0</v>
      </c>
      <c r="I214">
        <v>0</v>
      </c>
      <c r="J214">
        <v>0</v>
      </c>
      <c r="K214">
        <v>0</v>
      </c>
      <c r="L214">
        <v>0</v>
      </c>
      <c r="M214">
        <v>1</v>
      </c>
      <c r="N214">
        <v>24.3</v>
      </c>
      <c r="O214">
        <v>16</v>
      </c>
      <c r="P214">
        <v>6</v>
      </c>
      <c r="Q214">
        <v>2</v>
      </c>
      <c r="R214">
        <v>17</v>
      </c>
      <c r="S214">
        <v>4</v>
      </c>
      <c r="T214">
        <v>2.2200000000000002</v>
      </c>
      <c r="U214">
        <v>3.57</v>
      </c>
      <c r="V214">
        <v>0.82</v>
      </c>
      <c r="W214">
        <v>0.2</v>
      </c>
      <c r="X214">
        <v>0</v>
      </c>
      <c r="Y214">
        <f t="shared" si="18"/>
        <v>4.25</v>
      </c>
      <c r="Z214" t="str">
        <f t="shared" si="19"/>
        <v>STELLAR</v>
      </c>
      <c r="AA214" s="176" t="str">
        <f t="shared" si="20"/>
        <v>Didn't Start</v>
      </c>
      <c r="AB214" s="192">
        <f t="shared" si="21"/>
        <v>0.69958847736625507</v>
      </c>
    </row>
    <row r="215" spans="2:28" x14ac:dyDescent="0.3">
      <c r="B215" t="s">
        <v>3342</v>
      </c>
      <c r="C215" t="s">
        <v>255</v>
      </c>
      <c r="D215" t="s">
        <v>1623</v>
      </c>
      <c r="E215" t="s">
        <v>1623</v>
      </c>
      <c r="F215">
        <v>-7.6</v>
      </c>
      <c r="G215">
        <v>2</v>
      </c>
      <c r="H215">
        <v>1</v>
      </c>
      <c r="I215">
        <v>0</v>
      </c>
      <c r="J215">
        <v>1</v>
      </c>
      <c r="K215">
        <v>0</v>
      </c>
      <c r="L215">
        <v>0</v>
      </c>
      <c r="M215">
        <v>0</v>
      </c>
      <c r="N215">
        <v>6</v>
      </c>
      <c r="O215">
        <v>4</v>
      </c>
      <c r="P215">
        <v>2</v>
      </c>
      <c r="Q215">
        <v>0</v>
      </c>
      <c r="R215">
        <v>7</v>
      </c>
      <c r="S215">
        <v>4</v>
      </c>
      <c r="T215">
        <v>3</v>
      </c>
      <c r="U215">
        <v>3.44</v>
      </c>
      <c r="V215">
        <v>1.33</v>
      </c>
      <c r="W215">
        <v>0.308</v>
      </c>
      <c r="X215">
        <v>96</v>
      </c>
      <c r="Y215">
        <f t="shared" si="18"/>
        <v>1.75</v>
      </c>
      <c r="Z215">
        <f t="shared" si="19"/>
        <v>7</v>
      </c>
      <c r="AA215" s="176">
        <f t="shared" si="20"/>
        <v>1</v>
      </c>
      <c r="AB215" s="192">
        <f t="shared" si="21"/>
        <v>1.1666666666666667</v>
      </c>
    </row>
    <row r="216" spans="2:28" x14ac:dyDescent="0.3">
      <c r="B216" t="s">
        <v>3172</v>
      </c>
      <c r="C216" t="s">
        <v>226</v>
      </c>
      <c r="D216" t="s">
        <v>1624</v>
      </c>
      <c r="E216" t="s">
        <v>1624</v>
      </c>
      <c r="F216">
        <v>-7.7</v>
      </c>
      <c r="G216">
        <v>13</v>
      </c>
      <c r="H216">
        <v>0</v>
      </c>
      <c r="I216">
        <v>0</v>
      </c>
      <c r="J216">
        <v>1</v>
      </c>
      <c r="K216">
        <v>1</v>
      </c>
      <c r="L216">
        <v>0</v>
      </c>
      <c r="M216">
        <v>1</v>
      </c>
      <c r="N216">
        <v>13.7</v>
      </c>
      <c r="O216">
        <v>8</v>
      </c>
      <c r="P216">
        <v>3</v>
      </c>
      <c r="Q216">
        <v>1</v>
      </c>
      <c r="R216">
        <v>14</v>
      </c>
      <c r="S216">
        <v>4</v>
      </c>
      <c r="T216">
        <v>1.98</v>
      </c>
      <c r="U216">
        <v>3.28</v>
      </c>
      <c r="V216">
        <v>0.88</v>
      </c>
      <c r="W216">
        <v>0.22600000000000001</v>
      </c>
      <c r="X216">
        <v>0</v>
      </c>
      <c r="Y216">
        <f t="shared" si="18"/>
        <v>3.5</v>
      </c>
      <c r="Z216" t="str">
        <f t="shared" si="19"/>
        <v>STELLAR</v>
      </c>
      <c r="AA216" s="176" t="str">
        <f t="shared" si="20"/>
        <v>Didn't Start</v>
      </c>
      <c r="AB216" s="192">
        <f t="shared" si="21"/>
        <v>1.0218978102189782</v>
      </c>
    </row>
    <row r="217" spans="2:28" x14ac:dyDescent="0.3">
      <c r="B217" t="s">
        <v>799</v>
      </c>
      <c r="C217" t="s">
        <v>246</v>
      </c>
      <c r="D217" t="s">
        <v>1623</v>
      </c>
      <c r="E217" t="s">
        <v>1623</v>
      </c>
      <c r="F217">
        <v>-7.7</v>
      </c>
      <c r="G217">
        <v>9</v>
      </c>
      <c r="H217">
        <v>8</v>
      </c>
      <c r="I217">
        <v>1</v>
      </c>
      <c r="J217">
        <v>1</v>
      </c>
      <c r="K217">
        <v>2</v>
      </c>
      <c r="L217">
        <v>0</v>
      </c>
      <c r="M217">
        <v>0</v>
      </c>
      <c r="N217">
        <v>43</v>
      </c>
      <c r="O217">
        <v>50</v>
      </c>
      <c r="P217">
        <v>22</v>
      </c>
      <c r="Q217">
        <v>6</v>
      </c>
      <c r="R217">
        <v>44</v>
      </c>
      <c r="S217">
        <v>8</v>
      </c>
      <c r="T217">
        <v>4.6100000000000003</v>
      </c>
      <c r="U217">
        <v>3.74</v>
      </c>
      <c r="V217">
        <v>1.35</v>
      </c>
      <c r="W217">
        <v>0.34899999999999998</v>
      </c>
      <c r="X217">
        <v>87</v>
      </c>
      <c r="Y217">
        <f t="shared" si="18"/>
        <v>5.5</v>
      </c>
      <c r="Z217">
        <f t="shared" si="19"/>
        <v>5.5</v>
      </c>
      <c r="AA217" s="176">
        <f t="shared" si="20"/>
        <v>0.125</v>
      </c>
      <c r="AB217" s="192">
        <f t="shared" si="21"/>
        <v>1.0232558139534884</v>
      </c>
    </row>
    <row r="218" spans="2:28" x14ac:dyDescent="0.3">
      <c r="B218" t="s">
        <v>524</v>
      </c>
      <c r="C218" t="s">
        <v>255</v>
      </c>
      <c r="D218" t="s">
        <v>1624</v>
      </c>
      <c r="E218" t="s">
        <v>1624</v>
      </c>
      <c r="F218">
        <v>-7.8</v>
      </c>
      <c r="G218">
        <v>19</v>
      </c>
      <c r="H218">
        <v>0</v>
      </c>
      <c r="I218">
        <v>0</v>
      </c>
      <c r="J218">
        <v>1</v>
      </c>
      <c r="K218">
        <v>0</v>
      </c>
      <c r="L218">
        <v>0</v>
      </c>
      <c r="M218">
        <v>1</v>
      </c>
      <c r="N218">
        <v>28.3</v>
      </c>
      <c r="O218">
        <v>24</v>
      </c>
      <c r="P218">
        <v>13</v>
      </c>
      <c r="Q218">
        <v>2</v>
      </c>
      <c r="R218">
        <v>29</v>
      </c>
      <c r="S218">
        <v>5</v>
      </c>
      <c r="T218">
        <v>4.13</v>
      </c>
      <c r="U218">
        <v>2.78</v>
      </c>
      <c r="V218">
        <v>1.02</v>
      </c>
      <c r="W218">
        <v>0.29699999999999999</v>
      </c>
      <c r="X218">
        <v>0</v>
      </c>
      <c r="Y218">
        <f t="shared" si="18"/>
        <v>5.8</v>
      </c>
      <c r="Z218" t="str">
        <f t="shared" si="19"/>
        <v>STELLAR</v>
      </c>
      <c r="AA218" s="176" t="str">
        <f t="shared" si="20"/>
        <v>Didn't Start</v>
      </c>
      <c r="AB218" s="192">
        <f t="shared" si="21"/>
        <v>1.0247349823321554</v>
      </c>
    </row>
    <row r="219" spans="2:28" x14ac:dyDescent="0.3">
      <c r="B219" t="s">
        <v>3058</v>
      </c>
      <c r="C219" t="s">
        <v>244</v>
      </c>
      <c r="D219" t="s">
        <v>1624</v>
      </c>
      <c r="E219" t="s">
        <v>1624</v>
      </c>
      <c r="F219">
        <v>-7.8</v>
      </c>
      <c r="G219">
        <v>10</v>
      </c>
      <c r="H219">
        <v>0</v>
      </c>
      <c r="I219">
        <v>0</v>
      </c>
      <c r="J219">
        <v>1</v>
      </c>
      <c r="K219">
        <v>0</v>
      </c>
      <c r="L219">
        <v>0</v>
      </c>
      <c r="M219">
        <v>0</v>
      </c>
      <c r="N219">
        <v>9</v>
      </c>
      <c r="O219">
        <v>6</v>
      </c>
      <c r="P219">
        <v>0</v>
      </c>
      <c r="Q219">
        <v>0</v>
      </c>
      <c r="R219">
        <v>10</v>
      </c>
      <c r="S219">
        <v>1</v>
      </c>
      <c r="T219">
        <v>0</v>
      </c>
      <c r="U219">
        <v>1.39</v>
      </c>
      <c r="V219">
        <v>0.78</v>
      </c>
      <c r="W219">
        <v>0.27300000000000002</v>
      </c>
      <c r="X219">
        <v>0</v>
      </c>
      <c r="Y219">
        <f t="shared" si="18"/>
        <v>10</v>
      </c>
      <c r="Z219" t="str">
        <f t="shared" si="19"/>
        <v>STELLAR</v>
      </c>
      <c r="AA219" s="176" t="str">
        <f t="shared" si="20"/>
        <v>Didn't Start</v>
      </c>
      <c r="AB219" s="192">
        <f t="shared" si="21"/>
        <v>1.1111111111111112</v>
      </c>
    </row>
    <row r="220" spans="2:28" x14ac:dyDescent="0.3">
      <c r="B220" t="s">
        <v>170</v>
      </c>
      <c r="C220" t="s">
        <v>1524</v>
      </c>
      <c r="D220" t="s">
        <v>1624</v>
      </c>
      <c r="E220" t="s">
        <v>1624</v>
      </c>
      <c r="F220">
        <v>-7.8</v>
      </c>
      <c r="G220">
        <v>18</v>
      </c>
      <c r="H220">
        <v>0</v>
      </c>
      <c r="I220">
        <v>0</v>
      </c>
      <c r="J220">
        <v>2</v>
      </c>
      <c r="K220">
        <v>2</v>
      </c>
      <c r="L220">
        <v>1</v>
      </c>
      <c r="M220">
        <v>1</v>
      </c>
      <c r="N220">
        <v>24.3</v>
      </c>
      <c r="O220">
        <v>23</v>
      </c>
      <c r="P220">
        <v>12</v>
      </c>
      <c r="Q220">
        <v>2</v>
      </c>
      <c r="R220">
        <v>23</v>
      </c>
      <c r="S220">
        <v>7</v>
      </c>
      <c r="T220">
        <v>4.4400000000000004</v>
      </c>
      <c r="U220">
        <v>3.44</v>
      </c>
      <c r="V220">
        <v>1.23</v>
      </c>
      <c r="W220">
        <v>0.29599999999999999</v>
      </c>
      <c r="X220">
        <v>0</v>
      </c>
      <c r="Y220">
        <f t="shared" si="18"/>
        <v>3.2857142857142856</v>
      </c>
      <c r="Z220" t="str">
        <f t="shared" si="19"/>
        <v>STELLAR</v>
      </c>
      <c r="AA220" s="176" t="str">
        <f t="shared" si="20"/>
        <v>Didn't Start</v>
      </c>
      <c r="AB220" s="192">
        <f t="shared" si="21"/>
        <v>0.94650205761316875</v>
      </c>
    </row>
    <row r="221" spans="2:28" x14ac:dyDescent="0.3">
      <c r="B221" t="s">
        <v>540</v>
      </c>
      <c r="C221" t="s">
        <v>235</v>
      </c>
      <c r="D221" t="s">
        <v>1624</v>
      </c>
      <c r="E221" t="s">
        <v>1624</v>
      </c>
      <c r="F221">
        <v>-7.8</v>
      </c>
      <c r="G221">
        <v>14</v>
      </c>
      <c r="H221">
        <v>0</v>
      </c>
      <c r="I221">
        <v>0</v>
      </c>
      <c r="J221">
        <v>1</v>
      </c>
      <c r="K221">
        <v>0</v>
      </c>
      <c r="L221">
        <v>0</v>
      </c>
      <c r="M221">
        <v>3</v>
      </c>
      <c r="N221">
        <v>21.7</v>
      </c>
      <c r="O221">
        <v>13</v>
      </c>
      <c r="P221">
        <v>8</v>
      </c>
      <c r="Q221">
        <v>1</v>
      </c>
      <c r="R221">
        <v>20</v>
      </c>
      <c r="S221">
        <v>8</v>
      </c>
      <c r="T221">
        <v>3.32</v>
      </c>
      <c r="U221">
        <v>3.28</v>
      </c>
      <c r="V221">
        <v>0.97</v>
      </c>
      <c r="W221">
        <v>0.22600000000000001</v>
      </c>
      <c r="X221">
        <v>0</v>
      </c>
      <c r="Y221">
        <f t="shared" si="18"/>
        <v>2.5</v>
      </c>
      <c r="Z221" t="str">
        <f t="shared" si="19"/>
        <v>STELLAR</v>
      </c>
      <c r="AA221" s="176" t="str">
        <f t="shared" si="20"/>
        <v>Didn't Start</v>
      </c>
      <c r="AB221" s="192">
        <f t="shared" si="21"/>
        <v>0.92165898617511521</v>
      </c>
    </row>
    <row r="222" spans="2:28" x14ac:dyDescent="0.3">
      <c r="B222" t="s">
        <v>421</v>
      </c>
      <c r="C222" t="s">
        <v>1523</v>
      </c>
      <c r="D222" t="s">
        <v>1624</v>
      </c>
      <c r="E222" t="s">
        <v>1624</v>
      </c>
      <c r="F222">
        <v>-7.9</v>
      </c>
      <c r="G222">
        <v>22</v>
      </c>
      <c r="H222">
        <v>0</v>
      </c>
      <c r="I222">
        <v>0</v>
      </c>
      <c r="J222">
        <v>1</v>
      </c>
      <c r="K222">
        <v>0</v>
      </c>
      <c r="L222">
        <v>0</v>
      </c>
      <c r="M222">
        <v>8</v>
      </c>
      <c r="N222">
        <v>22.7</v>
      </c>
      <c r="O222">
        <v>14</v>
      </c>
      <c r="P222">
        <v>8</v>
      </c>
      <c r="Q222">
        <v>3</v>
      </c>
      <c r="R222">
        <v>26</v>
      </c>
      <c r="S222">
        <v>12</v>
      </c>
      <c r="T222">
        <v>3.18</v>
      </c>
      <c r="U222">
        <v>4.43</v>
      </c>
      <c r="V222">
        <v>1.1499999999999999</v>
      </c>
      <c r="W222">
        <v>0.22</v>
      </c>
      <c r="X222">
        <v>0</v>
      </c>
      <c r="Y222">
        <f t="shared" si="18"/>
        <v>2.1666666666666665</v>
      </c>
      <c r="Z222" t="str">
        <f t="shared" si="19"/>
        <v>STELLAR</v>
      </c>
      <c r="AA222" s="176" t="str">
        <f t="shared" si="20"/>
        <v>Didn't Start</v>
      </c>
      <c r="AB222" s="192">
        <f t="shared" si="21"/>
        <v>1.1453744493392071</v>
      </c>
    </row>
    <row r="223" spans="2:28" x14ac:dyDescent="0.3">
      <c r="B223" t="s">
        <v>568</v>
      </c>
      <c r="C223" t="s">
        <v>346</v>
      </c>
      <c r="D223" t="s">
        <v>1623</v>
      </c>
      <c r="E223" t="s">
        <v>1623</v>
      </c>
      <c r="F223">
        <v>-8</v>
      </c>
      <c r="G223">
        <v>9</v>
      </c>
      <c r="H223">
        <v>9</v>
      </c>
      <c r="I223">
        <v>1</v>
      </c>
      <c r="J223">
        <v>3</v>
      </c>
      <c r="K223">
        <v>3</v>
      </c>
      <c r="L223">
        <v>0</v>
      </c>
      <c r="M223">
        <v>0</v>
      </c>
      <c r="N223">
        <v>42.3</v>
      </c>
      <c r="O223">
        <v>42</v>
      </c>
      <c r="P223">
        <v>27</v>
      </c>
      <c r="Q223">
        <v>6</v>
      </c>
      <c r="R223">
        <v>39</v>
      </c>
      <c r="S223">
        <v>18</v>
      </c>
      <c r="T223">
        <v>5.74</v>
      </c>
      <c r="U223">
        <v>4.7</v>
      </c>
      <c r="V223">
        <v>1.42</v>
      </c>
      <c r="W223">
        <v>0.28999999999999998</v>
      </c>
      <c r="X223">
        <v>17</v>
      </c>
      <c r="Y223">
        <f t="shared" si="18"/>
        <v>2.1666666666666665</v>
      </c>
      <c r="Z223">
        <f t="shared" si="19"/>
        <v>4.333333333333333</v>
      </c>
      <c r="AA223" s="176">
        <f t="shared" si="20"/>
        <v>0.33333333333333331</v>
      </c>
      <c r="AB223" s="192">
        <f t="shared" si="21"/>
        <v>0.92198581560283699</v>
      </c>
    </row>
    <row r="224" spans="2:28" x14ac:dyDescent="0.3">
      <c r="B224" t="s">
        <v>461</v>
      </c>
      <c r="C224" t="s">
        <v>250</v>
      </c>
      <c r="D224" t="s">
        <v>1624</v>
      </c>
      <c r="E224" t="s">
        <v>1624</v>
      </c>
      <c r="F224">
        <v>-8.1</v>
      </c>
      <c r="G224">
        <v>23</v>
      </c>
      <c r="H224">
        <v>1</v>
      </c>
      <c r="I224">
        <v>0</v>
      </c>
      <c r="J224">
        <v>0</v>
      </c>
      <c r="K224">
        <v>0</v>
      </c>
      <c r="L224">
        <v>1</v>
      </c>
      <c r="M224">
        <v>10</v>
      </c>
      <c r="N224">
        <v>21.3</v>
      </c>
      <c r="O224">
        <v>18</v>
      </c>
      <c r="P224">
        <v>5</v>
      </c>
      <c r="Q224">
        <v>1</v>
      </c>
      <c r="R224">
        <v>25</v>
      </c>
      <c r="S224">
        <v>6</v>
      </c>
      <c r="T224">
        <v>2.11</v>
      </c>
      <c r="U224">
        <v>2.67</v>
      </c>
      <c r="V224">
        <v>1.1299999999999999</v>
      </c>
      <c r="W224">
        <v>0.32100000000000001</v>
      </c>
      <c r="X224">
        <v>0</v>
      </c>
      <c r="Y224">
        <f t="shared" si="18"/>
        <v>4.166666666666667</v>
      </c>
      <c r="Z224">
        <f t="shared" si="19"/>
        <v>25</v>
      </c>
      <c r="AA224" s="176">
        <f t="shared" si="20"/>
        <v>0</v>
      </c>
      <c r="AB224" s="192">
        <f t="shared" si="21"/>
        <v>1.1737089201877935</v>
      </c>
    </row>
    <row r="225" spans="2:28" x14ac:dyDescent="0.3">
      <c r="B225" t="s">
        <v>930</v>
      </c>
      <c r="C225" t="s">
        <v>339</v>
      </c>
      <c r="D225" t="s">
        <v>1624</v>
      </c>
      <c r="E225" t="s">
        <v>1624</v>
      </c>
      <c r="F225">
        <v>-8.1</v>
      </c>
      <c r="G225">
        <v>19</v>
      </c>
      <c r="H225">
        <v>0</v>
      </c>
      <c r="I225">
        <v>0</v>
      </c>
      <c r="J225">
        <v>1</v>
      </c>
      <c r="K225">
        <v>0</v>
      </c>
      <c r="L225">
        <v>1</v>
      </c>
      <c r="M225">
        <v>10</v>
      </c>
      <c r="N225">
        <v>16.3</v>
      </c>
      <c r="O225">
        <v>12</v>
      </c>
      <c r="P225">
        <v>6</v>
      </c>
      <c r="Q225">
        <v>3</v>
      </c>
      <c r="R225">
        <v>16</v>
      </c>
      <c r="S225">
        <v>4</v>
      </c>
      <c r="T225">
        <v>3.31</v>
      </c>
      <c r="U225">
        <v>5.18</v>
      </c>
      <c r="V225">
        <v>0.98</v>
      </c>
      <c r="W225">
        <v>0.22500000000000001</v>
      </c>
      <c r="X225">
        <v>0</v>
      </c>
      <c r="Y225">
        <f t="shared" si="18"/>
        <v>4</v>
      </c>
      <c r="Z225" t="str">
        <f t="shared" si="19"/>
        <v>STELLAR</v>
      </c>
      <c r="AA225" s="176" t="str">
        <f t="shared" si="20"/>
        <v>Didn't Start</v>
      </c>
      <c r="AB225" s="192">
        <f t="shared" si="21"/>
        <v>0.98159509202453987</v>
      </c>
    </row>
    <row r="226" spans="2:28" x14ac:dyDescent="0.3">
      <c r="B226" t="s">
        <v>649</v>
      </c>
      <c r="C226" t="s">
        <v>1522</v>
      </c>
      <c r="D226" t="s">
        <v>1624</v>
      </c>
      <c r="E226" t="s">
        <v>1624</v>
      </c>
      <c r="F226">
        <v>-8.1</v>
      </c>
      <c r="G226">
        <v>12</v>
      </c>
      <c r="H226">
        <v>0</v>
      </c>
      <c r="I226">
        <v>0</v>
      </c>
      <c r="J226">
        <v>0</v>
      </c>
      <c r="K226">
        <v>1</v>
      </c>
      <c r="L226">
        <v>5</v>
      </c>
      <c r="M226">
        <v>1</v>
      </c>
      <c r="N226">
        <v>10.7</v>
      </c>
      <c r="O226">
        <v>8</v>
      </c>
      <c r="P226">
        <v>2</v>
      </c>
      <c r="Q226">
        <v>1</v>
      </c>
      <c r="R226">
        <v>9</v>
      </c>
      <c r="S226">
        <v>5</v>
      </c>
      <c r="T226">
        <v>1.69</v>
      </c>
      <c r="U226">
        <v>4.5</v>
      </c>
      <c r="V226">
        <v>1.22</v>
      </c>
      <c r="W226">
        <v>0.219</v>
      </c>
      <c r="X226">
        <v>100</v>
      </c>
      <c r="Y226">
        <f t="shared" si="18"/>
        <v>1.8</v>
      </c>
      <c r="Z226" t="str">
        <f t="shared" si="19"/>
        <v>STELLAR</v>
      </c>
      <c r="AA226" s="176" t="str">
        <f t="shared" si="20"/>
        <v>Didn't Start</v>
      </c>
      <c r="AB226" s="192">
        <f t="shared" si="21"/>
        <v>0.8411214953271029</v>
      </c>
    </row>
    <row r="227" spans="2:28" x14ac:dyDescent="0.3">
      <c r="B227" t="s">
        <v>859</v>
      </c>
      <c r="C227" t="s">
        <v>248</v>
      </c>
      <c r="D227" t="s">
        <v>1623</v>
      </c>
      <c r="E227" t="s">
        <v>1623</v>
      </c>
      <c r="F227">
        <v>-8.1</v>
      </c>
      <c r="G227">
        <v>8</v>
      </c>
      <c r="H227">
        <v>8</v>
      </c>
      <c r="I227">
        <v>3</v>
      </c>
      <c r="J227">
        <v>2</v>
      </c>
      <c r="K227">
        <v>2</v>
      </c>
      <c r="L227">
        <v>0</v>
      </c>
      <c r="M227">
        <v>0</v>
      </c>
      <c r="N227">
        <v>39.299999999999997</v>
      </c>
      <c r="O227">
        <v>42</v>
      </c>
      <c r="P227">
        <v>22</v>
      </c>
      <c r="Q227">
        <v>10</v>
      </c>
      <c r="R227">
        <v>28</v>
      </c>
      <c r="S227">
        <v>9</v>
      </c>
      <c r="T227">
        <v>5.03</v>
      </c>
      <c r="U227">
        <v>5.92</v>
      </c>
      <c r="V227">
        <v>1.3</v>
      </c>
      <c r="W227">
        <v>0.27400000000000002</v>
      </c>
      <c r="X227">
        <v>27</v>
      </c>
      <c r="Y227">
        <f t="shared" si="18"/>
        <v>3.1111111111111112</v>
      </c>
      <c r="Z227">
        <f t="shared" si="19"/>
        <v>3.5</v>
      </c>
      <c r="AA227" s="176">
        <f t="shared" si="20"/>
        <v>0.25</v>
      </c>
      <c r="AB227" s="192">
        <f t="shared" si="21"/>
        <v>0.71246819338422396</v>
      </c>
    </row>
    <row r="228" spans="2:28" x14ac:dyDescent="0.3">
      <c r="B228" t="s">
        <v>3343</v>
      </c>
      <c r="C228" t="s">
        <v>221</v>
      </c>
      <c r="D228" t="s">
        <v>1623</v>
      </c>
      <c r="E228" t="s">
        <v>1623</v>
      </c>
      <c r="F228">
        <v>-8.3000000000000007</v>
      </c>
      <c r="G228">
        <v>3</v>
      </c>
      <c r="H228">
        <v>3</v>
      </c>
      <c r="I228">
        <v>1</v>
      </c>
      <c r="J228">
        <v>1</v>
      </c>
      <c r="K228">
        <v>1</v>
      </c>
      <c r="L228">
        <v>0</v>
      </c>
      <c r="M228">
        <v>0</v>
      </c>
      <c r="N228">
        <v>14</v>
      </c>
      <c r="O228">
        <v>13</v>
      </c>
      <c r="P228">
        <v>8</v>
      </c>
      <c r="Q228">
        <v>4</v>
      </c>
      <c r="R228">
        <v>19</v>
      </c>
      <c r="S228">
        <v>6</v>
      </c>
      <c r="T228">
        <v>5.14</v>
      </c>
      <c r="U228">
        <v>5.56</v>
      </c>
      <c r="V228">
        <v>1.36</v>
      </c>
      <c r="W228">
        <v>0.3</v>
      </c>
      <c r="X228">
        <v>100</v>
      </c>
      <c r="Y228">
        <f t="shared" si="18"/>
        <v>3.1666666666666665</v>
      </c>
      <c r="Z228">
        <f t="shared" si="19"/>
        <v>6.333333333333333</v>
      </c>
      <c r="AA228" s="176">
        <f t="shared" si="20"/>
        <v>0.33333333333333331</v>
      </c>
      <c r="AB228" s="192">
        <f t="shared" si="21"/>
        <v>1.3571428571428572</v>
      </c>
    </row>
    <row r="229" spans="2:28" x14ac:dyDescent="0.3">
      <c r="B229" t="s">
        <v>3176</v>
      </c>
      <c r="C229" t="s">
        <v>235</v>
      </c>
      <c r="D229" t="s">
        <v>1623</v>
      </c>
      <c r="E229" t="s">
        <v>1623</v>
      </c>
      <c r="F229">
        <v>-8.3000000000000007</v>
      </c>
      <c r="G229">
        <v>6</v>
      </c>
      <c r="H229">
        <v>1</v>
      </c>
      <c r="I229">
        <v>0</v>
      </c>
      <c r="J229">
        <v>1</v>
      </c>
      <c r="K229">
        <v>1</v>
      </c>
      <c r="L229">
        <v>0</v>
      </c>
      <c r="M229">
        <v>1</v>
      </c>
      <c r="N229">
        <v>13.7</v>
      </c>
      <c r="O229">
        <v>11</v>
      </c>
      <c r="P229">
        <v>7</v>
      </c>
      <c r="Q229">
        <v>1</v>
      </c>
      <c r="R229">
        <v>12</v>
      </c>
      <c r="S229">
        <v>6</v>
      </c>
      <c r="T229">
        <v>4.6100000000000003</v>
      </c>
      <c r="U229">
        <v>3.79</v>
      </c>
      <c r="V229">
        <v>1.24</v>
      </c>
      <c r="W229">
        <v>0.24399999999999999</v>
      </c>
      <c r="X229">
        <v>7</v>
      </c>
      <c r="Y229">
        <f t="shared" si="18"/>
        <v>2</v>
      </c>
      <c r="Z229">
        <f t="shared" si="19"/>
        <v>12</v>
      </c>
      <c r="AA229" s="176">
        <f t="shared" si="20"/>
        <v>1</v>
      </c>
      <c r="AB229" s="192">
        <f t="shared" si="21"/>
        <v>0.87591240875912413</v>
      </c>
    </row>
    <row r="230" spans="2:28" x14ac:dyDescent="0.3">
      <c r="B230" t="s">
        <v>521</v>
      </c>
      <c r="C230" t="s">
        <v>244</v>
      </c>
      <c r="D230" t="s">
        <v>1624</v>
      </c>
      <c r="E230" t="s">
        <v>1624</v>
      </c>
      <c r="F230">
        <v>-8.3000000000000007</v>
      </c>
      <c r="G230">
        <v>15</v>
      </c>
      <c r="H230">
        <v>0</v>
      </c>
      <c r="I230">
        <v>0</v>
      </c>
      <c r="J230">
        <v>1</v>
      </c>
      <c r="K230">
        <v>2</v>
      </c>
      <c r="L230">
        <v>0</v>
      </c>
      <c r="M230">
        <v>1</v>
      </c>
      <c r="N230">
        <v>13</v>
      </c>
      <c r="O230">
        <v>5</v>
      </c>
      <c r="P230">
        <v>2</v>
      </c>
      <c r="Q230">
        <v>1</v>
      </c>
      <c r="R230">
        <v>15</v>
      </c>
      <c r="S230">
        <v>9</v>
      </c>
      <c r="T230">
        <v>1.39</v>
      </c>
      <c r="U230">
        <v>4.28</v>
      </c>
      <c r="V230">
        <v>1.08</v>
      </c>
      <c r="W230">
        <v>0.14799999999999999</v>
      </c>
      <c r="X230">
        <v>0</v>
      </c>
      <c r="Y230">
        <f t="shared" si="18"/>
        <v>1.6666666666666667</v>
      </c>
      <c r="Z230" t="str">
        <f t="shared" si="19"/>
        <v>STELLAR</v>
      </c>
      <c r="AA230" s="176" t="str">
        <f t="shared" si="20"/>
        <v>Didn't Start</v>
      </c>
      <c r="AB230" s="192">
        <f t="shared" si="21"/>
        <v>1.1538461538461537</v>
      </c>
    </row>
    <row r="231" spans="2:28" x14ac:dyDescent="0.3">
      <c r="B231" t="s">
        <v>408</v>
      </c>
      <c r="C231" t="s">
        <v>264</v>
      </c>
      <c r="D231" t="s">
        <v>1624</v>
      </c>
      <c r="E231" t="s">
        <v>1624</v>
      </c>
      <c r="F231">
        <v>-8.4</v>
      </c>
      <c r="G231">
        <v>16</v>
      </c>
      <c r="H231">
        <v>0</v>
      </c>
      <c r="I231">
        <v>0</v>
      </c>
      <c r="J231">
        <v>2</v>
      </c>
      <c r="K231">
        <v>2</v>
      </c>
      <c r="L231">
        <v>0</v>
      </c>
      <c r="M231">
        <v>6</v>
      </c>
      <c r="N231">
        <v>19.3</v>
      </c>
      <c r="O231">
        <v>18</v>
      </c>
      <c r="P231">
        <v>8</v>
      </c>
      <c r="Q231">
        <v>3</v>
      </c>
      <c r="R231">
        <v>15</v>
      </c>
      <c r="S231">
        <v>4</v>
      </c>
      <c r="T231">
        <v>3.72</v>
      </c>
      <c r="U231">
        <v>4.5199999999999996</v>
      </c>
      <c r="V231">
        <v>1.1399999999999999</v>
      </c>
      <c r="W231">
        <v>0.26300000000000001</v>
      </c>
      <c r="X231">
        <v>0</v>
      </c>
      <c r="Y231">
        <f t="shared" si="18"/>
        <v>3.75</v>
      </c>
      <c r="Z231" t="str">
        <f t="shared" si="19"/>
        <v>STELLAR</v>
      </c>
      <c r="AA231" s="176" t="str">
        <f t="shared" si="20"/>
        <v>Didn't Start</v>
      </c>
      <c r="AB231" s="192">
        <f t="shared" si="21"/>
        <v>0.77720207253886009</v>
      </c>
    </row>
    <row r="232" spans="2:28" x14ac:dyDescent="0.3">
      <c r="B232" t="s">
        <v>3261</v>
      </c>
      <c r="C232" t="s">
        <v>346</v>
      </c>
      <c r="D232" t="s">
        <v>1623</v>
      </c>
      <c r="E232" t="s">
        <v>1623</v>
      </c>
      <c r="F232">
        <v>-8.4</v>
      </c>
      <c r="G232">
        <v>3</v>
      </c>
      <c r="H232">
        <v>3</v>
      </c>
      <c r="I232">
        <v>1</v>
      </c>
      <c r="J232">
        <v>0</v>
      </c>
      <c r="K232">
        <v>2</v>
      </c>
      <c r="L232">
        <v>0</v>
      </c>
      <c r="M232">
        <v>0</v>
      </c>
      <c r="N232">
        <v>15.7</v>
      </c>
      <c r="O232">
        <v>12</v>
      </c>
      <c r="P232">
        <v>8</v>
      </c>
      <c r="Q232">
        <v>5</v>
      </c>
      <c r="R232">
        <v>12</v>
      </c>
      <c r="S232">
        <v>1</v>
      </c>
      <c r="T232">
        <v>4.5999999999999996</v>
      </c>
      <c r="U232">
        <v>6.09</v>
      </c>
      <c r="V232">
        <v>0.83</v>
      </c>
      <c r="W232">
        <v>0.16700000000000001</v>
      </c>
      <c r="X232">
        <v>4</v>
      </c>
      <c r="Y232">
        <f t="shared" si="18"/>
        <v>12</v>
      </c>
      <c r="Z232">
        <f t="shared" si="19"/>
        <v>4</v>
      </c>
      <c r="AA232" s="176">
        <f t="shared" si="20"/>
        <v>0</v>
      </c>
      <c r="AB232" s="192">
        <f t="shared" si="21"/>
        <v>0.76433121019108285</v>
      </c>
    </row>
    <row r="233" spans="2:28" x14ac:dyDescent="0.3">
      <c r="B233" t="s">
        <v>528</v>
      </c>
      <c r="C233" t="s">
        <v>270</v>
      </c>
      <c r="D233" t="s">
        <v>1624</v>
      </c>
      <c r="E233" t="s">
        <v>1624</v>
      </c>
      <c r="F233">
        <v>-8.5</v>
      </c>
      <c r="G233">
        <v>21</v>
      </c>
      <c r="H233">
        <v>0</v>
      </c>
      <c r="I233">
        <v>0</v>
      </c>
      <c r="J233">
        <v>1</v>
      </c>
      <c r="K233">
        <v>0</v>
      </c>
      <c r="L233">
        <v>0</v>
      </c>
      <c r="M233">
        <v>5</v>
      </c>
      <c r="N233">
        <v>20.3</v>
      </c>
      <c r="O233">
        <v>21</v>
      </c>
      <c r="P233">
        <v>7</v>
      </c>
      <c r="Q233">
        <v>3</v>
      </c>
      <c r="R233">
        <v>25</v>
      </c>
      <c r="S233">
        <v>3</v>
      </c>
      <c r="T233">
        <v>3.1</v>
      </c>
      <c r="U233">
        <v>3.33</v>
      </c>
      <c r="V233">
        <v>1.18</v>
      </c>
      <c r="W233">
        <v>0.32700000000000001</v>
      </c>
      <c r="Y233">
        <f t="shared" si="18"/>
        <v>8.3333333333333339</v>
      </c>
      <c r="Z233" t="str">
        <f t="shared" si="19"/>
        <v>STELLAR</v>
      </c>
      <c r="AA233" s="176" t="str">
        <f t="shared" si="20"/>
        <v>Didn't Start</v>
      </c>
      <c r="AB233" s="192">
        <f t="shared" si="21"/>
        <v>1.2315270935960592</v>
      </c>
    </row>
    <row r="234" spans="2:28" x14ac:dyDescent="0.3">
      <c r="B234" t="s">
        <v>3174</v>
      </c>
      <c r="C234" t="s">
        <v>274</v>
      </c>
      <c r="D234" t="s">
        <v>1624</v>
      </c>
      <c r="E234" t="s">
        <v>1624</v>
      </c>
      <c r="F234">
        <v>-8.6</v>
      </c>
      <c r="G234">
        <v>13</v>
      </c>
      <c r="H234">
        <v>0</v>
      </c>
      <c r="I234">
        <v>0</v>
      </c>
      <c r="J234">
        <v>1</v>
      </c>
      <c r="K234">
        <v>0</v>
      </c>
      <c r="L234">
        <v>0</v>
      </c>
      <c r="M234">
        <v>4</v>
      </c>
      <c r="N234">
        <v>13</v>
      </c>
      <c r="O234">
        <v>6</v>
      </c>
      <c r="P234">
        <v>0</v>
      </c>
      <c r="Q234">
        <v>0</v>
      </c>
      <c r="R234">
        <v>14</v>
      </c>
      <c r="S234">
        <v>11</v>
      </c>
      <c r="T234">
        <v>0</v>
      </c>
      <c r="U234">
        <v>3.89</v>
      </c>
      <c r="V234">
        <v>1.31</v>
      </c>
      <c r="W234">
        <v>0.20699999999999999</v>
      </c>
      <c r="X234">
        <v>0</v>
      </c>
      <c r="Y234">
        <f t="shared" si="18"/>
        <v>1.2727272727272727</v>
      </c>
      <c r="Z234" t="str">
        <f t="shared" si="19"/>
        <v>STELLAR</v>
      </c>
      <c r="AA234" s="176" t="str">
        <f t="shared" si="20"/>
        <v>Didn't Start</v>
      </c>
      <c r="AB234" s="192">
        <f t="shared" si="21"/>
        <v>1.0769230769230769</v>
      </c>
    </row>
    <row r="235" spans="2:28" x14ac:dyDescent="0.3">
      <c r="B235" t="s">
        <v>466</v>
      </c>
      <c r="C235" t="s">
        <v>1522</v>
      </c>
      <c r="D235" t="s">
        <v>1623</v>
      </c>
      <c r="E235" t="s">
        <v>1623</v>
      </c>
      <c r="F235">
        <v>-8.6</v>
      </c>
      <c r="G235">
        <v>10</v>
      </c>
      <c r="H235">
        <v>2</v>
      </c>
      <c r="I235">
        <v>0</v>
      </c>
      <c r="J235">
        <v>1</v>
      </c>
      <c r="K235">
        <v>0</v>
      </c>
      <c r="L235">
        <v>0</v>
      </c>
      <c r="M235">
        <v>1</v>
      </c>
      <c r="N235">
        <v>42.7</v>
      </c>
      <c r="O235">
        <v>39</v>
      </c>
      <c r="P235">
        <v>17</v>
      </c>
      <c r="Q235">
        <v>4</v>
      </c>
      <c r="R235">
        <v>21</v>
      </c>
      <c r="S235">
        <v>17</v>
      </c>
      <c r="T235">
        <v>3.59</v>
      </c>
      <c r="U235">
        <v>4.71</v>
      </c>
      <c r="V235">
        <v>1.31</v>
      </c>
      <c r="W235">
        <v>0.26500000000000001</v>
      </c>
      <c r="X235">
        <v>0</v>
      </c>
      <c r="Y235">
        <f t="shared" si="18"/>
        <v>1.2352941176470589</v>
      </c>
      <c r="Z235">
        <f t="shared" si="19"/>
        <v>10.5</v>
      </c>
      <c r="AA235" s="176">
        <f t="shared" si="20"/>
        <v>0.5</v>
      </c>
      <c r="AB235" s="192">
        <f t="shared" si="21"/>
        <v>0.49180327868852458</v>
      </c>
    </row>
    <row r="236" spans="2:28" x14ac:dyDescent="0.3">
      <c r="B236" t="s">
        <v>1757</v>
      </c>
      <c r="C236" t="s">
        <v>239</v>
      </c>
      <c r="D236" t="s">
        <v>1623</v>
      </c>
      <c r="E236" t="s">
        <v>1623</v>
      </c>
      <c r="F236">
        <v>-8.6999999999999993</v>
      </c>
      <c r="G236">
        <v>8</v>
      </c>
      <c r="H236">
        <v>7</v>
      </c>
      <c r="I236">
        <v>1</v>
      </c>
      <c r="J236">
        <v>1</v>
      </c>
      <c r="K236">
        <v>3</v>
      </c>
      <c r="L236">
        <v>0</v>
      </c>
      <c r="M236">
        <v>0</v>
      </c>
      <c r="N236">
        <v>36.299999999999997</v>
      </c>
      <c r="O236">
        <v>31</v>
      </c>
      <c r="P236">
        <v>19</v>
      </c>
      <c r="Q236">
        <v>6</v>
      </c>
      <c r="R236">
        <v>29</v>
      </c>
      <c r="S236">
        <v>15</v>
      </c>
      <c r="T236">
        <v>4.71</v>
      </c>
      <c r="U236">
        <v>5.23</v>
      </c>
      <c r="V236">
        <v>1.27</v>
      </c>
      <c r="W236">
        <v>0.25800000000000001</v>
      </c>
      <c r="X236">
        <v>1</v>
      </c>
      <c r="Y236">
        <f t="shared" si="18"/>
        <v>1.9333333333333333</v>
      </c>
      <c r="Z236">
        <f t="shared" si="19"/>
        <v>4.1428571428571432</v>
      </c>
      <c r="AA236" s="176">
        <f t="shared" si="20"/>
        <v>0.14285714285714285</v>
      </c>
      <c r="AB236" s="192">
        <f t="shared" si="21"/>
        <v>0.79889807162534443</v>
      </c>
    </row>
    <row r="237" spans="2:28" x14ac:dyDescent="0.3">
      <c r="B237" t="s">
        <v>452</v>
      </c>
      <c r="C237" t="s">
        <v>270</v>
      </c>
      <c r="D237" t="s">
        <v>1624</v>
      </c>
      <c r="E237" t="s">
        <v>1624</v>
      </c>
      <c r="F237">
        <v>-8.6999999999999993</v>
      </c>
      <c r="G237">
        <v>21</v>
      </c>
      <c r="H237">
        <v>0</v>
      </c>
      <c r="I237">
        <v>0</v>
      </c>
      <c r="J237">
        <v>0</v>
      </c>
      <c r="K237">
        <v>3</v>
      </c>
      <c r="L237">
        <v>0</v>
      </c>
      <c r="M237">
        <v>3</v>
      </c>
      <c r="N237">
        <v>24</v>
      </c>
      <c r="O237">
        <v>14</v>
      </c>
      <c r="P237">
        <v>8</v>
      </c>
      <c r="Q237">
        <v>3</v>
      </c>
      <c r="R237">
        <v>24</v>
      </c>
      <c r="S237">
        <v>8</v>
      </c>
      <c r="T237">
        <v>3</v>
      </c>
      <c r="U237">
        <v>4.03</v>
      </c>
      <c r="V237">
        <v>0.92</v>
      </c>
      <c r="W237">
        <v>0.19600000000000001</v>
      </c>
      <c r="X237">
        <v>0</v>
      </c>
      <c r="Y237">
        <f t="shared" si="18"/>
        <v>3</v>
      </c>
      <c r="Z237" t="str">
        <f t="shared" si="19"/>
        <v>STELLAR</v>
      </c>
      <c r="AA237" s="176" t="str">
        <f t="shared" si="20"/>
        <v>Didn't Start</v>
      </c>
      <c r="AB237" s="192">
        <f t="shared" si="21"/>
        <v>1</v>
      </c>
    </row>
    <row r="238" spans="2:28" x14ac:dyDescent="0.3">
      <c r="B238" t="s">
        <v>1643</v>
      </c>
      <c r="C238" t="s">
        <v>274</v>
      </c>
      <c r="D238" t="s">
        <v>1624</v>
      </c>
      <c r="E238" t="s">
        <v>1624</v>
      </c>
      <c r="F238">
        <v>-8.9</v>
      </c>
      <c r="G238">
        <v>18</v>
      </c>
      <c r="H238">
        <v>0</v>
      </c>
      <c r="I238">
        <v>0</v>
      </c>
      <c r="J238">
        <v>3</v>
      </c>
      <c r="K238">
        <v>0</v>
      </c>
      <c r="L238">
        <v>0</v>
      </c>
      <c r="M238">
        <v>0</v>
      </c>
      <c r="N238">
        <v>19.7</v>
      </c>
      <c r="O238">
        <v>20</v>
      </c>
      <c r="P238">
        <v>11</v>
      </c>
      <c r="Q238">
        <v>1</v>
      </c>
      <c r="R238">
        <v>20</v>
      </c>
      <c r="S238">
        <v>8</v>
      </c>
      <c r="T238">
        <v>5.03</v>
      </c>
      <c r="U238">
        <v>3.13</v>
      </c>
      <c r="V238">
        <v>1.42</v>
      </c>
      <c r="W238">
        <v>0.33300000000000002</v>
      </c>
      <c r="X238">
        <v>0</v>
      </c>
      <c r="Y238">
        <f t="shared" si="18"/>
        <v>2.5</v>
      </c>
      <c r="Z238" t="str">
        <f t="shared" si="19"/>
        <v>STELLAR</v>
      </c>
      <c r="AA238" s="176" t="str">
        <f t="shared" si="20"/>
        <v>Didn't Start</v>
      </c>
      <c r="AB238" s="192">
        <f t="shared" si="21"/>
        <v>1.015228426395939</v>
      </c>
    </row>
    <row r="239" spans="2:28" x14ac:dyDescent="0.3">
      <c r="B239" t="s">
        <v>383</v>
      </c>
      <c r="C239" t="s">
        <v>244</v>
      </c>
      <c r="D239" t="s">
        <v>1624</v>
      </c>
      <c r="E239" t="s">
        <v>1624</v>
      </c>
      <c r="F239">
        <v>-9</v>
      </c>
      <c r="G239">
        <v>23</v>
      </c>
      <c r="H239">
        <v>0</v>
      </c>
      <c r="I239">
        <v>0</v>
      </c>
      <c r="J239">
        <v>1</v>
      </c>
      <c r="K239">
        <v>1</v>
      </c>
      <c r="L239">
        <v>0</v>
      </c>
      <c r="M239">
        <v>6</v>
      </c>
      <c r="N239">
        <v>17.7</v>
      </c>
      <c r="O239">
        <v>15</v>
      </c>
      <c r="P239">
        <v>6</v>
      </c>
      <c r="Q239">
        <v>0</v>
      </c>
      <c r="R239">
        <v>15</v>
      </c>
      <c r="S239">
        <v>2</v>
      </c>
      <c r="T239">
        <v>3.06</v>
      </c>
      <c r="U239">
        <v>2.09</v>
      </c>
      <c r="V239">
        <v>0.96</v>
      </c>
      <c r="W239">
        <v>0.31900000000000001</v>
      </c>
      <c r="X239">
        <v>0</v>
      </c>
      <c r="Y239">
        <f t="shared" si="18"/>
        <v>7.5</v>
      </c>
      <c r="Z239" t="str">
        <f t="shared" si="19"/>
        <v>STELLAR</v>
      </c>
      <c r="AA239" s="176" t="str">
        <f t="shared" si="20"/>
        <v>Didn't Start</v>
      </c>
      <c r="AB239" s="192">
        <f t="shared" si="21"/>
        <v>0.84745762711864414</v>
      </c>
    </row>
    <row r="240" spans="2:28" x14ac:dyDescent="0.3">
      <c r="B240" t="s">
        <v>713</v>
      </c>
      <c r="C240" t="s">
        <v>311</v>
      </c>
      <c r="D240" t="s">
        <v>1623</v>
      </c>
      <c r="E240" t="s">
        <v>1623</v>
      </c>
      <c r="F240">
        <v>-9.1</v>
      </c>
      <c r="G240">
        <v>10</v>
      </c>
      <c r="H240">
        <v>10</v>
      </c>
      <c r="I240">
        <v>4</v>
      </c>
      <c r="J240">
        <v>3</v>
      </c>
      <c r="K240">
        <v>2</v>
      </c>
      <c r="L240">
        <v>0</v>
      </c>
      <c r="M240">
        <v>0</v>
      </c>
      <c r="N240">
        <v>46.7</v>
      </c>
      <c r="O240">
        <v>45</v>
      </c>
      <c r="P240">
        <v>30</v>
      </c>
      <c r="Q240">
        <v>8</v>
      </c>
      <c r="R240">
        <v>42</v>
      </c>
      <c r="S240">
        <v>22</v>
      </c>
      <c r="T240">
        <v>5.79</v>
      </c>
      <c r="U240">
        <v>5.12</v>
      </c>
      <c r="V240">
        <v>1.44</v>
      </c>
      <c r="W240">
        <v>0.28699999999999998</v>
      </c>
      <c r="X240">
        <v>67</v>
      </c>
      <c r="Y240">
        <f t="shared" si="18"/>
        <v>1.9090909090909092</v>
      </c>
      <c r="Z240">
        <f t="shared" si="19"/>
        <v>4.2</v>
      </c>
      <c r="AA240" s="176">
        <f t="shared" si="20"/>
        <v>0.3</v>
      </c>
      <c r="AB240" s="192">
        <f t="shared" si="21"/>
        <v>0.899357601713062</v>
      </c>
    </row>
    <row r="241" spans="2:28" x14ac:dyDescent="0.3">
      <c r="B241" t="s">
        <v>886</v>
      </c>
      <c r="C241" t="s">
        <v>221</v>
      </c>
      <c r="D241" t="s">
        <v>1623</v>
      </c>
      <c r="E241" t="s">
        <v>1623</v>
      </c>
      <c r="F241">
        <v>-9.1</v>
      </c>
      <c r="G241">
        <v>10</v>
      </c>
      <c r="H241">
        <v>8</v>
      </c>
      <c r="I241">
        <v>1</v>
      </c>
      <c r="J241">
        <v>3</v>
      </c>
      <c r="K241">
        <v>3</v>
      </c>
      <c r="L241">
        <v>0</v>
      </c>
      <c r="M241">
        <v>0</v>
      </c>
      <c r="N241">
        <v>45.3</v>
      </c>
      <c r="O241">
        <v>47</v>
      </c>
      <c r="P241">
        <v>31</v>
      </c>
      <c r="Q241">
        <v>10</v>
      </c>
      <c r="R241">
        <v>48</v>
      </c>
      <c r="S241">
        <v>19</v>
      </c>
      <c r="T241">
        <v>6.15</v>
      </c>
      <c r="U241">
        <v>5.48</v>
      </c>
      <c r="V241">
        <v>1.46</v>
      </c>
      <c r="W241">
        <v>0.30099999999999999</v>
      </c>
      <c r="X241">
        <v>5</v>
      </c>
      <c r="Y241">
        <f t="shared" si="18"/>
        <v>2.5263157894736841</v>
      </c>
      <c r="Z241">
        <f t="shared" si="19"/>
        <v>6</v>
      </c>
      <c r="AA241" s="176">
        <f t="shared" si="20"/>
        <v>0.375</v>
      </c>
      <c r="AB241" s="192">
        <f t="shared" si="21"/>
        <v>1.0596026490066226</v>
      </c>
    </row>
    <row r="242" spans="2:28" x14ac:dyDescent="0.3">
      <c r="B242" t="s">
        <v>633</v>
      </c>
      <c r="C242" t="s">
        <v>221</v>
      </c>
      <c r="D242" t="s">
        <v>1624</v>
      </c>
      <c r="E242" t="s">
        <v>1624</v>
      </c>
      <c r="F242">
        <v>-9.1</v>
      </c>
      <c r="G242">
        <v>18</v>
      </c>
      <c r="H242">
        <v>0</v>
      </c>
      <c r="I242">
        <v>0</v>
      </c>
      <c r="J242">
        <v>1</v>
      </c>
      <c r="K242">
        <v>0</v>
      </c>
      <c r="L242">
        <v>0</v>
      </c>
      <c r="M242">
        <v>6</v>
      </c>
      <c r="N242">
        <v>17</v>
      </c>
      <c r="O242">
        <v>14</v>
      </c>
      <c r="P242">
        <v>4</v>
      </c>
      <c r="Q242">
        <v>1</v>
      </c>
      <c r="R242">
        <v>21</v>
      </c>
      <c r="S242">
        <v>8</v>
      </c>
      <c r="T242">
        <v>2.12</v>
      </c>
      <c r="U242">
        <v>3.16</v>
      </c>
      <c r="V242">
        <v>1.29</v>
      </c>
      <c r="W242">
        <v>0.34200000000000003</v>
      </c>
      <c r="X242">
        <v>0</v>
      </c>
      <c r="Y242">
        <f t="shared" si="18"/>
        <v>2.625</v>
      </c>
      <c r="Z242" t="str">
        <f t="shared" si="19"/>
        <v>STELLAR</v>
      </c>
      <c r="AA242" s="176" t="str">
        <f t="shared" si="20"/>
        <v>Didn't Start</v>
      </c>
      <c r="AB242" s="192">
        <f t="shared" si="21"/>
        <v>1.2352941176470589</v>
      </c>
    </row>
    <row r="243" spans="2:28" x14ac:dyDescent="0.3">
      <c r="B243" t="s">
        <v>623</v>
      </c>
      <c r="C243" t="s">
        <v>1524</v>
      </c>
      <c r="D243" t="s">
        <v>1624</v>
      </c>
      <c r="E243" t="s">
        <v>1624</v>
      </c>
      <c r="F243">
        <v>-9.1999999999999993</v>
      </c>
      <c r="G243">
        <v>22</v>
      </c>
      <c r="H243">
        <v>0</v>
      </c>
      <c r="I243">
        <v>0</v>
      </c>
      <c r="J243">
        <v>1</v>
      </c>
      <c r="K243">
        <v>2</v>
      </c>
      <c r="L243">
        <v>1</v>
      </c>
      <c r="M243">
        <v>9</v>
      </c>
      <c r="N243">
        <v>20.7</v>
      </c>
      <c r="O243">
        <v>16</v>
      </c>
      <c r="P243">
        <v>5</v>
      </c>
      <c r="Q243">
        <v>1</v>
      </c>
      <c r="R243">
        <v>14</v>
      </c>
      <c r="S243">
        <v>10</v>
      </c>
      <c r="T243">
        <v>2.1800000000000002</v>
      </c>
      <c r="U243">
        <v>4.1500000000000004</v>
      </c>
      <c r="V243">
        <v>1.26</v>
      </c>
      <c r="W243">
        <v>0.24199999999999999</v>
      </c>
      <c r="X243">
        <v>0</v>
      </c>
      <c r="Y243">
        <f t="shared" si="18"/>
        <v>1.4</v>
      </c>
      <c r="Z243" t="str">
        <f t="shared" si="19"/>
        <v>STELLAR</v>
      </c>
      <c r="AA243" s="176" t="str">
        <f t="shared" si="20"/>
        <v>Didn't Start</v>
      </c>
      <c r="AB243" s="192">
        <f t="shared" si="21"/>
        <v>0.67632850241545894</v>
      </c>
    </row>
    <row r="244" spans="2:28" x14ac:dyDescent="0.3">
      <c r="B244" t="s">
        <v>3053</v>
      </c>
      <c r="C244" t="s">
        <v>339</v>
      </c>
      <c r="D244" t="s">
        <v>1624</v>
      </c>
      <c r="E244" t="s">
        <v>1624</v>
      </c>
      <c r="F244">
        <v>-9.1999999999999993</v>
      </c>
      <c r="G244">
        <v>16</v>
      </c>
      <c r="H244">
        <v>0</v>
      </c>
      <c r="I244">
        <v>0</v>
      </c>
      <c r="J244">
        <v>0</v>
      </c>
      <c r="K244">
        <v>0</v>
      </c>
      <c r="L244">
        <v>0</v>
      </c>
      <c r="M244">
        <v>3</v>
      </c>
      <c r="N244">
        <v>16.3</v>
      </c>
      <c r="O244">
        <v>7</v>
      </c>
      <c r="P244">
        <v>5</v>
      </c>
      <c r="Q244">
        <v>3</v>
      </c>
      <c r="R244">
        <v>19</v>
      </c>
      <c r="S244">
        <v>5</v>
      </c>
      <c r="T244">
        <v>2.76</v>
      </c>
      <c r="U244">
        <v>4.4400000000000004</v>
      </c>
      <c r="V244">
        <v>0.73</v>
      </c>
      <c r="W244">
        <v>0.121</v>
      </c>
      <c r="X244">
        <v>0</v>
      </c>
      <c r="Y244">
        <f t="shared" si="18"/>
        <v>3.8</v>
      </c>
      <c r="Z244" t="str">
        <f t="shared" si="19"/>
        <v>STELLAR</v>
      </c>
      <c r="AA244" s="176" t="str">
        <f t="shared" si="20"/>
        <v>Didn't Start</v>
      </c>
      <c r="AB244" s="192">
        <f t="shared" si="21"/>
        <v>1.165644171779141</v>
      </c>
    </row>
    <row r="245" spans="2:28" x14ac:dyDescent="0.3">
      <c r="B245" t="s">
        <v>782</v>
      </c>
      <c r="C245" t="s">
        <v>255</v>
      </c>
      <c r="D245" t="s">
        <v>1623</v>
      </c>
      <c r="E245" t="s">
        <v>1623</v>
      </c>
      <c r="F245">
        <v>-9.1999999999999993</v>
      </c>
      <c r="G245">
        <v>10</v>
      </c>
      <c r="H245">
        <v>10</v>
      </c>
      <c r="I245">
        <v>3</v>
      </c>
      <c r="J245">
        <v>3</v>
      </c>
      <c r="K245">
        <v>4</v>
      </c>
      <c r="L245">
        <v>0</v>
      </c>
      <c r="M245">
        <v>0</v>
      </c>
      <c r="N245">
        <v>51</v>
      </c>
      <c r="O245">
        <v>48</v>
      </c>
      <c r="P245">
        <v>30</v>
      </c>
      <c r="Q245">
        <v>6</v>
      </c>
      <c r="R245">
        <v>54</v>
      </c>
      <c r="S245">
        <v>33</v>
      </c>
      <c r="T245">
        <v>5.29</v>
      </c>
      <c r="U245">
        <v>4.87</v>
      </c>
      <c r="V245">
        <v>1.59</v>
      </c>
      <c r="W245">
        <v>0.34399999999999997</v>
      </c>
      <c r="X245">
        <v>94</v>
      </c>
      <c r="Y245">
        <f t="shared" si="18"/>
        <v>1.6363636363636365</v>
      </c>
      <c r="Z245">
        <f t="shared" si="19"/>
        <v>5.4</v>
      </c>
      <c r="AA245" s="176">
        <f t="shared" si="20"/>
        <v>0.3</v>
      </c>
      <c r="AB245" s="192">
        <f t="shared" si="21"/>
        <v>1.0588235294117647</v>
      </c>
    </row>
    <row r="246" spans="2:28" x14ac:dyDescent="0.3">
      <c r="B246" t="s">
        <v>975</v>
      </c>
      <c r="C246" t="s">
        <v>286</v>
      </c>
      <c r="D246" t="s">
        <v>1624</v>
      </c>
      <c r="E246" t="s">
        <v>1624</v>
      </c>
      <c r="F246">
        <v>-9.3000000000000007</v>
      </c>
      <c r="G246">
        <v>24</v>
      </c>
      <c r="H246">
        <v>0</v>
      </c>
      <c r="I246">
        <v>0</v>
      </c>
      <c r="J246">
        <v>0</v>
      </c>
      <c r="K246">
        <v>4</v>
      </c>
      <c r="L246">
        <v>1</v>
      </c>
      <c r="M246">
        <v>10</v>
      </c>
      <c r="N246">
        <v>25.7</v>
      </c>
      <c r="O246">
        <v>15</v>
      </c>
      <c r="P246">
        <v>11</v>
      </c>
      <c r="Q246">
        <v>5</v>
      </c>
      <c r="R246">
        <v>26</v>
      </c>
      <c r="S246">
        <v>10</v>
      </c>
      <c r="T246">
        <v>3.86</v>
      </c>
      <c r="U246">
        <v>5.07</v>
      </c>
      <c r="V246">
        <v>0.97</v>
      </c>
      <c r="W246">
        <v>0.16400000000000001</v>
      </c>
      <c r="X246">
        <v>1</v>
      </c>
      <c r="Y246">
        <f t="shared" si="18"/>
        <v>2.6</v>
      </c>
      <c r="Z246" t="str">
        <f t="shared" si="19"/>
        <v>STELLAR</v>
      </c>
      <c r="AA246" s="176" t="str">
        <f t="shared" si="20"/>
        <v>Didn't Start</v>
      </c>
      <c r="AB246" s="192">
        <f t="shared" si="21"/>
        <v>1.0116731517509727</v>
      </c>
    </row>
    <row r="247" spans="2:28" x14ac:dyDescent="0.3">
      <c r="B247" t="s">
        <v>855</v>
      </c>
      <c r="C247" t="s">
        <v>311</v>
      </c>
      <c r="D247" t="s">
        <v>1624</v>
      </c>
      <c r="E247" t="s">
        <v>1624</v>
      </c>
      <c r="F247">
        <v>-9.3000000000000007</v>
      </c>
      <c r="G247">
        <v>24</v>
      </c>
      <c r="H247">
        <v>0</v>
      </c>
      <c r="I247">
        <v>0</v>
      </c>
      <c r="J247">
        <v>1</v>
      </c>
      <c r="K247">
        <v>3</v>
      </c>
      <c r="L247">
        <v>1</v>
      </c>
      <c r="M247">
        <v>8</v>
      </c>
      <c r="N247">
        <v>21.3</v>
      </c>
      <c r="O247">
        <v>13</v>
      </c>
      <c r="P247">
        <v>11</v>
      </c>
      <c r="Q247">
        <v>1</v>
      </c>
      <c r="R247">
        <v>26</v>
      </c>
      <c r="S247">
        <v>11</v>
      </c>
      <c r="T247">
        <v>4.6399999999999997</v>
      </c>
      <c r="U247">
        <v>3.14</v>
      </c>
      <c r="V247">
        <v>1.1299999999999999</v>
      </c>
      <c r="W247">
        <v>0.24</v>
      </c>
      <c r="X247">
        <v>13</v>
      </c>
      <c r="Y247">
        <f t="shared" ref="Y247:Y310" si="22">IFERROR(R247/S247,"STELLAR")</f>
        <v>2.3636363636363638</v>
      </c>
      <c r="Z247" t="str">
        <f t="shared" ref="Z247:Z310" si="23">IFERROR(R247/H247,"STELLAR")</f>
        <v>STELLAR</v>
      </c>
      <c r="AA247" s="176" t="str">
        <f t="shared" ref="AA247:AA310" si="24">IFERROR(J247/H247,"Didn't Start")</f>
        <v>Didn't Start</v>
      </c>
      <c r="AB247" s="192">
        <f t="shared" si="21"/>
        <v>1.220657276995305</v>
      </c>
    </row>
    <row r="248" spans="2:28" x14ac:dyDescent="0.3">
      <c r="B248" t="s">
        <v>207</v>
      </c>
      <c r="C248" t="s">
        <v>243</v>
      </c>
      <c r="D248" t="s">
        <v>1623</v>
      </c>
      <c r="E248" t="s">
        <v>1623</v>
      </c>
      <c r="F248">
        <v>-9.4</v>
      </c>
      <c r="G248">
        <v>10</v>
      </c>
      <c r="H248">
        <v>10</v>
      </c>
      <c r="I248">
        <v>4</v>
      </c>
      <c r="J248">
        <v>3</v>
      </c>
      <c r="K248">
        <v>5</v>
      </c>
      <c r="L248">
        <v>0</v>
      </c>
      <c r="M248">
        <v>0</v>
      </c>
      <c r="N248">
        <v>57.3</v>
      </c>
      <c r="O248">
        <v>65</v>
      </c>
      <c r="P248">
        <v>40</v>
      </c>
      <c r="Q248">
        <v>12</v>
      </c>
      <c r="R248">
        <v>67</v>
      </c>
      <c r="S248">
        <v>19</v>
      </c>
      <c r="T248">
        <v>6.28</v>
      </c>
      <c r="U248">
        <v>4.71</v>
      </c>
      <c r="V248">
        <v>1.47</v>
      </c>
      <c r="W248">
        <v>0.34599999999999997</v>
      </c>
      <c r="X248">
        <v>100</v>
      </c>
      <c r="Y248">
        <f t="shared" si="22"/>
        <v>3.5263157894736841</v>
      </c>
      <c r="Z248">
        <f t="shared" si="23"/>
        <v>6.7</v>
      </c>
      <c r="AA248" s="176">
        <f t="shared" si="24"/>
        <v>0.3</v>
      </c>
      <c r="AB248" s="192">
        <f t="shared" si="21"/>
        <v>1.1692844677137872</v>
      </c>
    </row>
    <row r="249" spans="2:28" x14ac:dyDescent="0.3">
      <c r="B249" t="s">
        <v>813</v>
      </c>
      <c r="C249" t="s">
        <v>244</v>
      </c>
      <c r="D249" t="s">
        <v>1623</v>
      </c>
      <c r="E249" t="s">
        <v>1623</v>
      </c>
      <c r="F249">
        <v>-9.4</v>
      </c>
      <c r="G249">
        <v>9</v>
      </c>
      <c r="H249">
        <v>9</v>
      </c>
      <c r="I249">
        <v>4</v>
      </c>
      <c r="J249">
        <v>4</v>
      </c>
      <c r="K249">
        <v>1</v>
      </c>
      <c r="L249">
        <v>0</v>
      </c>
      <c r="M249">
        <v>0</v>
      </c>
      <c r="N249">
        <v>44.3</v>
      </c>
      <c r="O249">
        <v>52</v>
      </c>
      <c r="P249">
        <v>28</v>
      </c>
      <c r="Q249">
        <v>5</v>
      </c>
      <c r="R249">
        <v>30</v>
      </c>
      <c r="S249">
        <v>15</v>
      </c>
      <c r="T249">
        <v>5.68</v>
      </c>
      <c r="U249">
        <v>4.41</v>
      </c>
      <c r="V249">
        <v>1.51</v>
      </c>
      <c r="W249">
        <v>0.33100000000000002</v>
      </c>
      <c r="X249">
        <v>23</v>
      </c>
      <c r="Y249">
        <f t="shared" si="22"/>
        <v>2</v>
      </c>
      <c r="Z249">
        <f t="shared" si="23"/>
        <v>3.3333333333333335</v>
      </c>
      <c r="AA249" s="176">
        <f t="shared" si="24"/>
        <v>0.44444444444444442</v>
      </c>
      <c r="AB249" s="192">
        <f t="shared" si="21"/>
        <v>0.67720090293453727</v>
      </c>
    </row>
    <row r="250" spans="2:28" x14ac:dyDescent="0.3">
      <c r="B250" t="s">
        <v>3187</v>
      </c>
      <c r="C250" t="s">
        <v>224</v>
      </c>
      <c r="D250" t="s">
        <v>1623</v>
      </c>
      <c r="E250" t="s">
        <v>1623</v>
      </c>
      <c r="F250">
        <v>-9.4</v>
      </c>
      <c r="G250">
        <v>5</v>
      </c>
      <c r="H250">
        <v>4</v>
      </c>
      <c r="I250">
        <v>1</v>
      </c>
      <c r="J250">
        <v>1</v>
      </c>
      <c r="K250">
        <v>2</v>
      </c>
      <c r="L250">
        <v>0</v>
      </c>
      <c r="M250">
        <v>0</v>
      </c>
      <c r="N250">
        <v>25.3</v>
      </c>
      <c r="O250">
        <v>30</v>
      </c>
      <c r="P250">
        <v>10</v>
      </c>
      <c r="Q250">
        <v>6</v>
      </c>
      <c r="R250">
        <v>22</v>
      </c>
      <c r="S250">
        <v>9</v>
      </c>
      <c r="T250">
        <v>3.55</v>
      </c>
      <c r="U250">
        <v>5.69</v>
      </c>
      <c r="V250">
        <v>1.54</v>
      </c>
      <c r="W250">
        <v>0.32900000000000001</v>
      </c>
      <c r="X250">
        <v>16</v>
      </c>
      <c r="Y250">
        <f t="shared" si="22"/>
        <v>2.4444444444444446</v>
      </c>
      <c r="Z250">
        <f t="shared" si="23"/>
        <v>5.5</v>
      </c>
      <c r="AA250" s="176">
        <f t="shared" si="24"/>
        <v>0.25</v>
      </c>
      <c r="AB250" s="192">
        <f t="shared" si="21"/>
        <v>0.86956521739130432</v>
      </c>
    </row>
    <row r="251" spans="2:28" x14ac:dyDescent="0.3">
      <c r="B251" t="s">
        <v>3084</v>
      </c>
      <c r="C251" t="s">
        <v>339</v>
      </c>
      <c r="D251" t="s">
        <v>1623</v>
      </c>
      <c r="E251" t="s">
        <v>1623</v>
      </c>
      <c r="F251">
        <v>-9.4</v>
      </c>
      <c r="G251">
        <v>5</v>
      </c>
      <c r="H251">
        <v>5</v>
      </c>
      <c r="I251">
        <v>1</v>
      </c>
      <c r="J251">
        <v>1</v>
      </c>
      <c r="K251">
        <v>0</v>
      </c>
      <c r="L251">
        <v>0</v>
      </c>
      <c r="M251">
        <v>0</v>
      </c>
      <c r="N251">
        <v>22.3</v>
      </c>
      <c r="O251">
        <v>22</v>
      </c>
      <c r="P251">
        <v>11</v>
      </c>
      <c r="Q251">
        <v>4</v>
      </c>
      <c r="R251">
        <v>17</v>
      </c>
      <c r="S251">
        <v>8</v>
      </c>
      <c r="T251">
        <v>4.43</v>
      </c>
      <c r="U251">
        <v>5.16</v>
      </c>
      <c r="V251">
        <v>1.34</v>
      </c>
      <c r="W251">
        <v>0.28599999999999998</v>
      </c>
      <c r="X251">
        <v>3</v>
      </c>
      <c r="Y251">
        <f t="shared" si="22"/>
        <v>2.125</v>
      </c>
      <c r="Z251">
        <f t="shared" si="23"/>
        <v>3.4</v>
      </c>
      <c r="AA251" s="176">
        <f t="shared" si="24"/>
        <v>0.2</v>
      </c>
      <c r="AB251" s="192">
        <f t="shared" si="21"/>
        <v>0.7623318385650224</v>
      </c>
    </row>
    <row r="252" spans="2:28" x14ac:dyDescent="0.3">
      <c r="B252" t="s">
        <v>708</v>
      </c>
      <c r="C252" t="s">
        <v>346</v>
      </c>
      <c r="D252" t="s">
        <v>1623</v>
      </c>
      <c r="E252" t="s">
        <v>1623</v>
      </c>
      <c r="F252">
        <v>-9.4</v>
      </c>
      <c r="G252">
        <v>2</v>
      </c>
      <c r="H252">
        <v>2</v>
      </c>
      <c r="I252">
        <v>0</v>
      </c>
      <c r="J252">
        <v>1</v>
      </c>
      <c r="K252">
        <v>1</v>
      </c>
      <c r="L252">
        <v>0</v>
      </c>
      <c r="M252">
        <v>0</v>
      </c>
      <c r="N252">
        <v>11.7</v>
      </c>
      <c r="O252">
        <v>12</v>
      </c>
      <c r="P252">
        <v>6</v>
      </c>
      <c r="Q252">
        <v>4</v>
      </c>
      <c r="R252">
        <v>7</v>
      </c>
      <c r="S252">
        <v>3</v>
      </c>
      <c r="T252">
        <v>4.63</v>
      </c>
      <c r="U252">
        <v>7.31</v>
      </c>
      <c r="V252">
        <v>1.29</v>
      </c>
      <c r="W252">
        <v>0.23499999999999999</v>
      </c>
      <c r="X252">
        <v>1</v>
      </c>
      <c r="Y252">
        <f t="shared" si="22"/>
        <v>2.3333333333333335</v>
      </c>
      <c r="Z252">
        <f t="shared" si="23"/>
        <v>3.5</v>
      </c>
      <c r="AA252" s="176">
        <f t="shared" si="24"/>
        <v>0.5</v>
      </c>
      <c r="AB252" s="192">
        <f t="shared" si="21"/>
        <v>0.59829059829059827</v>
      </c>
    </row>
    <row r="253" spans="2:28" x14ac:dyDescent="0.3">
      <c r="B253" t="s">
        <v>3173</v>
      </c>
      <c r="C253" t="s">
        <v>239</v>
      </c>
      <c r="D253" t="s">
        <v>1623</v>
      </c>
      <c r="E253" t="s">
        <v>1623</v>
      </c>
      <c r="F253">
        <v>-9.4</v>
      </c>
      <c r="G253">
        <v>3</v>
      </c>
      <c r="H253">
        <v>0</v>
      </c>
      <c r="I253">
        <v>0</v>
      </c>
      <c r="J253">
        <v>0</v>
      </c>
      <c r="K253">
        <v>0</v>
      </c>
      <c r="L253">
        <v>0</v>
      </c>
      <c r="M253">
        <v>0</v>
      </c>
      <c r="N253">
        <v>4.7</v>
      </c>
      <c r="O253">
        <v>3</v>
      </c>
      <c r="P253">
        <v>1</v>
      </c>
      <c r="Q253">
        <v>1</v>
      </c>
      <c r="R253">
        <v>2</v>
      </c>
      <c r="S253">
        <v>0</v>
      </c>
      <c r="T253">
        <v>1.93</v>
      </c>
      <c r="U253">
        <v>5.21</v>
      </c>
      <c r="V253">
        <v>0.64</v>
      </c>
      <c r="W253">
        <v>0.154</v>
      </c>
      <c r="X253">
        <v>0</v>
      </c>
      <c r="Y253" t="str">
        <f t="shared" si="22"/>
        <v>STELLAR</v>
      </c>
      <c r="Z253" t="str">
        <f t="shared" si="23"/>
        <v>STELLAR</v>
      </c>
      <c r="AA253" s="176" t="str">
        <f t="shared" si="24"/>
        <v>Didn't Start</v>
      </c>
      <c r="AB253" s="192">
        <f t="shared" si="21"/>
        <v>0.42553191489361702</v>
      </c>
    </row>
    <row r="254" spans="2:28" x14ac:dyDescent="0.3">
      <c r="B254" t="s">
        <v>655</v>
      </c>
      <c r="C254" t="s">
        <v>250</v>
      </c>
      <c r="D254" t="s">
        <v>1623</v>
      </c>
      <c r="E254" t="s">
        <v>1623</v>
      </c>
      <c r="F254">
        <v>-9.6</v>
      </c>
      <c r="G254">
        <v>13</v>
      </c>
      <c r="H254">
        <v>1</v>
      </c>
      <c r="I254">
        <v>0</v>
      </c>
      <c r="J254">
        <v>2</v>
      </c>
      <c r="K254">
        <v>0</v>
      </c>
      <c r="L254">
        <v>0</v>
      </c>
      <c r="M254">
        <v>4</v>
      </c>
      <c r="N254">
        <v>18</v>
      </c>
      <c r="O254">
        <v>26</v>
      </c>
      <c r="P254">
        <v>6</v>
      </c>
      <c r="Q254">
        <v>0</v>
      </c>
      <c r="R254">
        <v>11</v>
      </c>
      <c r="S254">
        <v>8</v>
      </c>
      <c r="T254">
        <v>3</v>
      </c>
      <c r="U254">
        <v>3.72</v>
      </c>
      <c r="V254">
        <v>1.89</v>
      </c>
      <c r="W254">
        <v>0.41299999999999998</v>
      </c>
      <c r="X254">
        <v>0</v>
      </c>
      <c r="Y254">
        <f t="shared" si="22"/>
        <v>1.375</v>
      </c>
      <c r="Z254">
        <f t="shared" si="23"/>
        <v>11</v>
      </c>
      <c r="AA254" s="176">
        <f t="shared" si="24"/>
        <v>2</v>
      </c>
      <c r="AB254" s="192">
        <f t="shared" si="21"/>
        <v>0.61111111111111116</v>
      </c>
    </row>
    <row r="255" spans="2:28" x14ac:dyDescent="0.3">
      <c r="B255" t="s">
        <v>740</v>
      </c>
      <c r="C255" t="s">
        <v>250</v>
      </c>
      <c r="D255" t="s">
        <v>1624</v>
      </c>
      <c r="E255" t="s">
        <v>1624</v>
      </c>
      <c r="F255">
        <v>-9.6</v>
      </c>
      <c r="G255">
        <v>20</v>
      </c>
      <c r="H255">
        <v>1</v>
      </c>
      <c r="I255">
        <v>0</v>
      </c>
      <c r="J255">
        <v>1</v>
      </c>
      <c r="K255">
        <v>0</v>
      </c>
      <c r="L255">
        <v>0</v>
      </c>
      <c r="M255">
        <v>6</v>
      </c>
      <c r="N255">
        <v>20.3</v>
      </c>
      <c r="O255">
        <v>18</v>
      </c>
      <c r="P255">
        <v>7</v>
      </c>
      <c r="Q255">
        <v>2</v>
      </c>
      <c r="R255">
        <v>23</v>
      </c>
      <c r="S255">
        <v>7</v>
      </c>
      <c r="T255">
        <v>3.1</v>
      </c>
      <c r="U255">
        <v>3.33</v>
      </c>
      <c r="V255">
        <v>1.23</v>
      </c>
      <c r="W255">
        <v>0.30199999999999999</v>
      </c>
      <c r="X255">
        <v>0</v>
      </c>
      <c r="Y255">
        <f t="shared" si="22"/>
        <v>3.2857142857142856</v>
      </c>
      <c r="Z255">
        <f t="shared" si="23"/>
        <v>23</v>
      </c>
      <c r="AA255" s="176">
        <f t="shared" si="24"/>
        <v>1</v>
      </c>
      <c r="AB255" s="192">
        <f t="shared" si="21"/>
        <v>1.1330049261083743</v>
      </c>
    </row>
    <row r="256" spans="2:28" x14ac:dyDescent="0.3">
      <c r="B256" t="s">
        <v>3074</v>
      </c>
      <c r="C256" t="s">
        <v>286</v>
      </c>
      <c r="D256" t="s">
        <v>1624</v>
      </c>
      <c r="E256" t="s">
        <v>1624</v>
      </c>
      <c r="F256">
        <v>-9.6999999999999993</v>
      </c>
      <c r="G256">
        <v>8</v>
      </c>
      <c r="H256">
        <v>0</v>
      </c>
      <c r="I256">
        <v>0</v>
      </c>
      <c r="J256">
        <v>1</v>
      </c>
      <c r="K256">
        <v>0</v>
      </c>
      <c r="L256">
        <v>0</v>
      </c>
      <c r="M256">
        <v>1</v>
      </c>
      <c r="N256">
        <v>7.7</v>
      </c>
      <c r="O256">
        <v>4</v>
      </c>
      <c r="P256">
        <v>2</v>
      </c>
      <c r="Q256">
        <v>1</v>
      </c>
      <c r="R256">
        <v>8</v>
      </c>
      <c r="S256">
        <v>0</v>
      </c>
      <c r="T256">
        <v>2.35</v>
      </c>
      <c r="U256">
        <v>2.89</v>
      </c>
      <c r="V256">
        <v>0.52</v>
      </c>
      <c r="W256">
        <v>0.15</v>
      </c>
      <c r="X256">
        <v>0</v>
      </c>
      <c r="Y256" t="str">
        <f t="shared" si="22"/>
        <v>STELLAR</v>
      </c>
      <c r="Z256" t="str">
        <f t="shared" si="23"/>
        <v>STELLAR</v>
      </c>
      <c r="AA256" s="176" t="str">
        <f t="shared" si="24"/>
        <v>Didn't Start</v>
      </c>
      <c r="AB256" s="192">
        <f t="shared" si="21"/>
        <v>1.0389610389610389</v>
      </c>
    </row>
    <row r="257" spans="2:28" x14ac:dyDescent="0.3">
      <c r="B257" t="s">
        <v>3344</v>
      </c>
      <c r="C257" t="s">
        <v>222</v>
      </c>
      <c r="D257" t="s">
        <v>1623</v>
      </c>
      <c r="E257" t="s">
        <v>1623</v>
      </c>
      <c r="F257">
        <v>-9.6999999999999993</v>
      </c>
      <c r="G257">
        <v>1</v>
      </c>
      <c r="H257">
        <v>1</v>
      </c>
      <c r="I257">
        <v>0</v>
      </c>
      <c r="J257">
        <v>0</v>
      </c>
      <c r="K257">
        <v>0</v>
      </c>
      <c r="L257">
        <v>0</v>
      </c>
      <c r="M257">
        <v>0</v>
      </c>
      <c r="N257">
        <v>4.7</v>
      </c>
      <c r="O257">
        <v>4</v>
      </c>
      <c r="P257">
        <v>1</v>
      </c>
      <c r="Q257">
        <v>0</v>
      </c>
      <c r="R257">
        <v>5</v>
      </c>
      <c r="S257">
        <v>1</v>
      </c>
      <c r="T257">
        <v>1.93</v>
      </c>
      <c r="U257">
        <v>1.78</v>
      </c>
      <c r="V257">
        <v>1.07</v>
      </c>
      <c r="W257">
        <v>0.308</v>
      </c>
      <c r="X257">
        <v>100</v>
      </c>
      <c r="Y257">
        <f t="shared" si="22"/>
        <v>5</v>
      </c>
      <c r="Z257">
        <f t="shared" si="23"/>
        <v>5</v>
      </c>
      <c r="AA257" s="176">
        <f t="shared" si="24"/>
        <v>0</v>
      </c>
      <c r="AB257" s="192">
        <f t="shared" si="21"/>
        <v>1.0638297872340425</v>
      </c>
    </row>
    <row r="258" spans="2:28" x14ac:dyDescent="0.3">
      <c r="B258" t="s">
        <v>868</v>
      </c>
      <c r="C258" t="s">
        <v>1520</v>
      </c>
      <c r="D258" t="s">
        <v>1624</v>
      </c>
      <c r="E258" t="s">
        <v>1624</v>
      </c>
      <c r="F258">
        <v>-9.8000000000000007</v>
      </c>
      <c r="G258">
        <v>21</v>
      </c>
      <c r="H258">
        <v>1</v>
      </c>
      <c r="I258">
        <v>0</v>
      </c>
      <c r="J258">
        <v>1</v>
      </c>
      <c r="K258">
        <v>0</v>
      </c>
      <c r="L258">
        <v>0</v>
      </c>
      <c r="M258">
        <v>5</v>
      </c>
      <c r="N258">
        <v>23.7</v>
      </c>
      <c r="O258">
        <v>23</v>
      </c>
      <c r="P258">
        <v>9</v>
      </c>
      <c r="Q258">
        <v>3</v>
      </c>
      <c r="R258">
        <v>29</v>
      </c>
      <c r="S258">
        <v>8</v>
      </c>
      <c r="T258">
        <v>3.42</v>
      </c>
      <c r="U258">
        <v>3.62</v>
      </c>
      <c r="V258">
        <v>1.31</v>
      </c>
      <c r="W258">
        <v>0.33900000000000002</v>
      </c>
      <c r="X258">
        <v>0</v>
      </c>
      <c r="Y258">
        <f t="shared" si="22"/>
        <v>3.625</v>
      </c>
      <c r="Z258">
        <f t="shared" si="23"/>
        <v>29</v>
      </c>
      <c r="AA258" s="176">
        <f t="shared" si="24"/>
        <v>1</v>
      </c>
      <c r="AB258" s="192">
        <f t="shared" si="21"/>
        <v>1.2236286919831223</v>
      </c>
    </row>
    <row r="259" spans="2:28" x14ac:dyDescent="0.3">
      <c r="B259" t="s">
        <v>3128</v>
      </c>
      <c r="C259" t="s">
        <v>286</v>
      </c>
      <c r="D259" t="s">
        <v>1623</v>
      </c>
      <c r="E259" t="s">
        <v>1623</v>
      </c>
      <c r="F259">
        <v>-9.8000000000000007</v>
      </c>
      <c r="G259">
        <v>6</v>
      </c>
      <c r="H259">
        <v>6</v>
      </c>
      <c r="I259">
        <v>2</v>
      </c>
      <c r="J259">
        <v>2</v>
      </c>
      <c r="K259">
        <v>1</v>
      </c>
      <c r="L259">
        <v>0</v>
      </c>
      <c r="M259">
        <v>0</v>
      </c>
      <c r="N259">
        <v>32.700000000000003</v>
      </c>
      <c r="O259">
        <v>32</v>
      </c>
      <c r="P259">
        <v>17</v>
      </c>
      <c r="Q259">
        <v>6</v>
      </c>
      <c r="R259">
        <v>18</v>
      </c>
      <c r="S259">
        <v>14</v>
      </c>
      <c r="T259">
        <v>4.68</v>
      </c>
      <c r="U259">
        <v>5.94</v>
      </c>
      <c r="V259">
        <v>1.41</v>
      </c>
      <c r="W259">
        <v>0.26300000000000001</v>
      </c>
      <c r="X259">
        <v>1</v>
      </c>
      <c r="Y259">
        <f t="shared" si="22"/>
        <v>1.2857142857142858</v>
      </c>
      <c r="Z259">
        <f t="shared" si="23"/>
        <v>3</v>
      </c>
      <c r="AA259" s="176">
        <f t="shared" si="24"/>
        <v>0.33333333333333331</v>
      </c>
      <c r="AB259" s="192">
        <f t="shared" ref="AB259:AB299" si="25">R259/N259</f>
        <v>0.55045871559633019</v>
      </c>
    </row>
    <row r="260" spans="2:28" x14ac:dyDescent="0.3">
      <c r="B260" t="s">
        <v>183</v>
      </c>
      <c r="C260" t="s">
        <v>270</v>
      </c>
      <c r="D260" t="s">
        <v>1623</v>
      </c>
      <c r="E260" t="s">
        <v>1623</v>
      </c>
      <c r="F260">
        <v>-9.9</v>
      </c>
      <c r="G260">
        <v>10</v>
      </c>
      <c r="H260">
        <v>10</v>
      </c>
      <c r="I260">
        <v>3</v>
      </c>
      <c r="J260">
        <v>0</v>
      </c>
      <c r="K260">
        <v>4</v>
      </c>
      <c r="L260">
        <v>0</v>
      </c>
      <c r="M260">
        <v>0</v>
      </c>
      <c r="N260">
        <v>50</v>
      </c>
      <c r="O260">
        <v>55</v>
      </c>
      <c r="P260">
        <v>26</v>
      </c>
      <c r="Q260">
        <v>8</v>
      </c>
      <c r="R260">
        <v>69</v>
      </c>
      <c r="S260">
        <v>20</v>
      </c>
      <c r="T260">
        <v>4.68</v>
      </c>
      <c r="U260">
        <v>3.98</v>
      </c>
      <c r="V260">
        <v>1.5</v>
      </c>
      <c r="W260">
        <v>0.36699999999999999</v>
      </c>
      <c r="X260">
        <v>100</v>
      </c>
      <c r="Y260">
        <f t="shared" si="22"/>
        <v>3.45</v>
      </c>
      <c r="Z260">
        <f t="shared" si="23"/>
        <v>6.9</v>
      </c>
      <c r="AA260" s="176">
        <f t="shared" si="24"/>
        <v>0</v>
      </c>
      <c r="AB260" s="192">
        <f t="shared" si="25"/>
        <v>1.38</v>
      </c>
    </row>
    <row r="261" spans="2:28" x14ac:dyDescent="0.3">
      <c r="B261" t="s">
        <v>815</v>
      </c>
      <c r="C261" t="s">
        <v>339</v>
      </c>
      <c r="D261" t="s">
        <v>1624</v>
      </c>
      <c r="E261" t="s">
        <v>1624</v>
      </c>
      <c r="F261">
        <v>-10</v>
      </c>
      <c r="G261">
        <v>20</v>
      </c>
      <c r="H261">
        <v>0</v>
      </c>
      <c r="I261">
        <v>0</v>
      </c>
      <c r="J261">
        <v>0</v>
      </c>
      <c r="K261">
        <v>2</v>
      </c>
      <c r="L261">
        <v>4</v>
      </c>
      <c r="M261">
        <v>5</v>
      </c>
      <c r="N261">
        <v>18.7</v>
      </c>
      <c r="O261">
        <v>15</v>
      </c>
      <c r="P261">
        <v>10</v>
      </c>
      <c r="Q261">
        <v>3</v>
      </c>
      <c r="R261">
        <v>19</v>
      </c>
      <c r="S261">
        <v>5</v>
      </c>
      <c r="T261">
        <v>4.82</v>
      </c>
      <c r="U261">
        <v>4.62</v>
      </c>
      <c r="V261">
        <v>1.07</v>
      </c>
      <c r="W261">
        <v>0.25</v>
      </c>
      <c r="X261">
        <v>46</v>
      </c>
      <c r="Y261">
        <f t="shared" si="22"/>
        <v>3.8</v>
      </c>
      <c r="Z261" t="str">
        <f t="shared" si="23"/>
        <v>STELLAR</v>
      </c>
      <c r="AA261" s="176" t="str">
        <f t="shared" si="24"/>
        <v>Didn't Start</v>
      </c>
      <c r="AB261" s="192">
        <f t="shared" si="25"/>
        <v>1.0160427807486632</v>
      </c>
    </row>
    <row r="262" spans="2:28" x14ac:dyDescent="0.3">
      <c r="B262" t="s">
        <v>909</v>
      </c>
      <c r="C262" t="s">
        <v>251</v>
      </c>
      <c r="D262" t="s">
        <v>1624</v>
      </c>
      <c r="E262" t="s">
        <v>1624</v>
      </c>
      <c r="F262">
        <v>-10</v>
      </c>
      <c r="G262">
        <v>24</v>
      </c>
      <c r="H262">
        <v>0</v>
      </c>
      <c r="I262">
        <v>0</v>
      </c>
      <c r="J262">
        <v>1</v>
      </c>
      <c r="K262">
        <v>4</v>
      </c>
      <c r="L262">
        <v>0</v>
      </c>
      <c r="M262">
        <v>9</v>
      </c>
      <c r="N262">
        <v>21.7</v>
      </c>
      <c r="O262">
        <v>13</v>
      </c>
      <c r="P262">
        <v>11</v>
      </c>
      <c r="Q262">
        <v>6</v>
      </c>
      <c r="R262">
        <v>31</v>
      </c>
      <c r="S262">
        <v>13</v>
      </c>
      <c r="T262">
        <v>4.57</v>
      </c>
      <c r="U262">
        <v>6.09</v>
      </c>
      <c r="V262">
        <v>1.2</v>
      </c>
      <c r="W262">
        <v>0.17899999999999999</v>
      </c>
      <c r="X262">
        <v>2</v>
      </c>
      <c r="Y262">
        <f t="shared" si="22"/>
        <v>2.3846153846153846</v>
      </c>
      <c r="Z262" t="str">
        <f t="shared" si="23"/>
        <v>STELLAR</v>
      </c>
      <c r="AA262" s="176" t="str">
        <f t="shared" si="24"/>
        <v>Didn't Start</v>
      </c>
      <c r="AB262" s="192">
        <f t="shared" si="25"/>
        <v>1.4285714285714286</v>
      </c>
    </row>
    <row r="263" spans="2:28" x14ac:dyDescent="0.3">
      <c r="B263" t="s">
        <v>165</v>
      </c>
      <c r="C263" t="s">
        <v>251</v>
      </c>
      <c r="D263" t="s">
        <v>1623</v>
      </c>
      <c r="E263" t="s">
        <v>1623</v>
      </c>
      <c r="F263">
        <v>-10</v>
      </c>
      <c r="G263">
        <v>6</v>
      </c>
      <c r="H263">
        <v>5</v>
      </c>
      <c r="I263">
        <v>2</v>
      </c>
      <c r="J263">
        <v>1</v>
      </c>
      <c r="K263">
        <v>1</v>
      </c>
      <c r="L263">
        <v>0</v>
      </c>
      <c r="M263">
        <v>0</v>
      </c>
      <c r="N263">
        <v>25.7</v>
      </c>
      <c r="O263">
        <v>24</v>
      </c>
      <c r="P263">
        <v>15</v>
      </c>
      <c r="Q263">
        <v>1</v>
      </c>
      <c r="R263">
        <v>17</v>
      </c>
      <c r="S263">
        <v>7</v>
      </c>
      <c r="T263">
        <v>5.26</v>
      </c>
      <c r="U263">
        <v>3.63</v>
      </c>
      <c r="V263">
        <v>1.21</v>
      </c>
      <c r="W263">
        <v>0.28799999999999998</v>
      </c>
      <c r="X263">
        <v>1</v>
      </c>
      <c r="Y263">
        <f t="shared" si="22"/>
        <v>2.4285714285714284</v>
      </c>
      <c r="Z263">
        <f t="shared" si="23"/>
        <v>3.4</v>
      </c>
      <c r="AA263" s="176">
        <f t="shared" si="24"/>
        <v>0.2</v>
      </c>
      <c r="AB263" s="192">
        <f t="shared" si="25"/>
        <v>0.66147859922178986</v>
      </c>
    </row>
    <row r="264" spans="2:28" x14ac:dyDescent="0.3">
      <c r="B264" t="s">
        <v>3269</v>
      </c>
      <c r="C264" t="s">
        <v>250</v>
      </c>
      <c r="D264" t="s">
        <v>1624</v>
      </c>
      <c r="E264" t="s">
        <v>1624</v>
      </c>
      <c r="F264">
        <v>-10.1</v>
      </c>
      <c r="G264">
        <v>8</v>
      </c>
      <c r="H264">
        <v>0</v>
      </c>
      <c r="I264">
        <v>0</v>
      </c>
      <c r="J264">
        <v>1</v>
      </c>
      <c r="K264">
        <v>1</v>
      </c>
      <c r="L264">
        <v>3</v>
      </c>
      <c r="M264">
        <v>0</v>
      </c>
      <c r="N264">
        <v>7.3</v>
      </c>
      <c r="O264">
        <v>7</v>
      </c>
      <c r="P264">
        <v>4</v>
      </c>
      <c r="Q264">
        <v>1</v>
      </c>
      <c r="R264">
        <v>9</v>
      </c>
      <c r="S264">
        <v>2</v>
      </c>
      <c r="T264">
        <v>4.91</v>
      </c>
      <c r="U264">
        <v>3.41</v>
      </c>
      <c r="V264">
        <v>1.23</v>
      </c>
      <c r="W264">
        <v>0.316</v>
      </c>
      <c r="X264">
        <v>100</v>
      </c>
      <c r="Y264">
        <f t="shared" si="22"/>
        <v>4.5</v>
      </c>
      <c r="Z264" t="str">
        <f t="shared" si="23"/>
        <v>STELLAR</v>
      </c>
      <c r="AA264" s="176" t="str">
        <f t="shared" si="24"/>
        <v>Didn't Start</v>
      </c>
      <c r="AB264" s="192">
        <f t="shared" si="25"/>
        <v>1.2328767123287672</v>
      </c>
    </row>
    <row r="265" spans="2:28" x14ac:dyDescent="0.3">
      <c r="B265" t="s">
        <v>3260</v>
      </c>
      <c r="C265" t="s">
        <v>1520</v>
      </c>
      <c r="D265" t="s">
        <v>1623</v>
      </c>
      <c r="E265" t="s">
        <v>1623</v>
      </c>
      <c r="F265">
        <v>-10.1</v>
      </c>
      <c r="G265">
        <v>1</v>
      </c>
      <c r="H265">
        <v>0</v>
      </c>
      <c r="I265">
        <v>0</v>
      </c>
      <c r="J265">
        <v>0</v>
      </c>
      <c r="K265">
        <v>0</v>
      </c>
      <c r="L265">
        <v>0</v>
      </c>
      <c r="M265">
        <v>0</v>
      </c>
      <c r="N265">
        <v>2</v>
      </c>
      <c r="O265">
        <v>0</v>
      </c>
      <c r="P265">
        <v>0</v>
      </c>
      <c r="Q265">
        <v>0</v>
      </c>
      <c r="R265">
        <v>1</v>
      </c>
      <c r="S265">
        <v>1</v>
      </c>
      <c r="T265">
        <v>0</v>
      </c>
      <c r="U265">
        <v>3.78</v>
      </c>
      <c r="V265">
        <v>0.5</v>
      </c>
      <c r="W265">
        <v>0</v>
      </c>
      <c r="X265">
        <v>0</v>
      </c>
      <c r="Y265">
        <f t="shared" si="22"/>
        <v>1</v>
      </c>
      <c r="Z265" t="str">
        <f t="shared" si="23"/>
        <v>STELLAR</v>
      </c>
      <c r="AA265" s="176" t="str">
        <f t="shared" si="24"/>
        <v>Didn't Start</v>
      </c>
      <c r="AB265" s="192">
        <f t="shared" si="25"/>
        <v>0.5</v>
      </c>
    </row>
    <row r="266" spans="2:28" x14ac:dyDescent="0.3">
      <c r="B266" t="s">
        <v>617</v>
      </c>
      <c r="C266" t="s">
        <v>1522</v>
      </c>
      <c r="D266" t="s">
        <v>1624</v>
      </c>
      <c r="E266" t="s">
        <v>1624</v>
      </c>
      <c r="F266">
        <v>-10.199999999999999</v>
      </c>
      <c r="G266">
        <v>15</v>
      </c>
      <c r="H266">
        <v>0</v>
      </c>
      <c r="I266">
        <v>0</v>
      </c>
      <c r="J266">
        <v>1</v>
      </c>
      <c r="K266">
        <v>0</v>
      </c>
      <c r="L266">
        <v>0</v>
      </c>
      <c r="M266">
        <v>0</v>
      </c>
      <c r="N266">
        <v>12</v>
      </c>
      <c r="O266">
        <v>6</v>
      </c>
      <c r="P266">
        <v>4</v>
      </c>
      <c r="Q266">
        <v>2</v>
      </c>
      <c r="R266">
        <v>14</v>
      </c>
      <c r="S266">
        <v>6</v>
      </c>
      <c r="T266">
        <v>3</v>
      </c>
      <c r="U266">
        <v>4.8600000000000003</v>
      </c>
      <c r="V266">
        <v>1</v>
      </c>
      <c r="W266">
        <v>0.16</v>
      </c>
      <c r="X266">
        <v>0</v>
      </c>
      <c r="Y266">
        <f t="shared" si="22"/>
        <v>2.3333333333333335</v>
      </c>
      <c r="Z266" t="str">
        <f t="shared" si="23"/>
        <v>STELLAR</v>
      </c>
      <c r="AA266" s="176" t="str">
        <f t="shared" si="24"/>
        <v>Didn't Start</v>
      </c>
      <c r="AB266" s="192">
        <f t="shared" si="25"/>
        <v>1.1666666666666667</v>
      </c>
    </row>
    <row r="267" spans="2:28" x14ac:dyDescent="0.3">
      <c r="B267" t="s">
        <v>335</v>
      </c>
      <c r="C267" t="s">
        <v>222</v>
      </c>
      <c r="D267" t="s">
        <v>1623</v>
      </c>
      <c r="E267" t="s">
        <v>1623</v>
      </c>
      <c r="F267">
        <v>-10.199999999999999</v>
      </c>
      <c r="G267">
        <v>10</v>
      </c>
      <c r="H267">
        <v>9</v>
      </c>
      <c r="I267">
        <v>0</v>
      </c>
      <c r="J267">
        <v>3</v>
      </c>
      <c r="K267">
        <v>3</v>
      </c>
      <c r="L267">
        <v>0</v>
      </c>
      <c r="M267">
        <v>0</v>
      </c>
      <c r="N267">
        <v>40.299999999999997</v>
      </c>
      <c r="O267">
        <v>42</v>
      </c>
      <c r="P267">
        <v>25</v>
      </c>
      <c r="Q267">
        <v>7</v>
      </c>
      <c r="R267">
        <v>30</v>
      </c>
      <c r="S267">
        <v>18</v>
      </c>
      <c r="T267">
        <v>5.58</v>
      </c>
      <c r="U267">
        <v>5.53</v>
      </c>
      <c r="V267">
        <v>1.49</v>
      </c>
      <c r="W267">
        <v>0.29199999999999998</v>
      </c>
      <c r="X267">
        <v>3</v>
      </c>
      <c r="Y267">
        <f t="shared" si="22"/>
        <v>1.6666666666666667</v>
      </c>
      <c r="Z267">
        <f t="shared" si="23"/>
        <v>3.3333333333333335</v>
      </c>
      <c r="AA267" s="176">
        <f t="shared" si="24"/>
        <v>0.33333333333333331</v>
      </c>
      <c r="AB267" s="192">
        <f t="shared" si="25"/>
        <v>0.74441687344913154</v>
      </c>
    </row>
    <row r="268" spans="2:28" x14ac:dyDescent="0.3">
      <c r="B268" t="s">
        <v>601</v>
      </c>
      <c r="C268" t="s">
        <v>231</v>
      </c>
      <c r="D268" t="s">
        <v>1624</v>
      </c>
      <c r="E268" t="s">
        <v>1624</v>
      </c>
      <c r="F268">
        <v>-10.199999999999999</v>
      </c>
      <c r="G268">
        <v>18</v>
      </c>
      <c r="H268">
        <v>0</v>
      </c>
      <c r="I268">
        <v>0</v>
      </c>
      <c r="J268">
        <v>0</v>
      </c>
      <c r="K268">
        <v>1</v>
      </c>
      <c r="L268">
        <v>0</v>
      </c>
      <c r="M268">
        <v>2</v>
      </c>
      <c r="N268">
        <v>19.7</v>
      </c>
      <c r="O268">
        <v>16</v>
      </c>
      <c r="P268">
        <v>6</v>
      </c>
      <c r="Q268">
        <v>2</v>
      </c>
      <c r="R268">
        <v>21</v>
      </c>
      <c r="S268">
        <v>3</v>
      </c>
      <c r="T268">
        <v>2.75</v>
      </c>
      <c r="U268">
        <v>2.92</v>
      </c>
      <c r="V268">
        <v>0.97</v>
      </c>
      <c r="W268">
        <v>0.27500000000000002</v>
      </c>
      <c r="X268">
        <v>0</v>
      </c>
      <c r="Y268">
        <f t="shared" si="22"/>
        <v>7</v>
      </c>
      <c r="Z268" t="str">
        <f t="shared" si="23"/>
        <v>STELLAR</v>
      </c>
      <c r="AA268" s="176" t="str">
        <f t="shared" si="24"/>
        <v>Didn't Start</v>
      </c>
      <c r="AB268" s="192">
        <f t="shared" si="25"/>
        <v>1.0659898477157361</v>
      </c>
    </row>
    <row r="269" spans="2:28" x14ac:dyDescent="0.3">
      <c r="B269" t="s">
        <v>3345</v>
      </c>
      <c r="C269" t="s">
        <v>270</v>
      </c>
      <c r="D269" t="s">
        <v>1623</v>
      </c>
      <c r="E269" t="s">
        <v>1623</v>
      </c>
      <c r="F269">
        <v>-10.199999999999999</v>
      </c>
      <c r="G269">
        <v>2</v>
      </c>
      <c r="H269">
        <v>2</v>
      </c>
      <c r="I269">
        <v>0</v>
      </c>
      <c r="J269">
        <v>0</v>
      </c>
      <c r="K269">
        <v>0</v>
      </c>
      <c r="L269">
        <v>0</v>
      </c>
      <c r="M269">
        <v>0</v>
      </c>
      <c r="N269">
        <v>10</v>
      </c>
      <c r="O269">
        <v>6</v>
      </c>
      <c r="P269">
        <v>4</v>
      </c>
      <c r="Q269">
        <v>2</v>
      </c>
      <c r="R269">
        <v>9</v>
      </c>
      <c r="S269">
        <v>6</v>
      </c>
      <c r="T269">
        <v>3.6</v>
      </c>
      <c r="U269">
        <v>5.88</v>
      </c>
      <c r="V269">
        <v>1.2</v>
      </c>
      <c r="W269">
        <v>0.16</v>
      </c>
      <c r="X269">
        <v>17</v>
      </c>
      <c r="Y269">
        <f t="shared" si="22"/>
        <v>1.5</v>
      </c>
      <c r="Z269">
        <f t="shared" si="23"/>
        <v>4.5</v>
      </c>
      <c r="AA269" s="176">
        <f t="shared" si="24"/>
        <v>0</v>
      </c>
      <c r="AB269" s="192">
        <f t="shared" si="25"/>
        <v>0.9</v>
      </c>
    </row>
    <row r="270" spans="2:28" x14ac:dyDescent="0.3">
      <c r="B270" t="s">
        <v>946</v>
      </c>
      <c r="C270" t="s">
        <v>286</v>
      </c>
      <c r="D270" t="s">
        <v>1624</v>
      </c>
      <c r="E270" t="s">
        <v>1624</v>
      </c>
      <c r="F270">
        <v>-10.199999999999999</v>
      </c>
      <c r="G270">
        <v>6</v>
      </c>
      <c r="H270">
        <v>3</v>
      </c>
      <c r="I270">
        <v>0</v>
      </c>
      <c r="J270">
        <v>2</v>
      </c>
      <c r="K270">
        <v>1</v>
      </c>
      <c r="L270">
        <v>1</v>
      </c>
      <c r="M270">
        <v>0</v>
      </c>
      <c r="N270">
        <v>17</v>
      </c>
      <c r="O270">
        <v>14</v>
      </c>
      <c r="P270">
        <v>7</v>
      </c>
      <c r="Q270">
        <v>3</v>
      </c>
      <c r="R270">
        <v>16</v>
      </c>
      <c r="S270">
        <v>12</v>
      </c>
      <c r="T270">
        <v>3.71</v>
      </c>
      <c r="U270">
        <v>5.81</v>
      </c>
      <c r="V270">
        <v>1.53</v>
      </c>
      <c r="W270">
        <v>0.25600000000000001</v>
      </c>
      <c r="X270">
        <v>5</v>
      </c>
      <c r="Y270">
        <f t="shared" si="22"/>
        <v>1.3333333333333333</v>
      </c>
      <c r="Z270">
        <f t="shared" si="23"/>
        <v>5.333333333333333</v>
      </c>
      <c r="AA270" s="176">
        <f t="shared" si="24"/>
        <v>0.66666666666666663</v>
      </c>
      <c r="AB270" s="192">
        <f t="shared" si="25"/>
        <v>0.94117647058823528</v>
      </c>
    </row>
    <row r="271" spans="2:28" x14ac:dyDescent="0.3">
      <c r="B271" t="s">
        <v>3066</v>
      </c>
      <c r="C271" t="s">
        <v>270</v>
      </c>
      <c r="D271" t="s">
        <v>1624</v>
      </c>
      <c r="E271" t="s">
        <v>1624</v>
      </c>
      <c r="F271">
        <v>-10.3</v>
      </c>
      <c r="G271">
        <v>15</v>
      </c>
      <c r="H271">
        <v>0</v>
      </c>
      <c r="I271">
        <v>0</v>
      </c>
      <c r="J271">
        <v>1</v>
      </c>
      <c r="K271">
        <v>0</v>
      </c>
      <c r="L271">
        <v>0</v>
      </c>
      <c r="M271">
        <v>4</v>
      </c>
      <c r="N271">
        <v>13.7</v>
      </c>
      <c r="O271">
        <v>5</v>
      </c>
      <c r="P271">
        <v>5</v>
      </c>
      <c r="Q271">
        <v>0</v>
      </c>
      <c r="R271">
        <v>17</v>
      </c>
      <c r="S271">
        <v>10</v>
      </c>
      <c r="T271">
        <v>3.29</v>
      </c>
      <c r="U271">
        <v>3.64</v>
      </c>
      <c r="V271">
        <v>1.1000000000000001</v>
      </c>
      <c r="W271">
        <v>0.192</v>
      </c>
      <c r="X271">
        <v>0</v>
      </c>
      <c r="Y271">
        <f t="shared" si="22"/>
        <v>1.7</v>
      </c>
      <c r="Z271" t="str">
        <f t="shared" si="23"/>
        <v>STELLAR</v>
      </c>
      <c r="AA271" s="176" t="str">
        <f t="shared" si="24"/>
        <v>Didn't Start</v>
      </c>
      <c r="AB271" s="192">
        <f t="shared" si="25"/>
        <v>1.2408759124087592</v>
      </c>
    </row>
    <row r="272" spans="2:28" x14ac:dyDescent="0.3">
      <c r="B272" t="s">
        <v>714</v>
      </c>
      <c r="C272" t="s">
        <v>251</v>
      </c>
      <c r="D272" t="s">
        <v>1623</v>
      </c>
      <c r="E272" t="s">
        <v>1623</v>
      </c>
      <c r="F272">
        <v>-10.3</v>
      </c>
      <c r="G272">
        <v>10</v>
      </c>
      <c r="H272">
        <v>10</v>
      </c>
      <c r="I272">
        <v>5</v>
      </c>
      <c r="J272">
        <v>2</v>
      </c>
      <c r="K272">
        <v>3</v>
      </c>
      <c r="L272">
        <v>0</v>
      </c>
      <c r="M272">
        <v>0</v>
      </c>
      <c r="N272">
        <v>55</v>
      </c>
      <c r="O272">
        <v>56</v>
      </c>
      <c r="P272">
        <v>29</v>
      </c>
      <c r="Q272">
        <v>7</v>
      </c>
      <c r="R272">
        <v>31</v>
      </c>
      <c r="S272">
        <v>18</v>
      </c>
      <c r="T272">
        <v>4.75</v>
      </c>
      <c r="U272">
        <v>5.01</v>
      </c>
      <c r="V272">
        <v>1.35</v>
      </c>
      <c r="W272">
        <v>0.27100000000000002</v>
      </c>
      <c r="X272">
        <v>52</v>
      </c>
      <c r="Y272">
        <f t="shared" si="22"/>
        <v>1.7222222222222223</v>
      </c>
      <c r="Z272">
        <f t="shared" si="23"/>
        <v>3.1</v>
      </c>
      <c r="AA272" s="176">
        <f t="shared" si="24"/>
        <v>0.2</v>
      </c>
      <c r="AB272" s="192">
        <f t="shared" si="25"/>
        <v>0.5636363636363636</v>
      </c>
    </row>
    <row r="273" spans="2:28" x14ac:dyDescent="0.3">
      <c r="B273" t="s">
        <v>381</v>
      </c>
      <c r="C273" t="s">
        <v>1520</v>
      </c>
      <c r="D273" t="s">
        <v>1623</v>
      </c>
      <c r="E273" t="s">
        <v>1623</v>
      </c>
      <c r="F273">
        <v>-10.3</v>
      </c>
      <c r="G273">
        <v>3</v>
      </c>
      <c r="H273">
        <v>3</v>
      </c>
      <c r="I273">
        <v>1</v>
      </c>
      <c r="J273">
        <v>0</v>
      </c>
      <c r="K273">
        <v>2</v>
      </c>
      <c r="L273">
        <v>0</v>
      </c>
      <c r="M273">
        <v>0</v>
      </c>
      <c r="N273">
        <v>16</v>
      </c>
      <c r="O273">
        <v>19</v>
      </c>
      <c r="P273">
        <v>7</v>
      </c>
      <c r="Q273">
        <v>1</v>
      </c>
      <c r="R273">
        <v>16</v>
      </c>
      <c r="S273">
        <v>2</v>
      </c>
      <c r="T273">
        <v>3.94</v>
      </c>
      <c r="U273">
        <v>2.65</v>
      </c>
      <c r="V273">
        <v>1.31</v>
      </c>
      <c r="W273">
        <v>0.375</v>
      </c>
      <c r="X273">
        <v>0</v>
      </c>
      <c r="Y273">
        <f t="shared" si="22"/>
        <v>8</v>
      </c>
      <c r="Z273">
        <f t="shared" si="23"/>
        <v>5.333333333333333</v>
      </c>
      <c r="AA273" s="176">
        <f t="shared" si="24"/>
        <v>0</v>
      </c>
      <c r="AB273" s="192">
        <f t="shared" si="25"/>
        <v>1</v>
      </c>
    </row>
    <row r="274" spans="2:28" x14ac:dyDescent="0.3">
      <c r="B274" t="s">
        <v>3179</v>
      </c>
      <c r="C274" t="s">
        <v>234</v>
      </c>
      <c r="D274" t="s">
        <v>1624</v>
      </c>
      <c r="E274" t="s">
        <v>1624</v>
      </c>
      <c r="F274">
        <v>-10.3</v>
      </c>
      <c r="G274">
        <v>10</v>
      </c>
      <c r="H274">
        <v>0</v>
      </c>
      <c r="I274">
        <v>0</v>
      </c>
      <c r="J274">
        <v>1</v>
      </c>
      <c r="K274">
        <v>0</v>
      </c>
      <c r="L274">
        <v>0</v>
      </c>
      <c r="M274">
        <v>0</v>
      </c>
      <c r="N274">
        <v>13</v>
      </c>
      <c r="O274">
        <v>11</v>
      </c>
      <c r="P274">
        <v>3</v>
      </c>
      <c r="Q274">
        <v>1</v>
      </c>
      <c r="R274">
        <v>13</v>
      </c>
      <c r="S274">
        <v>4</v>
      </c>
      <c r="T274">
        <v>2.08</v>
      </c>
      <c r="U274">
        <v>3.43</v>
      </c>
      <c r="V274">
        <v>1.1499999999999999</v>
      </c>
      <c r="W274">
        <v>0.27800000000000002</v>
      </c>
      <c r="X274">
        <v>0</v>
      </c>
      <c r="Y274">
        <f t="shared" si="22"/>
        <v>3.25</v>
      </c>
      <c r="Z274" t="str">
        <f t="shared" si="23"/>
        <v>STELLAR</v>
      </c>
      <c r="AA274" s="176" t="str">
        <f t="shared" si="24"/>
        <v>Didn't Start</v>
      </c>
      <c r="AB274" s="192">
        <f t="shared" si="25"/>
        <v>1</v>
      </c>
    </row>
    <row r="275" spans="2:28" x14ac:dyDescent="0.3">
      <c r="B275" t="s">
        <v>3346</v>
      </c>
      <c r="C275" t="s">
        <v>274</v>
      </c>
      <c r="D275" t="s">
        <v>1623</v>
      </c>
      <c r="E275" t="s">
        <v>1623</v>
      </c>
      <c r="F275">
        <v>-10.4</v>
      </c>
      <c r="G275">
        <v>3</v>
      </c>
      <c r="H275">
        <v>0</v>
      </c>
      <c r="I275">
        <v>0</v>
      </c>
      <c r="J275">
        <v>0</v>
      </c>
      <c r="K275">
        <v>1</v>
      </c>
      <c r="L275">
        <v>0</v>
      </c>
      <c r="M275">
        <v>0</v>
      </c>
      <c r="N275">
        <v>4.7</v>
      </c>
      <c r="O275">
        <v>5</v>
      </c>
      <c r="P275">
        <v>3</v>
      </c>
      <c r="Q275">
        <v>0</v>
      </c>
      <c r="R275">
        <v>9</v>
      </c>
      <c r="S275">
        <v>0</v>
      </c>
      <c r="T275">
        <v>5.79</v>
      </c>
      <c r="U275">
        <v>-0.57999999999999996</v>
      </c>
      <c r="V275">
        <v>1.07</v>
      </c>
      <c r="W275">
        <v>0.45500000000000002</v>
      </c>
      <c r="X275">
        <v>0</v>
      </c>
      <c r="Y275" t="str">
        <f t="shared" si="22"/>
        <v>STELLAR</v>
      </c>
      <c r="Z275" t="str">
        <f t="shared" si="23"/>
        <v>STELLAR</v>
      </c>
      <c r="AA275" s="176" t="str">
        <f t="shared" si="24"/>
        <v>Didn't Start</v>
      </c>
      <c r="AB275" s="192">
        <f t="shared" si="25"/>
        <v>1.9148936170212765</v>
      </c>
    </row>
    <row r="276" spans="2:28" x14ac:dyDescent="0.3">
      <c r="B276" t="s">
        <v>3177</v>
      </c>
      <c r="C276" t="s">
        <v>286</v>
      </c>
      <c r="D276" t="s">
        <v>1623</v>
      </c>
      <c r="E276" t="s">
        <v>1623</v>
      </c>
      <c r="F276">
        <v>-10.4</v>
      </c>
      <c r="G276">
        <v>1</v>
      </c>
      <c r="H276">
        <v>0</v>
      </c>
      <c r="I276">
        <v>0</v>
      </c>
      <c r="J276">
        <v>0</v>
      </c>
      <c r="K276">
        <v>0</v>
      </c>
      <c r="L276">
        <v>0</v>
      </c>
      <c r="M276">
        <v>0</v>
      </c>
      <c r="N276">
        <v>2</v>
      </c>
      <c r="O276">
        <v>1</v>
      </c>
      <c r="P276">
        <v>0</v>
      </c>
      <c r="Q276">
        <v>0</v>
      </c>
      <c r="R276">
        <v>2</v>
      </c>
      <c r="S276">
        <v>1</v>
      </c>
      <c r="T276">
        <v>0</v>
      </c>
      <c r="U276">
        <v>2.78</v>
      </c>
      <c r="V276">
        <v>1</v>
      </c>
      <c r="W276">
        <v>0.2</v>
      </c>
      <c r="X276">
        <v>0</v>
      </c>
      <c r="Y276">
        <f t="shared" si="22"/>
        <v>2</v>
      </c>
      <c r="Z276" t="str">
        <f t="shared" si="23"/>
        <v>STELLAR</v>
      </c>
      <c r="AA276" s="176" t="str">
        <f t="shared" si="24"/>
        <v>Didn't Start</v>
      </c>
      <c r="AB276" s="192">
        <f t="shared" si="25"/>
        <v>1</v>
      </c>
    </row>
    <row r="277" spans="2:28" x14ac:dyDescent="0.3">
      <c r="B277" t="s">
        <v>353</v>
      </c>
      <c r="C277" t="s">
        <v>235</v>
      </c>
      <c r="D277" t="s">
        <v>1623</v>
      </c>
      <c r="E277" t="s">
        <v>1623</v>
      </c>
      <c r="F277">
        <v>-10.4</v>
      </c>
      <c r="G277">
        <v>8</v>
      </c>
      <c r="H277">
        <v>8</v>
      </c>
      <c r="I277">
        <v>1</v>
      </c>
      <c r="J277">
        <v>0</v>
      </c>
      <c r="K277">
        <v>3</v>
      </c>
      <c r="L277">
        <v>0</v>
      </c>
      <c r="M277">
        <v>0</v>
      </c>
      <c r="N277">
        <v>40.700000000000003</v>
      </c>
      <c r="O277">
        <v>41</v>
      </c>
      <c r="P277">
        <v>22</v>
      </c>
      <c r="Q277">
        <v>4</v>
      </c>
      <c r="R277">
        <v>53</v>
      </c>
      <c r="S277">
        <v>17</v>
      </c>
      <c r="T277">
        <v>4.87</v>
      </c>
      <c r="U277">
        <v>3.43</v>
      </c>
      <c r="V277">
        <v>1.43</v>
      </c>
      <c r="W277">
        <v>0.36599999999999999</v>
      </c>
      <c r="X277">
        <v>100</v>
      </c>
      <c r="Y277">
        <f t="shared" si="22"/>
        <v>3.1176470588235294</v>
      </c>
      <c r="Z277">
        <f t="shared" si="23"/>
        <v>6.625</v>
      </c>
      <c r="AA277" s="176">
        <f t="shared" si="24"/>
        <v>0</v>
      </c>
      <c r="AB277" s="192">
        <f t="shared" si="25"/>
        <v>1.3022113022113022</v>
      </c>
    </row>
    <row r="278" spans="2:28" x14ac:dyDescent="0.3">
      <c r="B278" t="s">
        <v>536</v>
      </c>
      <c r="C278" t="s">
        <v>222</v>
      </c>
      <c r="D278" t="s">
        <v>1624</v>
      </c>
      <c r="E278" t="s">
        <v>1624</v>
      </c>
      <c r="F278">
        <v>-10.5</v>
      </c>
      <c r="G278">
        <v>19</v>
      </c>
      <c r="H278">
        <v>0</v>
      </c>
      <c r="I278">
        <v>0</v>
      </c>
      <c r="J278">
        <v>2</v>
      </c>
      <c r="K278">
        <v>1</v>
      </c>
      <c r="L278">
        <v>0</v>
      </c>
      <c r="M278">
        <v>3</v>
      </c>
      <c r="N278">
        <v>24.7</v>
      </c>
      <c r="O278">
        <v>20</v>
      </c>
      <c r="P278">
        <v>11</v>
      </c>
      <c r="Q278">
        <v>3</v>
      </c>
      <c r="R278">
        <v>26</v>
      </c>
      <c r="S278">
        <v>16</v>
      </c>
      <c r="T278">
        <v>4.01</v>
      </c>
      <c r="U278">
        <v>4.9400000000000004</v>
      </c>
      <c r="V278">
        <v>1.46</v>
      </c>
      <c r="W278">
        <v>0.26600000000000001</v>
      </c>
      <c r="X278">
        <v>0</v>
      </c>
      <c r="Y278">
        <f t="shared" si="22"/>
        <v>1.625</v>
      </c>
      <c r="Z278" t="str">
        <f t="shared" si="23"/>
        <v>STELLAR</v>
      </c>
      <c r="AA278" s="176" t="str">
        <f t="shared" si="24"/>
        <v>Didn't Start</v>
      </c>
      <c r="AB278" s="192">
        <f t="shared" si="25"/>
        <v>1.0526315789473684</v>
      </c>
    </row>
    <row r="279" spans="2:28" x14ac:dyDescent="0.3">
      <c r="B279" t="s">
        <v>187</v>
      </c>
      <c r="C279" t="s">
        <v>224</v>
      </c>
      <c r="D279" t="s">
        <v>1623</v>
      </c>
      <c r="E279" t="s">
        <v>1623</v>
      </c>
      <c r="F279">
        <v>-10.6</v>
      </c>
      <c r="G279">
        <v>6</v>
      </c>
      <c r="H279">
        <v>6</v>
      </c>
      <c r="I279">
        <v>1</v>
      </c>
      <c r="J279">
        <v>2</v>
      </c>
      <c r="K279">
        <v>2</v>
      </c>
      <c r="L279">
        <v>0</v>
      </c>
      <c r="M279">
        <v>0</v>
      </c>
      <c r="N279">
        <v>27.7</v>
      </c>
      <c r="O279">
        <v>33</v>
      </c>
      <c r="P279">
        <v>16</v>
      </c>
      <c r="Q279">
        <v>6</v>
      </c>
      <c r="R279">
        <v>23</v>
      </c>
      <c r="S279">
        <v>10</v>
      </c>
      <c r="T279">
        <v>5.21</v>
      </c>
      <c r="U279">
        <v>5.63</v>
      </c>
      <c r="V279">
        <v>1.55</v>
      </c>
      <c r="W279">
        <v>0.32900000000000001</v>
      </c>
      <c r="X279">
        <v>17</v>
      </c>
      <c r="Y279">
        <f t="shared" si="22"/>
        <v>2.2999999999999998</v>
      </c>
      <c r="Z279">
        <f t="shared" si="23"/>
        <v>3.8333333333333335</v>
      </c>
      <c r="AA279" s="176">
        <f t="shared" si="24"/>
        <v>0.33333333333333331</v>
      </c>
      <c r="AB279" s="192">
        <f t="shared" si="25"/>
        <v>0.83032490974729245</v>
      </c>
    </row>
    <row r="280" spans="2:28" x14ac:dyDescent="0.3">
      <c r="B280" t="s">
        <v>542</v>
      </c>
      <c r="C280" t="s">
        <v>243</v>
      </c>
      <c r="D280" t="s">
        <v>1624</v>
      </c>
      <c r="E280" t="s">
        <v>1624</v>
      </c>
      <c r="F280">
        <v>-10.8</v>
      </c>
      <c r="G280">
        <v>22</v>
      </c>
      <c r="H280">
        <v>0</v>
      </c>
      <c r="I280">
        <v>0</v>
      </c>
      <c r="J280">
        <v>1</v>
      </c>
      <c r="K280">
        <v>0</v>
      </c>
      <c r="L280">
        <v>0</v>
      </c>
      <c r="M280">
        <v>1</v>
      </c>
      <c r="N280">
        <v>24.3</v>
      </c>
      <c r="O280">
        <v>29</v>
      </c>
      <c r="P280">
        <v>7</v>
      </c>
      <c r="Q280">
        <v>1</v>
      </c>
      <c r="R280">
        <v>23</v>
      </c>
      <c r="S280">
        <v>5</v>
      </c>
      <c r="T280">
        <v>2.59</v>
      </c>
      <c r="U280">
        <v>2.91</v>
      </c>
      <c r="V280">
        <v>1.4</v>
      </c>
      <c r="W280">
        <v>0.36799999999999999</v>
      </c>
      <c r="X280">
        <v>0</v>
      </c>
      <c r="Y280">
        <f t="shared" si="22"/>
        <v>4.5999999999999996</v>
      </c>
      <c r="Z280" t="str">
        <f t="shared" si="23"/>
        <v>STELLAR</v>
      </c>
      <c r="AA280" s="176" t="str">
        <f t="shared" si="24"/>
        <v>Didn't Start</v>
      </c>
      <c r="AB280" s="192">
        <f t="shared" si="25"/>
        <v>0.94650205761316875</v>
      </c>
    </row>
    <row r="281" spans="2:28" x14ac:dyDescent="0.3">
      <c r="B281" t="s">
        <v>161</v>
      </c>
      <c r="C281" t="s">
        <v>255</v>
      </c>
      <c r="D281" t="s">
        <v>1623</v>
      </c>
      <c r="E281" t="s">
        <v>1623</v>
      </c>
      <c r="F281">
        <v>-10.9</v>
      </c>
      <c r="G281">
        <v>10</v>
      </c>
      <c r="H281">
        <v>10</v>
      </c>
      <c r="I281">
        <v>3</v>
      </c>
      <c r="J281">
        <v>2</v>
      </c>
      <c r="K281">
        <v>1</v>
      </c>
      <c r="L281">
        <v>0</v>
      </c>
      <c r="M281">
        <v>0</v>
      </c>
      <c r="N281">
        <v>54.7</v>
      </c>
      <c r="O281">
        <v>67</v>
      </c>
      <c r="P281">
        <v>29</v>
      </c>
      <c r="Q281">
        <v>8</v>
      </c>
      <c r="R281">
        <v>43</v>
      </c>
      <c r="S281">
        <v>14</v>
      </c>
      <c r="T281">
        <v>4.7699999999999996</v>
      </c>
      <c r="U281">
        <v>4.54</v>
      </c>
      <c r="V281">
        <v>1.48</v>
      </c>
      <c r="W281">
        <v>0.34100000000000003</v>
      </c>
      <c r="X281">
        <v>91</v>
      </c>
      <c r="Y281">
        <f t="shared" si="22"/>
        <v>3.0714285714285716</v>
      </c>
      <c r="Z281">
        <f t="shared" si="23"/>
        <v>4.3</v>
      </c>
      <c r="AA281" s="176">
        <f t="shared" si="24"/>
        <v>0.2</v>
      </c>
      <c r="AB281" s="192">
        <f t="shared" si="25"/>
        <v>0.78610603290676417</v>
      </c>
    </row>
    <row r="282" spans="2:28" x14ac:dyDescent="0.3">
      <c r="B282" t="s">
        <v>1736</v>
      </c>
      <c r="C282" t="s">
        <v>243</v>
      </c>
      <c r="D282" t="s">
        <v>1624</v>
      </c>
      <c r="E282" t="s">
        <v>1624</v>
      </c>
      <c r="F282">
        <v>-10.9</v>
      </c>
      <c r="G282">
        <v>17</v>
      </c>
      <c r="H282">
        <v>0</v>
      </c>
      <c r="I282">
        <v>0</v>
      </c>
      <c r="J282">
        <v>0</v>
      </c>
      <c r="K282">
        <v>0</v>
      </c>
      <c r="L282">
        <v>1</v>
      </c>
      <c r="M282">
        <v>2</v>
      </c>
      <c r="N282">
        <v>15.3</v>
      </c>
      <c r="O282">
        <v>14</v>
      </c>
      <c r="P282">
        <v>3</v>
      </c>
      <c r="Q282">
        <v>1</v>
      </c>
      <c r="R282">
        <v>21</v>
      </c>
      <c r="S282">
        <v>6</v>
      </c>
      <c r="T282">
        <v>1.76</v>
      </c>
      <c r="U282">
        <v>2.76</v>
      </c>
      <c r="V282">
        <v>1.3</v>
      </c>
      <c r="W282">
        <v>0.36099999999999999</v>
      </c>
      <c r="X282">
        <v>0</v>
      </c>
      <c r="Y282">
        <f t="shared" si="22"/>
        <v>3.5</v>
      </c>
      <c r="Z282" t="str">
        <f t="shared" si="23"/>
        <v>STELLAR</v>
      </c>
      <c r="AA282" s="176" t="str">
        <f t="shared" si="24"/>
        <v>Didn't Start</v>
      </c>
      <c r="AB282" s="192">
        <f t="shared" si="25"/>
        <v>1.3725490196078431</v>
      </c>
    </row>
    <row r="283" spans="2:28" x14ac:dyDescent="0.3">
      <c r="B283" t="s">
        <v>729</v>
      </c>
      <c r="C283" t="s">
        <v>286</v>
      </c>
      <c r="D283" t="s">
        <v>1624</v>
      </c>
      <c r="E283" t="s">
        <v>1624</v>
      </c>
      <c r="F283">
        <v>-10.9</v>
      </c>
      <c r="G283">
        <v>19</v>
      </c>
      <c r="H283">
        <v>0</v>
      </c>
      <c r="I283">
        <v>0</v>
      </c>
      <c r="J283">
        <v>1</v>
      </c>
      <c r="K283">
        <v>0</v>
      </c>
      <c r="L283">
        <v>0</v>
      </c>
      <c r="M283">
        <v>1</v>
      </c>
      <c r="N283">
        <v>21.3</v>
      </c>
      <c r="O283">
        <v>19</v>
      </c>
      <c r="P283">
        <v>7</v>
      </c>
      <c r="Q283">
        <v>1</v>
      </c>
      <c r="R283">
        <v>19</v>
      </c>
      <c r="S283">
        <v>8</v>
      </c>
      <c r="T283">
        <v>2.95</v>
      </c>
      <c r="U283">
        <v>3.37</v>
      </c>
      <c r="V283">
        <v>1.27</v>
      </c>
      <c r="W283">
        <v>0.3</v>
      </c>
      <c r="X283">
        <v>0</v>
      </c>
      <c r="Y283">
        <f t="shared" si="22"/>
        <v>2.375</v>
      </c>
      <c r="Z283" t="str">
        <f t="shared" si="23"/>
        <v>STELLAR</v>
      </c>
      <c r="AA283" s="176" t="str">
        <f t="shared" si="24"/>
        <v>Didn't Start</v>
      </c>
      <c r="AB283" s="192">
        <f t="shared" si="25"/>
        <v>0.892018779342723</v>
      </c>
    </row>
    <row r="284" spans="2:28" x14ac:dyDescent="0.3">
      <c r="B284" t="s">
        <v>386</v>
      </c>
      <c r="C284" t="s">
        <v>246</v>
      </c>
      <c r="D284" t="s">
        <v>1624</v>
      </c>
      <c r="E284" t="s">
        <v>1624</v>
      </c>
      <c r="F284">
        <v>-11</v>
      </c>
      <c r="G284">
        <v>8</v>
      </c>
      <c r="H284">
        <v>0</v>
      </c>
      <c r="I284">
        <v>0</v>
      </c>
      <c r="J284">
        <v>1</v>
      </c>
      <c r="K284">
        <v>0</v>
      </c>
      <c r="L284">
        <v>0</v>
      </c>
      <c r="M284">
        <v>2</v>
      </c>
      <c r="N284">
        <v>7</v>
      </c>
      <c r="O284">
        <v>3</v>
      </c>
      <c r="P284">
        <v>2</v>
      </c>
      <c r="Q284">
        <v>0</v>
      </c>
      <c r="R284">
        <v>6</v>
      </c>
      <c r="S284">
        <v>1</v>
      </c>
      <c r="T284">
        <v>2.57</v>
      </c>
      <c r="U284">
        <v>1.99</v>
      </c>
      <c r="V284">
        <v>0.56999999999999995</v>
      </c>
      <c r="W284">
        <v>0.16700000000000001</v>
      </c>
      <c r="X284">
        <v>0</v>
      </c>
      <c r="Y284">
        <f t="shared" si="22"/>
        <v>6</v>
      </c>
      <c r="Z284" t="str">
        <f t="shared" si="23"/>
        <v>STELLAR</v>
      </c>
      <c r="AA284" s="176" t="str">
        <f t="shared" si="24"/>
        <v>Didn't Start</v>
      </c>
      <c r="AB284" s="192">
        <f t="shared" si="25"/>
        <v>0.8571428571428571</v>
      </c>
    </row>
    <row r="285" spans="2:28" x14ac:dyDescent="0.3">
      <c r="B285" t="s">
        <v>3347</v>
      </c>
      <c r="C285" t="s">
        <v>1520</v>
      </c>
      <c r="D285" t="s">
        <v>1623</v>
      </c>
      <c r="E285" t="s">
        <v>1623</v>
      </c>
      <c r="F285">
        <v>-11</v>
      </c>
      <c r="G285">
        <v>2</v>
      </c>
      <c r="H285">
        <v>1</v>
      </c>
      <c r="I285">
        <v>0</v>
      </c>
      <c r="J285">
        <v>0</v>
      </c>
      <c r="K285">
        <v>0</v>
      </c>
      <c r="L285">
        <v>0</v>
      </c>
      <c r="M285">
        <v>0</v>
      </c>
      <c r="N285">
        <v>7.3</v>
      </c>
      <c r="O285">
        <v>8</v>
      </c>
      <c r="P285">
        <v>2</v>
      </c>
      <c r="Q285">
        <v>1</v>
      </c>
      <c r="R285">
        <v>11</v>
      </c>
      <c r="S285">
        <v>5</v>
      </c>
      <c r="T285">
        <v>2.4500000000000002</v>
      </c>
      <c r="U285">
        <v>4.0999999999999996</v>
      </c>
      <c r="V285">
        <v>1.77</v>
      </c>
      <c r="W285">
        <v>0.438</v>
      </c>
      <c r="X285">
        <v>0</v>
      </c>
      <c r="Y285">
        <f t="shared" si="22"/>
        <v>2.2000000000000002</v>
      </c>
      <c r="Z285">
        <f t="shared" si="23"/>
        <v>11</v>
      </c>
      <c r="AA285" s="176">
        <f t="shared" si="24"/>
        <v>0</v>
      </c>
      <c r="AB285" s="192">
        <f t="shared" si="25"/>
        <v>1.5068493150684932</v>
      </c>
    </row>
    <row r="286" spans="2:28" x14ac:dyDescent="0.3">
      <c r="B286" t="s">
        <v>422</v>
      </c>
      <c r="C286" t="s">
        <v>244</v>
      </c>
      <c r="D286" t="s">
        <v>1624</v>
      </c>
      <c r="E286" t="s">
        <v>1624</v>
      </c>
      <c r="F286">
        <v>-11.2</v>
      </c>
      <c r="G286">
        <v>24</v>
      </c>
      <c r="H286">
        <v>0</v>
      </c>
      <c r="I286">
        <v>0</v>
      </c>
      <c r="J286">
        <v>0</v>
      </c>
      <c r="K286">
        <v>2</v>
      </c>
      <c r="L286">
        <v>0</v>
      </c>
      <c r="M286">
        <v>7</v>
      </c>
      <c r="N286">
        <v>22.7</v>
      </c>
      <c r="O286">
        <v>25</v>
      </c>
      <c r="P286">
        <v>5</v>
      </c>
      <c r="Q286">
        <v>0</v>
      </c>
      <c r="R286">
        <v>26</v>
      </c>
      <c r="S286">
        <v>5</v>
      </c>
      <c r="T286">
        <v>1.98</v>
      </c>
      <c r="U286">
        <v>1.91</v>
      </c>
      <c r="V286">
        <v>1.32</v>
      </c>
      <c r="W286">
        <v>0.373</v>
      </c>
      <c r="X286">
        <v>0</v>
      </c>
      <c r="Y286">
        <f t="shared" si="22"/>
        <v>5.2</v>
      </c>
      <c r="Z286" t="str">
        <f t="shared" si="23"/>
        <v>STELLAR</v>
      </c>
      <c r="AA286" s="176" t="str">
        <f t="shared" si="24"/>
        <v>Didn't Start</v>
      </c>
      <c r="AB286" s="192">
        <f t="shared" si="25"/>
        <v>1.1453744493392071</v>
      </c>
    </row>
    <row r="287" spans="2:28" x14ac:dyDescent="0.3">
      <c r="B287" t="s">
        <v>481</v>
      </c>
      <c r="C287" t="s">
        <v>248</v>
      </c>
      <c r="D287" t="s">
        <v>1624</v>
      </c>
      <c r="E287" t="s">
        <v>1624</v>
      </c>
      <c r="F287">
        <v>-11.2</v>
      </c>
      <c r="G287">
        <v>15</v>
      </c>
      <c r="H287">
        <v>0</v>
      </c>
      <c r="I287">
        <v>0</v>
      </c>
      <c r="J287">
        <v>2</v>
      </c>
      <c r="K287">
        <v>2</v>
      </c>
      <c r="L287">
        <v>0</v>
      </c>
      <c r="M287">
        <v>3</v>
      </c>
      <c r="N287">
        <v>21.3</v>
      </c>
      <c r="O287">
        <v>14</v>
      </c>
      <c r="P287">
        <v>10</v>
      </c>
      <c r="Q287">
        <v>1</v>
      </c>
      <c r="R287">
        <v>16</v>
      </c>
      <c r="S287">
        <v>14</v>
      </c>
      <c r="T287">
        <v>4.22</v>
      </c>
      <c r="U287">
        <v>4.3600000000000003</v>
      </c>
      <c r="V287">
        <v>1.31</v>
      </c>
      <c r="W287">
        <v>0.224</v>
      </c>
      <c r="X287">
        <v>1</v>
      </c>
      <c r="Y287">
        <f t="shared" si="22"/>
        <v>1.1428571428571428</v>
      </c>
      <c r="Z287" t="str">
        <f t="shared" si="23"/>
        <v>STELLAR</v>
      </c>
      <c r="AA287" s="176" t="str">
        <f t="shared" si="24"/>
        <v>Didn't Start</v>
      </c>
      <c r="AB287" s="192">
        <f t="shared" si="25"/>
        <v>0.75117370892018775</v>
      </c>
    </row>
    <row r="288" spans="2:28" x14ac:dyDescent="0.3">
      <c r="B288" t="s">
        <v>522</v>
      </c>
      <c r="C288" t="s">
        <v>1521</v>
      </c>
      <c r="D288" t="s">
        <v>1623</v>
      </c>
      <c r="E288" t="s">
        <v>1623</v>
      </c>
      <c r="F288">
        <v>-11.3</v>
      </c>
      <c r="G288">
        <v>6</v>
      </c>
      <c r="H288">
        <v>5</v>
      </c>
      <c r="I288">
        <v>0</v>
      </c>
      <c r="J288">
        <v>0</v>
      </c>
      <c r="K288">
        <v>0</v>
      </c>
      <c r="L288">
        <v>0</v>
      </c>
      <c r="M288">
        <v>0</v>
      </c>
      <c r="N288">
        <v>20</v>
      </c>
      <c r="O288">
        <v>21</v>
      </c>
      <c r="P288">
        <v>9</v>
      </c>
      <c r="Q288">
        <v>3</v>
      </c>
      <c r="R288">
        <v>21</v>
      </c>
      <c r="S288">
        <v>8</v>
      </c>
      <c r="T288">
        <v>4.05</v>
      </c>
      <c r="U288">
        <v>4.63</v>
      </c>
      <c r="V288">
        <v>1.45</v>
      </c>
      <c r="W288">
        <v>0.31</v>
      </c>
      <c r="X288">
        <v>50</v>
      </c>
      <c r="Y288">
        <f t="shared" si="22"/>
        <v>2.625</v>
      </c>
      <c r="Z288">
        <f t="shared" si="23"/>
        <v>4.2</v>
      </c>
      <c r="AA288" s="176">
        <f t="shared" si="24"/>
        <v>0</v>
      </c>
      <c r="AB288" s="192">
        <f t="shared" si="25"/>
        <v>1.05</v>
      </c>
    </row>
    <row r="289" spans="2:28" x14ac:dyDescent="0.3">
      <c r="B289" t="s">
        <v>592</v>
      </c>
      <c r="C289" t="s">
        <v>255</v>
      </c>
      <c r="D289" t="s">
        <v>1624</v>
      </c>
      <c r="E289" t="s">
        <v>1624</v>
      </c>
      <c r="F289">
        <v>-11.3</v>
      </c>
      <c r="G289">
        <v>15</v>
      </c>
      <c r="H289">
        <v>0</v>
      </c>
      <c r="I289">
        <v>0</v>
      </c>
      <c r="J289">
        <v>2</v>
      </c>
      <c r="K289">
        <v>0</v>
      </c>
      <c r="L289">
        <v>0</v>
      </c>
      <c r="M289">
        <v>3</v>
      </c>
      <c r="N289">
        <v>18</v>
      </c>
      <c r="O289">
        <v>17</v>
      </c>
      <c r="P289">
        <v>9</v>
      </c>
      <c r="Q289">
        <v>3</v>
      </c>
      <c r="R289">
        <v>16</v>
      </c>
      <c r="S289">
        <v>7</v>
      </c>
      <c r="T289">
        <v>4.5</v>
      </c>
      <c r="U289">
        <v>5</v>
      </c>
      <c r="V289">
        <v>1.33</v>
      </c>
      <c r="W289">
        <v>0.28000000000000003</v>
      </c>
      <c r="X289">
        <v>0</v>
      </c>
      <c r="Y289">
        <f t="shared" si="22"/>
        <v>2.2857142857142856</v>
      </c>
      <c r="Z289" t="str">
        <f t="shared" si="23"/>
        <v>STELLAR</v>
      </c>
      <c r="AA289" s="176" t="str">
        <f t="shared" si="24"/>
        <v>Didn't Start</v>
      </c>
      <c r="AB289" s="192">
        <f t="shared" si="25"/>
        <v>0.88888888888888884</v>
      </c>
    </row>
    <row r="290" spans="2:28" x14ac:dyDescent="0.3">
      <c r="B290" t="s">
        <v>3348</v>
      </c>
      <c r="C290" t="s">
        <v>266</v>
      </c>
      <c r="D290" t="s">
        <v>1623</v>
      </c>
      <c r="E290" t="s">
        <v>1623</v>
      </c>
      <c r="F290">
        <v>-11.4</v>
      </c>
      <c r="G290">
        <v>5</v>
      </c>
      <c r="H290">
        <v>0</v>
      </c>
      <c r="I290">
        <v>0</v>
      </c>
      <c r="J290">
        <v>0</v>
      </c>
      <c r="K290">
        <v>1</v>
      </c>
      <c r="L290">
        <v>0</v>
      </c>
      <c r="M290">
        <v>0</v>
      </c>
      <c r="N290">
        <v>13</v>
      </c>
      <c r="O290">
        <v>13</v>
      </c>
      <c r="P290">
        <v>9</v>
      </c>
      <c r="Q290">
        <v>3</v>
      </c>
      <c r="R290">
        <v>16</v>
      </c>
      <c r="S290">
        <v>2</v>
      </c>
      <c r="T290">
        <v>6.23</v>
      </c>
      <c r="U290">
        <v>4.51</v>
      </c>
      <c r="V290">
        <v>1.1499999999999999</v>
      </c>
      <c r="W290">
        <v>0.35699999999999998</v>
      </c>
      <c r="X290">
        <v>0</v>
      </c>
      <c r="Y290">
        <f t="shared" si="22"/>
        <v>8</v>
      </c>
      <c r="Z290" t="str">
        <f t="shared" si="23"/>
        <v>STELLAR</v>
      </c>
      <c r="AA290" s="176" t="str">
        <f t="shared" si="24"/>
        <v>Didn't Start</v>
      </c>
      <c r="AB290" s="192">
        <f t="shared" si="25"/>
        <v>1.2307692307692308</v>
      </c>
    </row>
    <row r="291" spans="2:28" x14ac:dyDescent="0.3">
      <c r="B291" t="s">
        <v>3349</v>
      </c>
      <c r="C291" t="s">
        <v>339</v>
      </c>
      <c r="D291" t="s">
        <v>1623</v>
      </c>
      <c r="E291" t="s">
        <v>1623</v>
      </c>
      <c r="F291">
        <v>-11.7</v>
      </c>
      <c r="G291">
        <v>1</v>
      </c>
      <c r="H291">
        <v>0</v>
      </c>
      <c r="I291">
        <v>0</v>
      </c>
      <c r="J291">
        <v>0</v>
      </c>
      <c r="K291">
        <v>0</v>
      </c>
      <c r="L291">
        <v>0</v>
      </c>
      <c r="M291">
        <v>0</v>
      </c>
      <c r="N291">
        <v>1</v>
      </c>
      <c r="O291">
        <v>0</v>
      </c>
      <c r="P291">
        <v>0</v>
      </c>
      <c r="Q291">
        <v>0</v>
      </c>
      <c r="R291">
        <v>0</v>
      </c>
      <c r="S291">
        <v>2</v>
      </c>
      <c r="T291">
        <v>0</v>
      </c>
      <c r="U291">
        <v>9.2799999999999994</v>
      </c>
      <c r="V291">
        <v>2</v>
      </c>
      <c r="W291">
        <v>0</v>
      </c>
      <c r="X291">
        <v>0</v>
      </c>
      <c r="Y291">
        <f t="shared" si="22"/>
        <v>0</v>
      </c>
      <c r="Z291" t="str">
        <f t="shared" si="23"/>
        <v>STELLAR</v>
      </c>
      <c r="AA291" s="176" t="str">
        <f t="shared" si="24"/>
        <v>Didn't Start</v>
      </c>
      <c r="AB291" s="192">
        <f t="shared" si="25"/>
        <v>0</v>
      </c>
    </row>
    <row r="292" spans="2:28" x14ac:dyDescent="0.3">
      <c r="B292" t="s">
        <v>3258</v>
      </c>
      <c r="C292" t="s">
        <v>266</v>
      </c>
      <c r="D292" t="s">
        <v>1623</v>
      </c>
      <c r="E292" t="s">
        <v>1623</v>
      </c>
      <c r="F292">
        <v>-11.8</v>
      </c>
      <c r="G292">
        <v>2</v>
      </c>
      <c r="H292">
        <v>2</v>
      </c>
      <c r="I292">
        <v>0</v>
      </c>
      <c r="J292">
        <v>0</v>
      </c>
      <c r="K292">
        <v>1</v>
      </c>
      <c r="L292">
        <v>0</v>
      </c>
      <c r="M292">
        <v>0</v>
      </c>
      <c r="N292">
        <v>7.7</v>
      </c>
      <c r="O292">
        <v>7</v>
      </c>
      <c r="P292">
        <v>4</v>
      </c>
      <c r="Q292">
        <v>3</v>
      </c>
      <c r="R292">
        <v>4</v>
      </c>
      <c r="S292">
        <v>2</v>
      </c>
      <c r="T292">
        <v>4.7</v>
      </c>
      <c r="U292">
        <v>8.1</v>
      </c>
      <c r="V292">
        <v>1.17</v>
      </c>
      <c r="W292">
        <v>0.19</v>
      </c>
      <c r="X292">
        <v>0</v>
      </c>
      <c r="Y292">
        <f t="shared" si="22"/>
        <v>2</v>
      </c>
      <c r="Z292">
        <f t="shared" si="23"/>
        <v>2</v>
      </c>
      <c r="AA292" s="176">
        <f t="shared" si="24"/>
        <v>0</v>
      </c>
      <c r="AB292" s="192">
        <f t="shared" si="25"/>
        <v>0.51948051948051943</v>
      </c>
    </row>
    <row r="293" spans="2:28" x14ac:dyDescent="0.3">
      <c r="B293" t="s">
        <v>863</v>
      </c>
      <c r="C293" t="s">
        <v>224</v>
      </c>
      <c r="D293" t="s">
        <v>1624</v>
      </c>
      <c r="E293" t="s">
        <v>1624</v>
      </c>
      <c r="F293">
        <v>-11.8</v>
      </c>
      <c r="G293">
        <v>17</v>
      </c>
      <c r="H293">
        <v>0</v>
      </c>
      <c r="I293">
        <v>0</v>
      </c>
      <c r="J293">
        <v>2</v>
      </c>
      <c r="K293">
        <v>1</v>
      </c>
      <c r="L293">
        <v>0</v>
      </c>
      <c r="M293">
        <v>1</v>
      </c>
      <c r="N293">
        <v>16.3</v>
      </c>
      <c r="O293">
        <v>13</v>
      </c>
      <c r="P293">
        <v>7</v>
      </c>
      <c r="Q293">
        <v>1</v>
      </c>
      <c r="R293">
        <v>16</v>
      </c>
      <c r="S293">
        <v>12</v>
      </c>
      <c r="T293">
        <v>3.86</v>
      </c>
      <c r="U293">
        <v>4.32</v>
      </c>
      <c r="V293">
        <v>1.53</v>
      </c>
      <c r="W293">
        <v>0.26700000000000002</v>
      </c>
      <c r="X293">
        <v>0</v>
      </c>
      <c r="Y293">
        <f t="shared" si="22"/>
        <v>1.3333333333333333</v>
      </c>
      <c r="Z293" t="str">
        <f t="shared" si="23"/>
        <v>STELLAR</v>
      </c>
      <c r="AA293" s="176" t="str">
        <f t="shared" si="24"/>
        <v>Didn't Start</v>
      </c>
      <c r="AB293" s="192">
        <f t="shared" si="25"/>
        <v>0.98159509202453987</v>
      </c>
    </row>
    <row r="294" spans="2:28" x14ac:dyDescent="0.3">
      <c r="B294" t="s">
        <v>191</v>
      </c>
      <c r="C294" t="s">
        <v>250</v>
      </c>
      <c r="D294" t="s">
        <v>1623</v>
      </c>
      <c r="E294" t="s">
        <v>1623</v>
      </c>
      <c r="F294">
        <v>-11.8</v>
      </c>
      <c r="G294">
        <v>4</v>
      </c>
      <c r="H294">
        <v>4</v>
      </c>
      <c r="I294">
        <v>1</v>
      </c>
      <c r="J294">
        <v>1</v>
      </c>
      <c r="K294">
        <v>2</v>
      </c>
      <c r="L294">
        <v>0</v>
      </c>
      <c r="M294">
        <v>0</v>
      </c>
      <c r="N294">
        <v>19.7</v>
      </c>
      <c r="O294">
        <v>16</v>
      </c>
      <c r="P294">
        <v>12</v>
      </c>
      <c r="Q294">
        <v>2</v>
      </c>
      <c r="R294">
        <v>15</v>
      </c>
      <c r="S294">
        <v>12</v>
      </c>
      <c r="T294">
        <v>5.49</v>
      </c>
      <c r="U294">
        <v>5.0599999999999996</v>
      </c>
      <c r="V294">
        <v>1.42</v>
      </c>
      <c r="W294">
        <v>0.246</v>
      </c>
      <c r="X294">
        <v>47</v>
      </c>
      <c r="Y294">
        <f t="shared" si="22"/>
        <v>1.25</v>
      </c>
      <c r="Z294">
        <f t="shared" si="23"/>
        <v>3.75</v>
      </c>
      <c r="AA294" s="176">
        <f t="shared" si="24"/>
        <v>0.25</v>
      </c>
      <c r="AB294" s="192">
        <f t="shared" si="25"/>
        <v>0.76142131979695438</v>
      </c>
    </row>
    <row r="295" spans="2:28" x14ac:dyDescent="0.3">
      <c r="B295" t="s">
        <v>3061</v>
      </c>
      <c r="C295" t="s">
        <v>266</v>
      </c>
      <c r="D295" t="s">
        <v>1624</v>
      </c>
      <c r="E295" t="s">
        <v>1624</v>
      </c>
      <c r="F295">
        <v>-11.9</v>
      </c>
      <c r="G295">
        <v>11</v>
      </c>
      <c r="H295">
        <v>0</v>
      </c>
      <c r="I295">
        <v>0</v>
      </c>
      <c r="J295">
        <v>1</v>
      </c>
      <c r="K295">
        <v>0</v>
      </c>
      <c r="L295">
        <v>0</v>
      </c>
      <c r="M295">
        <v>0</v>
      </c>
      <c r="N295">
        <v>11</v>
      </c>
      <c r="O295">
        <v>6</v>
      </c>
      <c r="P295">
        <v>1</v>
      </c>
      <c r="Q295">
        <v>1</v>
      </c>
      <c r="R295">
        <v>8</v>
      </c>
      <c r="S295">
        <v>9</v>
      </c>
      <c r="T295">
        <v>0.82</v>
      </c>
      <c r="U295">
        <v>5.73</v>
      </c>
      <c r="V295">
        <v>1.36</v>
      </c>
      <c r="W295">
        <v>0.17199999999999999</v>
      </c>
      <c r="X295">
        <v>52</v>
      </c>
      <c r="Y295">
        <f t="shared" si="22"/>
        <v>0.88888888888888884</v>
      </c>
      <c r="Z295" t="str">
        <f t="shared" si="23"/>
        <v>STELLAR</v>
      </c>
      <c r="AA295" s="176" t="str">
        <f t="shared" si="24"/>
        <v>Didn't Start</v>
      </c>
      <c r="AB295" s="192">
        <f t="shared" si="25"/>
        <v>0.72727272727272729</v>
      </c>
    </row>
    <row r="296" spans="2:28" x14ac:dyDescent="0.3">
      <c r="B296" t="s">
        <v>3192</v>
      </c>
      <c r="C296" t="s">
        <v>246</v>
      </c>
      <c r="D296" t="s">
        <v>1623</v>
      </c>
      <c r="E296" t="s">
        <v>1623</v>
      </c>
      <c r="F296">
        <v>-11.9</v>
      </c>
      <c r="G296">
        <v>8</v>
      </c>
      <c r="H296">
        <v>2</v>
      </c>
      <c r="I296">
        <v>0</v>
      </c>
      <c r="J296">
        <v>0</v>
      </c>
      <c r="K296">
        <v>1</v>
      </c>
      <c r="L296">
        <v>0</v>
      </c>
      <c r="M296">
        <v>1</v>
      </c>
      <c r="N296">
        <v>16.7</v>
      </c>
      <c r="O296">
        <v>15</v>
      </c>
      <c r="P296">
        <v>7</v>
      </c>
      <c r="Q296">
        <v>0</v>
      </c>
      <c r="R296">
        <v>13</v>
      </c>
      <c r="S296">
        <v>9</v>
      </c>
      <c r="T296">
        <v>3.78</v>
      </c>
      <c r="U296">
        <v>3.52</v>
      </c>
      <c r="V296">
        <v>1.44</v>
      </c>
      <c r="W296">
        <v>0.30599999999999999</v>
      </c>
      <c r="X296">
        <v>0</v>
      </c>
      <c r="Y296">
        <f t="shared" si="22"/>
        <v>1.4444444444444444</v>
      </c>
      <c r="Z296">
        <f t="shared" si="23"/>
        <v>6.5</v>
      </c>
      <c r="AA296" s="176">
        <f t="shared" si="24"/>
        <v>0</v>
      </c>
      <c r="AB296" s="192">
        <f t="shared" si="25"/>
        <v>0.77844311377245512</v>
      </c>
    </row>
    <row r="297" spans="2:28" x14ac:dyDescent="0.3">
      <c r="B297" t="s">
        <v>710</v>
      </c>
      <c r="C297" t="s">
        <v>251</v>
      </c>
      <c r="D297" t="s">
        <v>1624</v>
      </c>
      <c r="E297" t="s">
        <v>1624</v>
      </c>
      <c r="F297">
        <v>-11.9</v>
      </c>
      <c r="G297">
        <v>11</v>
      </c>
      <c r="H297">
        <v>0</v>
      </c>
      <c r="I297">
        <v>0</v>
      </c>
      <c r="J297">
        <v>0</v>
      </c>
      <c r="K297">
        <v>0</v>
      </c>
      <c r="L297">
        <v>0</v>
      </c>
      <c r="M297">
        <v>0</v>
      </c>
      <c r="N297">
        <v>25.3</v>
      </c>
      <c r="O297">
        <v>23</v>
      </c>
      <c r="P297">
        <v>7</v>
      </c>
      <c r="Q297">
        <v>1</v>
      </c>
      <c r="R297">
        <v>19</v>
      </c>
      <c r="S297">
        <v>6</v>
      </c>
      <c r="T297">
        <v>2.4900000000000002</v>
      </c>
      <c r="U297">
        <v>3</v>
      </c>
      <c r="V297">
        <v>1.1399999999999999</v>
      </c>
      <c r="W297">
        <v>0.28599999999999998</v>
      </c>
      <c r="X297">
        <v>0</v>
      </c>
      <c r="Y297">
        <f t="shared" si="22"/>
        <v>3.1666666666666665</v>
      </c>
      <c r="Z297" t="str">
        <f t="shared" si="23"/>
        <v>STELLAR</v>
      </c>
      <c r="AA297" s="176" t="str">
        <f t="shared" si="24"/>
        <v>Didn't Start</v>
      </c>
      <c r="AB297" s="192">
        <f t="shared" si="25"/>
        <v>0.75098814229249011</v>
      </c>
    </row>
    <row r="298" spans="2:28" x14ac:dyDescent="0.3">
      <c r="B298" t="s">
        <v>3350</v>
      </c>
      <c r="C298" t="s">
        <v>231</v>
      </c>
      <c r="D298" t="s">
        <v>1623</v>
      </c>
      <c r="E298" t="s">
        <v>1623</v>
      </c>
      <c r="F298">
        <v>-11.9</v>
      </c>
      <c r="G298">
        <v>3</v>
      </c>
      <c r="H298">
        <v>3</v>
      </c>
      <c r="I298">
        <v>1</v>
      </c>
      <c r="J298">
        <v>1</v>
      </c>
      <c r="K298">
        <v>2</v>
      </c>
      <c r="L298">
        <v>0</v>
      </c>
      <c r="M298">
        <v>0</v>
      </c>
      <c r="N298">
        <v>15.7</v>
      </c>
      <c r="O298">
        <v>19</v>
      </c>
      <c r="P298">
        <v>7</v>
      </c>
      <c r="Q298">
        <v>1</v>
      </c>
      <c r="R298">
        <v>8</v>
      </c>
      <c r="S298">
        <v>7</v>
      </c>
      <c r="T298">
        <v>4.0199999999999996</v>
      </c>
      <c r="U298">
        <v>4.43</v>
      </c>
      <c r="V298">
        <v>1.66</v>
      </c>
      <c r="W298">
        <v>0.31</v>
      </c>
      <c r="X298">
        <v>25</v>
      </c>
      <c r="Y298">
        <f t="shared" si="22"/>
        <v>1.1428571428571428</v>
      </c>
      <c r="Z298">
        <f t="shared" si="23"/>
        <v>2.6666666666666665</v>
      </c>
      <c r="AA298" s="176">
        <f t="shared" si="24"/>
        <v>0.33333333333333331</v>
      </c>
      <c r="AB298" s="192">
        <f t="shared" si="25"/>
        <v>0.50955414012738853</v>
      </c>
    </row>
    <row r="299" spans="2:28" x14ac:dyDescent="0.3">
      <c r="B299" t="s">
        <v>1598</v>
      </c>
      <c r="C299" t="s">
        <v>244</v>
      </c>
      <c r="D299" t="s">
        <v>1624</v>
      </c>
      <c r="E299" t="s">
        <v>1624</v>
      </c>
      <c r="F299">
        <v>-12</v>
      </c>
      <c r="G299">
        <v>21</v>
      </c>
      <c r="H299">
        <v>0</v>
      </c>
      <c r="I299">
        <v>0</v>
      </c>
      <c r="J299">
        <v>0</v>
      </c>
      <c r="K299">
        <v>2</v>
      </c>
      <c r="L299">
        <v>1</v>
      </c>
      <c r="M299">
        <v>9</v>
      </c>
      <c r="N299">
        <v>19.3</v>
      </c>
      <c r="O299">
        <v>16</v>
      </c>
      <c r="P299">
        <v>6</v>
      </c>
      <c r="Q299">
        <v>1</v>
      </c>
      <c r="R299">
        <v>17</v>
      </c>
      <c r="S299">
        <v>6</v>
      </c>
      <c r="T299">
        <v>2.79</v>
      </c>
      <c r="U299">
        <v>3.12</v>
      </c>
      <c r="V299">
        <v>1.1399999999999999</v>
      </c>
      <c r="W299">
        <v>0.28799999999999998</v>
      </c>
      <c r="X299">
        <v>1</v>
      </c>
      <c r="Y299">
        <f t="shared" si="22"/>
        <v>2.8333333333333335</v>
      </c>
      <c r="Z299" t="str">
        <f t="shared" si="23"/>
        <v>STELLAR</v>
      </c>
      <c r="AA299" s="176" t="str">
        <f t="shared" si="24"/>
        <v>Didn't Start</v>
      </c>
      <c r="AB299" s="192">
        <f t="shared" si="25"/>
        <v>0.88082901554404147</v>
      </c>
    </row>
    <row r="300" spans="2:28" x14ac:dyDescent="0.3">
      <c r="B300" t="s">
        <v>1735</v>
      </c>
      <c r="C300" t="s">
        <v>221</v>
      </c>
      <c r="D300" t="s">
        <v>1623</v>
      </c>
      <c r="E300" t="s">
        <v>1623</v>
      </c>
      <c r="F300">
        <v>-12.1</v>
      </c>
      <c r="G300">
        <v>3</v>
      </c>
      <c r="H300">
        <v>3</v>
      </c>
      <c r="I300">
        <v>1</v>
      </c>
      <c r="J300">
        <v>1</v>
      </c>
      <c r="K300">
        <v>2</v>
      </c>
      <c r="L300">
        <v>0</v>
      </c>
      <c r="M300">
        <v>0</v>
      </c>
      <c r="N300">
        <v>16</v>
      </c>
      <c r="O300">
        <v>19</v>
      </c>
      <c r="P300">
        <v>11</v>
      </c>
      <c r="Q300">
        <v>4</v>
      </c>
      <c r="R300">
        <v>11</v>
      </c>
      <c r="S300">
        <v>3</v>
      </c>
      <c r="T300">
        <v>6.19</v>
      </c>
      <c r="U300">
        <v>5.9</v>
      </c>
      <c r="V300">
        <v>1.38</v>
      </c>
      <c r="W300">
        <v>0.32600000000000001</v>
      </c>
      <c r="X300">
        <v>74</v>
      </c>
      <c r="Y300">
        <f t="shared" si="22"/>
        <v>3.6666666666666665</v>
      </c>
      <c r="Z300">
        <f t="shared" si="23"/>
        <v>3.6666666666666665</v>
      </c>
      <c r="AA300" s="176">
        <f t="shared" si="24"/>
        <v>0.33333333333333331</v>
      </c>
      <c r="AB300" s="192">
        <f>R300/N300</f>
        <v>0.6875</v>
      </c>
    </row>
    <row r="301" spans="2:28" x14ac:dyDescent="0.3">
      <c r="B301" t="s">
        <v>3018</v>
      </c>
      <c r="C301" t="s">
        <v>226</v>
      </c>
      <c r="D301" t="s">
        <v>1624</v>
      </c>
      <c r="E301" t="s">
        <v>1624</v>
      </c>
      <c r="F301">
        <v>-12.2</v>
      </c>
      <c r="G301">
        <v>11</v>
      </c>
      <c r="H301">
        <v>0</v>
      </c>
      <c r="I301">
        <v>0</v>
      </c>
      <c r="J301">
        <v>1</v>
      </c>
      <c r="K301">
        <v>0</v>
      </c>
      <c r="L301">
        <v>0</v>
      </c>
      <c r="M301">
        <v>1</v>
      </c>
      <c r="N301">
        <v>12.3</v>
      </c>
      <c r="O301">
        <v>12</v>
      </c>
      <c r="P301">
        <v>5</v>
      </c>
      <c r="Q301">
        <v>1</v>
      </c>
      <c r="R301">
        <v>13</v>
      </c>
      <c r="S301">
        <v>2</v>
      </c>
      <c r="T301">
        <v>3.65</v>
      </c>
      <c r="U301">
        <v>2.71</v>
      </c>
      <c r="V301">
        <v>1.1399999999999999</v>
      </c>
      <c r="W301">
        <v>0.314</v>
      </c>
      <c r="X301">
        <v>0</v>
      </c>
      <c r="Y301">
        <f t="shared" si="22"/>
        <v>6.5</v>
      </c>
      <c r="Z301" t="str">
        <f t="shared" si="23"/>
        <v>STELLAR</v>
      </c>
      <c r="AA301" s="176" t="str">
        <f t="shared" si="24"/>
        <v>Didn't Start</v>
      </c>
      <c r="AB301" s="192">
        <f t="shared" ref="AB301:AB364" si="26">R301/N301</f>
        <v>1.056910569105691</v>
      </c>
    </row>
    <row r="302" spans="2:28" x14ac:dyDescent="0.3">
      <c r="B302" t="s">
        <v>613</v>
      </c>
      <c r="C302" t="s">
        <v>1523</v>
      </c>
      <c r="D302" t="s">
        <v>1624</v>
      </c>
      <c r="E302" t="s">
        <v>1624</v>
      </c>
      <c r="F302">
        <v>-12.3</v>
      </c>
      <c r="G302">
        <v>23</v>
      </c>
      <c r="H302">
        <v>0</v>
      </c>
      <c r="I302">
        <v>0</v>
      </c>
      <c r="J302">
        <v>1</v>
      </c>
      <c r="K302">
        <v>1</v>
      </c>
      <c r="L302">
        <v>0</v>
      </c>
      <c r="M302">
        <v>6</v>
      </c>
      <c r="N302">
        <v>21.7</v>
      </c>
      <c r="O302">
        <v>22</v>
      </c>
      <c r="P302">
        <v>7</v>
      </c>
      <c r="Q302">
        <v>4</v>
      </c>
      <c r="R302">
        <v>13</v>
      </c>
      <c r="S302">
        <v>5</v>
      </c>
      <c r="T302">
        <v>2.91</v>
      </c>
      <c r="U302">
        <v>5.72</v>
      </c>
      <c r="V302">
        <v>1.25</v>
      </c>
      <c r="W302">
        <v>0.27700000000000002</v>
      </c>
      <c r="X302">
        <v>0</v>
      </c>
      <c r="Y302">
        <f t="shared" si="22"/>
        <v>2.6</v>
      </c>
      <c r="Z302" t="str">
        <f t="shared" si="23"/>
        <v>STELLAR</v>
      </c>
      <c r="AA302" s="176" t="str">
        <f t="shared" si="24"/>
        <v>Didn't Start</v>
      </c>
      <c r="AB302" s="192">
        <f t="shared" si="26"/>
        <v>0.59907834101382496</v>
      </c>
    </row>
    <row r="303" spans="2:28" x14ac:dyDescent="0.3">
      <c r="B303" t="s">
        <v>493</v>
      </c>
      <c r="C303" t="s">
        <v>231</v>
      </c>
      <c r="D303" t="s">
        <v>1624</v>
      </c>
      <c r="E303" t="s">
        <v>1624</v>
      </c>
      <c r="F303">
        <v>-12.3</v>
      </c>
      <c r="G303">
        <v>19</v>
      </c>
      <c r="H303">
        <v>0</v>
      </c>
      <c r="I303">
        <v>0</v>
      </c>
      <c r="J303">
        <v>0</v>
      </c>
      <c r="K303">
        <v>1</v>
      </c>
      <c r="L303">
        <v>0</v>
      </c>
      <c r="M303">
        <v>9</v>
      </c>
      <c r="N303">
        <v>18.3</v>
      </c>
      <c r="O303">
        <v>18</v>
      </c>
      <c r="P303">
        <v>5</v>
      </c>
      <c r="Q303">
        <v>1</v>
      </c>
      <c r="R303">
        <v>23</v>
      </c>
      <c r="S303">
        <v>5</v>
      </c>
      <c r="T303">
        <v>2.4500000000000002</v>
      </c>
      <c r="U303">
        <v>2.2999999999999998</v>
      </c>
      <c r="V303">
        <v>1.25</v>
      </c>
      <c r="W303">
        <v>0.36199999999999999</v>
      </c>
      <c r="X303">
        <v>0</v>
      </c>
      <c r="Y303">
        <f t="shared" si="22"/>
        <v>4.5999999999999996</v>
      </c>
      <c r="Z303" t="str">
        <f t="shared" si="23"/>
        <v>STELLAR</v>
      </c>
      <c r="AA303" s="176" t="str">
        <f t="shared" si="24"/>
        <v>Didn't Start</v>
      </c>
      <c r="AB303" s="192">
        <f t="shared" si="26"/>
        <v>1.256830601092896</v>
      </c>
    </row>
    <row r="304" spans="2:28" x14ac:dyDescent="0.3">
      <c r="B304" t="s">
        <v>3015</v>
      </c>
      <c r="C304" t="s">
        <v>325</v>
      </c>
      <c r="D304" t="s">
        <v>1624</v>
      </c>
      <c r="E304" t="s">
        <v>1624</v>
      </c>
      <c r="F304">
        <v>-12.5</v>
      </c>
      <c r="G304">
        <v>15</v>
      </c>
      <c r="H304">
        <v>0</v>
      </c>
      <c r="I304">
        <v>0</v>
      </c>
      <c r="J304">
        <v>0</v>
      </c>
      <c r="K304">
        <v>2</v>
      </c>
      <c r="L304">
        <v>0</v>
      </c>
      <c r="M304">
        <v>2</v>
      </c>
      <c r="N304">
        <v>13.7</v>
      </c>
      <c r="O304">
        <v>8</v>
      </c>
      <c r="P304">
        <v>3</v>
      </c>
      <c r="Q304">
        <v>2</v>
      </c>
      <c r="R304">
        <v>14</v>
      </c>
      <c r="S304">
        <v>6</v>
      </c>
      <c r="T304">
        <v>1.98</v>
      </c>
      <c r="U304">
        <v>4.67</v>
      </c>
      <c r="V304">
        <v>1.02</v>
      </c>
      <c r="W304">
        <v>0.188</v>
      </c>
      <c r="X304">
        <v>0</v>
      </c>
      <c r="Y304">
        <f t="shared" si="22"/>
        <v>2.3333333333333335</v>
      </c>
      <c r="Z304" t="str">
        <f t="shared" si="23"/>
        <v>STELLAR</v>
      </c>
      <c r="AA304" s="176" t="str">
        <f t="shared" si="24"/>
        <v>Didn't Start</v>
      </c>
      <c r="AB304" s="192">
        <f t="shared" si="26"/>
        <v>1.0218978102189782</v>
      </c>
    </row>
    <row r="305" spans="2:28" x14ac:dyDescent="0.3">
      <c r="B305" t="s">
        <v>3087</v>
      </c>
      <c r="C305" t="s">
        <v>248</v>
      </c>
      <c r="D305" t="s">
        <v>1624</v>
      </c>
      <c r="E305" t="s">
        <v>1624</v>
      </c>
      <c r="F305">
        <v>-12.5</v>
      </c>
      <c r="G305">
        <v>7</v>
      </c>
      <c r="H305">
        <v>0</v>
      </c>
      <c r="I305">
        <v>0</v>
      </c>
      <c r="J305">
        <v>0</v>
      </c>
      <c r="K305">
        <v>0</v>
      </c>
      <c r="L305">
        <v>0</v>
      </c>
      <c r="M305">
        <v>1</v>
      </c>
      <c r="N305">
        <v>8</v>
      </c>
      <c r="O305">
        <v>3</v>
      </c>
      <c r="P305">
        <v>0</v>
      </c>
      <c r="Q305">
        <v>0</v>
      </c>
      <c r="R305">
        <v>12</v>
      </c>
      <c r="S305">
        <v>5</v>
      </c>
      <c r="T305">
        <v>0</v>
      </c>
      <c r="U305">
        <v>2.15</v>
      </c>
      <c r="V305">
        <v>1</v>
      </c>
      <c r="W305">
        <v>0.188</v>
      </c>
      <c r="X305">
        <v>1</v>
      </c>
      <c r="Y305">
        <f t="shared" si="22"/>
        <v>2.4</v>
      </c>
      <c r="Z305" t="str">
        <f t="shared" si="23"/>
        <v>STELLAR</v>
      </c>
      <c r="AA305" s="176" t="str">
        <f t="shared" si="24"/>
        <v>Didn't Start</v>
      </c>
      <c r="AB305" s="192">
        <f t="shared" si="26"/>
        <v>1.5</v>
      </c>
    </row>
    <row r="306" spans="2:28" x14ac:dyDescent="0.3">
      <c r="B306" t="s">
        <v>3069</v>
      </c>
      <c r="C306" t="s">
        <v>231</v>
      </c>
      <c r="D306" t="s">
        <v>1624</v>
      </c>
      <c r="E306" t="s">
        <v>1624</v>
      </c>
      <c r="F306">
        <v>-12.5</v>
      </c>
      <c r="G306">
        <v>10</v>
      </c>
      <c r="H306">
        <v>0</v>
      </c>
      <c r="I306">
        <v>0</v>
      </c>
      <c r="J306">
        <v>0</v>
      </c>
      <c r="K306">
        <v>0</v>
      </c>
      <c r="L306">
        <v>0</v>
      </c>
      <c r="M306">
        <v>1</v>
      </c>
      <c r="N306">
        <v>16</v>
      </c>
      <c r="O306">
        <v>13</v>
      </c>
      <c r="P306">
        <v>3</v>
      </c>
      <c r="Q306">
        <v>1</v>
      </c>
      <c r="R306">
        <v>18</v>
      </c>
      <c r="S306">
        <v>7</v>
      </c>
      <c r="T306">
        <v>1.69</v>
      </c>
      <c r="U306">
        <v>3.72</v>
      </c>
      <c r="V306">
        <v>1.25</v>
      </c>
      <c r="W306">
        <v>0.28599999999999998</v>
      </c>
      <c r="X306">
        <v>0</v>
      </c>
      <c r="Y306">
        <f t="shared" si="22"/>
        <v>2.5714285714285716</v>
      </c>
      <c r="Z306" t="str">
        <f t="shared" si="23"/>
        <v>STELLAR</v>
      </c>
      <c r="AA306" s="176" t="str">
        <f t="shared" si="24"/>
        <v>Didn't Start</v>
      </c>
      <c r="AB306" s="192">
        <f t="shared" si="26"/>
        <v>1.125</v>
      </c>
    </row>
    <row r="307" spans="2:28" x14ac:dyDescent="0.3">
      <c r="B307" t="s">
        <v>3267</v>
      </c>
      <c r="C307" t="s">
        <v>1520</v>
      </c>
      <c r="D307" t="s">
        <v>1623</v>
      </c>
      <c r="E307" t="s">
        <v>1623</v>
      </c>
      <c r="F307">
        <v>-12.6</v>
      </c>
      <c r="G307">
        <v>1</v>
      </c>
      <c r="H307">
        <v>0</v>
      </c>
      <c r="I307">
        <v>0</v>
      </c>
      <c r="J307">
        <v>0</v>
      </c>
      <c r="K307">
        <v>0</v>
      </c>
      <c r="L307">
        <v>0</v>
      </c>
      <c r="M307">
        <v>0</v>
      </c>
      <c r="N307">
        <v>2.7</v>
      </c>
      <c r="O307">
        <v>4</v>
      </c>
      <c r="P307">
        <v>2</v>
      </c>
      <c r="Q307">
        <v>0</v>
      </c>
      <c r="R307">
        <v>1</v>
      </c>
      <c r="S307">
        <v>0</v>
      </c>
      <c r="T307">
        <v>6.75</v>
      </c>
      <c r="U307">
        <v>2.5299999999999998</v>
      </c>
      <c r="V307">
        <v>1.5</v>
      </c>
      <c r="W307">
        <v>0.36399999999999999</v>
      </c>
      <c r="X307">
        <v>0</v>
      </c>
      <c r="Y307" t="str">
        <f t="shared" si="22"/>
        <v>STELLAR</v>
      </c>
      <c r="Z307" t="str">
        <f t="shared" si="23"/>
        <v>STELLAR</v>
      </c>
      <c r="AA307" s="176" t="str">
        <f t="shared" si="24"/>
        <v>Didn't Start</v>
      </c>
      <c r="AB307" s="192">
        <f t="shared" si="26"/>
        <v>0.37037037037037035</v>
      </c>
    </row>
    <row r="308" spans="2:28" x14ac:dyDescent="0.3">
      <c r="B308" t="s">
        <v>936</v>
      </c>
      <c r="C308" t="s">
        <v>278</v>
      </c>
      <c r="D308" t="s">
        <v>1624</v>
      </c>
      <c r="E308" t="s">
        <v>1624</v>
      </c>
      <c r="F308">
        <v>-12.7</v>
      </c>
      <c r="G308">
        <v>18</v>
      </c>
      <c r="H308">
        <v>0</v>
      </c>
      <c r="I308">
        <v>0</v>
      </c>
      <c r="J308">
        <v>1</v>
      </c>
      <c r="K308">
        <v>1</v>
      </c>
      <c r="L308">
        <v>0</v>
      </c>
      <c r="M308">
        <v>3</v>
      </c>
      <c r="N308">
        <v>22.7</v>
      </c>
      <c r="O308">
        <v>24</v>
      </c>
      <c r="P308">
        <v>11</v>
      </c>
      <c r="Q308">
        <v>5</v>
      </c>
      <c r="R308">
        <v>24</v>
      </c>
      <c r="S308">
        <v>5</v>
      </c>
      <c r="T308">
        <v>4.37</v>
      </c>
      <c r="U308">
        <v>4.95</v>
      </c>
      <c r="V308">
        <v>1.28</v>
      </c>
      <c r="W308">
        <v>0.30199999999999999</v>
      </c>
      <c r="X308">
        <v>0</v>
      </c>
      <c r="Y308">
        <f t="shared" si="22"/>
        <v>4.8</v>
      </c>
      <c r="Z308" t="str">
        <f t="shared" si="23"/>
        <v>STELLAR</v>
      </c>
      <c r="AA308" s="176" t="str">
        <f t="shared" si="24"/>
        <v>Didn't Start</v>
      </c>
      <c r="AB308" s="192">
        <f t="shared" si="26"/>
        <v>1.0572687224669604</v>
      </c>
    </row>
    <row r="309" spans="2:28" x14ac:dyDescent="0.3">
      <c r="B309" t="s">
        <v>884</v>
      </c>
      <c r="C309" t="s">
        <v>250</v>
      </c>
      <c r="D309" t="s">
        <v>1624</v>
      </c>
      <c r="E309" t="s">
        <v>1624</v>
      </c>
      <c r="F309">
        <v>-12.8</v>
      </c>
      <c r="G309">
        <v>17</v>
      </c>
      <c r="H309">
        <v>0</v>
      </c>
      <c r="I309">
        <v>0</v>
      </c>
      <c r="J309">
        <v>1</v>
      </c>
      <c r="K309">
        <v>0</v>
      </c>
      <c r="L309">
        <v>0</v>
      </c>
      <c r="M309">
        <v>2</v>
      </c>
      <c r="N309">
        <v>16.7</v>
      </c>
      <c r="O309">
        <v>10</v>
      </c>
      <c r="P309">
        <v>7</v>
      </c>
      <c r="Q309">
        <v>3</v>
      </c>
      <c r="R309">
        <v>22</v>
      </c>
      <c r="S309">
        <v>14</v>
      </c>
      <c r="T309">
        <v>3.78</v>
      </c>
      <c r="U309">
        <v>5.5</v>
      </c>
      <c r="V309">
        <v>1.44</v>
      </c>
      <c r="W309">
        <v>0.19400000000000001</v>
      </c>
      <c r="X309">
        <v>1</v>
      </c>
      <c r="Y309">
        <f t="shared" si="22"/>
        <v>1.5714285714285714</v>
      </c>
      <c r="Z309" t="str">
        <f t="shared" si="23"/>
        <v>STELLAR</v>
      </c>
      <c r="AA309" s="176" t="str">
        <f t="shared" si="24"/>
        <v>Didn't Start</v>
      </c>
      <c r="AB309" s="192">
        <f t="shared" si="26"/>
        <v>1.3173652694610778</v>
      </c>
    </row>
    <row r="310" spans="2:28" x14ac:dyDescent="0.3">
      <c r="B310" t="s">
        <v>706</v>
      </c>
      <c r="C310" t="s">
        <v>266</v>
      </c>
      <c r="D310" t="s">
        <v>1623</v>
      </c>
      <c r="E310" t="s">
        <v>1623</v>
      </c>
      <c r="F310">
        <v>-12.8</v>
      </c>
      <c r="G310">
        <v>10</v>
      </c>
      <c r="H310">
        <v>10</v>
      </c>
      <c r="I310">
        <v>4</v>
      </c>
      <c r="J310">
        <v>4</v>
      </c>
      <c r="K310">
        <v>4</v>
      </c>
      <c r="L310">
        <v>0</v>
      </c>
      <c r="M310">
        <v>0</v>
      </c>
      <c r="N310">
        <v>50</v>
      </c>
      <c r="O310">
        <v>54</v>
      </c>
      <c r="P310">
        <v>36</v>
      </c>
      <c r="Q310">
        <v>11</v>
      </c>
      <c r="R310">
        <v>31</v>
      </c>
      <c r="S310">
        <v>19</v>
      </c>
      <c r="T310">
        <v>6.48</v>
      </c>
      <c r="U310">
        <v>6.04</v>
      </c>
      <c r="V310">
        <v>1.46</v>
      </c>
      <c r="W310">
        <v>0.28299999999999997</v>
      </c>
      <c r="X310">
        <v>0</v>
      </c>
      <c r="Y310">
        <f t="shared" si="22"/>
        <v>1.631578947368421</v>
      </c>
      <c r="Z310">
        <f t="shared" si="23"/>
        <v>3.1</v>
      </c>
      <c r="AA310" s="176">
        <f t="shared" si="24"/>
        <v>0.4</v>
      </c>
      <c r="AB310" s="192">
        <f t="shared" si="26"/>
        <v>0.62</v>
      </c>
    </row>
    <row r="311" spans="2:28" x14ac:dyDescent="0.3">
      <c r="B311" t="s">
        <v>3351</v>
      </c>
      <c r="C311" t="s">
        <v>270</v>
      </c>
      <c r="D311" t="s">
        <v>1623</v>
      </c>
      <c r="E311" t="s">
        <v>1623</v>
      </c>
      <c r="F311">
        <v>-12.8</v>
      </c>
      <c r="G311">
        <v>1</v>
      </c>
      <c r="H311">
        <v>0</v>
      </c>
      <c r="I311">
        <v>0</v>
      </c>
      <c r="J311">
        <v>0</v>
      </c>
      <c r="K311">
        <v>0</v>
      </c>
      <c r="L311">
        <v>0</v>
      </c>
      <c r="M311">
        <v>0</v>
      </c>
      <c r="N311">
        <v>1</v>
      </c>
      <c r="O311">
        <v>2</v>
      </c>
      <c r="P311">
        <v>1</v>
      </c>
      <c r="Q311">
        <v>0</v>
      </c>
      <c r="R311">
        <v>1</v>
      </c>
      <c r="S311">
        <v>1</v>
      </c>
      <c r="T311">
        <v>9</v>
      </c>
      <c r="U311">
        <v>4.28</v>
      </c>
      <c r="V311">
        <v>3</v>
      </c>
      <c r="W311">
        <v>0.5</v>
      </c>
      <c r="Y311">
        <f t="shared" ref="Y311:Y374" si="27">IFERROR(R311/S311,"STELLAR")</f>
        <v>1</v>
      </c>
      <c r="Z311" t="str">
        <f t="shared" ref="Z311:Z374" si="28">IFERROR(R311/H311,"STELLAR")</f>
        <v>STELLAR</v>
      </c>
      <c r="AA311" s="176" t="str">
        <f t="shared" ref="AA311:AA374" si="29">IFERROR(J311/H311,"Didn't Start")</f>
        <v>Didn't Start</v>
      </c>
      <c r="AB311" s="192">
        <f t="shared" si="26"/>
        <v>1</v>
      </c>
    </row>
    <row r="312" spans="2:28" x14ac:dyDescent="0.3">
      <c r="B312" t="s">
        <v>3256</v>
      </c>
      <c r="C312" t="s">
        <v>1524</v>
      </c>
      <c r="D312" t="s">
        <v>1623</v>
      </c>
      <c r="E312" t="s">
        <v>1623</v>
      </c>
      <c r="F312">
        <v>-12.9</v>
      </c>
      <c r="G312">
        <v>4</v>
      </c>
      <c r="H312">
        <v>4</v>
      </c>
      <c r="I312">
        <v>1</v>
      </c>
      <c r="J312">
        <v>1</v>
      </c>
      <c r="K312">
        <v>2</v>
      </c>
      <c r="L312">
        <v>0</v>
      </c>
      <c r="M312">
        <v>0</v>
      </c>
      <c r="N312">
        <v>18</v>
      </c>
      <c r="O312">
        <v>17</v>
      </c>
      <c r="P312">
        <v>11</v>
      </c>
      <c r="Q312">
        <v>2</v>
      </c>
      <c r="R312">
        <v>15</v>
      </c>
      <c r="S312">
        <v>12</v>
      </c>
      <c r="T312">
        <v>5.5</v>
      </c>
      <c r="U312">
        <v>5.39</v>
      </c>
      <c r="V312">
        <v>1.61</v>
      </c>
      <c r="W312">
        <v>0.27800000000000002</v>
      </c>
      <c r="X312">
        <v>0</v>
      </c>
      <c r="Y312">
        <f t="shared" si="27"/>
        <v>1.25</v>
      </c>
      <c r="Z312">
        <f t="shared" si="28"/>
        <v>3.75</v>
      </c>
      <c r="AA312" s="176">
        <f t="shared" si="29"/>
        <v>0.25</v>
      </c>
      <c r="AB312" s="192">
        <f t="shared" si="26"/>
        <v>0.83333333333333337</v>
      </c>
    </row>
    <row r="313" spans="2:28" x14ac:dyDescent="0.3">
      <c r="B313" t="s">
        <v>2026</v>
      </c>
      <c r="C313" t="s">
        <v>1520</v>
      </c>
      <c r="D313" t="s">
        <v>1624</v>
      </c>
      <c r="E313" t="s">
        <v>1624</v>
      </c>
      <c r="F313">
        <v>-13</v>
      </c>
      <c r="G313">
        <v>16</v>
      </c>
      <c r="H313">
        <v>0</v>
      </c>
      <c r="I313">
        <v>0</v>
      </c>
      <c r="J313">
        <v>0</v>
      </c>
      <c r="K313">
        <v>0</v>
      </c>
      <c r="L313">
        <v>0</v>
      </c>
      <c r="M313">
        <v>1</v>
      </c>
      <c r="N313">
        <v>15.3</v>
      </c>
      <c r="O313">
        <v>9</v>
      </c>
      <c r="P313">
        <v>5</v>
      </c>
      <c r="Q313">
        <v>0</v>
      </c>
      <c r="R313">
        <v>19</v>
      </c>
      <c r="S313">
        <v>8</v>
      </c>
      <c r="T313">
        <v>2.94</v>
      </c>
      <c r="U313">
        <v>2.76</v>
      </c>
      <c r="V313">
        <v>1.1100000000000001</v>
      </c>
      <c r="W313">
        <v>0.26500000000000001</v>
      </c>
      <c r="X313">
        <v>0</v>
      </c>
      <c r="Y313">
        <f t="shared" si="27"/>
        <v>2.375</v>
      </c>
      <c r="Z313" t="str">
        <f t="shared" si="28"/>
        <v>STELLAR</v>
      </c>
      <c r="AA313" s="176" t="str">
        <f t="shared" si="29"/>
        <v>Didn't Start</v>
      </c>
      <c r="AB313" s="192">
        <f t="shared" si="26"/>
        <v>1.2418300653594772</v>
      </c>
    </row>
    <row r="314" spans="2:28" x14ac:dyDescent="0.3">
      <c r="B314" t="s">
        <v>609</v>
      </c>
      <c r="C314" t="s">
        <v>221</v>
      </c>
      <c r="D314" t="s">
        <v>1624</v>
      </c>
      <c r="E314" t="s">
        <v>1624</v>
      </c>
      <c r="F314">
        <v>-13.1</v>
      </c>
      <c r="G314">
        <v>13</v>
      </c>
      <c r="H314">
        <v>0</v>
      </c>
      <c r="I314">
        <v>0</v>
      </c>
      <c r="J314">
        <v>0</v>
      </c>
      <c r="K314">
        <v>1</v>
      </c>
      <c r="L314">
        <v>0</v>
      </c>
      <c r="M314">
        <v>8</v>
      </c>
      <c r="N314">
        <v>13</v>
      </c>
      <c r="O314">
        <v>11</v>
      </c>
      <c r="P314">
        <v>2</v>
      </c>
      <c r="Q314">
        <v>1</v>
      </c>
      <c r="R314">
        <v>9</v>
      </c>
      <c r="S314">
        <v>2</v>
      </c>
      <c r="T314">
        <v>1.39</v>
      </c>
      <c r="U314">
        <v>3.36</v>
      </c>
      <c r="V314">
        <v>1</v>
      </c>
      <c r="W314">
        <v>0.26300000000000001</v>
      </c>
      <c r="X314">
        <v>0</v>
      </c>
      <c r="Y314">
        <f t="shared" si="27"/>
        <v>4.5</v>
      </c>
      <c r="Z314" t="str">
        <f t="shared" si="28"/>
        <v>STELLAR</v>
      </c>
      <c r="AA314" s="176" t="str">
        <f t="shared" si="29"/>
        <v>Didn't Start</v>
      </c>
      <c r="AB314" s="192">
        <f t="shared" si="26"/>
        <v>0.69230769230769229</v>
      </c>
    </row>
    <row r="315" spans="2:28" x14ac:dyDescent="0.3">
      <c r="B315" t="s">
        <v>747</v>
      </c>
      <c r="C315" t="s">
        <v>286</v>
      </c>
      <c r="D315" t="s">
        <v>1623</v>
      </c>
      <c r="E315" t="s">
        <v>1623</v>
      </c>
      <c r="F315">
        <v>-13.1</v>
      </c>
      <c r="G315">
        <v>10</v>
      </c>
      <c r="H315">
        <v>10</v>
      </c>
      <c r="I315">
        <v>3</v>
      </c>
      <c r="J315">
        <v>1</v>
      </c>
      <c r="K315">
        <v>2</v>
      </c>
      <c r="L315">
        <v>0</v>
      </c>
      <c r="M315">
        <v>0</v>
      </c>
      <c r="N315">
        <v>52</v>
      </c>
      <c r="O315">
        <v>56</v>
      </c>
      <c r="P315">
        <v>29</v>
      </c>
      <c r="Q315">
        <v>7</v>
      </c>
      <c r="R315">
        <v>36</v>
      </c>
      <c r="S315">
        <v>15</v>
      </c>
      <c r="T315">
        <v>5.0199999999999996</v>
      </c>
      <c r="U315">
        <v>4.51</v>
      </c>
      <c r="V315">
        <v>1.37</v>
      </c>
      <c r="W315">
        <v>0.30199999999999999</v>
      </c>
      <c r="X315">
        <v>3</v>
      </c>
      <c r="Y315">
        <f t="shared" si="27"/>
        <v>2.4</v>
      </c>
      <c r="Z315">
        <f t="shared" si="28"/>
        <v>3.6</v>
      </c>
      <c r="AA315" s="176">
        <f t="shared" si="29"/>
        <v>0.1</v>
      </c>
      <c r="AB315" s="192">
        <f t="shared" si="26"/>
        <v>0.69230769230769229</v>
      </c>
    </row>
    <row r="316" spans="2:28" x14ac:dyDescent="0.3">
      <c r="B316" t="s">
        <v>3352</v>
      </c>
      <c r="C316" t="s">
        <v>1521</v>
      </c>
      <c r="D316" t="s">
        <v>1624</v>
      </c>
      <c r="E316" t="s">
        <v>1624</v>
      </c>
      <c r="F316">
        <v>-13.1</v>
      </c>
      <c r="G316">
        <v>2</v>
      </c>
      <c r="H316">
        <v>0</v>
      </c>
      <c r="I316">
        <v>0</v>
      </c>
      <c r="J316">
        <v>1</v>
      </c>
      <c r="K316">
        <v>0</v>
      </c>
      <c r="L316">
        <v>0</v>
      </c>
      <c r="M316">
        <v>0</v>
      </c>
      <c r="N316">
        <v>3</v>
      </c>
      <c r="O316">
        <v>3</v>
      </c>
      <c r="P316">
        <v>0</v>
      </c>
      <c r="Q316">
        <v>0</v>
      </c>
      <c r="R316">
        <v>4</v>
      </c>
      <c r="S316">
        <v>0</v>
      </c>
      <c r="T316">
        <v>0</v>
      </c>
      <c r="U316">
        <v>0.61</v>
      </c>
      <c r="V316">
        <v>1</v>
      </c>
      <c r="W316">
        <v>0.375</v>
      </c>
      <c r="X316">
        <v>0</v>
      </c>
      <c r="Y316" t="str">
        <f t="shared" si="27"/>
        <v>STELLAR</v>
      </c>
      <c r="Z316" t="str">
        <f t="shared" si="28"/>
        <v>STELLAR</v>
      </c>
      <c r="AA316" s="176" t="str">
        <f t="shared" si="29"/>
        <v>Didn't Start</v>
      </c>
      <c r="AB316" s="192">
        <f t="shared" si="26"/>
        <v>1.3333333333333333</v>
      </c>
    </row>
    <row r="317" spans="2:28" x14ac:dyDescent="0.3">
      <c r="B317" t="s">
        <v>637</v>
      </c>
      <c r="C317" t="s">
        <v>274</v>
      </c>
      <c r="D317" t="s">
        <v>1624</v>
      </c>
      <c r="E317" t="s">
        <v>1624</v>
      </c>
      <c r="F317">
        <v>-13.2</v>
      </c>
      <c r="G317">
        <v>23</v>
      </c>
      <c r="H317">
        <v>0</v>
      </c>
      <c r="I317">
        <v>0</v>
      </c>
      <c r="J317">
        <v>2</v>
      </c>
      <c r="K317">
        <v>6</v>
      </c>
      <c r="L317">
        <v>0</v>
      </c>
      <c r="M317">
        <v>6</v>
      </c>
      <c r="N317">
        <v>21.3</v>
      </c>
      <c r="O317">
        <v>24</v>
      </c>
      <c r="P317">
        <v>12</v>
      </c>
      <c r="Q317">
        <v>0</v>
      </c>
      <c r="R317">
        <v>25</v>
      </c>
      <c r="S317">
        <v>9</v>
      </c>
      <c r="T317">
        <v>5.0599999999999996</v>
      </c>
      <c r="U317">
        <v>2.2000000000000002</v>
      </c>
      <c r="V317">
        <v>1.55</v>
      </c>
      <c r="W317">
        <v>0.375</v>
      </c>
      <c r="X317">
        <v>0</v>
      </c>
      <c r="Y317">
        <f t="shared" si="27"/>
        <v>2.7777777777777777</v>
      </c>
      <c r="Z317" t="str">
        <f t="shared" si="28"/>
        <v>STELLAR</v>
      </c>
      <c r="AA317" s="176" t="str">
        <f t="shared" si="29"/>
        <v>Didn't Start</v>
      </c>
      <c r="AB317" s="192">
        <f t="shared" si="26"/>
        <v>1.1737089201877935</v>
      </c>
    </row>
    <row r="318" spans="2:28" x14ac:dyDescent="0.3">
      <c r="B318" t="s">
        <v>2209</v>
      </c>
      <c r="C318" t="s">
        <v>1522</v>
      </c>
      <c r="D318" t="s">
        <v>1623</v>
      </c>
      <c r="E318" t="s">
        <v>1623</v>
      </c>
      <c r="F318">
        <v>-13.2</v>
      </c>
      <c r="G318">
        <v>5</v>
      </c>
      <c r="H318">
        <v>2</v>
      </c>
      <c r="I318">
        <v>0</v>
      </c>
      <c r="J318">
        <v>0</v>
      </c>
      <c r="K318">
        <v>1</v>
      </c>
      <c r="L318">
        <v>0</v>
      </c>
      <c r="M318">
        <v>1</v>
      </c>
      <c r="N318">
        <v>8</v>
      </c>
      <c r="O318">
        <v>8</v>
      </c>
      <c r="P318">
        <v>5</v>
      </c>
      <c r="Q318">
        <v>2</v>
      </c>
      <c r="R318">
        <v>2</v>
      </c>
      <c r="S318">
        <v>2</v>
      </c>
      <c r="T318">
        <v>5.63</v>
      </c>
      <c r="U318">
        <v>7.15</v>
      </c>
      <c r="V318">
        <v>1.25</v>
      </c>
      <c r="W318">
        <v>0.214</v>
      </c>
      <c r="X318">
        <v>0</v>
      </c>
      <c r="Y318">
        <f t="shared" si="27"/>
        <v>1</v>
      </c>
      <c r="Z318">
        <f t="shared" si="28"/>
        <v>1</v>
      </c>
      <c r="AA318" s="176">
        <f t="shared" si="29"/>
        <v>0</v>
      </c>
      <c r="AB318" s="192">
        <f t="shared" si="26"/>
        <v>0.25</v>
      </c>
    </row>
    <row r="319" spans="2:28" x14ac:dyDescent="0.3">
      <c r="B319" t="s">
        <v>201</v>
      </c>
      <c r="C319" t="s">
        <v>222</v>
      </c>
      <c r="D319" t="s">
        <v>1623</v>
      </c>
      <c r="E319" t="s">
        <v>1623</v>
      </c>
      <c r="F319">
        <v>-13.3</v>
      </c>
      <c r="G319">
        <v>10</v>
      </c>
      <c r="H319">
        <v>10</v>
      </c>
      <c r="I319">
        <v>1</v>
      </c>
      <c r="J319">
        <v>2</v>
      </c>
      <c r="K319">
        <v>4</v>
      </c>
      <c r="L319">
        <v>0</v>
      </c>
      <c r="M319">
        <v>0</v>
      </c>
      <c r="N319">
        <v>45</v>
      </c>
      <c r="O319">
        <v>57</v>
      </c>
      <c r="P319">
        <v>30</v>
      </c>
      <c r="Q319">
        <v>8</v>
      </c>
      <c r="R319">
        <v>54</v>
      </c>
      <c r="S319">
        <v>16</v>
      </c>
      <c r="T319">
        <v>6</v>
      </c>
      <c r="U319">
        <v>4.3899999999999997</v>
      </c>
      <c r="V319">
        <v>1.62</v>
      </c>
      <c r="W319">
        <v>0.38600000000000001</v>
      </c>
      <c r="X319">
        <v>55</v>
      </c>
      <c r="Y319">
        <f t="shared" si="27"/>
        <v>3.375</v>
      </c>
      <c r="Z319">
        <f t="shared" si="28"/>
        <v>5.4</v>
      </c>
      <c r="AA319" s="176">
        <f t="shared" si="29"/>
        <v>0.2</v>
      </c>
      <c r="AB319" s="192">
        <f t="shared" si="26"/>
        <v>1.2</v>
      </c>
    </row>
    <row r="320" spans="2:28" x14ac:dyDescent="0.3">
      <c r="B320" t="s">
        <v>614</v>
      </c>
      <c r="C320" t="s">
        <v>274</v>
      </c>
      <c r="D320" t="s">
        <v>1624</v>
      </c>
      <c r="E320" t="s">
        <v>1624</v>
      </c>
      <c r="F320">
        <v>-13.4</v>
      </c>
      <c r="G320">
        <v>11</v>
      </c>
      <c r="H320">
        <v>0</v>
      </c>
      <c r="I320">
        <v>0</v>
      </c>
      <c r="J320">
        <v>0</v>
      </c>
      <c r="K320">
        <v>1</v>
      </c>
      <c r="L320">
        <v>0</v>
      </c>
      <c r="M320">
        <v>7</v>
      </c>
      <c r="N320">
        <v>10</v>
      </c>
      <c r="O320">
        <v>7</v>
      </c>
      <c r="P320">
        <v>2</v>
      </c>
      <c r="Q320">
        <v>1</v>
      </c>
      <c r="R320">
        <v>10</v>
      </c>
      <c r="S320">
        <v>2</v>
      </c>
      <c r="T320">
        <v>1.8</v>
      </c>
      <c r="U320">
        <v>3.18</v>
      </c>
      <c r="V320">
        <v>0.9</v>
      </c>
      <c r="W320">
        <v>0.25</v>
      </c>
      <c r="X320">
        <v>0</v>
      </c>
      <c r="Y320">
        <f t="shared" si="27"/>
        <v>5</v>
      </c>
      <c r="Z320" t="str">
        <f t="shared" si="28"/>
        <v>STELLAR</v>
      </c>
      <c r="AA320" s="176" t="str">
        <f t="shared" si="29"/>
        <v>Didn't Start</v>
      </c>
      <c r="AB320" s="192">
        <f t="shared" si="26"/>
        <v>1</v>
      </c>
    </row>
    <row r="321" spans="2:28" x14ac:dyDescent="0.3">
      <c r="B321" t="s">
        <v>850</v>
      </c>
      <c r="C321" t="s">
        <v>1522</v>
      </c>
      <c r="D321" t="s">
        <v>1624</v>
      </c>
      <c r="E321" t="s">
        <v>1624</v>
      </c>
      <c r="F321">
        <v>-13.4</v>
      </c>
      <c r="G321">
        <v>18</v>
      </c>
      <c r="H321">
        <v>5</v>
      </c>
      <c r="I321">
        <v>0</v>
      </c>
      <c r="J321">
        <v>1</v>
      </c>
      <c r="K321">
        <v>2</v>
      </c>
      <c r="L321">
        <v>0</v>
      </c>
      <c r="M321">
        <v>2</v>
      </c>
      <c r="N321">
        <v>25</v>
      </c>
      <c r="O321">
        <v>18</v>
      </c>
      <c r="P321">
        <v>13</v>
      </c>
      <c r="Q321">
        <v>3</v>
      </c>
      <c r="R321">
        <v>22</v>
      </c>
      <c r="S321">
        <v>12</v>
      </c>
      <c r="T321">
        <v>4.68</v>
      </c>
      <c r="U321">
        <v>4.6399999999999997</v>
      </c>
      <c r="V321">
        <v>1.2</v>
      </c>
      <c r="W321">
        <v>0.22700000000000001</v>
      </c>
      <c r="X321">
        <v>0</v>
      </c>
      <c r="Y321">
        <f t="shared" si="27"/>
        <v>1.8333333333333333</v>
      </c>
      <c r="Z321">
        <f t="shared" si="28"/>
        <v>4.4000000000000004</v>
      </c>
      <c r="AA321" s="176">
        <f t="shared" si="29"/>
        <v>0.2</v>
      </c>
      <c r="AB321" s="192">
        <f t="shared" si="26"/>
        <v>0.88</v>
      </c>
    </row>
    <row r="322" spans="2:28" x14ac:dyDescent="0.3">
      <c r="B322" t="s">
        <v>3057</v>
      </c>
      <c r="C322" t="s">
        <v>274</v>
      </c>
      <c r="D322" t="s">
        <v>1624</v>
      </c>
      <c r="E322" t="s">
        <v>1624</v>
      </c>
      <c r="F322">
        <v>-13.4</v>
      </c>
      <c r="G322">
        <v>3</v>
      </c>
      <c r="H322">
        <v>0</v>
      </c>
      <c r="I322">
        <v>0</v>
      </c>
      <c r="J322">
        <v>0</v>
      </c>
      <c r="K322">
        <v>0</v>
      </c>
      <c r="L322">
        <v>1</v>
      </c>
      <c r="M322">
        <v>0</v>
      </c>
      <c r="N322">
        <v>8.3000000000000007</v>
      </c>
      <c r="O322">
        <v>4</v>
      </c>
      <c r="P322">
        <v>3</v>
      </c>
      <c r="Q322">
        <v>1</v>
      </c>
      <c r="R322">
        <v>12</v>
      </c>
      <c r="S322">
        <v>4</v>
      </c>
      <c r="T322">
        <v>3.24</v>
      </c>
      <c r="U322">
        <v>3.4</v>
      </c>
      <c r="V322">
        <v>0.96</v>
      </c>
      <c r="W322">
        <v>0.214</v>
      </c>
      <c r="X322">
        <v>0</v>
      </c>
      <c r="Y322">
        <f t="shared" si="27"/>
        <v>3</v>
      </c>
      <c r="Z322" t="str">
        <f t="shared" si="28"/>
        <v>STELLAR</v>
      </c>
      <c r="AA322" s="176" t="str">
        <f t="shared" si="29"/>
        <v>Didn't Start</v>
      </c>
      <c r="AB322" s="192">
        <f t="shared" si="26"/>
        <v>1.4457831325301203</v>
      </c>
    </row>
    <row r="323" spans="2:28" x14ac:dyDescent="0.3">
      <c r="B323" t="s">
        <v>561</v>
      </c>
      <c r="C323" t="s">
        <v>248</v>
      </c>
      <c r="D323" t="s">
        <v>1624</v>
      </c>
      <c r="E323" t="s">
        <v>1624</v>
      </c>
      <c r="F323">
        <v>-13.5</v>
      </c>
      <c r="G323">
        <v>18</v>
      </c>
      <c r="H323">
        <v>0</v>
      </c>
      <c r="I323">
        <v>0</v>
      </c>
      <c r="J323">
        <v>1</v>
      </c>
      <c r="K323">
        <v>1</v>
      </c>
      <c r="L323">
        <v>0</v>
      </c>
      <c r="M323">
        <v>0</v>
      </c>
      <c r="N323">
        <v>18.3</v>
      </c>
      <c r="O323">
        <v>20</v>
      </c>
      <c r="P323">
        <v>8</v>
      </c>
      <c r="Q323">
        <v>2</v>
      </c>
      <c r="R323">
        <v>21</v>
      </c>
      <c r="S323">
        <v>6</v>
      </c>
      <c r="T323">
        <v>3.93</v>
      </c>
      <c r="U323">
        <v>3.71</v>
      </c>
      <c r="V323">
        <v>1.42</v>
      </c>
      <c r="W323">
        <v>0.38300000000000001</v>
      </c>
      <c r="X323">
        <v>0</v>
      </c>
      <c r="Y323">
        <f t="shared" si="27"/>
        <v>3.5</v>
      </c>
      <c r="Z323" t="str">
        <f t="shared" si="28"/>
        <v>STELLAR</v>
      </c>
      <c r="AA323" s="176" t="str">
        <f t="shared" si="29"/>
        <v>Didn't Start</v>
      </c>
      <c r="AB323" s="192">
        <f t="shared" si="26"/>
        <v>1.1475409836065573</v>
      </c>
    </row>
    <row r="324" spans="2:28" x14ac:dyDescent="0.3">
      <c r="B324" t="s">
        <v>742</v>
      </c>
      <c r="C324" t="s">
        <v>264</v>
      </c>
      <c r="D324" t="s">
        <v>1624</v>
      </c>
      <c r="E324" t="s">
        <v>1624</v>
      </c>
      <c r="F324">
        <v>-13.5</v>
      </c>
      <c r="G324">
        <v>12</v>
      </c>
      <c r="H324">
        <v>0</v>
      </c>
      <c r="I324">
        <v>0</v>
      </c>
      <c r="J324">
        <v>2</v>
      </c>
      <c r="K324">
        <v>1</v>
      </c>
      <c r="L324">
        <v>0</v>
      </c>
      <c r="M324">
        <v>1</v>
      </c>
      <c r="N324">
        <v>19.3</v>
      </c>
      <c r="O324">
        <v>17</v>
      </c>
      <c r="P324">
        <v>12</v>
      </c>
      <c r="Q324">
        <v>2</v>
      </c>
      <c r="R324">
        <v>19</v>
      </c>
      <c r="S324">
        <v>10</v>
      </c>
      <c r="T324">
        <v>5.59</v>
      </c>
      <c r="U324">
        <v>4.3600000000000003</v>
      </c>
      <c r="V324">
        <v>1.4</v>
      </c>
      <c r="W324">
        <v>0.3</v>
      </c>
      <c r="X324">
        <v>1</v>
      </c>
      <c r="Y324">
        <f t="shared" si="27"/>
        <v>1.9</v>
      </c>
      <c r="Z324" t="str">
        <f t="shared" si="28"/>
        <v>STELLAR</v>
      </c>
      <c r="AA324" s="176" t="str">
        <f t="shared" si="29"/>
        <v>Didn't Start</v>
      </c>
      <c r="AB324" s="192">
        <f t="shared" si="26"/>
        <v>0.98445595854922274</v>
      </c>
    </row>
    <row r="325" spans="2:28" x14ac:dyDescent="0.3">
      <c r="B325" t="s">
        <v>305</v>
      </c>
      <c r="C325" t="s">
        <v>270</v>
      </c>
      <c r="D325" t="s">
        <v>1623</v>
      </c>
      <c r="E325" t="s">
        <v>1623</v>
      </c>
      <c r="F325">
        <v>-13.5</v>
      </c>
      <c r="G325">
        <v>7</v>
      </c>
      <c r="H325">
        <v>7</v>
      </c>
      <c r="I325">
        <v>1</v>
      </c>
      <c r="J325">
        <v>2</v>
      </c>
      <c r="K325">
        <v>1</v>
      </c>
      <c r="L325">
        <v>0</v>
      </c>
      <c r="M325">
        <v>0</v>
      </c>
      <c r="N325">
        <v>34.299999999999997</v>
      </c>
      <c r="O325">
        <v>50</v>
      </c>
      <c r="P325">
        <v>24</v>
      </c>
      <c r="Q325">
        <v>10</v>
      </c>
      <c r="R325">
        <v>47</v>
      </c>
      <c r="S325">
        <v>10</v>
      </c>
      <c r="T325">
        <v>6.29</v>
      </c>
      <c r="U325">
        <v>5.81</v>
      </c>
      <c r="V325">
        <v>1.75</v>
      </c>
      <c r="W325">
        <v>0.44400000000000001</v>
      </c>
      <c r="X325">
        <v>70</v>
      </c>
      <c r="Y325">
        <f t="shared" si="27"/>
        <v>4.7</v>
      </c>
      <c r="Z325">
        <f t="shared" si="28"/>
        <v>6.7142857142857144</v>
      </c>
      <c r="AA325" s="176">
        <f t="shared" si="29"/>
        <v>0.2857142857142857</v>
      </c>
      <c r="AB325" s="192">
        <f t="shared" si="26"/>
        <v>1.370262390670554</v>
      </c>
    </row>
    <row r="326" spans="2:28" x14ac:dyDescent="0.3">
      <c r="B326" t="s">
        <v>3353</v>
      </c>
      <c r="C326" t="s">
        <v>221</v>
      </c>
      <c r="D326" t="s">
        <v>1624</v>
      </c>
      <c r="E326" t="s">
        <v>1624</v>
      </c>
      <c r="F326">
        <v>-13.6</v>
      </c>
      <c r="G326">
        <v>5</v>
      </c>
      <c r="H326">
        <v>0</v>
      </c>
      <c r="I326">
        <v>0</v>
      </c>
      <c r="J326">
        <v>0</v>
      </c>
      <c r="K326">
        <v>0</v>
      </c>
      <c r="L326">
        <v>0</v>
      </c>
      <c r="M326">
        <v>0</v>
      </c>
      <c r="N326">
        <v>4.7</v>
      </c>
      <c r="O326">
        <v>0</v>
      </c>
      <c r="P326">
        <v>0</v>
      </c>
      <c r="Q326">
        <v>0</v>
      </c>
      <c r="R326">
        <v>3</v>
      </c>
      <c r="S326">
        <v>0</v>
      </c>
      <c r="T326">
        <v>0</v>
      </c>
      <c r="U326">
        <v>1.99</v>
      </c>
      <c r="V326">
        <v>0</v>
      </c>
      <c r="W326">
        <v>0</v>
      </c>
      <c r="X326">
        <v>0</v>
      </c>
      <c r="Y326" t="str">
        <f t="shared" si="27"/>
        <v>STELLAR</v>
      </c>
      <c r="Z326" t="str">
        <f t="shared" si="28"/>
        <v>STELLAR</v>
      </c>
      <c r="AA326" s="176" t="str">
        <f t="shared" si="29"/>
        <v>Didn't Start</v>
      </c>
      <c r="AB326" s="192">
        <f t="shared" si="26"/>
        <v>0.63829787234042545</v>
      </c>
    </row>
    <row r="327" spans="2:28" x14ac:dyDescent="0.3">
      <c r="B327" t="s">
        <v>318</v>
      </c>
      <c r="C327" t="s">
        <v>250</v>
      </c>
      <c r="D327" t="s">
        <v>1623</v>
      </c>
      <c r="E327" t="s">
        <v>1623</v>
      </c>
      <c r="F327">
        <v>-13.6</v>
      </c>
      <c r="G327">
        <v>3</v>
      </c>
      <c r="H327">
        <v>3</v>
      </c>
      <c r="I327">
        <v>1</v>
      </c>
      <c r="J327">
        <v>2</v>
      </c>
      <c r="K327">
        <v>1</v>
      </c>
      <c r="L327">
        <v>0</v>
      </c>
      <c r="M327">
        <v>0</v>
      </c>
      <c r="N327">
        <v>15.3</v>
      </c>
      <c r="O327">
        <v>24</v>
      </c>
      <c r="P327">
        <v>11</v>
      </c>
      <c r="Q327">
        <v>3</v>
      </c>
      <c r="R327">
        <v>7</v>
      </c>
      <c r="S327">
        <v>4</v>
      </c>
      <c r="T327">
        <v>6.46</v>
      </c>
      <c r="U327">
        <v>5.69</v>
      </c>
      <c r="V327">
        <v>1.83</v>
      </c>
      <c r="W327">
        <v>0.375</v>
      </c>
      <c r="X327">
        <v>3</v>
      </c>
      <c r="Y327">
        <f t="shared" si="27"/>
        <v>1.75</v>
      </c>
      <c r="Z327">
        <f t="shared" si="28"/>
        <v>2.3333333333333335</v>
      </c>
      <c r="AA327" s="176">
        <f t="shared" si="29"/>
        <v>0.66666666666666663</v>
      </c>
      <c r="AB327" s="192">
        <f t="shared" si="26"/>
        <v>0.45751633986928103</v>
      </c>
    </row>
    <row r="328" spans="2:28" x14ac:dyDescent="0.3">
      <c r="B328" t="s">
        <v>3268</v>
      </c>
      <c r="C328" t="s">
        <v>255</v>
      </c>
      <c r="D328" t="s">
        <v>1623</v>
      </c>
      <c r="E328" t="s">
        <v>1623</v>
      </c>
      <c r="F328">
        <v>-13.8</v>
      </c>
      <c r="G328">
        <v>4</v>
      </c>
      <c r="H328">
        <v>4</v>
      </c>
      <c r="I328">
        <v>0</v>
      </c>
      <c r="J328">
        <v>2</v>
      </c>
      <c r="K328">
        <v>0</v>
      </c>
      <c r="L328">
        <v>0</v>
      </c>
      <c r="M328">
        <v>0</v>
      </c>
      <c r="N328">
        <v>21.3</v>
      </c>
      <c r="O328">
        <v>28</v>
      </c>
      <c r="P328">
        <v>15</v>
      </c>
      <c r="Q328">
        <v>3</v>
      </c>
      <c r="R328">
        <v>10</v>
      </c>
      <c r="S328">
        <v>6</v>
      </c>
      <c r="T328">
        <v>6.33</v>
      </c>
      <c r="U328">
        <v>5.01</v>
      </c>
      <c r="V328">
        <v>1.59</v>
      </c>
      <c r="W328">
        <v>0.32100000000000001</v>
      </c>
      <c r="X328">
        <v>14</v>
      </c>
      <c r="Y328">
        <f t="shared" si="27"/>
        <v>1.6666666666666667</v>
      </c>
      <c r="Z328">
        <f t="shared" si="28"/>
        <v>2.5</v>
      </c>
      <c r="AA328" s="176">
        <f t="shared" si="29"/>
        <v>0.5</v>
      </c>
      <c r="AB328" s="192">
        <f t="shared" si="26"/>
        <v>0.46948356807511737</v>
      </c>
    </row>
    <row r="329" spans="2:28" x14ac:dyDescent="0.3">
      <c r="B329" t="s">
        <v>2204</v>
      </c>
      <c r="C329" t="s">
        <v>264</v>
      </c>
      <c r="D329" t="s">
        <v>1624</v>
      </c>
      <c r="E329" t="s">
        <v>1624</v>
      </c>
      <c r="F329">
        <v>-13.8</v>
      </c>
      <c r="G329">
        <v>12</v>
      </c>
      <c r="H329">
        <v>0</v>
      </c>
      <c r="I329">
        <v>0</v>
      </c>
      <c r="J329">
        <v>1</v>
      </c>
      <c r="K329">
        <v>2</v>
      </c>
      <c r="L329">
        <v>0</v>
      </c>
      <c r="M329">
        <v>3</v>
      </c>
      <c r="N329">
        <v>16</v>
      </c>
      <c r="O329">
        <v>14</v>
      </c>
      <c r="P329">
        <v>9</v>
      </c>
      <c r="Q329">
        <v>1</v>
      </c>
      <c r="R329">
        <v>21</v>
      </c>
      <c r="S329">
        <v>7</v>
      </c>
      <c r="T329">
        <v>5.0599999999999996</v>
      </c>
      <c r="U329">
        <v>2.78</v>
      </c>
      <c r="V329">
        <v>1.31</v>
      </c>
      <c r="W329">
        <v>0.317</v>
      </c>
      <c r="X329">
        <v>0</v>
      </c>
      <c r="Y329">
        <f t="shared" si="27"/>
        <v>3</v>
      </c>
      <c r="Z329" t="str">
        <f t="shared" si="28"/>
        <v>STELLAR</v>
      </c>
      <c r="AA329" s="176" t="str">
        <f t="shared" si="29"/>
        <v>Didn't Start</v>
      </c>
      <c r="AB329" s="192">
        <f t="shared" si="26"/>
        <v>1.3125</v>
      </c>
    </row>
    <row r="330" spans="2:28" x14ac:dyDescent="0.3">
      <c r="B330" t="s">
        <v>564</v>
      </c>
      <c r="C330" t="s">
        <v>1520</v>
      </c>
      <c r="D330" t="s">
        <v>1623</v>
      </c>
      <c r="E330" t="s">
        <v>1623</v>
      </c>
      <c r="F330">
        <v>-13.8</v>
      </c>
      <c r="G330">
        <v>10</v>
      </c>
      <c r="H330">
        <v>3</v>
      </c>
      <c r="I330">
        <v>0</v>
      </c>
      <c r="J330">
        <v>1</v>
      </c>
      <c r="K330">
        <v>4</v>
      </c>
      <c r="L330">
        <v>0</v>
      </c>
      <c r="M330">
        <v>1</v>
      </c>
      <c r="N330">
        <v>26.3</v>
      </c>
      <c r="O330">
        <v>27</v>
      </c>
      <c r="P330">
        <v>18</v>
      </c>
      <c r="Q330">
        <v>3</v>
      </c>
      <c r="R330">
        <v>14</v>
      </c>
      <c r="S330">
        <v>7</v>
      </c>
      <c r="T330">
        <v>6.15</v>
      </c>
      <c r="U330">
        <v>5.18</v>
      </c>
      <c r="V330">
        <v>1.29</v>
      </c>
      <c r="W330">
        <v>0.29299999999999998</v>
      </c>
      <c r="X330">
        <v>0</v>
      </c>
      <c r="Y330">
        <f t="shared" si="27"/>
        <v>2</v>
      </c>
      <c r="Z330">
        <f t="shared" si="28"/>
        <v>4.666666666666667</v>
      </c>
      <c r="AA330" s="176">
        <f t="shared" si="29"/>
        <v>0.33333333333333331</v>
      </c>
      <c r="AB330" s="192">
        <f t="shared" si="26"/>
        <v>0.53231939163498099</v>
      </c>
    </row>
    <row r="331" spans="2:28" x14ac:dyDescent="0.3">
      <c r="B331" t="s">
        <v>3085</v>
      </c>
      <c r="C331" t="s">
        <v>339</v>
      </c>
      <c r="D331" t="s">
        <v>1623</v>
      </c>
      <c r="E331" t="s">
        <v>1623</v>
      </c>
      <c r="F331">
        <v>-13.8</v>
      </c>
      <c r="G331">
        <v>3</v>
      </c>
      <c r="H331">
        <v>2</v>
      </c>
      <c r="I331">
        <v>0</v>
      </c>
      <c r="J331">
        <v>0</v>
      </c>
      <c r="K331">
        <v>1</v>
      </c>
      <c r="L331">
        <v>0</v>
      </c>
      <c r="M331">
        <v>0</v>
      </c>
      <c r="N331">
        <v>12</v>
      </c>
      <c r="O331">
        <v>10</v>
      </c>
      <c r="P331">
        <v>4</v>
      </c>
      <c r="Q331">
        <v>1</v>
      </c>
      <c r="R331">
        <v>5</v>
      </c>
      <c r="S331">
        <v>11</v>
      </c>
      <c r="T331">
        <v>3</v>
      </c>
      <c r="U331">
        <v>6.28</v>
      </c>
      <c r="V331">
        <v>1.75</v>
      </c>
      <c r="W331">
        <v>0.23100000000000001</v>
      </c>
      <c r="X331">
        <v>0</v>
      </c>
      <c r="Y331">
        <f t="shared" si="27"/>
        <v>0.45454545454545453</v>
      </c>
      <c r="Z331">
        <f t="shared" si="28"/>
        <v>2.5</v>
      </c>
      <c r="AA331" s="176">
        <f t="shared" si="29"/>
        <v>0</v>
      </c>
      <c r="AB331" s="192">
        <f t="shared" si="26"/>
        <v>0.41666666666666669</v>
      </c>
    </row>
    <row r="332" spans="2:28" x14ac:dyDescent="0.3">
      <c r="B332" t="s">
        <v>358</v>
      </c>
      <c r="C332" t="s">
        <v>1521</v>
      </c>
      <c r="D332" t="s">
        <v>1624</v>
      </c>
      <c r="E332" t="s">
        <v>1624</v>
      </c>
      <c r="F332">
        <v>-13.9</v>
      </c>
      <c r="G332">
        <v>13</v>
      </c>
      <c r="H332">
        <v>0</v>
      </c>
      <c r="I332">
        <v>0</v>
      </c>
      <c r="J332">
        <v>2</v>
      </c>
      <c r="K332">
        <v>2</v>
      </c>
      <c r="L332">
        <v>0</v>
      </c>
      <c r="M332">
        <v>1</v>
      </c>
      <c r="N332">
        <v>26</v>
      </c>
      <c r="O332">
        <v>31</v>
      </c>
      <c r="P332">
        <v>13</v>
      </c>
      <c r="Q332">
        <v>5</v>
      </c>
      <c r="R332">
        <v>29</v>
      </c>
      <c r="S332">
        <v>12</v>
      </c>
      <c r="T332">
        <v>4.5</v>
      </c>
      <c r="U332">
        <v>5.05</v>
      </c>
      <c r="V332">
        <v>1.65</v>
      </c>
      <c r="W332">
        <v>0.38200000000000001</v>
      </c>
      <c r="X332">
        <v>0</v>
      </c>
      <c r="Y332">
        <f t="shared" si="27"/>
        <v>2.4166666666666665</v>
      </c>
      <c r="Z332" t="str">
        <f t="shared" si="28"/>
        <v>STELLAR</v>
      </c>
      <c r="AA332" s="176" t="str">
        <f t="shared" si="29"/>
        <v>Didn't Start</v>
      </c>
      <c r="AB332" s="192">
        <f t="shared" si="26"/>
        <v>1.1153846153846154</v>
      </c>
    </row>
    <row r="333" spans="2:28" x14ac:dyDescent="0.3">
      <c r="B333" t="s">
        <v>1630</v>
      </c>
      <c r="C333" t="s">
        <v>235</v>
      </c>
      <c r="D333" t="s">
        <v>1624</v>
      </c>
      <c r="E333" t="s">
        <v>1624</v>
      </c>
      <c r="F333">
        <v>-13.9</v>
      </c>
      <c r="G333">
        <v>10</v>
      </c>
      <c r="H333">
        <v>0</v>
      </c>
      <c r="I333">
        <v>0</v>
      </c>
      <c r="J333">
        <v>0</v>
      </c>
      <c r="K333">
        <v>1</v>
      </c>
      <c r="L333">
        <v>4</v>
      </c>
      <c r="M333">
        <v>5</v>
      </c>
      <c r="N333">
        <v>9</v>
      </c>
      <c r="O333">
        <v>8</v>
      </c>
      <c r="P333">
        <v>6</v>
      </c>
      <c r="Q333">
        <v>0</v>
      </c>
      <c r="R333">
        <v>8</v>
      </c>
      <c r="S333">
        <v>3</v>
      </c>
      <c r="T333">
        <v>6</v>
      </c>
      <c r="U333">
        <v>3.17</v>
      </c>
      <c r="V333">
        <v>1.22</v>
      </c>
      <c r="W333">
        <v>0.28599999999999998</v>
      </c>
      <c r="X333">
        <v>2</v>
      </c>
      <c r="Y333">
        <f t="shared" si="27"/>
        <v>2.6666666666666665</v>
      </c>
      <c r="Z333" t="str">
        <f t="shared" si="28"/>
        <v>STELLAR</v>
      </c>
      <c r="AA333" s="176" t="str">
        <f t="shared" si="29"/>
        <v>Didn't Start</v>
      </c>
      <c r="AB333" s="192">
        <f t="shared" si="26"/>
        <v>0.88888888888888884</v>
      </c>
    </row>
    <row r="334" spans="2:28" x14ac:dyDescent="0.3">
      <c r="B334" t="s">
        <v>1241</v>
      </c>
      <c r="C334" t="s">
        <v>250</v>
      </c>
      <c r="D334" t="s">
        <v>1624</v>
      </c>
      <c r="E334" t="s">
        <v>1624</v>
      </c>
      <c r="F334">
        <v>-13.9</v>
      </c>
      <c r="G334">
        <v>8</v>
      </c>
      <c r="H334">
        <v>0</v>
      </c>
      <c r="I334">
        <v>0</v>
      </c>
      <c r="J334">
        <v>0</v>
      </c>
      <c r="K334">
        <v>0</v>
      </c>
      <c r="L334">
        <v>0</v>
      </c>
      <c r="M334">
        <v>0</v>
      </c>
      <c r="N334">
        <v>8.3000000000000007</v>
      </c>
      <c r="O334">
        <v>7</v>
      </c>
      <c r="P334">
        <v>1</v>
      </c>
      <c r="Q334">
        <v>0</v>
      </c>
      <c r="R334">
        <v>11</v>
      </c>
      <c r="S334">
        <v>2</v>
      </c>
      <c r="T334">
        <v>1.08</v>
      </c>
      <c r="U334">
        <v>2.44</v>
      </c>
      <c r="V334">
        <v>1.08</v>
      </c>
      <c r="W334">
        <v>0.35</v>
      </c>
      <c r="X334">
        <v>0</v>
      </c>
      <c r="Y334">
        <f t="shared" si="27"/>
        <v>5.5</v>
      </c>
      <c r="Z334" t="str">
        <f t="shared" si="28"/>
        <v>STELLAR</v>
      </c>
      <c r="AA334" s="176" t="str">
        <f t="shared" si="29"/>
        <v>Didn't Start</v>
      </c>
      <c r="AB334" s="192">
        <f t="shared" si="26"/>
        <v>1.3253012048192769</v>
      </c>
    </row>
    <row r="335" spans="2:28" x14ac:dyDescent="0.3">
      <c r="B335" t="s">
        <v>734</v>
      </c>
      <c r="C335" t="s">
        <v>246</v>
      </c>
      <c r="D335" t="s">
        <v>1623</v>
      </c>
      <c r="E335" t="s">
        <v>1623</v>
      </c>
      <c r="F335">
        <v>-13.9</v>
      </c>
      <c r="G335">
        <v>1</v>
      </c>
      <c r="H335">
        <v>0</v>
      </c>
      <c r="I335">
        <v>0</v>
      </c>
      <c r="J335">
        <v>0</v>
      </c>
      <c r="K335">
        <v>0</v>
      </c>
      <c r="L335">
        <v>0</v>
      </c>
      <c r="M335">
        <v>0</v>
      </c>
      <c r="N335">
        <v>5</v>
      </c>
      <c r="O335">
        <v>4</v>
      </c>
      <c r="P335">
        <v>4</v>
      </c>
      <c r="Q335">
        <v>0</v>
      </c>
      <c r="R335">
        <v>0</v>
      </c>
      <c r="S335">
        <v>3</v>
      </c>
      <c r="T335">
        <v>7.2</v>
      </c>
      <c r="U335">
        <v>5.08</v>
      </c>
      <c r="V335">
        <v>1.4</v>
      </c>
      <c r="W335">
        <v>0.222</v>
      </c>
      <c r="X335">
        <v>0</v>
      </c>
      <c r="Y335">
        <f t="shared" si="27"/>
        <v>0</v>
      </c>
      <c r="Z335" t="str">
        <f t="shared" si="28"/>
        <v>STELLAR</v>
      </c>
      <c r="AA335" s="176" t="str">
        <f t="shared" si="29"/>
        <v>Didn't Start</v>
      </c>
      <c r="AB335" s="192">
        <f t="shared" si="26"/>
        <v>0</v>
      </c>
    </row>
    <row r="336" spans="2:28" x14ac:dyDescent="0.3">
      <c r="B336" t="s">
        <v>1741</v>
      </c>
      <c r="C336" t="s">
        <v>251</v>
      </c>
      <c r="D336" t="s">
        <v>1623</v>
      </c>
      <c r="E336" t="s">
        <v>1623</v>
      </c>
      <c r="F336">
        <v>-14</v>
      </c>
      <c r="G336">
        <v>7</v>
      </c>
      <c r="H336">
        <v>6</v>
      </c>
      <c r="I336">
        <v>2</v>
      </c>
      <c r="J336">
        <v>0</v>
      </c>
      <c r="K336">
        <v>5</v>
      </c>
      <c r="L336">
        <v>0</v>
      </c>
      <c r="M336">
        <v>0</v>
      </c>
      <c r="N336">
        <v>34.700000000000003</v>
      </c>
      <c r="O336">
        <v>34</v>
      </c>
      <c r="P336">
        <v>20</v>
      </c>
      <c r="Q336">
        <v>7</v>
      </c>
      <c r="R336">
        <v>27</v>
      </c>
      <c r="S336">
        <v>12</v>
      </c>
      <c r="T336">
        <v>5.19</v>
      </c>
      <c r="U336">
        <v>5.38</v>
      </c>
      <c r="V336">
        <v>1.33</v>
      </c>
      <c r="W336">
        <v>0.27</v>
      </c>
      <c r="X336">
        <v>1</v>
      </c>
      <c r="Y336">
        <f t="shared" si="27"/>
        <v>2.25</v>
      </c>
      <c r="Z336">
        <f t="shared" si="28"/>
        <v>4.5</v>
      </c>
      <c r="AA336" s="176">
        <f t="shared" si="29"/>
        <v>0</v>
      </c>
      <c r="AB336" s="192">
        <f t="shared" si="26"/>
        <v>0.7780979827089336</v>
      </c>
    </row>
    <row r="337" spans="2:28" x14ac:dyDescent="0.3">
      <c r="B337" t="s">
        <v>184</v>
      </c>
      <c r="C337" t="s">
        <v>1523</v>
      </c>
      <c r="D337" t="s">
        <v>1623</v>
      </c>
      <c r="E337" t="s">
        <v>1623</v>
      </c>
      <c r="F337">
        <v>-14.1</v>
      </c>
      <c r="G337">
        <v>9</v>
      </c>
      <c r="H337">
        <v>9</v>
      </c>
      <c r="I337">
        <v>3</v>
      </c>
      <c r="J337">
        <v>1</v>
      </c>
      <c r="K337">
        <v>6</v>
      </c>
      <c r="L337">
        <v>0</v>
      </c>
      <c r="M337">
        <v>0</v>
      </c>
      <c r="N337">
        <v>45</v>
      </c>
      <c r="O337">
        <v>43</v>
      </c>
      <c r="P337">
        <v>27</v>
      </c>
      <c r="Q337">
        <v>9</v>
      </c>
      <c r="R337">
        <v>48</v>
      </c>
      <c r="S337">
        <v>27</v>
      </c>
      <c r="T337">
        <v>5.4</v>
      </c>
      <c r="U337">
        <v>5.54</v>
      </c>
      <c r="V337">
        <v>1.56</v>
      </c>
      <c r="W337">
        <v>0.29099999999999998</v>
      </c>
      <c r="X337" s="179">
        <v>100</v>
      </c>
      <c r="Y337">
        <f t="shared" si="27"/>
        <v>1.7777777777777777</v>
      </c>
      <c r="Z337">
        <f t="shared" si="28"/>
        <v>5.333333333333333</v>
      </c>
      <c r="AA337" s="176">
        <f t="shared" si="29"/>
        <v>0.1111111111111111</v>
      </c>
      <c r="AB337" s="192">
        <f t="shared" si="26"/>
        <v>1.0666666666666667</v>
      </c>
    </row>
    <row r="338" spans="2:28" x14ac:dyDescent="0.3">
      <c r="B338" t="s">
        <v>826</v>
      </c>
      <c r="C338" t="s">
        <v>1521</v>
      </c>
      <c r="D338" t="s">
        <v>1623</v>
      </c>
      <c r="E338" t="s">
        <v>1623</v>
      </c>
      <c r="F338">
        <v>-14.1</v>
      </c>
      <c r="G338">
        <v>10</v>
      </c>
      <c r="H338">
        <v>6</v>
      </c>
      <c r="I338">
        <v>1</v>
      </c>
      <c r="J338">
        <v>2</v>
      </c>
      <c r="K338">
        <v>2</v>
      </c>
      <c r="L338">
        <v>0</v>
      </c>
      <c r="M338">
        <v>0</v>
      </c>
      <c r="N338">
        <v>31.3</v>
      </c>
      <c r="O338">
        <v>34</v>
      </c>
      <c r="P338">
        <v>24</v>
      </c>
      <c r="Q338">
        <v>8</v>
      </c>
      <c r="R338">
        <v>41</v>
      </c>
      <c r="S338">
        <v>19</v>
      </c>
      <c r="T338">
        <v>6.89</v>
      </c>
      <c r="U338">
        <v>6.09</v>
      </c>
      <c r="V338">
        <v>1.69</v>
      </c>
      <c r="W338">
        <v>0.35099999999999998</v>
      </c>
      <c r="X338">
        <v>9</v>
      </c>
      <c r="Y338">
        <f t="shared" si="27"/>
        <v>2.1578947368421053</v>
      </c>
      <c r="Z338">
        <f t="shared" si="28"/>
        <v>6.833333333333333</v>
      </c>
      <c r="AA338" s="176">
        <f t="shared" si="29"/>
        <v>0.33333333333333331</v>
      </c>
      <c r="AB338" s="192">
        <f t="shared" si="26"/>
        <v>1.3099041533546325</v>
      </c>
    </row>
    <row r="339" spans="2:28" x14ac:dyDescent="0.3">
      <c r="B339" t="s">
        <v>1756</v>
      </c>
      <c r="C339" t="s">
        <v>346</v>
      </c>
      <c r="D339" t="s">
        <v>1624</v>
      </c>
      <c r="E339" t="s">
        <v>1624</v>
      </c>
      <c r="F339">
        <v>-14.1</v>
      </c>
      <c r="G339">
        <v>1</v>
      </c>
      <c r="H339">
        <v>0</v>
      </c>
      <c r="I339">
        <v>0</v>
      </c>
      <c r="J339">
        <v>0</v>
      </c>
      <c r="K339">
        <v>0</v>
      </c>
      <c r="L339">
        <v>1</v>
      </c>
      <c r="M339">
        <v>0</v>
      </c>
      <c r="N339">
        <v>3</v>
      </c>
      <c r="O339">
        <v>0</v>
      </c>
      <c r="P339">
        <v>0</v>
      </c>
      <c r="Q339">
        <v>0</v>
      </c>
      <c r="R339">
        <v>4</v>
      </c>
      <c r="S339">
        <v>1</v>
      </c>
      <c r="T339">
        <v>0</v>
      </c>
      <c r="U339">
        <v>1.61</v>
      </c>
      <c r="V339">
        <v>0.33</v>
      </c>
      <c r="W339">
        <v>0</v>
      </c>
      <c r="Y339">
        <f t="shared" si="27"/>
        <v>4</v>
      </c>
      <c r="Z339" t="str">
        <f t="shared" si="28"/>
        <v>STELLAR</v>
      </c>
      <c r="AA339" s="176" t="str">
        <f t="shared" si="29"/>
        <v>Didn't Start</v>
      </c>
      <c r="AB339" s="192">
        <f t="shared" si="26"/>
        <v>1.3333333333333333</v>
      </c>
    </row>
    <row r="340" spans="2:28" x14ac:dyDescent="0.3">
      <c r="B340" t="s">
        <v>355</v>
      </c>
      <c r="C340" t="s">
        <v>278</v>
      </c>
      <c r="D340" t="s">
        <v>1623</v>
      </c>
      <c r="E340" t="s">
        <v>1623</v>
      </c>
      <c r="F340">
        <v>-14.1</v>
      </c>
      <c r="G340">
        <v>9</v>
      </c>
      <c r="H340">
        <v>9</v>
      </c>
      <c r="I340">
        <v>0</v>
      </c>
      <c r="J340">
        <v>2</v>
      </c>
      <c r="K340">
        <v>1</v>
      </c>
      <c r="L340">
        <v>0</v>
      </c>
      <c r="M340">
        <v>0</v>
      </c>
      <c r="N340">
        <v>42</v>
      </c>
      <c r="O340">
        <v>51</v>
      </c>
      <c r="P340">
        <v>29</v>
      </c>
      <c r="Q340">
        <v>10</v>
      </c>
      <c r="R340">
        <v>50</v>
      </c>
      <c r="S340">
        <v>18</v>
      </c>
      <c r="T340">
        <v>6.21</v>
      </c>
      <c r="U340">
        <v>5.28</v>
      </c>
      <c r="V340">
        <v>1.64</v>
      </c>
      <c r="W340">
        <v>0.36599999999999999</v>
      </c>
      <c r="X340">
        <v>99</v>
      </c>
      <c r="Y340">
        <f t="shared" si="27"/>
        <v>2.7777777777777777</v>
      </c>
      <c r="Z340">
        <f t="shared" si="28"/>
        <v>5.5555555555555554</v>
      </c>
      <c r="AA340" s="176">
        <f t="shared" si="29"/>
        <v>0.22222222222222221</v>
      </c>
      <c r="AB340" s="192">
        <f t="shared" si="26"/>
        <v>1.1904761904761905</v>
      </c>
    </row>
    <row r="341" spans="2:28" x14ac:dyDescent="0.3">
      <c r="B341" s="1" t="s">
        <v>182</v>
      </c>
      <c r="C341" s="1" t="s">
        <v>1520</v>
      </c>
      <c r="D341" s="1" t="s">
        <v>1623</v>
      </c>
      <c r="E341" s="1" t="s">
        <v>1623</v>
      </c>
      <c r="F341" s="1">
        <v>-14.2</v>
      </c>
      <c r="G341" s="1">
        <v>9</v>
      </c>
      <c r="H341" s="1">
        <v>9</v>
      </c>
      <c r="I341" s="1">
        <v>1</v>
      </c>
      <c r="J341" s="1">
        <v>3</v>
      </c>
      <c r="K341" s="1">
        <v>4</v>
      </c>
      <c r="L341" s="1">
        <v>0</v>
      </c>
      <c r="M341" s="1">
        <v>0</v>
      </c>
      <c r="N341" s="1">
        <v>43.3</v>
      </c>
      <c r="O341" s="1">
        <v>41</v>
      </c>
      <c r="P341" s="1">
        <v>21</v>
      </c>
      <c r="Q341" s="1">
        <v>3</v>
      </c>
      <c r="R341" s="1">
        <v>31</v>
      </c>
      <c r="S341" s="1">
        <v>40</v>
      </c>
      <c r="T341" s="1">
        <v>4.3600000000000003</v>
      </c>
      <c r="U341" s="1">
        <v>5.72</v>
      </c>
      <c r="V341" s="1">
        <v>1.87</v>
      </c>
      <c r="W341" s="1">
        <v>0.30199999999999999</v>
      </c>
      <c r="X341" s="1">
        <v>2</v>
      </c>
      <c r="Y341" s="1">
        <f t="shared" si="27"/>
        <v>0.77500000000000002</v>
      </c>
      <c r="Z341" s="1">
        <f t="shared" si="28"/>
        <v>3.4444444444444446</v>
      </c>
      <c r="AA341" s="180">
        <f t="shared" si="29"/>
        <v>0.33333333333333331</v>
      </c>
      <c r="AB341" s="192">
        <f t="shared" si="26"/>
        <v>0.71593533487297922</v>
      </c>
    </row>
    <row r="342" spans="2:28" x14ac:dyDescent="0.3">
      <c r="B342" t="s">
        <v>292</v>
      </c>
      <c r="C342" t="s">
        <v>226</v>
      </c>
      <c r="D342" t="s">
        <v>1623</v>
      </c>
      <c r="E342" t="s">
        <v>1623</v>
      </c>
      <c r="F342">
        <v>-14.3</v>
      </c>
      <c r="G342">
        <v>9</v>
      </c>
      <c r="H342">
        <v>9</v>
      </c>
      <c r="I342">
        <v>3</v>
      </c>
      <c r="J342">
        <v>1</v>
      </c>
      <c r="K342">
        <v>3</v>
      </c>
      <c r="L342">
        <v>0</v>
      </c>
      <c r="M342">
        <v>0</v>
      </c>
      <c r="N342">
        <v>41.3</v>
      </c>
      <c r="O342">
        <v>49</v>
      </c>
      <c r="P342">
        <v>27</v>
      </c>
      <c r="Q342">
        <v>6</v>
      </c>
      <c r="R342">
        <v>30</v>
      </c>
      <c r="S342">
        <v>6</v>
      </c>
      <c r="T342">
        <v>5.88</v>
      </c>
      <c r="U342">
        <v>4.4400000000000004</v>
      </c>
      <c r="V342">
        <v>1.33</v>
      </c>
      <c r="W342">
        <v>0.32300000000000001</v>
      </c>
      <c r="X342">
        <v>21</v>
      </c>
      <c r="Y342">
        <f t="shared" si="27"/>
        <v>5</v>
      </c>
      <c r="Z342">
        <f t="shared" si="28"/>
        <v>3.3333333333333335</v>
      </c>
      <c r="AA342" s="176">
        <f t="shared" si="29"/>
        <v>0.1111111111111111</v>
      </c>
      <c r="AB342" s="192">
        <f t="shared" si="26"/>
        <v>0.72639225181598066</v>
      </c>
    </row>
    <row r="343" spans="2:28" x14ac:dyDescent="0.3">
      <c r="B343" t="s">
        <v>176</v>
      </c>
      <c r="C343" t="s">
        <v>235</v>
      </c>
      <c r="D343" t="s">
        <v>1623</v>
      </c>
      <c r="E343" t="s">
        <v>1623</v>
      </c>
      <c r="F343">
        <v>-14.3</v>
      </c>
      <c r="G343">
        <v>9</v>
      </c>
      <c r="H343">
        <v>9</v>
      </c>
      <c r="I343">
        <v>4</v>
      </c>
      <c r="J343">
        <v>2</v>
      </c>
      <c r="K343">
        <v>0</v>
      </c>
      <c r="L343">
        <v>0</v>
      </c>
      <c r="M343">
        <v>0</v>
      </c>
      <c r="N343">
        <v>48.7</v>
      </c>
      <c r="O343">
        <v>53</v>
      </c>
      <c r="P343">
        <v>26</v>
      </c>
      <c r="Q343">
        <v>7</v>
      </c>
      <c r="R343">
        <v>30</v>
      </c>
      <c r="S343">
        <v>23</v>
      </c>
      <c r="T343">
        <v>4.8099999999999996</v>
      </c>
      <c r="U343">
        <v>5.52</v>
      </c>
      <c r="V343">
        <v>1.56</v>
      </c>
      <c r="W343">
        <v>0.29899999999999999</v>
      </c>
      <c r="X343">
        <v>34</v>
      </c>
      <c r="Y343">
        <f t="shared" si="27"/>
        <v>1.3043478260869565</v>
      </c>
      <c r="Z343">
        <f t="shared" si="28"/>
        <v>3.3333333333333335</v>
      </c>
      <c r="AA343" s="176">
        <f t="shared" si="29"/>
        <v>0.22222222222222221</v>
      </c>
      <c r="AB343" s="192">
        <f t="shared" si="26"/>
        <v>0.61601642710472271</v>
      </c>
    </row>
    <row r="344" spans="2:28" x14ac:dyDescent="0.3">
      <c r="B344" t="s">
        <v>684</v>
      </c>
      <c r="C344" t="s">
        <v>286</v>
      </c>
      <c r="D344" t="s">
        <v>1623</v>
      </c>
      <c r="E344" t="s">
        <v>1623</v>
      </c>
      <c r="F344">
        <v>-14.3</v>
      </c>
      <c r="G344">
        <v>2</v>
      </c>
      <c r="H344">
        <v>2</v>
      </c>
      <c r="I344">
        <v>0</v>
      </c>
      <c r="J344">
        <v>0</v>
      </c>
      <c r="K344">
        <v>0</v>
      </c>
      <c r="L344">
        <v>0</v>
      </c>
      <c r="M344">
        <v>0</v>
      </c>
      <c r="N344">
        <v>9.3000000000000007</v>
      </c>
      <c r="O344">
        <v>9</v>
      </c>
      <c r="P344">
        <v>6</v>
      </c>
      <c r="Q344">
        <v>2</v>
      </c>
      <c r="R344">
        <v>7</v>
      </c>
      <c r="S344">
        <v>6</v>
      </c>
      <c r="T344">
        <v>5.79</v>
      </c>
      <c r="U344">
        <v>6.49</v>
      </c>
      <c r="V344">
        <v>1.61</v>
      </c>
      <c r="W344">
        <v>0.26900000000000002</v>
      </c>
      <c r="X344">
        <v>0</v>
      </c>
      <c r="Y344">
        <f t="shared" si="27"/>
        <v>1.1666666666666667</v>
      </c>
      <c r="Z344">
        <f t="shared" si="28"/>
        <v>3.5</v>
      </c>
      <c r="AA344" s="176">
        <f t="shared" si="29"/>
        <v>0</v>
      </c>
      <c r="AB344" s="192">
        <f t="shared" si="26"/>
        <v>0.75268817204301075</v>
      </c>
    </row>
    <row r="345" spans="2:28" x14ac:dyDescent="0.3">
      <c r="B345" t="s">
        <v>3277</v>
      </c>
      <c r="C345" t="s">
        <v>311</v>
      </c>
      <c r="D345" t="s">
        <v>1624</v>
      </c>
      <c r="E345" t="s">
        <v>1624</v>
      </c>
      <c r="F345">
        <v>-14.3</v>
      </c>
      <c r="G345">
        <v>6</v>
      </c>
      <c r="H345">
        <v>0</v>
      </c>
      <c r="I345">
        <v>0</v>
      </c>
      <c r="J345">
        <v>0</v>
      </c>
      <c r="K345">
        <v>0</v>
      </c>
      <c r="L345">
        <v>0</v>
      </c>
      <c r="M345">
        <v>1</v>
      </c>
      <c r="N345">
        <v>7.3</v>
      </c>
      <c r="O345">
        <v>4</v>
      </c>
      <c r="P345">
        <v>1</v>
      </c>
      <c r="Q345">
        <v>0</v>
      </c>
      <c r="R345">
        <v>13</v>
      </c>
      <c r="S345">
        <v>5</v>
      </c>
      <c r="T345">
        <v>1.23</v>
      </c>
      <c r="U345">
        <v>1.78</v>
      </c>
      <c r="V345">
        <v>1.23</v>
      </c>
      <c r="W345">
        <v>0.308</v>
      </c>
      <c r="X345">
        <v>1</v>
      </c>
      <c r="Y345">
        <f t="shared" si="27"/>
        <v>2.6</v>
      </c>
      <c r="Z345" t="str">
        <f t="shared" si="28"/>
        <v>STELLAR</v>
      </c>
      <c r="AA345" s="176" t="str">
        <f t="shared" si="29"/>
        <v>Didn't Start</v>
      </c>
      <c r="AB345" s="192">
        <f t="shared" si="26"/>
        <v>1.7808219178082192</v>
      </c>
    </row>
    <row r="346" spans="2:28" x14ac:dyDescent="0.3">
      <c r="B346" t="s">
        <v>781</v>
      </c>
      <c r="C346" t="s">
        <v>224</v>
      </c>
      <c r="D346" t="s">
        <v>1624</v>
      </c>
      <c r="E346" t="s">
        <v>1624</v>
      </c>
      <c r="F346">
        <v>-14.3</v>
      </c>
      <c r="G346">
        <v>16</v>
      </c>
      <c r="H346">
        <v>0</v>
      </c>
      <c r="I346">
        <v>0</v>
      </c>
      <c r="J346">
        <v>1</v>
      </c>
      <c r="K346">
        <v>1</v>
      </c>
      <c r="L346">
        <v>0</v>
      </c>
      <c r="M346">
        <v>1</v>
      </c>
      <c r="N346">
        <v>18.7</v>
      </c>
      <c r="O346">
        <v>19</v>
      </c>
      <c r="P346">
        <v>9</v>
      </c>
      <c r="Q346">
        <v>2</v>
      </c>
      <c r="R346">
        <v>20</v>
      </c>
      <c r="S346">
        <v>7</v>
      </c>
      <c r="T346">
        <v>4.34</v>
      </c>
      <c r="U346">
        <v>3.97</v>
      </c>
      <c r="V346">
        <v>1.39</v>
      </c>
      <c r="W346">
        <v>0.32700000000000001</v>
      </c>
      <c r="X346">
        <v>0</v>
      </c>
      <c r="Y346">
        <f t="shared" si="27"/>
        <v>2.8571428571428572</v>
      </c>
      <c r="Z346" t="str">
        <f t="shared" si="28"/>
        <v>STELLAR</v>
      </c>
      <c r="AA346" s="176" t="str">
        <f t="shared" si="29"/>
        <v>Didn't Start</v>
      </c>
      <c r="AB346" s="192">
        <f t="shared" si="26"/>
        <v>1.0695187165775402</v>
      </c>
    </row>
    <row r="347" spans="2:28" x14ac:dyDescent="0.3">
      <c r="B347" t="s">
        <v>180</v>
      </c>
      <c r="C347" t="s">
        <v>270</v>
      </c>
      <c r="D347" t="s">
        <v>1623</v>
      </c>
      <c r="E347" t="s">
        <v>1623</v>
      </c>
      <c r="F347">
        <v>-14.3</v>
      </c>
      <c r="G347">
        <v>10</v>
      </c>
      <c r="H347">
        <v>10</v>
      </c>
      <c r="I347">
        <v>5</v>
      </c>
      <c r="J347">
        <v>2</v>
      </c>
      <c r="K347">
        <v>3</v>
      </c>
      <c r="L347">
        <v>0</v>
      </c>
      <c r="M347">
        <v>0</v>
      </c>
      <c r="N347">
        <v>53.3</v>
      </c>
      <c r="O347">
        <v>58</v>
      </c>
      <c r="P347">
        <v>33</v>
      </c>
      <c r="Q347">
        <v>6</v>
      </c>
      <c r="R347">
        <v>41</v>
      </c>
      <c r="S347">
        <v>21</v>
      </c>
      <c r="T347">
        <v>5.57</v>
      </c>
      <c r="U347">
        <v>4.5</v>
      </c>
      <c r="V347">
        <v>1.48</v>
      </c>
      <c r="W347">
        <v>0.31</v>
      </c>
      <c r="X347">
        <v>67</v>
      </c>
      <c r="Y347">
        <f t="shared" si="27"/>
        <v>1.9523809523809523</v>
      </c>
      <c r="Z347">
        <f t="shared" si="28"/>
        <v>4.0999999999999996</v>
      </c>
      <c r="AA347" s="176">
        <f t="shared" si="29"/>
        <v>0.2</v>
      </c>
      <c r="AB347" s="192">
        <f t="shared" si="26"/>
        <v>0.76923076923076927</v>
      </c>
    </row>
    <row r="348" spans="2:28" x14ac:dyDescent="0.3">
      <c r="B348" t="s">
        <v>3189</v>
      </c>
      <c r="C348" t="s">
        <v>274</v>
      </c>
      <c r="D348" t="s">
        <v>1623</v>
      </c>
      <c r="E348" t="s">
        <v>1623</v>
      </c>
      <c r="F348">
        <v>-14.3</v>
      </c>
      <c r="G348">
        <v>1</v>
      </c>
      <c r="H348">
        <v>0</v>
      </c>
      <c r="I348">
        <v>0</v>
      </c>
      <c r="J348">
        <v>0</v>
      </c>
      <c r="K348">
        <v>0</v>
      </c>
      <c r="L348">
        <v>0</v>
      </c>
      <c r="M348">
        <v>0</v>
      </c>
      <c r="N348">
        <v>0.7</v>
      </c>
      <c r="O348">
        <v>3</v>
      </c>
      <c r="P348">
        <v>2</v>
      </c>
      <c r="Q348">
        <v>0</v>
      </c>
      <c r="R348">
        <v>1</v>
      </c>
      <c r="S348">
        <v>1</v>
      </c>
      <c r="T348">
        <v>27</v>
      </c>
      <c r="U348">
        <v>0</v>
      </c>
      <c r="V348">
        <v>6</v>
      </c>
      <c r="W348">
        <v>0.75</v>
      </c>
      <c r="X348">
        <v>0</v>
      </c>
      <c r="Y348">
        <f t="shared" si="27"/>
        <v>1</v>
      </c>
      <c r="Z348" t="str">
        <f t="shared" si="28"/>
        <v>STELLAR</v>
      </c>
      <c r="AA348" s="176" t="str">
        <f t="shared" si="29"/>
        <v>Didn't Start</v>
      </c>
      <c r="AB348" s="192">
        <f t="shared" si="26"/>
        <v>1.4285714285714286</v>
      </c>
    </row>
    <row r="349" spans="2:28" x14ac:dyDescent="0.3">
      <c r="B349" t="s">
        <v>3199</v>
      </c>
      <c r="C349" t="s">
        <v>325</v>
      </c>
      <c r="D349" t="s">
        <v>1623</v>
      </c>
      <c r="E349" t="s">
        <v>1623</v>
      </c>
      <c r="F349">
        <v>-14.5</v>
      </c>
      <c r="G349">
        <v>4</v>
      </c>
      <c r="H349">
        <v>4</v>
      </c>
      <c r="I349">
        <v>2</v>
      </c>
      <c r="J349">
        <v>0</v>
      </c>
      <c r="K349">
        <v>3</v>
      </c>
      <c r="L349">
        <v>0</v>
      </c>
      <c r="M349">
        <v>0</v>
      </c>
      <c r="N349">
        <v>22.3</v>
      </c>
      <c r="O349">
        <v>21</v>
      </c>
      <c r="P349">
        <v>16</v>
      </c>
      <c r="Q349">
        <v>7</v>
      </c>
      <c r="R349">
        <v>19</v>
      </c>
      <c r="S349">
        <v>7</v>
      </c>
      <c r="T349">
        <v>6.45</v>
      </c>
      <c r="U349">
        <v>6.59</v>
      </c>
      <c r="V349">
        <v>1.25</v>
      </c>
      <c r="W349">
        <v>0.21199999999999999</v>
      </c>
      <c r="X349">
        <v>2</v>
      </c>
      <c r="Y349">
        <f t="shared" si="27"/>
        <v>2.7142857142857144</v>
      </c>
      <c r="Z349">
        <f t="shared" si="28"/>
        <v>4.75</v>
      </c>
      <c r="AA349" s="176">
        <f t="shared" si="29"/>
        <v>0</v>
      </c>
      <c r="AB349" s="192">
        <f t="shared" si="26"/>
        <v>0.85201793721973096</v>
      </c>
    </row>
    <row r="350" spans="2:28" x14ac:dyDescent="0.3">
      <c r="B350" t="s">
        <v>494</v>
      </c>
      <c r="C350" t="s">
        <v>255</v>
      </c>
      <c r="D350" t="s">
        <v>1624</v>
      </c>
      <c r="E350" t="s">
        <v>1624</v>
      </c>
      <c r="F350">
        <v>-14.5</v>
      </c>
      <c r="G350">
        <v>4</v>
      </c>
      <c r="H350">
        <v>0</v>
      </c>
      <c r="I350">
        <v>0</v>
      </c>
      <c r="J350">
        <v>0</v>
      </c>
      <c r="K350">
        <v>0</v>
      </c>
      <c r="L350">
        <v>0</v>
      </c>
      <c r="M350">
        <v>0</v>
      </c>
      <c r="N350">
        <v>5</v>
      </c>
      <c r="O350">
        <v>2</v>
      </c>
      <c r="P350">
        <v>0</v>
      </c>
      <c r="Q350">
        <v>0</v>
      </c>
      <c r="R350">
        <v>5</v>
      </c>
      <c r="S350">
        <v>1</v>
      </c>
      <c r="T350">
        <v>0</v>
      </c>
      <c r="U350">
        <v>1.88</v>
      </c>
      <c r="V350">
        <v>0.6</v>
      </c>
      <c r="W350">
        <v>0.182</v>
      </c>
      <c r="X350">
        <v>0</v>
      </c>
      <c r="Y350">
        <f t="shared" si="27"/>
        <v>5</v>
      </c>
      <c r="Z350" t="str">
        <f t="shared" si="28"/>
        <v>STELLAR</v>
      </c>
      <c r="AA350" s="176" t="str">
        <f t="shared" si="29"/>
        <v>Didn't Start</v>
      </c>
      <c r="AB350" s="192">
        <f t="shared" si="26"/>
        <v>1</v>
      </c>
    </row>
    <row r="351" spans="2:28" x14ac:dyDescent="0.3">
      <c r="B351" t="s">
        <v>3130</v>
      </c>
      <c r="C351" t="s">
        <v>221</v>
      </c>
      <c r="D351" t="s">
        <v>1624</v>
      </c>
      <c r="E351" t="s">
        <v>1624</v>
      </c>
      <c r="F351">
        <v>-14.8</v>
      </c>
      <c r="G351">
        <v>11</v>
      </c>
      <c r="H351">
        <v>0</v>
      </c>
      <c r="I351">
        <v>0</v>
      </c>
      <c r="J351">
        <v>1</v>
      </c>
      <c r="K351">
        <v>0</v>
      </c>
      <c r="L351">
        <v>0</v>
      </c>
      <c r="M351">
        <v>0</v>
      </c>
      <c r="N351">
        <v>12.3</v>
      </c>
      <c r="O351">
        <v>14</v>
      </c>
      <c r="P351">
        <v>5</v>
      </c>
      <c r="Q351">
        <v>2</v>
      </c>
      <c r="R351">
        <v>10</v>
      </c>
      <c r="S351">
        <v>3</v>
      </c>
      <c r="T351">
        <v>3.65</v>
      </c>
      <c r="U351">
        <v>4.74</v>
      </c>
      <c r="V351">
        <v>1.38</v>
      </c>
      <c r="W351">
        <v>0.316</v>
      </c>
      <c r="X351">
        <v>0</v>
      </c>
      <c r="Y351">
        <f t="shared" si="27"/>
        <v>3.3333333333333335</v>
      </c>
      <c r="Z351" t="str">
        <f t="shared" si="28"/>
        <v>STELLAR</v>
      </c>
      <c r="AA351" s="176" t="str">
        <f t="shared" si="29"/>
        <v>Didn't Start</v>
      </c>
      <c r="AB351" s="192">
        <f t="shared" si="26"/>
        <v>0.81300813008130079</v>
      </c>
    </row>
    <row r="352" spans="2:28" x14ac:dyDescent="0.3">
      <c r="B352" t="s">
        <v>3264</v>
      </c>
      <c r="C352" t="s">
        <v>1520</v>
      </c>
      <c r="D352" t="s">
        <v>1623</v>
      </c>
      <c r="E352" t="s">
        <v>1623</v>
      </c>
      <c r="F352">
        <v>-14.8</v>
      </c>
      <c r="G352">
        <v>4</v>
      </c>
      <c r="H352">
        <v>0</v>
      </c>
      <c r="I352">
        <v>0</v>
      </c>
      <c r="J352">
        <v>0</v>
      </c>
      <c r="K352">
        <v>1</v>
      </c>
      <c r="L352">
        <v>0</v>
      </c>
      <c r="M352">
        <v>0</v>
      </c>
      <c r="N352">
        <v>14</v>
      </c>
      <c r="O352">
        <v>16</v>
      </c>
      <c r="P352">
        <v>8</v>
      </c>
      <c r="Q352">
        <v>2</v>
      </c>
      <c r="R352">
        <v>9</v>
      </c>
      <c r="S352">
        <v>6</v>
      </c>
      <c r="T352">
        <v>5.14</v>
      </c>
      <c r="U352">
        <v>5.35</v>
      </c>
      <c r="V352">
        <v>1.57</v>
      </c>
      <c r="W352">
        <v>0.318</v>
      </c>
      <c r="X352">
        <v>0</v>
      </c>
      <c r="Y352">
        <f t="shared" si="27"/>
        <v>1.5</v>
      </c>
      <c r="Z352" t="str">
        <f t="shared" si="28"/>
        <v>STELLAR</v>
      </c>
      <c r="AA352" s="176" t="str">
        <f t="shared" si="29"/>
        <v>Didn't Start</v>
      </c>
      <c r="AB352" s="192">
        <f t="shared" si="26"/>
        <v>0.6428571428571429</v>
      </c>
    </row>
    <row r="353" spans="2:28" x14ac:dyDescent="0.3">
      <c r="B353" t="s">
        <v>744</v>
      </c>
      <c r="C353" t="s">
        <v>244</v>
      </c>
      <c r="D353" t="s">
        <v>1623</v>
      </c>
      <c r="E353" t="s">
        <v>1623</v>
      </c>
      <c r="F353">
        <v>-15</v>
      </c>
      <c r="G353">
        <v>1</v>
      </c>
      <c r="H353">
        <v>1</v>
      </c>
      <c r="I353">
        <v>0</v>
      </c>
      <c r="J353">
        <v>0</v>
      </c>
      <c r="K353">
        <v>1</v>
      </c>
      <c r="L353">
        <v>0</v>
      </c>
      <c r="M353">
        <v>0</v>
      </c>
      <c r="N353">
        <v>3.3</v>
      </c>
      <c r="O353">
        <v>4</v>
      </c>
      <c r="P353">
        <v>3</v>
      </c>
      <c r="Q353">
        <v>0</v>
      </c>
      <c r="R353">
        <v>3</v>
      </c>
      <c r="S353">
        <v>5</v>
      </c>
      <c r="T353">
        <v>8.1</v>
      </c>
      <c r="U353">
        <v>5.98</v>
      </c>
      <c r="V353">
        <v>2.7</v>
      </c>
      <c r="W353">
        <v>0.4</v>
      </c>
      <c r="X353">
        <v>3</v>
      </c>
      <c r="Y353">
        <f t="shared" si="27"/>
        <v>0.6</v>
      </c>
      <c r="Z353">
        <f t="shared" si="28"/>
        <v>3</v>
      </c>
      <c r="AA353" s="176">
        <f t="shared" si="29"/>
        <v>0</v>
      </c>
      <c r="AB353" s="192">
        <f t="shared" si="26"/>
        <v>0.90909090909090917</v>
      </c>
    </row>
    <row r="354" spans="2:28" x14ac:dyDescent="0.3">
      <c r="B354" t="s">
        <v>3099</v>
      </c>
      <c r="C354" t="s">
        <v>1523</v>
      </c>
      <c r="D354" t="s">
        <v>1623</v>
      </c>
      <c r="E354" t="s">
        <v>1623</v>
      </c>
      <c r="F354">
        <v>-15.2</v>
      </c>
      <c r="G354">
        <v>5</v>
      </c>
      <c r="H354">
        <v>5</v>
      </c>
      <c r="I354">
        <v>0</v>
      </c>
      <c r="J354">
        <v>1</v>
      </c>
      <c r="K354">
        <v>2</v>
      </c>
      <c r="L354">
        <v>0</v>
      </c>
      <c r="M354">
        <v>0</v>
      </c>
      <c r="N354">
        <v>24</v>
      </c>
      <c r="O354">
        <v>29</v>
      </c>
      <c r="P354">
        <v>18</v>
      </c>
      <c r="Q354">
        <v>6</v>
      </c>
      <c r="R354">
        <v>25</v>
      </c>
      <c r="S354">
        <v>9</v>
      </c>
      <c r="T354">
        <v>6.75</v>
      </c>
      <c r="U354">
        <v>5.82</v>
      </c>
      <c r="V354">
        <v>1.58</v>
      </c>
      <c r="W354">
        <v>0.315</v>
      </c>
      <c r="X354">
        <v>100</v>
      </c>
      <c r="Y354">
        <f t="shared" si="27"/>
        <v>2.7777777777777777</v>
      </c>
      <c r="Z354">
        <f t="shared" si="28"/>
        <v>5</v>
      </c>
      <c r="AA354" s="176">
        <f t="shared" si="29"/>
        <v>0.2</v>
      </c>
      <c r="AB354" s="192">
        <f t="shared" si="26"/>
        <v>1.0416666666666667</v>
      </c>
    </row>
    <row r="355" spans="2:28" x14ac:dyDescent="0.3">
      <c r="B355" t="s">
        <v>3100</v>
      </c>
      <c r="C355" t="s">
        <v>235</v>
      </c>
      <c r="D355" t="s">
        <v>1624</v>
      </c>
      <c r="E355" t="s">
        <v>1624</v>
      </c>
      <c r="F355">
        <v>-15.2</v>
      </c>
      <c r="G355">
        <v>2</v>
      </c>
      <c r="H355">
        <v>0</v>
      </c>
      <c r="I355">
        <v>0</v>
      </c>
      <c r="J355">
        <v>1</v>
      </c>
      <c r="K355">
        <v>0</v>
      </c>
      <c r="L355">
        <v>0</v>
      </c>
      <c r="M355">
        <v>0</v>
      </c>
      <c r="N355">
        <v>1.7</v>
      </c>
      <c r="O355">
        <v>2</v>
      </c>
      <c r="P355">
        <v>1</v>
      </c>
      <c r="Q355">
        <v>1</v>
      </c>
      <c r="R355">
        <v>2</v>
      </c>
      <c r="S355">
        <v>0</v>
      </c>
      <c r="T355">
        <v>5.4</v>
      </c>
      <c r="U355">
        <v>8.68</v>
      </c>
      <c r="V355">
        <v>1.2</v>
      </c>
      <c r="W355">
        <v>0.33300000000000002</v>
      </c>
      <c r="X355">
        <v>0</v>
      </c>
      <c r="Y355" t="str">
        <f t="shared" si="27"/>
        <v>STELLAR</v>
      </c>
      <c r="Z355" t="str">
        <f t="shared" si="28"/>
        <v>STELLAR</v>
      </c>
      <c r="AA355" s="176" t="str">
        <f t="shared" si="29"/>
        <v>Didn't Start</v>
      </c>
      <c r="AB355" s="192">
        <f t="shared" si="26"/>
        <v>1.1764705882352942</v>
      </c>
    </row>
    <row r="356" spans="2:28" x14ac:dyDescent="0.3">
      <c r="B356" t="s">
        <v>3354</v>
      </c>
      <c r="C356" t="s">
        <v>222</v>
      </c>
      <c r="D356" t="s">
        <v>1624</v>
      </c>
      <c r="E356" t="s">
        <v>1624</v>
      </c>
      <c r="F356">
        <v>-15.3</v>
      </c>
      <c r="G356">
        <v>5</v>
      </c>
      <c r="H356">
        <v>0</v>
      </c>
      <c r="I356">
        <v>0</v>
      </c>
      <c r="J356">
        <v>1</v>
      </c>
      <c r="K356">
        <v>0</v>
      </c>
      <c r="L356">
        <v>1</v>
      </c>
      <c r="M356">
        <v>1</v>
      </c>
      <c r="N356">
        <v>7.3</v>
      </c>
      <c r="O356">
        <v>10</v>
      </c>
      <c r="P356">
        <v>3</v>
      </c>
      <c r="Q356">
        <v>1</v>
      </c>
      <c r="R356">
        <v>2</v>
      </c>
      <c r="S356">
        <v>1</v>
      </c>
      <c r="T356">
        <v>3.68</v>
      </c>
      <c r="U356">
        <v>5.32</v>
      </c>
      <c r="V356">
        <v>1.5</v>
      </c>
      <c r="W356">
        <v>0.34599999999999997</v>
      </c>
      <c r="X356">
        <v>0</v>
      </c>
      <c r="Y356">
        <f t="shared" si="27"/>
        <v>2</v>
      </c>
      <c r="Z356" t="str">
        <f t="shared" si="28"/>
        <v>STELLAR</v>
      </c>
      <c r="AA356" s="176" t="str">
        <f t="shared" si="29"/>
        <v>Didn't Start</v>
      </c>
      <c r="AB356" s="192">
        <f t="shared" si="26"/>
        <v>0.27397260273972601</v>
      </c>
    </row>
    <row r="357" spans="2:28" x14ac:dyDescent="0.3">
      <c r="B357" t="s">
        <v>892</v>
      </c>
      <c r="C357" t="s">
        <v>1521</v>
      </c>
      <c r="D357" t="s">
        <v>1624</v>
      </c>
      <c r="E357" t="s">
        <v>1624</v>
      </c>
      <c r="F357">
        <v>-15.3</v>
      </c>
      <c r="G357">
        <v>19</v>
      </c>
      <c r="H357">
        <v>0</v>
      </c>
      <c r="I357">
        <v>0</v>
      </c>
      <c r="J357">
        <v>1</v>
      </c>
      <c r="K357">
        <v>2</v>
      </c>
      <c r="L357">
        <v>1</v>
      </c>
      <c r="M357">
        <v>3</v>
      </c>
      <c r="N357">
        <v>15</v>
      </c>
      <c r="O357">
        <v>12</v>
      </c>
      <c r="P357">
        <v>8</v>
      </c>
      <c r="Q357">
        <v>3</v>
      </c>
      <c r="R357">
        <v>13</v>
      </c>
      <c r="S357">
        <v>10</v>
      </c>
      <c r="T357">
        <v>4.8</v>
      </c>
      <c r="U357">
        <v>6.54</v>
      </c>
      <c r="V357">
        <v>1.47</v>
      </c>
      <c r="W357">
        <v>0.23100000000000001</v>
      </c>
      <c r="X357">
        <v>5</v>
      </c>
      <c r="Y357">
        <f t="shared" si="27"/>
        <v>1.3</v>
      </c>
      <c r="Z357" t="str">
        <f t="shared" si="28"/>
        <v>STELLAR</v>
      </c>
      <c r="AA357" s="176" t="str">
        <f t="shared" si="29"/>
        <v>Didn't Start</v>
      </c>
      <c r="AB357" s="192">
        <f t="shared" si="26"/>
        <v>0.8666666666666667</v>
      </c>
    </row>
    <row r="358" spans="2:28" x14ac:dyDescent="0.3">
      <c r="B358" t="s">
        <v>585</v>
      </c>
      <c r="C358" t="s">
        <v>243</v>
      </c>
      <c r="D358" t="s">
        <v>1624</v>
      </c>
      <c r="E358" t="s">
        <v>1624</v>
      </c>
      <c r="F358">
        <v>-15.4</v>
      </c>
      <c r="G358">
        <v>21</v>
      </c>
      <c r="H358">
        <v>1</v>
      </c>
      <c r="I358">
        <v>0</v>
      </c>
      <c r="J358">
        <v>2</v>
      </c>
      <c r="K358">
        <v>1</v>
      </c>
      <c r="L358">
        <v>0</v>
      </c>
      <c r="M358">
        <v>3</v>
      </c>
      <c r="N358">
        <v>19.3</v>
      </c>
      <c r="O358">
        <v>21</v>
      </c>
      <c r="P358">
        <v>12</v>
      </c>
      <c r="Q358">
        <v>5</v>
      </c>
      <c r="R358">
        <v>24</v>
      </c>
      <c r="S358">
        <v>12</v>
      </c>
      <c r="T358">
        <v>5.59</v>
      </c>
      <c r="U358">
        <v>6.17</v>
      </c>
      <c r="V358">
        <v>1.71</v>
      </c>
      <c r="W358">
        <v>0.33300000000000002</v>
      </c>
      <c r="X358">
        <v>0</v>
      </c>
      <c r="Y358">
        <f t="shared" si="27"/>
        <v>2</v>
      </c>
      <c r="Z358">
        <f t="shared" si="28"/>
        <v>24</v>
      </c>
      <c r="AA358" s="176">
        <f t="shared" si="29"/>
        <v>2</v>
      </c>
      <c r="AB358" s="192">
        <f t="shared" si="26"/>
        <v>1.2435233160621761</v>
      </c>
    </row>
    <row r="359" spans="2:28" x14ac:dyDescent="0.3">
      <c r="B359" t="s">
        <v>3104</v>
      </c>
      <c r="C359" t="s">
        <v>274</v>
      </c>
      <c r="D359" t="s">
        <v>1623</v>
      </c>
      <c r="E359" t="s">
        <v>1623</v>
      </c>
      <c r="F359">
        <v>-15.4</v>
      </c>
      <c r="G359">
        <v>1</v>
      </c>
      <c r="H359">
        <v>0</v>
      </c>
      <c r="I359">
        <v>0</v>
      </c>
      <c r="J359">
        <v>0</v>
      </c>
      <c r="K359">
        <v>0</v>
      </c>
      <c r="L359">
        <v>0</v>
      </c>
      <c r="M359">
        <v>0</v>
      </c>
      <c r="N359">
        <v>4.7</v>
      </c>
      <c r="O359">
        <v>7</v>
      </c>
      <c r="P359">
        <v>5</v>
      </c>
      <c r="Q359">
        <v>1</v>
      </c>
      <c r="R359">
        <v>5</v>
      </c>
      <c r="S359">
        <v>3</v>
      </c>
      <c r="T359">
        <v>9.64</v>
      </c>
      <c r="U359">
        <v>5.85</v>
      </c>
      <c r="V359">
        <v>2.14</v>
      </c>
      <c r="W359">
        <v>0.42899999999999999</v>
      </c>
      <c r="X359">
        <v>0</v>
      </c>
      <c r="Y359">
        <f t="shared" si="27"/>
        <v>1.6666666666666667</v>
      </c>
      <c r="Z359" t="str">
        <f t="shared" si="28"/>
        <v>STELLAR</v>
      </c>
      <c r="AA359" s="176" t="str">
        <f t="shared" si="29"/>
        <v>Didn't Start</v>
      </c>
      <c r="AB359" s="192">
        <f t="shared" si="26"/>
        <v>1.0638297872340425</v>
      </c>
    </row>
    <row r="360" spans="2:28" x14ac:dyDescent="0.3">
      <c r="B360" t="s">
        <v>3008</v>
      </c>
      <c r="C360" t="s">
        <v>266</v>
      </c>
      <c r="D360" t="s">
        <v>1623</v>
      </c>
      <c r="E360" t="s">
        <v>1623</v>
      </c>
      <c r="F360">
        <v>-15.6</v>
      </c>
      <c r="G360">
        <v>3</v>
      </c>
      <c r="H360">
        <v>3</v>
      </c>
      <c r="I360">
        <v>0</v>
      </c>
      <c r="J360">
        <v>0</v>
      </c>
      <c r="K360">
        <v>1</v>
      </c>
      <c r="L360">
        <v>0</v>
      </c>
      <c r="M360">
        <v>0</v>
      </c>
      <c r="N360">
        <v>11.7</v>
      </c>
      <c r="O360">
        <v>16</v>
      </c>
      <c r="P360">
        <v>8</v>
      </c>
      <c r="Q360">
        <v>1</v>
      </c>
      <c r="R360">
        <v>12</v>
      </c>
      <c r="S360">
        <v>5</v>
      </c>
      <c r="T360">
        <v>6.17</v>
      </c>
      <c r="U360">
        <v>3.88</v>
      </c>
      <c r="V360">
        <v>1.8</v>
      </c>
      <c r="W360">
        <v>0.41699999999999998</v>
      </c>
      <c r="X360">
        <v>0</v>
      </c>
      <c r="Y360">
        <f t="shared" si="27"/>
        <v>2.4</v>
      </c>
      <c r="Z360">
        <f t="shared" si="28"/>
        <v>4</v>
      </c>
      <c r="AA360" s="176">
        <f t="shared" si="29"/>
        <v>0</v>
      </c>
      <c r="AB360" s="192">
        <f t="shared" si="26"/>
        <v>1.0256410256410258</v>
      </c>
    </row>
    <row r="361" spans="2:28" x14ac:dyDescent="0.3">
      <c r="B361" t="s">
        <v>206</v>
      </c>
      <c r="C361" t="s">
        <v>221</v>
      </c>
      <c r="D361" t="s">
        <v>1623</v>
      </c>
      <c r="E361" t="s">
        <v>1623</v>
      </c>
      <c r="F361">
        <v>-15.7</v>
      </c>
      <c r="G361">
        <v>9</v>
      </c>
      <c r="H361">
        <v>9</v>
      </c>
      <c r="I361">
        <v>1</v>
      </c>
      <c r="J361">
        <v>2</v>
      </c>
      <c r="K361">
        <v>6</v>
      </c>
      <c r="L361">
        <v>0</v>
      </c>
      <c r="M361">
        <v>0</v>
      </c>
      <c r="N361">
        <v>41.7</v>
      </c>
      <c r="O361">
        <v>46</v>
      </c>
      <c r="P361">
        <v>29</v>
      </c>
      <c r="Q361">
        <v>11</v>
      </c>
      <c r="R361">
        <v>34</v>
      </c>
      <c r="S361">
        <v>18</v>
      </c>
      <c r="T361">
        <v>6.26</v>
      </c>
      <c r="U361">
        <v>6.59</v>
      </c>
      <c r="V361">
        <v>1.54</v>
      </c>
      <c r="W361">
        <v>0.27600000000000002</v>
      </c>
      <c r="X361">
        <v>3</v>
      </c>
      <c r="Y361">
        <f t="shared" si="27"/>
        <v>1.8888888888888888</v>
      </c>
      <c r="Z361">
        <f t="shared" si="28"/>
        <v>3.7777777777777777</v>
      </c>
      <c r="AA361" s="176">
        <f t="shared" si="29"/>
        <v>0.22222222222222221</v>
      </c>
      <c r="AB361" s="192">
        <f t="shared" si="26"/>
        <v>0.81534772182254189</v>
      </c>
    </row>
    <row r="362" spans="2:28" x14ac:dyDescent="0.3">
      <c r="B362" t="s">
        <v>741</v>
      </c>
      <c r="C362" t="s">
        <v>1523</v>
      </c>
      <c r="D362" t="s">
        <v>1624</v>
      </c>
      <c r="E362" t="s">
        <v>1624</v>
      </c>
      <c r="F362">
        <v>-15.7</v>
      </c>
      <c r="G362">
        <v>21</v>
      </c>
      <c r="H362">
        <v>0</v>
      </c>
      <c r="I362">
        <v>0</v>
      </c>
      <c r="J362">
        <v>1</v>
      </c>
      <c r="K362">
        <v>3</v>
      </c>
      <c r="L362">
        <v>0</v>
      </c>
      <c r="M362">
        <v>7</v>
      </c>
      <c r="N362">
        <v>19.3</v>
      </c>
      <c r="O362">
        <v>19</v>
      </c>
      <c r="P362">
        <v>10</v>
      </c>
      <c r="Q362">
        <v>0</v>
      </c>
      <c r="R362">
        <v>20</v>
      </c>
      <c r="S362">
        <v>9</v>
      </c>
      <c r="T362">
        <v>4.66</v>
      </c>
      <c r="U362">
        <v>2.92</v>
      </c>
      <c r="V362">
        <v>1.45</v>
      </c>
      <c r="W362">
        <v>0.33300000000000002</v>
      </c>
      <c r="X362">
        <v>0</v>
      </c>
      <c r="Y362">
        <f t="shared" si="27"/>
        <v>2.2222222222222223</v>
      </c>
      <c r="Z362" t="str">
        <f t="shared" si="28"/>
        <v>STELLAR</v>
      </c>
      <c r="AA362" s="176" t="str">
        <f t="shared" si="29"/>
        <v>Didn't Start</v>
      </c>
      <c r="AB362" s="192">
        <f t="shared" si="26"/>
        <v>1.0362694300518134</v>
      </c>
    </row>
    <row r="363" spans="2:28" x14ac:dyDescent="0.3">
      <c r="B363" t="s">
        <v>548</v>
      </c>
      <c r="C363" t="s">
        <v>246</v>
      </c>
      <c r="D363" t="s">
        <v>1624</v>
      </c>
      <c r="E363" t="s">
        <v>1624</v>
      </c>
      <c r="F363">
        <v>-15.7</v>
      </c>
      <c r="G363">
        <v>22</v>
      </c>
      <c r="H363">
        <v>0</v>
      </c>
      <c r="I363">
        <v>0</v>
      </c>
      <c r="J363">
        <v>0</v>
      </c>
      <c r="K363">
        <v>0</v>
      </c>
      <c r="L363">
        <v>0</v>
      </c>
      <c r="M363">
        <v>7</v>
      </c>
      <c r="N363">
        <v>26.3</v>
      </c>
      <c r="O363">
        <v>29</v>
      </c>
      <c r="P363">
        <v>11</v>
      </c>
      <c r="Q363">
        <v>1</v>
      </c>
      <c r="R363">
        <v>30</v>
      </c>
      <c r="S363">
        <v>8</v>
      </c>
      <c r="T363">
        <v>3.76</v>
      </c>
      <c r="U363">
        <v>2.63</v>
      </c>
      <c r="V363">
        <v>1.41</v>
      </c>
      <c r="W363">
        <v>0.38900000000000001</v>
      </c>
      <c r="X363">
        <v>0</v>
      </c>
      <c r="Y363">
        <f t="shared" si="27"/>
        <v>3.75</v>
      </c>
      <c r="Z363" t="str">
        <f t="shared" si="28"/>
        <v>STELLAR</v>
      </c>
      <c r="AA363" s="176" t="str">
        <f t="shared" si="29"/>
        <v>Didn't Start</v>
      </c>
      <c r="AB363" s="192">
        <f t="shared" si="26"/>
        <v>1.1406844106463878</v>
      </c>
    </row>
    <row r="364" spans="2:28" x14ac:dyDescent="0.3">
      <c r="B364" t="s">
        <v>3068</v>
      </c>
      <c r="C364" t="s">
        <v>270</v>
      </c>
      <c r="D364" t="s">
        <v>1623</v>
      </c>
      <c r="E364" t="s">
        <v>1623</v>
      </c>
      <c r="F364">
        <v>-15.8</v>
      </c>
      <c r="G364">
        <v>6</v>
      </c>
      <c r="H364">
        <v>6</v>
      </c>
      <c r="I364">
        <v>1</v>
      </c>
      <c r="J364">
        <v>1</v>
      </c>
      <c r="K364">
        <v>2</v>
      </c>
      <c r="L364">
        <v>0</v>
      </c>
      <c r="M364">
        <v>0</v>
      </c>
      <c r="N364">
        <v>31.7</v>
      </c>
      <c r="O364">
        <v>40</v>
      </c>
      <c r="P364">
        <v>23</v>
      </c>
      <c r="Q364">
        <v>9</v>
      </c>
      <c r="R364">
        <v>31</v>
      </c>
      <c r="S364">
        <v>8</v>
      </c>
      <c r="T364">
        <v>6.54</v>
      </c>
      <c r="U364">
        <v>5.87</v>
      </c>
      <c r="V364">
        <v>1.52</v>
      </c>
      <c r="W364">
        <v>0.34100000000000003</v>
      </c>
      <c r="X364">
        <v>0</v>
      </c>
      <c r="Y364">
        <f t="shared" si="27"/>
        <v>3.875</v>
      </c>
      <c r="Z364">
        <f t="shared" si="28"/>
        <v>5.166666666666667</v>
      </c>
      <c r="AA364" s="176">
        <f t="shared" si="29"/>
        <v>0.16666666666666666</v>
      </c>
      <c r="AB364" s="192">
        <f t="shared" si="26"/>
        <v>0.97791798107255523</v>
      </c>
    </row>
    <row r="365" spans="2:28" x14ac:dyDescent="0.3">
      <c r="B365" t="s">
        <v>3355</v>
      </c>
      <c r="C365" t="s">
        <v>264</v>
      </c>
      <c r="D365" t="s">
        <v>1623</v>
      </c>
      <c r="E365" t="s">
        <v>1623</v>
      </c>
      <c r="F365">
        <v>-15.8</v>
      </c>
      <c r="G365">
        <v>1</v>
      </c>
      <c r="H365">
        <v>1</v>
      </c>
      <c r="I365">
        <v>0</v>
      </c>
      <c r="J365">
        <v>0</v>
      </c>
      <c r="K365">
        <v>1</v>
      </c>
      <c r="L365">
        <v>0</v>
      </c>
      <c r="M365">
        <v>0</v>
      </c>
      <c r="N365">
        <v>5</v>
      </c>
      <c r="O365">
        <v>7</v>
      </c>
      <c r="P365">
        <v>6</v>
      </c>
      <c r="Q365">
        <v>2</v>
      </c>
      <c r="R365">
        <v>3</v>
      </c>
      <c r="S365">
        <v>2</v>
      </c>
      <c r="T365">
        <v>10.8</v>
      </c>
      <c r="U365">
        <v>8.48</v>
      </c>
      <c r="V365">
        <v>1.8</v>
      </c>
      <c r="W365">
        <v>0.312</v>
      </c>
      <c r="X365">
        <v>1</v>
      </c>
      <c r="Y365">
        <f t="shared" si="27"/>
        <v>1.5</v>
      </c>
      <c r="Z365">
        <f t="shared" si="28"/>
        <v>3</v>
      </c>
      <c r="AA365" s="176">
        <f t="shared" si="29"/>
        <v>0</v>
      </c>
      <c r="AB365" s="192">
        <f t="shared" ref="AB365:AB413" si="30">R365/N365</f>
        <v>0.6</v>
      </c>
    </row>
    <row r="366" spans="2:28" x14ac:dyDescent="0.3">
      <c r="B366" t="s">
        <v>939</v>
      </c>
      <c r="C366" t="s">
        <v>246</v>
      </c>
      <c r="D366" t="s">
        <v>1623</v>
      </c>
      <c r="E366" t="s">
        <v>1623</v>
      </c>
      <c r="F366">
        <v>-15.9</v>
      </c>
      <c r="G366">
        <v>1</v>
      </c>
      <c r="H366">
        <v>1</v>
      </c>
      <c r="I366">
        <v>0</v>
      </c>
      <c r="J366">
        <v>0</v>
      </c>
      <c r="K366">
        <v>1</v>
      </c>
      <c r="L366">
        <v>0</v>
      </c>
      <c r="M366">
        <v>0</v>
      </c>
      <c r="N366">
        <v>1</v>
      </c>
      <c r="O366">
        <v>3</v>
      </c>
      <c r="P366">
        <v>4</v>
      </c>
      <c r="Q366">
        <v>2</v>
      </c>
      <c r="R366">
        <v>0</v>
      </c>
      <c r="S366">
        <v>1</v>
      </c>
      <c r="T366">
        <v>36</v>
      </c>
      <c r="U366">
        <v>32.28</v>
      </c>
      <c r="V366">
        <v>4</v>
      </c>
      <c r="W366">
        <v>0.25</v>
      </c>
      <c r="X366">
        <v>1</v>
      </c>
      <c r="Y366">
        <f t="shared" si="27"/>
        <v>0</v>
      </c>
      <c r="Z366">
        <f t="shared" si="28"/>
        <v>0</v>
      </c>
      <c r="AA366" s="176">
        <f t="shared" si="29"/>
        <v>0</v>
      </c>
      <c r="AB366" s="192">
        <f t="shared" si="30"/>
        <v>0</v>
      </c>
    </row>
    <row r="367" spans="2:28" x14ac:dyDescent="0.3">
      <c r="B367" t="s">
        <v>949</v>
      </c>
      <c r="C367" t="s">
        <v>1523</v>
      </c>
      <c r="D367" t="s">
        <v>1624</v>
      </c>
      <c r="E367" t="s">
        <v>1624</v>
      </c>
      <c r="F367">
        <v>-15.9</v>
      </c>
      <c r="G367">
        <v>10</v>
      </c>
      <c r="H367">
        <v>0</v>
      </c>
      <c r="I367">
        <v>0</v>
      </c>
      <c r="J367">
        <v>0</v>
      </c>
      <c r="K367">
        <v>1</v>
      </c>
      <c r="L367">
        <v>1</v>
      </c>
      <c r="M367">
        <v>1</v>
      </c>
      <c r="N367">
        <v>11.3</v>
      </c>
      <c r="O367">
        <v>9</v>
      </c>
      <c r="P367">
        <v>4</v>
      </c>
      <c r="Q367">
        <v>2</v>
      </c>
      <c r="R367">
        <v>12</v>
      </c>
      <c r="S367">
        <v>7</v>
      </c>
      <c r="T367">
        <v>3.18</v>
      </c>
      <c r="U367">
        <v>5.57</v>
      </c>
      <c r="V367">
        <v>1.41</v>
      </c>
      <c r="W367">
        <v>0.25</v>
      </c>
      <c r="X367">
        <v>0</v>
      </c>
      <c r="Y367">
        <f t="shared" si="27"/>
        <v>1.7142857142857142</v>
      </c>
      <c r="Z367" t="str">
        <f t="shared" si="28"/>
        <v>STELLAR</v>
      </c>
      <c r="AA367" s="176" t="str">
        <f t="shared" si="29"/>
        <v>Didn't Start</v>
      </c>
      <c r="AB367" s="192">
        <f t="shared" si="30"/>
        <v>1.0619469026548671</v>
      </c>
    </row>
    <row r="368" spans="2:28" x14ac:dyDescent="0.3">
      <c r="B368" t="s">
        <v>3282</v>
      </c>
      <c r="C368" t="s">
        <v>325</v>
      </c>
      <c r="D368" t="s">
        <v>1624</v>
      </c>
      <c r="E368" t="s">
        <v>1624</v>
      </c>
      <c r="F368">
        <v>-15.9</v>
      </c>
      <c r="G368">
        <v>10</v>
      </c>
      <c r="H368">
        <v>1</v>
      </c>
      <c r="I368">
        <v>0</v>
      </c>
      <c r="J368">
        <v>1</v>
      </c>
      <c r="K368">
        <v>1</v>
      </c>
      <c r="L368">
        <v>0</v>
      </c>
      <c r="M368">
        <v>1</v>
      </c>
      <c r="N368">
        <v>11.7</v>
      </c>
      <c r="O368">
        <v>13</v>
      </c>
      <c r="P368">
        <v>4</v>
      </c>
      <c r="Q368">
        <v>1</v>
      </c>
      <c r="R368">
        <v>7</v>
      </c>
      <c r="S368">
        <v>5</v>
      </c>
      <c r="T368">
        <v>3.09</v>
      </c>
      <c r="U368">
        <v>4.4800000000000004</v>
      </c>
      <c r="V368">
        <v>1.54</v>
      </c>
      <c r="W368">
        <v>0.308</v>
      </c>
      <c r="X368">
        <v>0</v>
      </c>
      <c r="Y368">
        <f t="shared" si="27"/>
        <v>1.4</v>
      </c>
      <c r="Z368">
        <f t="shared" si="28"/>
        <v>7</v>
      </c>
      <c r="AA368" s="176">
        <f t="shared" si="29"/>
        <v>1</v>
      </c>
      <c r="AB368" s="192">
        <f t="shared" si="30"/>
        <v>0.59829059829059827</v>
      </c>
    </row>
    <row r="369" spans="2:28" x14ac:dyDescent="0.3">
      <c r="B369" t="s">
        <v>823</v>
      </c>
      <c r="C369" t="s">
        <v>346</v>
      </c>
      <c r="D369" t="s">
        <v>1624</v>
      </c>
      <c r="E369" t="s">
        <v>1624</v>
      </c>
      <c r="F369">
        <v>-15.9</v>
      </c>
      <c r="G369">
        <v>15</v>
      </c>
      <c r="H369">
        <v>0</v>
      </c>
      <c r="I369">
        <v>0</v>
      </c>
      <c r="J369">
        <v>1</v>
      </c>
      <c r="K369">
        <v>2</v>
      </c>
      <c r="L369">
        <v>0</v>
      </c>
      <c r="M369">
        <v>2</v>
      </c>
      <c r="N369">
        <v>26.7</v>
      </c>
      <c r="O369">
        <v>27</v>
      </c>
      <c r="P369">
        <v>14</v>
      </c>
      <c r="Q369">
        <v>7</v>
      </c>
      <c r="R369">
        <v>20</v>
      </c>
      <c r="S369">
        <v>8</v>
      </c>
      <c r="T369">
        <v>4.7300000000000004</v>
      </c>
      <c r="U369">
        <v>6.2</v>
      </c>
      <c r="V369">
        <v>1.31</v>
      </c>
      <c r="W369">
        <v>0.247</v>
      </c>
      <c r="X369">
        <v>0</v>
      </c>
      <c r="Y369">
        <f t="shared" si="27"/>
        <v>2.5</v>
      </c>
      <c r="Z369" t="str">
        <f t="shared" si="28"/>
        <v>STELLAR</v>
      </c>
      <c r="AA369" s="176" t="str">
        <f t="shared" si="29"/>
        <v>Didn't Start</v>
      </c>
      <c r="AB369" s="192">
        <f t="shared" si="30"/>
        <v>0.74906367041198507</v>
      </c>
    </row>
    <row r="370" spans="2:28" x14ac:dyDescent="0.3">
      <c r="B370" t="s">
        <v>1651</v>
      </c>
      <c r="C370" t="s">
        <v>1524</v>
      </c>
      <c r="D370" t="s">
        <v>1624</v>
      </c>
      <c r="E370" t="s">
        <v>1624</v>
      </c>
      <c r="F370">
        <v>-16</v>
      </c>
      <c r="G370">
        <v>19</v>
      </c>
      <c r="H370">
        <v>0</v>
      </c>
      <c r="I370">
        <v>0</v>
      </c>
      <c r="J370">
        <v>2</v>
      </c>
      <c r="K370">
        <v>2</v>
      </c>
      <c r="L370">
        <v>0</v>
      </c>
      <c r="M370">
        <v>2</v>
      </c>
      <c r="N370">
        <v>24.3</v>
      </c>
      <c r="O370">
        <v>30</v>
      </c>
      <c r="P370">
        <v>14</v>
      </c>
      <c r="Q370">
        <v>3</v>
      </c>
      <c r="R370">
        <v>13</v>
      </c>
      <c r="S370">
        <v>4</v>
      </c>
      <c r="T370">
        <v>5.18</v>
      </c>
      <c r="U370">
        <v>4.55</v>
      </c>
      <c r="V370">
        <v>1.4</v>
      </c>
      <c r="W370">
        <v>0.314</v>
      </c>
      <c r="X370">
        <v>0</v>
      </c>
      <c r="Y370">
        <f t="shared" si="27"/>
        <v>3.25</v>
      </c>
      <c r="Z370" t="str">
        <f t="shared" si="28"/>
        <v>STELLAR</v>
      </c>
      <c r="AA370" s="176" t="str">
        <f t="shared" si="29"/>
        <v>Didn't Start</v>
      </c>
      <c r="AB370" s="192">
        <f t="shared" si="30"/>
        <v>0.53497942386831276</v>
      </c>
    </row>
    <row r="371" spans="2:28" x14ac:dyDescent="0.3">
      <c r="B371" t="s">
        <v>1637</v>
      </c>
      <c r="C371" t="s">
        <v>250</v>
      </c>
      <c r="D371" t="s">
        <v>1624</v>
      </c>
      <c r="E371" t="s">
        <v>1624</v>
      </c>
      <c r="F371">
        <v>-16</v>
      </c>
      <c r="G371">
        <v>17</v>
      </c>
      <c r="H371">
        <v>0</v>
      </c>
      <c r="I371">
        <v>0</v>
      </c>
      <c r="J371">
        <v>0</v>
      </c>
      <c r="K371">
        <v>0</v>
      </c>
      <c r="L371">
        <v>0</v>
      </c>
      <c r="M371">
        <v>2</v>
      </c>
      <c r="N371">
        <v>16.3</v>
      </c>
      <c r="O371">
        <v>18</v>
      </c>
      <c r="P371">
        <v>8</v>
      </c>
      <c r="Q371">
        <v>4</v>
      </c>
      <c r="R371">
        <v>22</v>
      </c>
      <c r="S371">
        <v>3</v>
      </c>
      <c r="T371">
        <v>4.41</v>
      </c>
      <c r="U371">
        <v>4.5</v>
      </c>
      <c r="V371">
        <v>1.29</v>
      </c>
      <c r="W371">
        <v>0.33300000000000002</v>
      </c>
      <c r="X371">
        <v>0</v>
      </c>
      <c r="Y371">
        <f t="shared" si="27"/>
        <v>7.333333333333333</v>
      </c>
      <c r="Z371" t="str">
        <f t="shared" si="28"/>
        <v>STELLAR</v>
      </c>
      <c r="AA371" s="176" t="str">
        <f t="shared" si="29"/>
        <v>Didn't Start</v>
      </c>
      <c r="AB371" s="192">
        <f t="shared" si="30"/>
        <v>1.3496932515337423</v>
      </c>
    </row>
    <row r="372" spans="2:28" x14ac:dyDescent="0.3">
      <c r="B372" t="s">
        <v>1645</v>
      </c>
      <c r="C372" t="s">
        <v>243</v>
      </c>
      <c r="D372" t="s">
        <v>1624</v>
      </c>
      <c r="E372" t="s">
        <v>1624</v>
      </c>
      <c r="F372">
        <v>-16</v>
      </c>
      <c r="G372">
        <v>23</v>
      </c>
      <c r="H372">
        <v>0</v>
      </c>
      <c r="I372">
        <v>0</v>
      </c>
      <c r="J372">
        <v>0</v>
      </c>
      <c r="K372">
        <v>3</v>
      </c>
      <c r="L372">
        <v>4</v>
      </c>
      <c r="M372">
        <v>4</v>
      </c>
      <c r="N372">
        <v>20.3</v>
      </c>
      <c r="O372">
        <v>22</v>
      </c>
      <c r="P372">
        <v>15</v>
      </c>
      <c r="Q372">
        <v>6</v>
      </c>
      <c r="R372">
        <v>29</v>
      </c>
      <c r="S372">
        <v>9</v>
      </c>
      <c r="T372">
        <v>6.64</v>
      </c>
      <c r="U372">
        <v>5.59</v>
      </c>
      <c r="V372">
        <v>1.52</v>
      </c>
      <c r="W372">
        <v>0.35599999999999998</v>
      </c>
      <c r="X372">
        <v>7</v>
      </c>
      <c r="Y372">
        <f t="shared" si="27"/>
        <v>3.2222222222222223</v>
      </c>
      <c r="Z372" t="str">
        <f t="shared" si="28"/>
        <v>STELLAR</v>
      </c>
      <c r="AA372" s="176" t="str">
        <f t="shared" si="29"/>
        <v>Didn't Start</v>
      </c>
      <c r="AB372" s="192">
        <f t="shared" si="30"/>
        <v>1.4285714285714286</v>
      </c>
    </row>
    <row r="373" spans="2:28" x14ac:dyDescent="0.3">
      <c r="B373" t="s">
        <v>1644</v>
      </c>
      <c r="C373" t="s">
        <v>255</v>
      </c>
      <c r="D373" t="s">
        <v>1624</v>
      </c>
      <c r="E373" t="s">
        <v>1624</v>
      </c>
      <c r="F373">
        <v>-16</v>
      </c>
      <c r="G373">
        <v>19</v>
      </c>
      <c r="H373">
        <v>0</v>
      </c>
      <c r="I373">
        <v>0</v>
      </c>
      <c r="J373">
        <v>1</v>
      </c>
      <c r="K373">
        <v>0</v>
      </c>
      <c r="L373">
        <v>0</v>
      </c>
      <c r="M373">
        <v>2</v>
      </c>
      <c r="N373">
        <v>19.3</v>
      </c>
      <c r="O373">
        <v>18</v>
      </c>
      <c r="P373">
        <v>11</v>
      </c>
      <c r="Q373">
        <v>4</v>
      </c>
      <c r="R373">
        <v>28</v>
      </c>
      <c r="S373">
        <v>13</v>
      </c>
      <c r="T373">
        <v>5.12</v>
      </c>
      <c r="U373">
        <v>5.09</v>
      </c>
      <c r="V373">
        <v>1.6</v>
      </c>
      <c r="W373">
        <v>0.32600000000000001</v>
      </c>
      <c r="X373">
        <v>1</v>
      </c>
      <c r="Y373">
        <f t="shared" si="27"/>
        <v>2.1538461538461537</v>
      </c>
      <c r="Z373" t="str">
        <f t="shared" si="28"/>
        <v>STELLAR</v>
      </c>
      <c r="AA373" s="176" t="str">
        <f t="shared" si="29"/>
        <v>Didn't Start</v>
      </c>
      <c r="AB373" s="192">
        <f t="shared" si="30"/>
        <v>1.4507772020725389</v>
      </c>
    </row>
    <row r="374" spans="2:28" x14ac:dyDescent="0.3">
      <c r="B374" t="s">
        <v>733</v>
      </c>
      <c r="C374" t="s">
        <v>266</v>
      </c>
      <c r="D374" t="s">
        <v>1623</v>
      </c>
      <c r="E374" t="s">
        <v>1623</v>
      </c>
      <c r="F374">
        <v>-16</v>
      </c>
      <c r="G374">
        <v>8</v>
      </c>
      <c r="H374">
        <v>8</v>
      </c>
      <c r="I374">
        <v>1</v>
      </c>
      <c r="J374">
        <v>2</v>
      </c>
      <c r="K374">
        <v>3</v>
      </c>
      <c r="L374">
        <v>0</v>
      </c>
      <c r="M374">
        <v>0</v>
      </c>
      <c r="N374">
        <v>35.299999999999997</v>
      </c>
      <c r="O374">
        <v>37</v>
      </c>
      <c r="P374">
        <v>23</v>
      </c>
      <c r="Q374">
        <v>2</v>
      </c>
      <c r="R374">
        <v>33</v>
      </c>
      <c r="S374">
        <v>25</v>
      </c>
      <c r="T374">
        <v>5.86</v>
      </c>
      <c r="U374">
        <v>4.3499999999999996</v>
      </c>
      <c r="V374">
        <v>1.75</v>
      </c>
      <c r="W374">
        <v>0.34</v>
      </c>
      <c r="X374">
        <v>0</v>
      </c>
      <c r="Y374">
        <f t="shared" si="27"/>
        <v>1.32</v>
      </c>
      <c r="Z374">
        <f t="shared" si="28"/>
        <v>4.125</v>
      </c>
      <c r="AA374" s="176">
        <f t="shared" si="29"/>
        <v>0.25</v>
      </c>
      <c r="AB374" s="192">
        <f t="shared" si="30"/>
        <v>0.93484419263456098</v>
      </c>
    </row>
    <row r="375" spans="2:28" x14ac:dyDescent="0.3">
      <c r="B375" t="s">
        <v>535</v>
      </c>
      <c r="C375" t="s">
        <v>346</v>
      </c>
      <c r="D375" t="s">
        <v>1624</v>
      </c>
      <c r="E375" t="s">
        <v>1624</v>
      </c>
      <c r="F375">
        <v>-16.100000000000001</v>
      </c>
      <c r="G375">
        <v>19</v>
      </c>
      <c r="H375">
        <v>0</v>
      </c>
      <c r="I375">
        <v>0</v>
      </c>
      <c r="J375">
        <v>1</v>
      </c>
      <c r="K375">
        <v>2</v>
      </c>
      <c r="L375">
        <v>0</v>
      </c>
      <c r="M375">
        <v>5</v>
      </c>
      <c r="N375">
        <v>18.3</v>
      </c>
      <c r="O375">
        <v>21</v>
      </c>
      <c r="P375">
        <v>10</v>
      </c>
      <c r="Q375">
        <v>3</v>
      </c>
      <c r="R375">
        <v>18</v>
      </c>
      <c r="S375">
        <v>5</v>
      </c>
      <c r="T375">
        <v>4.91</v>
      </c>
      <c r="U375">
        <v>4.42</v>
      </c>
      <c r="V375">
        <v>1.42</v>
      </c>
      <c r="W375">
        <v>0.36</v>
      </c>
      <c r="Y375">
        <f t="shared" ref="Y375:Y425" si="31">IFERROR(R375/S375,"STELLAR")</f>
        <v>3.6</v>
      </c>
      <c r="Z375" t="str">
        <f t="shared" ref="Z375:Z425" si="32">IFERROR(R375/H375,"STELLAR")</f>
        <v>STELLAR</v>
      </c>
      <c r="AA375" s="176" t="str">
        <f t="shared" ref="AA375:AA425" si="33">IFERROR(J375/H375,"Didn't Start")</f>
        <v>Didn't Start</v>
      </c>
      <c r="AB375" s="192">
        <f t="shared" si="30"/>
        <v>0.98360655737704916</v>
      </c>
    </row>
    <row r="376" spans="2:28" x14ac:dyDescent="0.3">
      <c r="B376" t="s">
        <v>626</v>
      </c>
      <c r="C376" t="s">
        <v>274</v>
      </c>
      <c r="D376" t="s">
        <v>1624</v>
      </c>
      <c r="E376" t="s">
        <v>1624</v>
      </c>
      <c r="F376">
        <v>-16.100000000000001</v>
      </c>
      <c r="G376">
        <v>5</v>
      </c>
      <c r="H376">
        <v>0</v>
      </c>
      <c r="I376">
        <v>0</v>
      </c>
      <c r="J376">
        <v>0</v>
      </c>
      <c r="K376">
        <v>0</v>
      </c>
      <c r="L376">
        <v>0</v>
      </c>
      <c r="M376">
        <v>0</v>
      </c>
      <c r="N376">
        <v>9</v>
      </c>
      <c r="O376">
        <v>8</v>
      </c>
      <c r="P376">
        <v>1</v>
      </c>
      <c r="Q376">
        <v>1</v>
      </c>
      <c r="R376">
        <v>9</v>
      </c>
      <c r="S376">
        <v>5</v>
      </c>
      <c r="T376">
        <v>1</v>
      </c>
      <c r="U376">
        <v>4.3899999999999997</v>
      </c>
      <c r="V376">
        <v>1.44</v>
      </c>
      <c r="W376">
        <v>0.28000000000000003</v>
      </c>
      <c r="X376" s="179">
        <v>0</v>
      </c>
      <c r="Y376">
        <f t="shared" si="31"/>
        <v>1.8</v>
      </c>
      <c r="Z376" t="str">
        <f t="shared" si="32"/>
        <v>STELLAR</v>
      </c>
      <c r="AA376" s="176" t="str">
        <f t="shared" si="33"/>
        <v>Didn't Start</v>
      </c>
      <c r="AB376" s="192">
        <f t="shared" si="30"/>
        <v>1</v>
      </c>
    </row>
    <row r="377" spans="2:28" x14ac:dyDescent="0.3">
      <c r="B377" t="s">
        <v>433</v>
      </c>
      <c r="C377" t="s">
        <v>255</v>
      </c>
      <c r="D377" t="s">
        <v>1624</v>
      </c>
      <c r="E377" t="s">
        <v>1624</v>
      </c>
      <c r="F377">
        <v>-16.2</v>
      </c>
      <c r="G377">
        <v>11</v>
      </c>
      <c r="H377">
        <v>0</v>
      </c>
      <c r="I377">
        <v>0</v>
      </c>
      <c r="J377">
        <v>1</v>
      </c>
      <c r="K377">
        <v>2</v>
      </c>
      <c r="L377">
        <v>0</v>
      </c>
      <c r="M377">
        <v>1</v>
      </c>
      <c r="N377">
        <v>11.7</v>
      </c>
      <c r="O377">
        <v>12</v>
      </c>
      <c r="P377">
        <v>6</v>
      </c>
      <c r="Q377">
        <v>1</v>
      </c>
      <c r="R377">
        <v>18</v>
      </c>
      <c r="S377">
        <v>9</v>
      </c>
      <c r="T377">
        <v>4.63</v>
      </c>
      <c r="U377">
        <v>3.62</v>
      </c>
      <c r="V377">
        <v>1.8</v>
      </c>
      <c r="W377">
        <v>0.42299999999999999</v>
      </c>
      <c r="X377">
        <v>0</v>
      </c>
      <c r="Y377">
        <f t="shared" si="31"/>
        <v>2</v>
      </c>
      <c r="Z377" t="str">
        <f t="shared" si="32"/>
        <v>STELLAR</v>
      </c>
      <c r="AA377" s="176" t="str">
        <f t="shared" si="33"/>
        <v>Didn't Start</v>
      </c>
      <c r="AB377" s="192">
        <f t="shared" si="30"/>
        <v>1.5384615384615385</v>
      </c>
    </row>
    <row r="378" spans="2:28" x14ac:dyDescent="0.3">
      <c r="B378" t="s">
        <v>3356</v>
      </c>
      <c r="C378" t="s">
        <v>235</v>
      </c>
      <c r="D378" t="s">
        <v>1624</v>
      </c>
      <c r="E378" t="s">
        <v>1624</v>
      </c>
      <c r="F378">
        <v>-16.399999999999999</v>
      </c>
      <c r="G378">
        <v>2</v>
      </c>
      <c r="H378">
        <v>0</v>
      </c>
      <c r="I378">
        <v>0</v>
      </c>
      <c r="J378">
        <v>1</v>
      </c>
      <c r="K378">
        <v>0</v>
      </c>
      <c r="L378">
        <v>0</v>
      </c>
      <c r="M378">
        <v>0</v>
      </c>
      <c r="N378">
        <v>1.7</v>
      </c>
      <c r="O378">
        <v>3</v>
      </c>
      <c r="P378">
        <v>1</v>
      </c>
      <c r="Q378">
        <v>1</v>
      </c>
      <c r="R378">
        <v>2</v>
      </c>
      <c r="S378">
        <v>1</v>
      </c>
      <c r="T378">
        <v>5.4</v>
      </c>
      <c r="U378">
        <v>10.48</v>
      </c>
      <c r="V378">
        <v>2.4</v>
      </c>
      <c r="W378">
        <v>0.4</v>
      </c>
      <c r="X378" s="179">
        <v>0</v>
      </c>
      <c r="Y378">
        <f t="shared" si="31"/>
        <v>2</v>
      </c>
      <c r="Z378" t="str">
        <f t="shared" si="32"/>
        <v>STELLAR</v>
      </c>
      <c r="AA378" s="176" t="str">
        <f t="shared" si="33"/>
        <v>Didn't Start</v>
      </c>
      <c r="AB378" s="192">
        <f t="shared" si="30"/>
        <v>1.1764705882352942</v>
      </c>
    </row>
    <row r="379" spans="2:28" x14ac:dyDescent="0.3">
      <c r="B379" t="s">
        <v>3357</v>
      </c>
      <c r="C379" t="s">
        <v>1523</v>
      </c>
      <c r="D379" t="s">
        <v>1624</v>
      </c>
      <c r="E379" t="s">
        <v>1624</v>
      </c>
      <c r="F379">
        <v>-16.399999999999999</v>
      </c>
      <c r="G379">
        <v>1</v>
      </c>
      <c r="H379">
        <v>0</v>
      </c>
      <c r="I379">
        <v>0</v>
      </c>
      <c r="J379">
        <v>0</v>
      </c>
      <c r="K379">
        <v>0</v>
      </c>
      <c r="L379">
        <v>0</v>
      </c>
      <c r="M379">
        <v>0</v>
      </c>
      <c r="N379">
        <v>3</v>
      </c>
      <c r="O379">
        <v>2</v>
      </c>
      <c r="P379">
        <v>0</v>
      </c>
      <c r="Q379">
        <v>0</v>
      </c>
      <c r="R379">
        <v>3</v>
      </c>
      <c r="S379">
        <v>0</v>
      </c>
      <c r="T379">
        <v>0</v>
      </c>
      <c r="U379">
        <v>1.28</v>
      </c>
      <c r="V379">
        <v>0.67</v>
      </c>
      <c r="W379">
        <v>0.25</v>
      </c>
      <c r="X379">
        <v>0</v>
      </c>
      <c r="Y379" t="str">
        <f t="shared" si="31"/>
        <v>STELLAR</v>
      </c>
      <c r="Z379" t="str">
        <f t="shared" si="32"/>
        <v>STELLAR</v>
      </c>
      <c r="AA379" s="176" t="str">
        <f t="shared" si="33"/>
        <v>Didn't Start</v>
      </c>
      <c r="AB379" s="192">
        <f t="shared" si="30"/>
        <v>1</v>
      </c>
    </row>
    <row r="380" spans="2:28" x14ac:dyDescent="0.3">
      <c r="B380" t="s">
        <v>1636</v>
      </c>
      <c r="C380" t="s">
        <v>244</v>
      </c>
      <c r="D380" t="s">
        <v>1624</v>
      </c>
      <c r="E380" t="s">
        <v>1624</v>
      </c>
      <c r="F380">
        <v>-16.399999999999999</v>
      </c>
      <c r="G380">
        <v>4</v>
      </c>
      <c r="H380">
        <v>0</v>
      </c>
      <c r="I380">
        <v>0</v>
      </c>
      <c r="J380">
        <v>0</v>
      </c>
      <c r="K380">
        <v>0</v>
      </c>
      <c r="L380">
        <v>1</v>
      </c>
      <c r="M380">
        <v>1</v>
      </c>
      <c r="N380">
        <v>3.3</v>
      </c>
      <c r="O380">
        <v>4</v>
      </c>
      <c r="P380">
        <v>0</v>
      </c>
      <c r="Q380">
        <v>0</v>
      </c>
      <c r="R380">
        <v>3</v>
      </c>
      <c r="S380">
        <v>1</v>
      </c>
      <c r="T380">
        <v>0</v>
      </c>
      <c r="U380">
        <v>2.38</v>
      </c>
      <c r="V380">
        <v>1.5</v>
      </c>
      <c r="W380">
        <v>0.36399999999999999</v>
      </c>
      <c r="X380">
        <v>75</v>
      </c>
      <c r="Y380">
        <f t="shared" si="31"/>
        <v>3</v>
      </c>
      <c r="Z380" t="str">
        <f t="shared" si="32"/>
        <v>STELLAR</v>
      </c>
      <c r="AA380" s="176" t="str">
        <f t="shared" si="33"/>
        <v>Didn't Start</v>
      </c>
      <c r="AB380" s="192">
        <f t="shared" si="30"/>
        <v>0.90909090909090917</v>
      </c>
    </row>
    <row r="381" spans="2:28" x14ac:dyDescent="0.3">
      <c r="B381" t="s">
        <v>3102</v>
      </c>
      <c r="C381" t="s">
        <v>339</v>
      </c>
      <c r="D381" t="s">
        <v>1624</v>
      </c>
      <c r="E381" t="s">
        <v>1624</v>
      </c>
      <c r="F381">
        <v>-16.399999999999999</v>
      </c>
      <c r="G381">
        <v>1</v>
      </c>
      <c r="H381">
        <v>0</v>
      </c>
      <c r="I381">
        <v>0</v>
      </c>
      <c r="J381">
        <v>0</v>
      </c>
      <c r="K381">
        <v>0</v>
      </c>
      <c r="L381">
        <v>0</v>
      </c>
      <c r="M381">
        <v>0</v>
      </c>
      <c r="N381">
        <v>3</v>
      </c>
      <c r="O381">
        <v>0</v>
      </c>
      <c r="P381">
        <v>0</v>
      </c>
      <c r="Q381">
        <v>0</v>
      </c>
      <c r="R381">
        <v>3</v>
      </c>
      <c r="S381">
        <v>2</v>
      </c>
      <c r="T381">
        <v>0</v>
      </c>
      <c r="U381">
        <v>4.28</v>
      </c>
      <c r="V381">
        <v>0.67</v>
      </c>
      <c r="W381">
        <v>0</v>
      </c>
      <c r="X381">
        <v>0</v>
      </c>
      <c r="Y381">
        <f t="shared" si="31"/>
        <v>1.5</v>
      </c>
      <c r="Z381" t="str">
        <f t="shared" si="32"/>
        <v>STELLAR</v>
      </c>
      <c r="AA381" s="176" t="str">
        <f t="shared" si="33"/>
        <v>Didn't Start</v>
      </c>
      <c r="AB381" s="192">
        <f t="shared" si="30"/>
        <v>1</v>
      </c>
    </row>
    <row r="382" spans="2:28" x14ac:dyDescent="0.3">
      <c r="B382" t="s">
        <v>806</v>
      </c>
      <c r="C382" t="s">
        <v>274</v>
      </c>
      <c r="D382" t="s">
        <v>1624</v>
      </c>
      <c r="E382" t="s">
        <v>1624</v>
      </c>
      <c r="F382">
        <v>-16.5</v>
      </c>
      <c r="G382">
        <v>19</v>
      </c>
      <c r="H382">
        <v>0</v>
      </c>
      <c r="I382">
        <v>0</v>
      </c>
      <c r="J382">
        <v>0</v>
      </c>
      <c r="K382">
        <v>1</v>
      </c>
      <c r="L382">
        <v>0</v>
      </c>
      <c r="M382">
        <v>5</v>
      </c>
      <c r="N382">
        <v>21.7</v>
      </c>
      <c r="O382">
        <v>17</v>
      </c>
      <c r="P382">
        <v>10</v>
      </c>
      <c r="Q382">
        <v>2</v>
      </c>
      <c r="R382">
        <v>26</v>
      </c>
      <c r="S382">
        <v>13</v>
      </c>
      <c r="T382">
        <v>4.1500000000000004</v>
      </c>
      <c r="U382">
        <v>3.88</v>
      </c>
      <c r="V382">
        <v>1.38</v>
      </c>
      <c r="W382">
        <v>0.28799999999999998</v>
      </c>
      <c r="X382">
        <v>0</v>
      </c>
      <c r="Y382">
        <f t="shared" si="31"/>
        <v>2</v>
      </c>
      <c r="Z382" t="str">
        <f t="shared" si="32"/>
        <v>STELLAR</v>
      </c>
      <c r="AA382" s="176" t="str">
        <f t="shared" si="33"/>
        <v>Didn't Start</v>
      </c>
      <c r="AB382" s="192">
        <f t="shared" si="30"/>
        <v>1.1981566820276499</v>
      </c>
    </row>
    <row r="383" spans="2:28" x14ac:dyDescent="0.3">
      <c r="B383" t="s">
        <v>525</v>
      </c>
      <c r="C383" t="s">
        <v>339</v>
      </c>
      <c r="D383" t="s">
        <v>1624</v>
      </c>
      <c r="E383" t="s">
        <v>1624</v>
      </c>
      <c r="F383">
        <v>-16.600000000000001</v>
      </c>
      <c r="G383">
        <v>8</v>
      </c>
      <c r="H383">
        <v>0</v>
      </c>
      <c r="I383">
        <v>0</v>
      </c>
      <c r="J383">
        <v>1</v>
      </c>
      <c r="K383">
        <v>0</v>
      </c>
      <c r="L383">
        <v>0</v>
      </c>
      <c r="M383">
        <v>2</v>
      </c>
      <c r="N383">
        <v>8.6999999999999993</v>
      </c>
      <c r="O383">
        <v>8</v>
      </c>
      <c r="P383">
        <v>6</v>
      </c>
      <c r="Q383">
        <v>2</v>
      </c>
      <c r="R383">
        <v>11</v>
      </c>
      <c r="S383">
        <v>5</v>
      </c>
      <c r="T383">
        <v>6.23</v>
      </c>
      <c r="U383">
        <v>5.82</v>
      </c>
      <c r="V383">
        <v>1.5</v>
      </c>
      <c r="W383">
        <v>0.316</v>
      </c>
      <c r="X383">
        <v>0</v>
      </c>
      <c r="Y383">
        <f t="shared" si="31"/>
        <v>2.2000000000000002</v>
      </c>
      <c r="Z383" t="str">
        <f t="shared" si="32"/>
        <v>STELLAR</v>
      </c>
      <c r="AA383" s="176" t="str">
        <f t="shared" si="33"/>
        <v>Didn't Start</v>
      </c>
      <c r="AB383" s="192">
        <f t="shared" si="30"/>
        <v>1.264367816091954</v>
      </c>
    </row>
    <row r="384" spans="2:28" x14ac:dyDescent="0.3">
      <c r="B384" t="s">
        <v>788</v>
      </c>
      <c r="C384" t="s">
        <v>234</v>
      </c>
      <c r="D384" t="s">
        <v>1624</v>
      </c>
      <c r="E384" t="s">
        <v>1624</v>
      </c>
      <c r="F384">
        <v>-16.600000000000001</v>
      </c>
      <c r="G384">
        <v>15</v>
      </c>
      <c r="H384">
        <v>0</v>
      </c>
      <c r="I384">
        <v>0</v>
      </c>
      <c r="J384">
        <v>1</v>
      </c>
      <c r="K384">
        <v>1</v>
      </c>
      <c r="L384">
        <v>0</v>
      </c>
      <c r="M384">
        <v>1</v>
      </c>
      <c r="N384">
        <v>13.7</v>
      </c>
      <c r="O384">
        <v>11</v>
      </c>
      <c r="P384">
        <v>10</v>
      </c>
      <c r="Q384">
        <v>4</v>
      </c>
      <c r="R384">
        <v>14</v>
      </c>
      <c r="S384">
        <v>6</v>
      </c>
      <c r="T384">
        <v>6.59</v>
      </c>
      <c r="U384">
        <v>6.35</v>
      </c>
      <c r="V384">
        <v>1.24</v>
      </c>
      <c r="W384">
        <v>0.219</v>
      </c>
      <c r="X384">
        <v>0</v>
      </c>
      <c r="Y384">
        <f t="shared" si="31"/>
        <v>2.3333333333333335</v>
      </c>
      <c r="Z384" t="str">
        <f t="shared" si="32"/>
        <v>STELLAR</v>
      </c>
      <c r="AA384" s="176" t="str">
        <f t="shared" si="33"/>
        <v>Didn't Start</v>
      </c>
      <c r="AB384" s="192">
        <f t="shared" si="30"/>
        <v>1.0218978102189782</v>
      </c>
    </row>
    <row r="385" spans="2:28" x14ac:dyDescent="0.3">
      <c r="B385" t="s">
        <v>3016</v>
      </c>
      <c r="C385" t="s">
        <v>311</v>
      </c>
      <c r="D385" t="s">
        <v>1624</v>
      </c>
      <c r="E385" t="s">
        <v>1624</v>
      </c>
      <c r="F385">
        <v>-16.600000000000001</v>
      </c>
      <c r="G385">
        <v>8</v>
      </c>
      <c r="H385">
        <v>0</v>
      </c>
      <c r="I385">
        <v>0</v>
      </c>
      <c r="J385">
        <v>0</v>
      </c>
      <c r="K385">
        <v>0</v>
      </c>
      <c r="L385">
        <v>0</v>
      </c>
      <c r="M385">
        <v>0</v>
      </c>
      <c r="N385">
        <v>10</v>
      </c>
      <c r="O385">
        <v>10</v>
      </c>
      <c r="P385">
        <v>3</v>
      </c>
      <c r="Q385">
        <v>0</v>
      </c>
      <c r="R385">
        <v>10</v>
      </c>
      <c r="S385">
        <v>3</v>
      </c>
      <c r="T385">
        <v>2.7</v>
      </c>
      <c r="U385">
        <v>2.1800000000000002</v>
      </c>
      <c r="V385">
        <v>1.3</v>
      </c>
      <c r="W385">
        <v>0.35699999999999998</v>
      </c>
      <c r="X385">
        <v>1</v>
      </c>
      <c r="Y385">
        <f t="shared" si="31"/>
        <v>3.3333333333333335</v>
      </c>
      <c r="Z385" t="str">
        <f t="shared" si="32"/>
        <v>STELLAR</v>
      </c>
      <c r="AA385" s="176" t="str">
        <f t="shared" si="33"/>
        <v>Didn't Start</v>
      </c>
      <c r="AB385" s="192">
        <f t="shared" si="30"/>
        <v>1</v>
      </c>
    </row>
    <row r="386" spans="2:28" x14ac:dyDescent="0.3">
      <c r="B386" t="s">
        <v>3358</v>
      </c>
      <c r="C386" t="s">
        <v>325</v>
      </c>
      <c r="D386" t="s">
        <v>1624</v>
      </c>
      <c r="E386" t="s">
        <v>1624</v>
      </c>
      <c r="F386">
        <v>-16.600000000000001</v>
      </c>
      <c r="G386">
        <v>3</v>
      </c>
      <c r="H386">
        <v>0</v>
      </c>
      <c r="I386">
        <v>0</v>
      </c>
      <c r="J386">
        <v>0</v>
      </c>
      <c r="K386">
        <v>0</v>
      </c>
      <c r="L386">
        <v>0</v>
      </c>
      <c r="M386">
        <v>0</v>
      </c>
      <c r="N386">
        <v>4.3</v>
      </c>
      <c r="O386">
        <v>2</v>
      </c>
      <c r="P386">
        <v>1</v>
      </c>
      <c r="Q386">
        <v>1</v>
      </c>
      <c r="R386">
        <v>5</v>
      </c>
      <c r="S386">
        <v>2</v>
      </c>
      <c r="T386">
        <v>2.08</v>
      </c>
      <c r="U386">
        <v>5.36</v>
      </c>
      <c r="V386">
        <v>0.92</v>
      </c>
      <c r="W386">
        <v>0.111</v>
      </c>
      <c r="X386">
        <v>0</v>
      </c>
      <c r="Y386">
        <f t="shared" si="31"/>
        <v>2.5</v>
      </c>
      <c r="Z386" t="str">
        <f t="shared" si="32"/>
        <v>STELLAR</v>
      </c>
      <c r="AA386" s="176" t="str">
        <f t="shared" si="33"/>
        <v>Didn't Start</v>
      </c>
      <c r="AB386" s="192">
        <f t="shared" si="30"/>
        <v>1.1627906976744187</v>
      </c>
    </row>
    <row r="387" spans="2:28" x14ac:dyDescent="0.3">
      <c r="B387" t="s">
        <v>1737</v>
      </c>
      <c r="C387" t="s">
        <v>250</v>
      </c>
      <c r="D387" t="s">
        <v>1623</v>
      </c>
      <c r="E387" t="s">
        <v>1623</v>
      </c>
      <c r="F387">
        <v>-16.7</v>
      </c>
      <c r="G387">
        <v>5</v>
      </c>
      <c r="H387">
        <v>5</v>
      </c>
      <c r="I387">
        <v>0</v>
      </c>
      <c r="J387">
        <v>0</v>
      </c>
      <c r="K387">
        <v>1</v>
      </c>
      <c r="L387">
        <v>0</v>
      </c>
      <c r="M387">
        <v>0</v>
      </c>
      <c r="N387">
        <v>18.7</v>
      </c>
      <c r="O387">
        <v>23</v>
      </c>
      <c r="P387">
        <v>12</v>
      </c>
      <c r="Q387">
        <v>2</v>
      </c>
      <c r="R387">
        <v>20</v>
      </c>
      <c r="S387">
        <v>10</v>
      </c>
      <c r="T387">
        <v>5.79</v>
      </c>
      <c r="U387">
        <v>4.46</v>
      </c>
      <c r="V387">
        <v>1.77</v>
      </c>
      <c r="W387">
        <v>0.36199999999999999</v>
      </c>
      <c r="X387">
        <v>25</v>
      </c>
      <c r="Y387">
        <f t="shared" si="31"/>
        <v>2</v>
      </c>
      <c r="Z387">
        <f t="shared" si="32"/>
        <v>4</v>
      </c>
      <c r="AA387" s="176">
        <f t="shared" si="33"/>
        <v>0</v>
      </c>
      <c r="AB387" s="192">
        <f t="shared" si="30"/>
        <v>1.0695187165775402</v>
      </c>
    </row>
    <row r="388" spans="2:28" x14ac:dyDescent="0.3">
      <c r="B388" t="s">
        <v>3359</v>
      </c>
      <c r="C388" t="s">
        <v>222</v>
      </c>
      <c r="D388" t="s">
        <v>1624</v>
      </c>
      <c r="E388" t="s">
        <v>1624</v>
      </c>
      <c r="F388">
        <v>-16.7</v>
      </c>
      <c r="G388">
        <v>1</v>
      </c>
      <c r="H388">
        <v>0</v>
      </c>
      <c r="I388">
        <v>0</v>
      </c>
      <c r="J388">
        <v>0</v>
      </c>
      <c r="K388">
        <v>0</v>
      </c>
      <c r="L388">
        <v>1</v>
      </c>
      <c r="M388">
        <v>0</v>
      </c>
      <c r="N388">
        <v>3</v>
      </c>
      <c r="O388">
        <v>2</v>
      </c>
      <c r="P388">
        <v>1</v>
      </c>
      <c r="Q388">
        <v>1</v>
      </c>
      <c r="R388">
        <v>2</v>
      </c>
      <c r="S388">
        <v>1</v>
      </c>
      <c r="T388">
        <v>3</v>
      </c>
      <c r="U388">
        <v>7.28</v>
      </c>
      <c r="V388">
        <v>1</v>
      </c>
      <c r="W388">
        <v>0.125</v>
      </c>
      <c r="X388">
        <v>0</v>
      </c>
      <c r="Y388">
        <f t="shared" si="31"/>
        <v>2</v>
      </c>
      <c r="Z388" t="str">
        <f t="shared" si="32"/>
        <v>STELLAR</v>
      </c>
      <c r="AA388" s="176" t="str">
        <f t="shared" si="33"/>
        <v>Didn't Start</v>
      </c>
      <c r="AB388" s="192">
        <f t="shared" si="30"/>
        <v>0.66666666666666663</v>
      </c>
    </row>
    <row r="389" spans="2:28" x14ac:dyDescent="0.3">
      <c r="B389" t="s">
        <v>3198</v>
      </c>
      <c r="C389" t="s">
        <v>325</v>
      </c>
      <c r="D389" t="s">
        <v>1624</v>
      </c>
      <c r="E389" t="s">
        <v>1624</v>
      </c>
      <c r="F389">
        <v>-16.7</v>
      </c>
      <c r="G389">
        <v>12</v>
      </c>
      <c r="H389">
        <v>0</v>
      </c>
      <c r="I389">
        <v>0</v>
      </c>
      <c r="J389">
        <v>0</v>
      </c>
      <c r="K389">
        <v>0</v>
      </c>
      <c r="L389">
        <v>0</v>
      </c>
      <c r="M389">
        <v>0</v>
      </c>
      <c r="N389">
        <v>15.3</v>
      </c>
      <c r="O389">
        <v>12</v>
      </c>
      <c r="P389">
        <v>6</v>
      </c>
      <c r="Q389">
        <v>1</v>
      </c>
      <c r="R389">
        <v>11</v>
      </c>
      <c r="S389">
        <v>6</v>
      </c>
      <c r="T389">
        <v>3.52</v>
      </c>
      <c r="U389">
        <v>4.0599999999999996</v>
      </c>
      <c r="V389">
        <v>1.17</v>
      </c>
      <c r="W389">
        <v>0.26800000000000002</v>
      </c>
      <c r="X389">
        <v>0</v>
      </c>
      <c r="Y389">
        <f t="shared" si="31"/>
        <v>1.8333333333333333</v>
      </c>
      <c r="Z389" t="str">
        <f t="shared" si="32"/>
        <v>STELLAR</v>
      </c>
      <c r="AA389" s="176" t="str">
        <f t="shared" si="33"/>
        <v>Didn't Start</v>
      </c>
      <c r="AB389" s="192">
        <f t="shared" si="30"/>
        <v>0.71895424836601307</v>
      </c>
    </row>
    <row r="390" spans="2:28" x14ac:dyDescent="0.3">
      <c r="B390" t="s">
        <v>1652</v>
      </c>
      <c r="C390" t="s">
        <v>311</v>
      </c>
      <c r="D390" t="s">
        <v>1624</v>
      </c>
      <c r="E390" t="s">
        <v>1624</v>
      </c>
      <c r="F390">
        <v>-16.8</v>
      </c>
      <c r="G390">
        <v>23</v>
      </c>
      <c r="H390">
        <v>0</v>
      </c>
      <c r="I390">
        <v>0</v>
      </c>
      <c r="J390">
        <v>1</v>
      </c>
      <c r="K390">
        <v>2</v>
      </c>
      <c r="L390">
        <v>0</v>
      </c>
      <c r="M390">
        <v>6</v>
      </c>
      <c r="N390">
        <v>19</v>
      </c>
      <c r="O390">
        <v>22</v>
      </c>
      <c r="P390">
        <v>9</v>
      </c>
      <c r="Q390">
        <v>1</v>
      </c>
      <c r="R390">
        <v>20</v>
      </c>
      <c r="S390">
        <v>9</v>
      </c>
      <c r="T390">
        <v>4.26</v>
      </c>
      <c r="U390">
        <v>3.91</v>
      </c>
      <c r="V390">
        <v>1.63</v>
      </c>
      <c r="W390">
        <v>0.35</v>
      </c>
      <c r="X390">
        <v>8</v>
      </c>
      <c r="Y390">
        <f t="shared" si="31"/>
        <v>2.2222222222222223</v>
      </c>
      <c r="Z390" t="str">
        <f t="shared" si="32"/>
        <v>STELLAR</v>
      </c>
      <c r="AA390" s="176" t="str">
        <f t="shared" si="33"/>
        <v>Didn't Start</v>
      </c>
      <c r="AB390" s="192">
        <f t="shared" si="30"/>
        <v>1.0526315789473684</v>
      </c>
    </row>
    <row r="391" spans="2:28" x14ac:dyDescent="0.3">
      <c r="B391" t="s">
        <v>758</v>
      </c>
      <c r="C391" t="s">
        <v>251</v>
      </c>
      <c r="D391" t="s">
        <v>1624</v>
      </c>
      <c r="E391" t="s">
        <v>1624</v>
      </c>
      <c r="F391">
        <v>-16.8</v>
      </c>
      <c r="G391">
        <v>9</v>
      </c>
      <c r="H391">
        <v>0</v>
      </c>
      <c r="I391">
        <v>0</v>
      </c>
      <c r="J391">
        <v>1</v>
      </c>
      <c r="K391">
        <v>0</v>
      </c>
      <c r="L391">
        <v>0</v>
      </c>
      <c r="M391">
        <v>1</v>
      </c>
      <c r="N391">
        <v>9.6999999999999993</v>
      </c>
      <c r="O391">
        <v>9</v>
      </c>
      <c r="P391">
        <v>8</v>
      </c>
      <c r="Q391">
        <v>2</v>
      </c>
      <c r="R391">
        <v>13</v>
      </c>
      <c r="S391">
        <v>4</v>
      </c>
      <c r="T391">
        <v>7.45</v>
      </c>
      <c r="U391">
        <v>4.5199999999999996</v>
      </c>
      <c r="V391">
        <v>1.34</v>
      </c>
      <c r="W391">
        <v>0.33300000000000002</v>
      </c>
      <c r="X391">
        <v>0</v>
      </c>
      <c r="Y391">
        <f t="shared" si="31"/>
        <v>3.25</v>
      </c>
      <c r="Z391" t="str">
        <f t="shared" si="32"/>
        <v>STELLAR</v>
      </c>
      <c r="AA391" s="176" t="str">
        <f t="shared" si="33"/>
        <v>Didn't Start</v>
      </c>
      <c r="AB391" s="192">
        <f t="shared" si="30"/>
        <v>1.3402061855670104</v>
      </c>
    </row>
    <row r="392" spans="2:28" x14ac:dyDescent="0.3">
      <c r="B392" t="s">
        <v>496</v>
      </c>
      <c r="C392" t="s">
        <v>311</v>
      </c>
      <c r="D392" t="s">
        <v>1623</v>
      </c>
      <c r="E392" t="s">
        <v>1623</v>
      </c>
      <c r="F392">
        <v>-16.899999999999999</v>
      </c>
      <c r="G392">
        <v>8</v>
      </c>
      <c r="H392">
        <v>7</v>
      </c>
      <c r="I392">
        <v>2</v>
      </c>
      <c r="J392">
        <v>0</v>
      </c>
      <c r="K392">
        <v>7</v>
      </c>
      <c r="L392">
        <v>0</v>
      </c>
      <c r="M392">
        <v>0</v>
      </c>
      <c r="N392">
        <v>40.299999999999997</v>
      </c>
      <c r="O392">
        <v>50</v>
      </c>
      <c r="P392">
        <v>23</v>
      </c>
      <c r="Q392">
        <v>7</v>
      </c>
      <c r="R392">
        <v>28</v>
      </c>
      <c r="S392">
        <v>8</v>
      </c>
      <c r="T392">
        <v>5.13</v>
      </c>
      <c r="U392">
        <v>4.74</v>
      </c>
      <c r="V392">
        <v>1.44</v>
      </c>
      <c r="W392">
        <v>0.33100000000000002</v>
      </c>
      <c r="X392">
        <v>1</v>
      </c>
      <c r="Y392">
        <f t="shared" si="31"/>
        <v>3.5</v>
      </c>
      <c r="Z392">
        <f t="shared" si="32"/>
        <v>4</v>
      </c>
      <c r="AA392" s="176">
        <f t="shared" si="33"/>
        <v>0</v>
      </c>
      <c r="AB392" s="192">
        <f t="shared" si="30"/>
        <v>0.69478908188585609</v>
      </c>
    </row>
    <row r="393" spans="2:28" x14ac:dyDescent="0.3">
      <c r="B393" t="s">
        <v>822</v>
      </c>
      <c r="C393" t="s">
        <v>234</v>
      </c>
      <c r="D393" t="s">
        <v>1624</v>
      </c>
      <c r="E393" t="s">
        <v>1624</v>
      </c>
      <c r="F393">
        <v>-16.899999999999999</v>
      </c>
      <c r="G393">
        <v>15</v>
      </c>
      <c r="H393">
        <v>0</v>
      </c>
      <c r="I393">
        <v>0</v>
      </c>
      <c r="J393">
        <v>0</v>
      </c>
      <c r="K393">
        <v>0</v>
      </c>
      <c r="L393">
        <v>0</v>
      </c>
      <c r="M393">
        <v>2</v>
      </c>
      <c r="N393">
        <v>18</v>
      </c>
      <c r="O393">
        <v>16</v>
      </c>
      <c r="P393">
        <v>9</v>
      </c>
      <c r="Q393">
        <v>3</v>
      </c>
      <c r="R393">
        <v>28</v>
      </c>
      <c r="S393">
        <v>11</v>
      </c>
      <c r="T393">
        <v>4.5</v>
      </c>
      <c r="U393">
        <v>4.5</v>
      </c>
      <c r="V393">
        <v>1.5</v>
      </c>
      <c r="W393">
        <v>0.33300000000000002</v>
      </c>
      <c r="X393">
        <v>0</v>
      </c>
      <c r="Y393">
        <f t="shared" si="31"/>
        <v>2.5454545454545454</v>
      </c>
      <c r="Z393" t="str">
        <f t="shared" si="32"/>
        <v>STELLAR</v>
      </c>
      <c r="AA393" s="176" t="str">
        <f t="shared" si="33"/>
        <v>Didn't Start</v>
      </c>
      <c r="AB393" s="192">
        <f t="shared" si="30"/>
        <v>1.5555555555555556</v>
      </c>
    </row>
    <row r="394" spans="2:28" x14ac:dyDescent="0.3">
      <c r="B394" t="s">
        <v>755</v>
      </c>
      <c r="C394" t="s">
        <v>1709</v>
      </c>
      <c r="D394" t="s">
        <v>1624</v>
      </c>
      <c r="E394" t="s">
        <v>1624</v>
      </c>
      <c r="F394">
        <v>-17</v>
      </c>
      <c r="G394">
        <v>10</v>
      </c>
      <c r="H394">
        <v>0</v>
      </c>
      <c r="I394">
        <v>0</v>
      </c>
      <c r="J394">
        <v>2</v>
      </c>
      <c r="K394">
        <v>2</v>
      </c>
      <c r="L394">
        <v>0</v>
      </c>
      <c r="M394">
        <v>2</v>
      </c>
      <c r="N394">
        <v>8.6999999999999993</v>
      </c>
      <c r="O394">
        <v>15</v>
      </c>
      <c r="P394">
        <v>7</v>
      </c>
      <c r="Q394">
        <v>2</v>
      </c>
      <c r="R394">
        <v>10</v>
      </c>
      <c r="S394">
        <v>3</v>
      </c>
      <c r="T394">
        <v>7.27</v>
      </c>
      <c r="U394">
        <v>5.7</v>
      </c>
      <c r="V394">
        <v>2.08</v>
      </c>
      <c r="W394">
        <v>0.48099999999999998</v>
      </c>
      <c r="X394">
        <v>0</v>
      </c>
      <c r="Y394">
        <f t="shared" si="31"/>
        <v>3.3333333333333335</v>
      </c>
      <c r="Z394" t="str">
        <f t="shared" si="32"/>
        <v>STELLAR</v>
      </c>
      <c r="AA394" s="176" t="str">
        <f t="shared" si="33"/>
        <v>Didn't Start</v>
      </c>
      <c r="AB394" s="192">
        <f t="shared" si="30"/>
        <v>1.149425287356322</v>
      </c>
    </row>
    <row r="395" spans="2:28" x14ac:dyDescent="0.3">
      <c r="B395" t="s">
        <v>2201</v>
      </c>
      <c r="C395" t="s">
        <v>270</v>
      </c>
      <c r="D395" t="s">
        <v>1624</v>
      </c>
      <c r="E395" t="s">
        <v>1624</v>
      </c>
      <c r="F395">
        <v>-17</v>
      </c>
      <c r="G395">
        <v>8</v>
      </c>
      <c r="H395">
        <v>0</v>
      </c>
      <c r="I395">
        <v>0</v>
      </c>
      <c r="J395">
        <v>1</v>
      </c>
      <c r="K395">
        <v>0</v>
      </c>
      <c r="L395">
        <v>0</v>
      </c>
      <c r="M395">
        <v>1</v>
      </c>
      <c r="N395">
        <v>10.3</v>
      </c>
      <c r="O395">
        <v>12</v>
      </c>
      <c r="P395">
        <v>5</v>
      </c>
      <c r="Q395">
        <v>2</v>
      </c>
      <c r="R395">
        <v>9</v>
      </c>
      <c r="S395">
        <v>5</v>
      </c>
      <c r="T395">
        <v>4.3600000000000003</v>
      </c>
      <c r="U395">
        <v>5.5</v>
      </c>
      <c r="V395">
        <v>1.65</v>
      </c>
      <c r="W395">
        <v>0.33300000000000002</v>
      </c>
      <c r="X395">
        <v>0</v>
      </c>
      <c r="Y395">
        <f t="shared" si="31"/>
        <v>1.8</v>
      </c>
      <c r="Z395" t="str">
        <f t="shared" si="32"/>
        <v>STELLAR</v>
      </c>
      <c r="AA395" s="176" t="str">
        <f t="shared" si="33"/>
        <v>Didn't Start</v>
      </c>
      <c r="AB395" s="192">
        <f t="shared" si="30"/>
        <v>0.87378640776699024</v>
      </c>
    </row>
    <row r="396" spans="2:28" x14ac:dyDescent="0.3">
      <c r="B396" t="s">
        <v>2207</v>
      </c>
      <c r="C396" t="s">
        <v>243</v>
      </c>
      <c r="D396" t="s">
        <v>1624</v>
      </c>
      <c r="E396" t="s">
        <v>1624</v>
      </c>
      <c r="F396">
        <v>-17.100000000000001</v>
      </c>
      <c r="G396">
        <v>4</v>
      </c>
      <c r="H396">
        <v>0</v>
      </c>
      <c r="I396">
        <v>0</v>
      </c>
      <c r="J396">
        <v>0</v>
      </c>
      <c r="K396">
        <v>0</v>
      </c>
      <c r="L396">
        <v>0</v>
      </c>
      <c r="M396">
        <v>0</v>
      </c>
      <c r="N396">
        <v>8</v>
      </c>
      <c r="O396">
        <v>6</v>
      </c>
      <c r="P396">
        <v>3</v>
      </c>
      <c r="Q396">
        <v>1</v>
      </c>
      <c r="R396">
        <v>5</v>
      </c>
      <c r="S396">
        <v>2</v>
      </c>
      <c r="T396">
        <v>3.38</v>
      </c>
      <c r="U396">
        <v>4.78</v>
      </c>
      <c r="V396">
        <v>1</v>
      </c>
      <c r="W396">
        <v>0.22700000000000001</v>
      </c>
      <c r="X396">
        <v>0</v>
      </c>
      <c r="Y396">
        <f t="shared" si="31"/>
        <v>2.5</v>
      </c>
      <c r="Z396" t="str">
        <f t="shared" si="32"/>
        <v>STELLAR</v>
      </c>
      <c r="AA396" s="176" t="str">
        <f t="shared" si="33"/>
        <v>Didn't Start</v>
      </c>
      <c r="AB396" s="192">
        <f t="shared" si="30"/>
        <v>0.625</v>
      </c>
    </row>
    <row r="397" spans="2:28" x14ac:dyDescent="0.3">
      <c r="B397" t="s">
        <v>3360</v>
      </c>
      <c r="C397" t="s">
        <v>1520</v>
      </c>
      <c r="D397" t="s">
        <v>1624</v>
      </c>
      <c r="E397" t="s">
        <v>1624</v>
      </c>
      <c r="F397">
        <v>-17.100000000000001</v>
      </c>
      <c r="G397">
        <v>1</v>
      </c>
      <c r="H397">
        <v>0</v>
      </c>
      <c r="I397">
        <v>0</v>
      </c>
      <c r="J397">
        <v>0</v>
      </c>
      <c r="K397">
        <v>0</v>
      </c>
      <c r="L397">
        <v>0</v>
      </c>
      <c r="M397">
        <v>0</v>
      </c>
      <c r="N397">
        <v>2.2999999999999998</v>
      </c>
      <c r="O397">
        <v>0</v>
      </c>
      <c r="P397">
        <v>0</v>
      </c>
      <c r="Q397">
        <v>0</v>
      </c>
      <c r="R397">
        <v>3</v>
      </c>
      <c r="S397">
        <v>2</v>
      </c>
      <c r="T397">
        <v>0</v>
      </c>
      <c r="U397">
        <v>3.28</v>
      </c>
      <c r="V397">
        <v>0.86</v>
      </c>
      <c r="W397">
        <v>0</v>
      </c>
      <c r="X397">
        <v>0</v>
      </c>
      <c r="Y397">
        <f t="shared" si="31"/>
        <v>1.5</v>
      </c>
      <c r="Z397" t="str">
        <f t="shared" si="32"/>
        <v>STELLAR</v>
      </c>
      <c r="AA397" s="176" t="str">
        <f t="shared" si="33"/>
        <v>Didn't Start</v>
      </c>
      <c r="AB397" s="192">
        <f t="shared" si="30"/>
        <v>1.3043478260869565</v>
      </c>
    </row>
    <row r="398" spans="2:28" x14ac:dyDescent="0.3">
      <c r="B398" t="s">
        <v>3103</v>
      </c>
      <c r="C398" t="s">
        <v>239</v>
      </c>
      <c r="D398" t="s">
        <v>1624</v>
      </c>
      <c r="E398" t="s">
        <v>1624</v>
      </c>
      <c r="F398">
        <v>-17.100000000000001</v>
      </c>
      <c r="G398">
        <v>11</v>
      </c>
      <c r="H398">
        <v>0</v>
      </c>
      <c r="I398">
        <v>0</v>
      </c>
      <c r="J398">
        <v>0</v>
      </c>
      <c r="K398">
        <v>0</v>
      </c>
      <c r="L398">
        <v>0</v>
      </c>
      <c r="M398">
        <v>2</v>
      </c>
      <c r="N398">
        <v>14</v>
      </c>
      <c r="O398">
        <v>11</v>
      </c>
      <c r="P398">
        <v>6</v>
      </c>
      <c r="Q398">
        <v>1</v>
      </c>
      <c r="R398">
        <v>10</v>
      </c>
      <c r="S398">
        <v>5</v>
      </c>
      <c r="T398">
        <v>3.86</v>
      </c>
      <c r="U398">
        <v>4.0599999999999996</v>
      </c>
      <c r="V398">
        <v>1.1399999999999999</v>
      </c>
      <c r="W398">
        <v>0.23799999999999999</v>
      </c>
      <c r="X398">
        <v>0</v>
      </c>
      <c r="Y398">
        <f t="shared" si="31"/>
        <v>2</v>
      </c>
      <c r="Z398" t="str">
        <f t="shared" si="32"/>
        <v>STELLAR</v>
      </c>
      <c r="AA398" s="176" t="str">
        <f t="shared" si="33"/>
        <v>Didn't Start</v>
      </c>
      <c r="AB398" s="192">
        <f t="shared" si="30"/>
        <v>0.7142857142857143</v>
      </c>
    </row>
    <row r="399" spans="2:28" x14ac:dyDescent="0.3">
      <c r="B399" s="1" t="s">
        <v>901</v>
      </c>
      <c r="C399" s="1" t="s">
        <v>250</v>
      </c>
      <c r="D399" s="1" t="s">
        <v>1624</v>
      </c>
      <c r="E399" s="1" t="s">
        <v>1624</v>
      </c>
      <c r="F399" s="1">
        <v>-17.2</v>
      </c>
      <c r="G399" s="1">
        <v>7</v>
      </c>
      <c r="H399" s="1">
        <v>0</v>
      </c>
      <c r="I399" s="1">
        <v>0</v>
      </c>
      <c r="J399" s="1">
        <v>1</v>
      </c>
      <c r="K399" s="1">
        <v>0</v>
      </c>
      <c r="L399" s="1">
        <v>0</v>
      </c>
      <c r="M399" s="1">
        <v>0</v>
      </c>
      <c r="N399" s="1">
        <v>8.6999999999999993</v>
      </c>
      <c r="O399" s="1">
        <v>9</v>
      </c>
      <c r="P399" s="1">
        <v>6</v>
      </c>
      <c r="Q399" s="1">
        <v>2</v>
      </c>
      <c r="R399" s="1">
        <v>9</v>
      </c>
      <c r="S399" s="1">
        <v>4</v>
      </c>
      <c r="T399" s="1">
        <v>6.23</v>
      </c>
      <c r="U399" s="1">
        <v>5.59</v>
      </c>
      <c r="V399" s="1">
        <v>1.5</v>
      </c>
      <c r="W399" s="1">
        <v>0.29199999999999998</v>
      </c>
      <c r="X399" s="1">
        <v>0</v>
      </c>
      <c r="Y399" s="1">
        <f t="shared" si="31"/>
        <v>2.25</v>
      </c>
      <c r="Z399" s="1" t="str">
        <f t="shared" si="32"/>
        <v>STELLAR</v>
      </c>
      <c r="AA399" s="180" t="str">
        <f t="shared" si="33"/>
        <v>Didn't Start</v>
      </c>
      <c r="AB399" s="192">
        <f t="shared" si="30"/>
        <v>1.0344827586206897</v>
      </c>
    </row>
    <row r="400" spans="2:28" x14ac:dyDescent="0.3">
      <c r="B400" t="s">
        <v>3361</v>
      </c>
      <c r="C400" t="s">
        <v>311</v>
      </c>
      <c r="D400" t="s">
        <v>1624</v>
      </c>
      <c r="E400" t="s">
        <v>1624</v>
      </c>
      <c r="F400">
        <v>-17.3</v>
      </c>
      <c r="G400">
        <v>2</v>
      </c>
      <c r="H400">
        <v>0</v>
      </c>
      <c r="I400">
        <v>0</v>
      </c>
      <c r="J400">
        <v>0</v>
      </c>
      <c r="K400">
        <v>0</v>
      </c>
      <c r="L400">
        <v>0</v>
      </c>
      <c r="M400">
        <v>0</v>
      </c>
      <c r="N400">
        <v>9</v>
      </c>
      <c r="O400">
        <v>10</v>
      </c>
      <c r="P400">
        <v>3</v>
      </c>
      <c r="Q400">
        <v>2</v>
      </c>
      <c r="R400">
        <v>9</v>
      </c>
      <c r="S400">
        <v>2</v>
      </c>
      <c r="T400">
        <v>3</v>
      </c>
      <c r="U400">
        <v>4.83</v>
      </c>
      <c r="V400">
        <v>1.33</v>
      </c>
      <c r="W400">
        <v>0.308</v>
      </c>
      <c r="X400">
        <v>0</v>
      </c>
      <c r="Y400">
        <f t="shared" si="31"/>
        <v>4.5</v>
      </c>
      <c r="Z400" t="str">
        <f t="shared" si="32"/>
        <v>STELLAR</v>
      </c>
      <c r="AA400" s="176" t="str">
        <f t="shared" si="33"/>
        <v>Didn't Start</v>
      </c>
      <c r="AB400" s="192">
        <f t="shared" si="30"/>
        <v>1</v>
      </c>
    </row>
    <row r="401" spans="2:28" x14ac:dyDescent="0.3">
      <c r="B401" t="s">
        <v>3195</v>
      </c>
      <c r="C401" t="s">
        <v>222</v>
      </c>
      <c r="D401" t="s">
        <v>1624</v>
      </c>
      <c r="E401" t="s">
        <v>1624</v>
      </c>
      <c r="F401">
        <v>-17.3</v>
      </c>
      <c r="G401">
        <v>5</v>
      </c>
      <c r="H401">
        <v>0</v>
      </c>
      <c r="I401">
        <v>0</v>
      </c>
      <c r="J401">
        <v>0</v>
      </c>
      <c r="K401">
        <v>0</v>
      </c>
      <c r="L401">
        <v>0</v>
      </c>
      <c r="M401">
        <v>0</v>
      </c>
      <c r="N401">
        <v>8.6999999999999993</v>
      </c>
      <c r="O401">
        <v>7</v>
      </c>
      <c r="P401">
        <v>2</v>
      </c>
      <c r="Q401">
        <v>0</v>
      </c>
      <c r="R401">
        <v>5</v>
      </c>
      <c r="S401">
        <v>4</v>
      </c>
      <c r="T401">
        <v>2.08</v>
      </c>
      <c r="U401">
        <v>3.51</v>
      </c>
      <c r="V401">
        <v>1.27</v>
      </c>
      <c r="W401">
        <v>0.25</v>
      </c>
      <c r="X401">
        <v>0</v>
      </c>
      <c r="Y401">
        <f t="shared" si="31"/>
        <v>1.25</v>
      </c>
      <c r="Z401" t="str">
        <f t="shared" si="32"/>
        <v>STELLAR</v>
      </c>
      <c r="AA401" s="176" t="str">
        <f t="shared" si="33"/>
        <v>Didn't Start</v>
      </c>
      <c r="AB401" s="192">
        <f t="shared" si="30"/>
        <v>0.57471264367816099</v>
      </c>
    </row>
    <row r="402" spans="2:28" x14ac:dyDescent="0.3">
      <c r="B402" t="s">
        <v>3194</v>
      </c>
      <c r="C402" t="s">
        <v>266</v>
      </c>
      <c r="D402" t="s">
        <v>1624</v>
      </c>
      <c r="E402" t="s">
        <v>1624</v>
      </c>
      <c r="F402">
        <v>-17.3</v>
      </c>
      <c r="G402">
        <v>4</v>
      </c>
      <c r="H402">
        <v>0</v>
      </c>
      <c r="I402">
        <v>0</v>
      </c>
      <c r="J402">
        <v>0</v>
      </c>
      <c r="K402">
        <v>0</v>
      </c>
      <c r="L402">
        <v>0</v>
      </c>
      <c r="M402">
        <v>0</v>
      </c>
      <c r="N402">
        <v>6</v>
      </c>
      <c r="O402">
        <v>4</v>
      </c>
      <c r="P402">
        <v>2</v>
      </c>
      <c r="Q402">
        <v>0</v>
      </c>
      <c r="R402">
        <v>8</v>
      </c>
      <c r="S402">
        <v>4</v>
      </c>
      <c r="T402">
        <v>3</v>
      </c>
      <c r="U402">
        <v>2.61</v>
      </c>
      <c r="V402">
        <v>1.33</v>
      </c>
      <c r="W402">
        <v>0.28599999999999998</v>
      </c>
      <c r="X402">
        <v>0</v>
      </c>
      <c r="Y402">
        <f t="shared" si="31"/>
        <v>2</v>
      </c>
      <c r="Z402" t="str">
        <f t="shared" si="32"/>
        <v>STELLAR</v>
      </c>
      <c r="AA402" s="176" t="str">
        <f t="shared" si="33"/>
        <v>Didn't Start</v>
      </c>
      <c r="AB402" s="192">
        <f t="shared" si="30"/>
        <v>1.3333333333333333</v>
      </c>
    </row>
    <row r="403" spans="2:28" x14ac:dyDescent="0.3">
      <c r="B403" t="s">
        <v>2206</v>
      </c>
      <c r="C403" t="s">
        <v>244</v>
      </c>
      <c r="D403" t="s">
        <v>1624</v>
      </c>
      <c r="E403" t="s">
        <v>1624</v>
      </c>
      <c r="F403">
        <v>-17.399999999999999</v>
      </c>
      <c r="G403">
        <v>1</v>
      </c>
      <c r="H403">
        <v>1</v>
      </c>
      <c r="I403">
        <v>0</v>
      </c>
      <c r="J403">
        <v>0</v>
      </c>
      <c r="K403">
        <v>0</v>
      </c>
      <c r="L403">
        <v>0</v>
      </c>
      <c r="M403">
        <v>0</v>
      </c>
      <c r="N403">
        <v>4.7</v>
      </c>
      <c r="O403">
        <v>3</v>
      </c>
      <c r="P403">
        <v>1</v>
      </c>
      <c r="Q403">
        <v>1</v>
      </c>
      <c r="R403">
        <v>3</v>
      </c>
      <c r="S403">
        <v>2</v>
      </c>
      <c r="T403">
        <v>1.93</v>
      </c>
      <c r="U403">
        <v>6.06</v>
      </c>
      <c r="V403">
        <v>1.07</v>
      </c>
      <c r="W403">
        <v>0.154</v>
      </c>
      <c r="X403">
        <v>0</v>
      </c>
      <c r="Y403">
        <f t="shared" si="31"/>
        <v>1.5</v>
      </c>
      <c r="Z403">
        <f t="shared" si="32"/>
        <v>3</v>
      </c>
      <c r="AA403" s="176">
        <f t="shared" si="33"/>
        <v>0</v>
      </c>
      <c r="AB403" s="192">
        <f t="shared" si="30"/>
        <v>0.63829787234042545</v>
      </c>
    </row>
    <row r="404" spans="2:28" x14ac:dyDescent="0.3">
      <c r="B404" t="s">
        <v>628</v>
      </c>
      <c r="C404" t="s">
        <v>346</v>
      </c>
      <c r="D404" t="s">
        <v>1624</v>
      </c>
      <c r="E404" t="s">
        <v>1624</v>
      </c>
      <c r="F404">
        <v>-17.399999999999999</v>
      </c>
      <c r="G404">
        <v>6</v>
      </c>
      <c r="H404">
        <v>0</v>
      </c>
      <c r="I404">
        <v>0</v>
      </c>
      <c r="J404">
        <v>1</v>
      </c>
      <c r="K404">
        <v>0</v>
      </c>
      <c r="L404">
        <v>0</v>
      </c>
      <c r="M404">
        <v>0</v>
      </c>
      <c r="N404">
        <v>4.3</v>
      </c>
      <c r="O404">
        <v>5</v>
      </c>
      <c r="P404">
        <v>4</v>
      </c>
      <c r="Q404">
        <v>0</v>
      </c>
      <c r="R404">
        <v>5</v>
      </c>
      <c r="S404">
        <v>2</v>
      </c>
      <c r="T404">
        <v>8.31</v>
      </c>
      <c r="U404">
        <v>3.74</v>
      </c>
      <c r="V404">
        <v>1.62</v>
      </c>
      <c r="W404">
        <v>0.38500000000000001</v>
      </c>
      <c r="X404">
        <v>0</v>
      </c>
      <c r="Y404">
        <f t="shared" si="31"/>
        <v>2.5</v>
      </c>
      <c r="Z404" t="str">
        <f t="shared" si="32"/>
        <v>STELLAR</v>
      </c>
      <c r="AA404" s="176" t="str">
        <f t="shared" si="33"/>
        <v>Didn't Start</v>
      </c>
      <c r="AB404" s="192">
        <f t="shared" si="30"/>
        <v>1.1627906976744187</v>
      </c>
    </row>
    <row r="405" spans="2:28" x14ac:dyDescent="0.3">
      <c r="B405" t="s">
        <v>3362</v>
      </c>
      <c r="C405" t="s">
        <v>226</v>
      </c>
      <c r="D405" t="s">
        <v>1624</v>
      </c>
      <c r="E405" t="s">
        <v>1624</v>
      </c>
      <c r="F405">
        <v>-17.399999999999999</v>
      </c>
      <c r="G405">
        <v>2</v>
      </c>
      <c r="H405">
        <v>0</v>
      </c>
      <c r="I405">
        <v>0</v>
      </c>
      <c r="J405">
        <v>0</v>
      </c>
      <c r="K405">
        <v>0</v>
      </c>
      <c r="L405">
        <v>0</v>
      </c>
      <c r="M405">
        <v>0</v>
      </c>
      <c r="N405">
        <v>1.7</v>
      </c>
      <c r="O405">
        <v>1</v>
      </c>
      <c r="P405">
        <v>0</v>
      </c>
      <c r="Q405">
        <v>0</v>
      </c>
      <c r="R405">
        <v>2</v>
      </c>
      <c r="S405">
        <v>0</v>
      </c>
      <c r="T405">
        <v>0</v>
      </c>
      <c r="U405">
        <v>0.88</v>
      </c>
      <c r="V405">
        <v>0.6</v>
      </c>
      <c r="W405">
        <v>0.25</v>
      </c>
      <c r="X405">
        <v>0</v>
      </c>
      <c r="Y405" t="str">
        <f t="shared" si="31"/>
        <v>STELLAR</v>
      </c>
      <c r="Z405" t="str">
        <f t="shared" si="32"/>
        <v>STELLAR</v>
      </c>
      <c r="AA405" s="176" t="str">
        <f t="shared" si="33"/>
        <v>Didn't Start</v>
      </c>
      <c r="AB405" s="192">
        <f t="shared" si="30"/>
        <v>1.1764705882352942</v>
      </c>
    </row>
    <row r="406" spans="2:28" x14ac:dyDescent="0.3">
      <c r="B406" t="s">
        <v>1243</v>
      </c>
      <c r="C406" t="s">
        <v>243</v>
      </c>
      <c r="D406" t="s">
        <v>1624</v>
      </c>
      <c r="E406" t="s">
        <v>1624</v>
      </c>
      <c r="F406">
        <v>-17.399999999999999</v>
      </c>
      <c r="G406">
        <v>3</v>
      </c>
      <c r="H406">
        <v>0</v>
      </c>
      <c r="I406">
        <v>0</v>
      </c>
      <c r="J406">
        <v>0</v>
      </c>
      <c r="K406">
        <v>2</v>
      </c>
      <c r="L406">
        <v>0</v>
      </c>
      <c r="M406">
        <v>0</v>
      </c>
      <c r="N406">
        <v>8</v>
      </c>
      <c r="O406">
        <v>6</v>
      </c>
      <c r="P406">
        <v>2</v>
      </c>
      <c r="Q406">
        <v>0</v>
      </c>
      <c r="R406">
        <v>5</v>
      </c>
      <c r="S406">
        <v>4</v>
      </c>
      <c r="T406">
        <v>2.25</v>
      </c>
      <c r="U406">
        <v>3.53</v>
      </c>
      <c r="V406">
        <v>1.25</v>
      </c>
      <c r="W406">
        <v>0.26100000000000001</v>
      </c>
      <c r="X406">
        <v>0</v>
      </c>
      <c r="Y406">
        <f t="shared" si="31"/>
        <v>1.25</v>
      </c>
      <c r="Z406" t="str">
        <f t="shared" si="32"/>
        <v>STELLAR</v>
      </c>
      <c r="AA406" s="176" t="str">
        <f t="shared" si="33"/>
        <v>Didn't Start</v>
      </c>
      <c r="AB406" s="192">
        <f t="shared" si="30"/>
        <v>0.625</v>
      </c>
    </row>
    <row r="407" spans="2:28" x14ac:dyDescent="0.3">
      <c r="B407" t="s">
        <v>767</v>
      </c>
      <c r="C407" t="s">
        <v>346</v>
      </c>
      <c r="D407" t="s">
        <v>1624</v>
      </c>
      <c r="E407" t="s">
        <v>1624</v>
      </c>
      <c r="F407">
        <v>-17.5</v>
      </c>
      <c r="G407">
        <v>14</v>
      </c>
      <c r="H407">
        <v>0</v>
      </c>
      <c r="I407">
        <v>0</v>
      </c>
      <c r="J407">
        <v>1</v>
      </c>
      <c r="K407">
        <v>0</v>
      </c>
      <c r="L407">
        <v>0</v>
      </c>
      <c r="M407">
        <v>1</v>
      </c>
      <c r="N407">
        <v>21</v>
      </c>
      <c r="O407">
        <v>25</v>
      </c>
      <c r="P407">
        <v>15</v>
      </c>
      <c r="Q407">
        <v>5</v>
      </c>
      <c r="R407">
        <v>21</v>
      </c>
      <c r="S407">
        <v>2</v>
      </c>
      <c r="T407">
        <v>6.43</v>
      </c>
      <c r="U407">
        <v>4.8</v>
      </c>
      <c r="V407">
        <v>1.29</v>
      </c>
      <c r="W407">
        <v>0.33300000000000002</v>
      </c>
      <c r="X407">
        <v>0</v>
      </c>
      <c r="Y407">
        <f t="shared" si="31"/>
        <v>10.5</v>
      </c>
      <c r="Z407" t="str">
        <f t="shared" si="32"/>
        <v>STELLAR</v>
      </c>
      <c r="AA407" s="176" t="str">
        <f t="shared" si="33"/>
        <v>Didn't Start</v>
      </c>
      <c r="AB407" s="192">
        <f t="shared" si="30"/>
        <v>1</v>
      </c>
    </row>
    <row r="408" spans="2:28" x14ac:dyDescent="0.3">
      <c r="B408" t="s">
        <v>3363</v>
      </c>
      <c r="C408" t="s">
        <v>235</v>
      </c>
      <c r="D408" t="s">
        <v>1624</v>
      </c>
      <c r="E408" t="s">
        <v>1624</v>
      </c>
      <c r="F408">
        <v>-17.5</v>
      </c>
      <c r="G408">
        <v>1</v>
      </c>
      <c r="H408">
        <v>0</v>
      </c>
      <c r="I408">
        <v>0</v>
      </c>
      <c r="J408">
        <v>0</v>
      </c>
      <c r="K408">
        <v>0</v>
      </c>
      <c r="L408">
        <v>0</v>
      </c>
      <c r="M408">
        <v>0</v>
      </c>
      <c r="N408">
        <v>1</v>
      </c>
      <c r="O408">
        <v>0</v>
      </c>
      <c r="P408">
        <v>0</v>
      </c>
      <c r="Q408">
        <v>0</v>
      </c>
      <c r="R408">
        <v>2</v>
      </c>
      <c r="S408">
        <v>0</v>
      </c>
      <c r="T408">
        <v>0</v>
      </c>
      <c r="U408">
        <v>-0.72</v>
      </c>
      <c r="V408">
        <v>0</v>
      </c>
      <c r="W408">
        <v>0</v>
      </c>
      <c r="X408">
        <v>0</v>
      </c>
      <c r="Y408" t="str">
        <f t="shared" si="31"/>
        <v>STELLAR</v>
      </c>
      <c r="Z408" t="str">
        <f t="shared" si="32"/>
        <v>STELLAR</v>
      </c>
      <c r="AA408" s="176" t="str">
        <f t="shared" si="33"/>
        <v>Didn't Start</v>
      </c>
      <c r="AB408" s="192">
        <f t="shared" si="30"/>
        <v>2</v>
      </c>
    </row>
    <row r="409" spans="2:28" x14ac:dyDescent="0.3">
      <c r="B409" t="s">
        <v>699</v>
      </c>
      <c r="C409" t="s">
        <v>266</v>
      </c>
      <c r="D409" t="s">
        <v>1623</v>
      </c>
      <c r="E409" t="s">
        <v>1623</v>
      </c>
      <c r="F409">
        <v>-17.5</v>
      </c>
      <c r="G409">
        <v>11</v>
      </c>
      <c r="H409">
        <v>4</v>
      </c>
      <c r="I409">
        <v>0</v>
      </c>
      <c r="J409">
        <v>1</v>
      </c>
      <c r="K409">
        <v>1</v>
      </c>
      <c r="L409">
        <v>0</v>
      </c>
      <c r="M409">
        <v>0</v>
      </c>
      <c r="N409">
        <v>31.7</v>
      </c>
      <c r="O409">
        <v>41</v>
      </c>
      <c r="P409">
        <v>21</v>
      </c>
      <c r="Q409">
        <v>6</v>
      </c>
      <c r="R409">
        <v>25</v>
      </c>
      <c r="S409">
        <v>11</v>
      </c>
      <c r="T409">
        <v>5.97</v>
      </c>
      <c r="U409">
        <v>5.58</v>
      </c>
      <c r="V409">
        <v>1.64</v>
      </c>
      <c r="W409">
        <v>0.35</v>
      </c>
      <c r="X409">
        <v>0</v>
      </c>
      <c r="Y409">
        <f t="shared" si="31"/>
        <v>2.2727272727272729</v>
      </c>
      <c r="Z409">
        <f t="shared" si="32"/>
        <v>6.25</v>
      </c>
      <c r="AA409" s="176">
        <f t="shared" si="33"/>
        <v>0.25</v>
      </c>
      <c r="AB409" s="192">
        <f t="shared" si="30"/>
        <v>0.78864353312302837</v>
      </c>
    </row>
    <row r="410" spans="2:28" x14ac:dyDescent="0.3">
      <c r="B410" t="s">
        <v>3184</v>
      </c>
      <c r="C410" t="s">
        <v>255</v>
      </c>
      <c r="D410" t="s">
        <v>1624</v>
      </c>
      <c r="E410" t="s">
        <v>1624</v>
      </c>
      <c r="F410">
        <v>-17.5</v>
      </c>
      <c r="G410">
        <v>1</v>
      </c>
      <c r="H410">
        <v>0</v>
      </c>
      <c r="I410">
        <v>0</v>
      </c>
      <c r="J410">
        <v>0</v>
      </c>
      <c r="K410">
        <v>0</v>
      </c>
      <c r="L410">
        <v>0</v>
      </c>
      <c r="M410">
        <v>0</v>
      </c>
      <c r="N410">
        <v>1</v>
      </c>
      <c r="O410">
        <v>0</v>
      </c>
      <c r="P410">
        <v>0</v>
      </c>
      <c r="Q410">
        <v>0</v>
      </c>
      <c r="R410">
        <v>2</v>
      </c>
      <c r="S410">
        <v>0</v>
      </c>
      <c r="T410">
        <v>0</v>
      </c>
      <c r="U410">
        <v>-0.72</v>
      </c>
      <c r="V410">
        <v>0</v>
      </c>
      <c r="W410">
        <v>0</v>
      </c>
      <c r="X410">
        <v>0</v>
      </c>
      <c r="Y410" t="str">
        <f t="shared" si="31"/>
        <v>STELLAR</v>
      </c>
      <c r="Z410" t="str">
        <f t="shared" si="32"/>
        <v>STELLAR</v>
      </c>
      <c r="AA410" s="176" t="str">
        <f t="shared" si="33"/>
        <v>Didn't Start</v>
      </c>
      <c r="AB410" s="192">
        <f t="shared" si="30"/>
        <v>2</v>
      </c>
    </row>
    <row r="411" spans="2:28" x14ac:dyDescent="0.3">
      <c r="B411" t="s">
        <v>1641</v>
      </c>
      <c r="C411" t="s">
        <v>222</v>
      </c>
      <c r="D411" t="s">
        <v>1624</v>
      </c>
      <c r="E411" t="s">
        <v>1624</v>
      </c>
      <c r="F411">
        <v>-17.600000000000001</v>
      </c>
      <c r="G411">
        <v>3</v>
      </c>
      <c r="H411">
        <v>0</v>
      </c>
      <c r="I411">
        <v>0</v>
      </c>
      <c r="J411">
        <v>0</v>
      </c>
      <c r="K411">
        <v>0</v>
      </c>
      <c r="L411">
        <v>0</v>
      </c>
      <c r="M411">
        <v>2</v>
      </c>
      <c r="N411">
        <v>3.3</v>
      </c>
      <c r="O411">
        <v>2</v>
      </c>
      <c r="P411">
        <v>1</v>
      </c>
      <c r="Q411">
        <v>1</v>
      </c>
      <c r="R411">
        <v>1</v>
      </c>
      <c r="S411">
        <v>0</v>
      </c>
      <c r="T411">
        <v>2.7</v>
      </c>
      <c r="U411">
        <v>7.48</v>
      </c>
      <c r="V411">
        <v>0.6</v>
      </c>
      <c r="W411">
        <v>0.111</v>
      </c>
      <c r="X411">
        <v>0</v>
      </c>
      <c r="Y411" t="str">
        <f t="shared" si="31"/>
        <v>STELLAR</v>
      </c>
      <c r="Z411" t="str">
        <f t="shared" si="32"/>
        <v>STELLAR</v>
      </c>
      <c r="AA411" s="176" t="str">
        <f t="shared" si="33"/>
        <v>Didn't Start</v>
      </c>
      <c r="AB411" s="192">
        <f t="shared" si="30"/>
        <v>0.30303030303030304</v>
      </c>
    </row>
    <row r="412" spans="2:28" x14ac:dyDescent="0.3">
      <c r="B412" t="s">
        <v>1610</v>
      </c>
      <c r="C412" t="s">
        <v>246</v>
      </c>
      <c r="D412" t="s">
        <v>1623</v>
      </c>
      <c r="E412" t="s">
        <v>1623</v>
      </c>
      <c r="F412">
        <v>-17.600000000000001</v>
      </c>
      <c r="G412">
        <v>6</v>
      </c>
      <c r="H412">
        <v>1</v>
      </c>
      <c r="I412">
        <v>0</v>
      </c>
      <c r="J412">
        <v>0</v>
      </c>
      <c r="K412">
        <v>1</v>
      </c>
      <c r="L412">
        <v>0</v>
      </c>
      <c r="M412">
        <v>0</v>
      </c>
      <c r="N412">
        <v>15.7</v>
      </c>
      <c r="O412">
        <v>21</v>
      </c>
      <c r="P412">
        <v>12</v>
      </c>
      <c r="Q412">
        <v>6</v>
      </c>
      <c r="R412">
        <v>10</v>
      </c>
      <c r="S412">
        <v>4</v>
      </c>
      <c r="T412">
        <v>6.89</v>
      </c>
      <c r="U412">
        <v>8.32</v>
      </c>
      <c r="V412">
        <v>1.6</v>
      </c>
      <c r="W412">
        <v>0.3</v>
      </c>
      <c r="X412">
        <v>0</v>
      </c>
      <c r="Y412">
        <f t="shared" si="31"/>
        <v>2.5</v>
      </c>
      <c r="Z412">
        <f t="shared" si="32"/>
        <v>10</v>
      </c>
      <c r="AA412" s="176">
        <f t="shared" si="33"/>
        <v>0</v>
      </c>
      <c r="AB412" s="192">
        <f t="shared" si="30"/>
        <v>0.63694267515923575</v>
      </c>
    </row>
    <row r="413" spans="2:28" x14ac:dyDescent="0.3">
      <c r="B413" t="s">
        <v>3185</v>
      </c>
      <c r="C413" t="s">
        <v>1524</v>
      </c>
      <c r="D413" t="s">
        <v>1624</v>
      </c>
      <c r="E413" t="s">
        <v>1624</v>
      </c>
      <c r="F413">
        <v>-17.7</v>
      </c>
      <c r="G413">
        <v>2</v>
      </c>
      <c r="H413">
        <v>0</v>
      </c>
      <c r="I413">
        <v>0</v>
      </c>
      <c r="J413">
        <v>0</v>
      </c>
      <c r="K413">
        <v>0</v>
      </c>
      <c r="L413">
        <v>0</v>
      </c>
      <c r="M413">
        <v>0</v>
      </c>
      <c r="N413">
        <v>2.2999999999999998</v>
      </c>
      <c r="O413">
        <v>1</v>
      </c>
      <c r="P413">
        <v>0</v>
      </c>
      <c r="Q413">
        <v>0</v>
      </c>
      <c r="R413">
        <v>3</v>
      </c>
      <c r="S413">
        <v>2</v>
      </c>
      <c r="T413">
        <v>0</v>
      </c>
      <c r="U413">
        <v>3.28</v>
      </c>
      <c r="V413">
        <v>1.29</v>
      </c>
      <c r="W413">
        <v>0.25</v>
      </c>
      <c r="X413">
        <v>0</v>
      </c>
      <c r="Y413">
        <f t="shared" si="31"/>
        <v>1.5</v>
      </c>
      <c r="Z413" t="str">
        <f t="shared" si="32"/>
        <v>STELLAR</v>
      </c>
      <c r="AA413" s="176" t="str">
        <f t="shared" si="33"/>
        <v>Didn't Start</v>
      </c>
      <c r="AB413" s="192">
        <f t="shared" si="30"/>
        <v>1.3043478260869565</v>
      </c>
    </row>
    <row r="414" spans="2:28" x14ac:dyDescent="0.3">
      <c r="B414" t="s">
        <v>646</v>
      </c>
      <c r="C414" t="s">
        <v>234</v>
      </c>
      <c r="D414" t="s">
        <v>1624</v>
      </c>
      <c r="E414" t="s">
        <v>1624</v>
      </c>
      <c r="F414">
        <v>-17.7</v>
      </c>
      <c r="G414">
        <v>12</v>
      </c>
      <c r="H414">
        <v>0</v>
      </c>
      <c r="I414">
        <v>0</v>
      </c>
      <c r="J414">
        <v>0</v>
      </c>
      <c r="K414">
        <v>0</v>
      </c>
      <c r="L414">
        <v>1</v>
      </c>
      <c r="M414">
        <v>0</v>
      </c>
      <c r="N414">
        <v>11</v>
      </c>
      <c r="O414">
        <v>9</v>
      </c>
      <c r="P414">
        <v>5</v>
      </c>
      <c r="Q414">
        <v>3</v>
      </c>
      <c r="R414">
        <v>6</v>
      </c>
      <c r="S414">
        <v>5</v>
      </c>
      <c r="T414">
        <v>4.09</v>
      </c>
      <c r="U414">
        <v>7.37</v>
      </c>
      <c r="V414">
        <v>1.27</v>
      </c>
      <c r="W414">
        <v>0.188</v>
      </c>
      <c r="X414">
        <v>0</v>
      </c>
      <c r="Y414">
        <f t="shared" si="31"/>
        <v>1.2</v>
      </c>
      <c r="Z414" t="str">
        <f t="shared" si="32"/>
        <v>STELLAR</v>
      </c>
      <c r="AA414" s="176" t="str">
        <f t="shared" si="33"/>
        <v>Didn't Start</v>
      </c>
      <c r="AB414" s="192">
        <f>R592/N592</f>
        <v>0.45112781954887216</v>
      </c>
    </row>
    <row r="415" spans="2:28" x14ac:dyDescent="0.3">
      <c r="B415" t="s">
        <v>3062</v>
      </c>
      <c r="C415" t="s">
        <v>255</v>
      </c>
      <c r="D415" t="s">
        <v>1624</v>
      </c>
      <c r="E415" t="s">
        <v>1624</v>
      </c>
      <c r="F415">
        <v>-17.7</v>
      </c>
      <c r="G415">
        <v>6</v>
      </c>
      <c r="H415">
        <v>0</v>
      </c>
      <c r="I415">
        <v>0</v>
      </c>
      <c r="J415">
        <v>0</v>
      </c>
      <c r="K415">
        <v>0</v>
      </c>
      <c r="L415">
        <v>0</v>
      </c>
      <c r="M415">
        <v>0</v>
      </c>
      <c r="N415">
        <v>7.7</v>
      </c>
      <c r="O415">
        <v>4</v>
      </c>
      <c r="P415">
        <v>3</v>
      </c>
      <c r="Q415">
        <v>1</v>
      </c>
      <c r="R415">
        <v>6</v>
      </c>
      <c r="S415">
        <v>5</v>
      </c>
      <c r="T415">
        <v>3.52</v>
      </c>
      <c r="U415">
        <v>5.37</v>
      </c>
      <c r="V415">
        <v>1.17</v>
      </c>
      <c r="W415">
        <v>0.16700000000000001</v>
      </c>
      <c r="X415">
        <v>0</v>
      </c>
      <c r="Y415">
        <f t="shared" si="31"/>
        <v>1.2</v>
      </c>
      <c r="Z415" t="str">
        <f t="shared" si="32"/>
        <v>STELLAR</v>
      </c>
      <c r="AA415" s="176" t="str">
        <f t="shared" si="33"/>
        <v>Didn't Start</v>
      </c>
      <c r="AB415" s="192" t="e">
        <f t="shared" ref="AB415:AB426" si="34">R593/N593</f>
        <v>#DIV/0!</v>
      </c>
    </row>
    <row r="416" spans="2:28" x14ac:dyDescent="0.3">
      <c r="B416" t="s">
        <v>3019</v>
      </c>
      <c r="C416" t="s">
        <v>248</v>
      </c>
      <c r="D416" t="s">
        <v>1624</v>
      </c>
      <c r="E416" t="s">
        <v>1624</v>
      </c>
      <c r="F416">
        <v>-17.7</v>
      </c>
      <c r="G416">
        <v>10</v>
      </c>
      <c r="H416">
        <v>0</v>
      </c>
      <c r="I416">
        <v>0</v>
      </c>
      <c r="J416">
        <v>0</v>
      </c>
      <c r="K416">
        <v>2</v>
      </c>
      <c r="L416">
        <v>0</v>
      </c>
      <c r="M416">
        <v>0</v>
      </c>
      <c r="N416">
        <v>8.3000000000000007</v>
      </c>
      <c r="O416">
        <v>7</v>
      </c>
      <c r="P416">
        <v>4</v>
      </c>
      <c r="Q416">
        <v>1</v>
      </c>
      <c r="R416">
        <v>11</v>
      </c>
      <c r="S416">
        <v>4</v>
      </c>
      <c r="T416">
        <v>4.32</v>
      </c>
      <c r="U416">
        <v>3.64</v>
      </c>
      <c r="V416">
        <v>1.32</v>
      </c>
      <c r="W416">
        <v>0.33300000000000002</v>
      </c>
      <c r="X416">
        <v>2</v>
      </c>
      <c r="Y416">
        <f t="shared" si="31"/>
        <v>2.75</v>
      </c>
      <c r="Z416" t="str">
        <f t="shared" si="32"/>
        <v>STELLAR</v>
      </c>
      <c r="AA416" s="176" t="str">
        <f t="shared" si="33"/>
        <v>Didn't Start</v>
      </c>
      <c r="AB416" s="192" t="e">
        <f t="shared" si="34"/>
        <v>#DIV/0!</v>
      </c>
    </row>
    <row r="417" spans="2:28" x14ac:dyDescent="0.3">
      <c r="B417" t="s">
        <v>3186</v>
      </c>
      <c r="C417" t="s">
        <v>346</v>
      </c>
      <c r="D417" t="s">
        <v>1624</v>
      </c>
      <c r="E417" t="s">
        <v>1624</v>
      </c>
      <c r="F417">
        <v>-17.8</v>
      </c>
      <c r="G417">
        <v>1</v>
      </c>
      <c r="H417">
        <v>0</v>
      </c>
      <c r="I417">
        <v>0</v>
      </c>
      <c r="J417">
        <v>0</v>
      </c>
      <c r="K417">
        <v>0</v>
      </c>
      <c r="L417">
        <v>0</v>
      </c>
      <c r="M417">
        <v>0</v>
      </c>
      <c r="N417">
        <v>1.3</v>
      </c>
      <c r="O417">
        <v>0</v>
      </c>
      <c r="P417">
        <v>0</v>
      </c>
      <c r="Q417">
        <v>0</v>
      </c>
      <c r="R417">
        <v>2</v>
      </c>
      <c r="S417">
        <v>1</v>
      </c>
      <c r="T417">
        <v>0</v>
      </c>
      <c r="U417">
        <v>2.5299999999999998</v>
      </c>
      <c r="V417">
        <v>0.75</v>
      </c>
      <c r="W417">
        <v>0</v>
      </c>
      <c r="Y417">
        <f t="shared" si="31"/>
        <v>2</v>
      </c>
      <c r="Z417" t="str">
        <f t="shared" si="32"/>
        <v>STELLAR</v>
      </c>
      <c r="AA417" s="176" t="str">
        <f t="shared" si="33"/>
        <v>Didn't Start</v>
      </c>
      <c r="AB417" s="192" t="e">
        <f t="shared" si="34"/>
        <v>#DIV/0!</v>
      </c>
    </row>
    <row r="418" spans="2:28" x14ac:dyDescent="0.3">
      <c r="B418" t="s">
        <v>394</v>
      </c>
      <c r="C418" t="s">
        <v>226</v>
      </c>
      <c r="D418" t="s">
        <v>1624</v>
      </c>
      <c r="E418" t="s">
        <v>1624</v>
      </c>
      <c r="F418">
        <v>-17.8</v>
      </c>
      <c r="G418">
        <v>20</v>
      </c>
      <c r="H418">
        <v>0</v>
      </c>
      <c r="I418">
        <v>0</v>
      </c>
      <c r="J418">
        <v>1</v>
      </c>
      <c r="K418">
        <v>2</v>
      </c>
      <c r="L418">
        <v>0</v>
      </c>
      <c r="M418">
        <v>2</v>
      </c>
      <c r="N418">
        <v>23</v>
      </c>
      <c r="O418">
        <v>24</v>
      </c>
      <c r="P418">
        <v>15</v>
      </c>
      <c r="Q418">
        <v>2</v>
      </c>
      <c r="R418">
        <v>29</v>
      </c>
      <c r="S418">
        <v>11</v>
      </c>
      <c r="T418">
        <v>5.87</v>
      </c>
      <c r="U418">
        <v>3.32</v>
      </c>
      <c r="V418">
        <v>1.52</v>
      </c>
      <c r="W418">
        <v>0.36699999999999999</v>
      </c>
      <c r="X418">
        <v>0</v>
      </c>
      <c r="Y418">
        <f t="shared" si="31"/>
        <v>2.6363636363636362</v>
      </c>
      <c r="Z418" t="str">
        <f t="shared" si="32"/>
        <v>STELLAR</v>
      </c>
      <c r="AA418" s="176" t="str">
        <f t="shared" si="33"/>
        <v>Didn't Start</v>
      </c>
      <c r="AB418" s="192" t="e">
        <f t="shared" si="34"/>
        <v>#DIV/0!</v>
      </c>
    </row>
    <row r="419" spans="2:28" x14ac:dyDescent="0.3">
      <c r="B419" t="s">
        <v>3086</v>
      </c>
      <c r="C419" t="s">
        <v>1523</v>
      </c>
      <c r="D419" t="s">
        <v>1624</v>
      </c>
      <c r="E419" t="s">
        <v>1624</v>
      </c>
      <c r="F419">
        <v>-17.8</v>
      </c>
      <c r="G419">
        <v>2</v>
      </c>
      <c r="H419">
        <v>0</v>
      </c>
      <c r="I419">
        <v>0</v>
      </c>
      <c r="J419">
        <v>0</v>
      </c>
      <c r="K419">
        <v>0</v>
      </c>
      <c r="L419">
        <v>0</v>
      </c>
      <c r="M419">
        <v>0</v>
      </c>
      <c r="N419">
        <v>1.3</v>
      </c>
      <c r="O419">
        <v>1</v>
      </c>
      <c r="P419">
        <v>0</v>
      </c>
      <c r="Q419">
        <v>0</v>
      </c>
      <c r="R419">
        <v>2</v>
      </c>
      <c r="S419">
        <v>0</v>
      </c>
      <c r="T419">
        <v>0</v>
      </c>
      <c r="U419">
        <v>0.28000000000000003</v>
      </c>
      <c r="V419">
        <v>0.75</v>
      </c>
      <c r="W419">
        <v>0.33300000000000002</v>
      </c>
      <c r="X419">
        <v>0</v>
      </c>
      <c r="Y419" t="str">
        <f t="shared" si="31"/>
        <v>STELLAR</v>
      </c>
      <c r="Z419" t="str">
        <f t="shared" si="32"/>
        <v>STELLAR</v>
      </c>
      <c r="AA419" s="176" t="str">
        <f t="shared" si="33"/>
        <v>Didn't Start</v>
      </c>
      <c r="AB419" s="192" t="e">
        <f t="shared" si="34"/>
        <v>#DIV/0!</v>
      </c>
    </row>
    <row r="420" spans="2:28" x14ac:dyDescent="0.3">
      <c r="B420" t="s">
        <v>1629</v>
      </c>
      <c r="C420" t="s">
        <v>264</v>
      </c>
      <c r="D420" t="s">
        <v>1624</v>
      </c>
      <c r="E420" t="s">
        <v>1624</v>
      </c>
      <c r="F420">
        <v>-17.899999999999999</v>
      </c>
      <c r="G420">
        <v>16</v>
      </c>
      <c r="H420">
        <v>0</v>
      </c>
      <c r="I420">
        <v>0</v>
      </c>
      <c r="J420">
        <v>0</v>
      </c>
      <c r="K420">
        <v>1</v>
      </c>
      <c r="L420">
        <v>1</v>
      </c>
      <c r="M420">
        <v>1</v>
      </c>
      <c r="N420">
        <v>14.3</v>
      </c>
      <c r="O420">
        <v>12</v>
      </c>
      <c r="P420">
        <v>6</v>
      </c>
      <c r="Q420">
        <v>2</v>
      </c>
      <c r="R420">
        <v>15</v>
      </c>
      <c r="S420">
        <v>11</v>
      </c>
      <c r="T420">
        <v>3.77</v>
      </c>
      <c r="U420">
        <v>5.3</v>
      </c>
      <c r="V420">
        <v>1.6</v>
      </c>
      <c r="W420">
        <v>0.27800000000000002</v>
      </c>
      <c r="X420">
        <v>14</v>
      </c>
      <c r="Y420">
        <f t="shared" si="31"/>
        <v>1.3636363636363635</v>
      </c>
      <c r="Z420" t="str">
        <f t="shared" si="32"/>
        <v>STELLAR</v>
      </c>
      <c r="AA420" s="176" t="str">
        <f t="shared" si="33"/>
        <v>Didn't Start</v>
      </c>
      <c r="AB420" s="192" t="e">
        <f t="shared" si="34"/>
        <v>#DIV/0!</v>
      </c>
    </row>
    <row r="421" spans="2:28" x14ac:dyDescent="0.3">
      <c r="B421" t="s">
        <v>3014</v>
      </c>
      <c r="C421" t="s">
        <v>339</v>
      </c>
      <c r="D421" t="s">
        <v>1624</v>
      </c>
      <c r="E421" t="s">
        <v>1624</v>
      </c>
      <c r="F421">
        <v>-17.899999999999999</v>
      </c>
      <c r="G421">
        <v>5</v>
      </c>
      <c r="H421">
        <v>0</v>
      </c>
      <c r="I421">
        <v>0</v>
      </c>
      <c r="J421">
        <v>2</v>
      </c>
      <c r="K421">
        <v>1</v>
      </c>
      <c r="L421">
        <v>0</v>
      </c>
      <c r="M421">
        <v>0</v>
      </c>
      <c r="N421">
        <v>9</v>
      </c>
      <c r="O421">
        <v>12</v>
      </c>
      <c r="P421">
        <v>9</v>
      </c>
      <c r="Q421">
        <v>1</v>
      </c>
      <c r="R421">
        <v>8</v>
      </c>
      <c r="S421">
        <v>4</v>
      </c>
      <c r="T421">
        <v>9</v>
      </c>
      <c r="U421">
        <v>4.6100000000000003</v>
      </c>
      <c r="V421">
        <v>1.78</v>
      </c>
      <c r="W421">
        <v>0.379</v>
      </c>
      <c r="X421">
        <v>0</v>
      </c>
      <c r="Y421">
        <f t="shared" si="31"/>
        <v>2</v>
      </c>
      <c r="Z421" t="str">
        <f t="shared" si="32"/>
        <v>STELLAR</v>
      </c>
      <c r="AA421" s="176" t="str">
        <f t="shared" si="33"/>
        <v>Didn't Start</v>
      </c>
      <c r="AB421" s="192" t="e">
        <f t="shared" si="34"/>
        <v>#DIV/0!</v>
      </c>
    </row>
    <row r="422" spans="2:28" x14ac:dyDescent="0.3">
      <c r="B422" t="s">
        <v>3364</v>
      </c>
      <c r="C422" t="s">
        <v>239</v>
      </c>
      <c r="D422" t="s">
        <v>1624</v>
      </c>
      <c r="E422" t="s">
        <v>1624</v>
      </c>
      <c r="F422">
        <v>-17.899999999999999</v>
      </c>
      <c r="G422">
        <v>3</v>
      </c>
      <c r="H422">
        <v>0</v>
      </c>
      <c r="I422">
        <v>0</v>
      </c>
      <c r="J422">
        <v>0</v>
      </c>
      <c r="K422">
        <v>0</v>
      </c>
      <c r="L422">
        <v>0</v>
      </c>
      <c r="M422">
        <v>0</v>
      </c>
      <c r="N422">
        <v>3.3</v>
      </c>
      <c r="O422">
        <v>3</v>
      </c>
      <c r="P422">
        <v>2</v>
      </c>
      <c r="Q422">
        <v>0</v>
      </c>
      <c r="R422">
        <v>5</v>
      </c>
      <c r="S422">
        <v>0</v>
      </c>
      <c r="T422">
        <v>5.4</v>
      </c>
      <c r="U422">
        <v>1.18</v>
      </c>
      <c r="V422">
        <v>0.9</v>
      </c>
      <c r="W422">
        <v>0.375</v>
      </c>
      <c r="X422">
        <v>1</v>
      </c>
      <c r="Y422" t="str">
        <f t="shared" si="31"/>
        <v>STELLAR</v>
      </c>
      <c r="Z422" t="str">
        <f t="shared" si="32"/>
        <v>STELLAR</v>
      </c>
      <c r="AA422" s="176" t="str">
        <f t="shared" si="33"/>
        <v>Didn't Start</v>
      </c>
      <c r="AB422" s="192" t="e">
        <f t="shared" si="34"/>
        <v>#DIV/0!</v>
      </c>
    </row>
    <row r="423" spans="2:28" x14ac:dyDescent="0.3">
      <c r="B423" t="s">
        <v>953</v>
      </c>
      <c r="C423" t="s">
        <v>255</v>
      </c>
      <c r="D423" t="s">
        <v>1623</v>
      </c>
      <c r="E423" t="s">
        <v>1623</v>
      </c>
      <c r="F423">
        <v>-17.899999999999999</v>
      </c>
      <c r="G423">
        <v>7</v>
      </c>
      <c r="H423">
        <v>6</v>
      </c>
      <c r="I423">
        <v>0</v>
      </c>
      <c r="J423">
        <v>1</v>
      </c>
      <c r="K423">
        <v>2</v>
      </c>
      <c r="L423">
        <v>0</v>
      </c>
      <c r="M423">
        <v>0</v>
      </c>
      <c r="N423">
        <v>30</v>
      </c>
      <c r="O423">
        <v>40</v>
      </c>
      <c r="P423">
        <v>18</v>
      </c>
      <c r="Q423">
        <v>7</v>
      </c>
      <c r="R423">
        <v>18</v>
      </c>
      <c r="S423">
        <v>11</v>
      </c>
      <c r="T423">
        <v>5.4</v>
      </c>
      <c r="U423">
        <v>6.51</v>
      </c>
      <c r="V423">
        <v>1.7</v>
      </c>
      <c r="W423">
        <v>0.34</v>
      </c>
      <c r="X423">
        <v>0</v>
      </c>
      <c r="Y423">
        <f t="shared" si="31"/>
        <v>1.6363636363636365</v>
      </c>
      <c r="Z423">
        <f t="shared" si="32"/>
        <v>3</v>
      </c>
      <c r="AA423" s="176">
        <f t="shared" si="33"/>
        <v>0.16666666666666666</v>
      </c>
      <c r="AB423" s="192" t="e">
        <f t="shared" si="34"/>
        <v>#DIV/0!</v>
      </c>
    </row>
    <row r="424" spans="2:28" x14ac:dyDescent="0.3">
      <c r="B424" t="s">
        <v>550</v>
      </c>
      <c r="C424" t="s">
        <v>239</v>
      </c>
      <c r="D424" t="s">
        <v>1624</v>
      </c>
      <c r="E424" t="s">
        <v>1624</v>
      </c>
      <c r="F424">
        <v>-18</v>
      </c>
      <c r="G424">
        <v>22</v>
      </c>
      <c r="H424">
        <v>0</v>
      </c>
      <c r="I424">
        <v>0</v>
      </c>
      <c r="J424">
        <v>0</v>
      </c>
      <c r="K424">
        <v>0</v>
      </c>
      <c r="L424">
        <v>0</v>
      </c>
      <c r="M424">
        <v>4</v>
      </c>
      <c r="N424">
        <v>19</v>
      </c>
      <c r="O424">
        <v>20</v>
      </c>
      <c r="P424">
        <v>9</v>
      </c>
      <c r="Q424">
        <v>4</v>
      </c>
      <c r="R424">
        <v>15</v>
      </c>
      <c r="S424">
        <v>4</v>
      </c>
      <c r="T424">
        <v>4.26</v>
      </c>
      <c r="U424">
        <v>5.23</v>
      </c>
      <c r="V424">
        <v>1.26</v>
      </c>
      <c r="W424">
        <v>0.30199999999999999</v>
      </c>
      <c r="X424">
        <v>0</v>
      </c>
      <c r="Y424">
        <f t="shared" si="31"/>
        <v>3.75</v>
      </c>
      <c r="Z424" t="str">
        <f t="shared" si="32"/>
        <v>STELLAR</v>
      </c>
      <c r="AA424" s="176" t="str">
        <f t="shared" si="33"/>
        <v>Didn't Start</v>
      </c>
      <c r="AB424" s="192" t="e">
        <f t="shared" si="34"/>
        <v>#DIV/0!</v>
      </c>
    </row>
    <row r="425" spans="2:28" x14ac:dyDescent="0.3">
      <c r="B425" t="s">
        <v>3365</v>
      </c>
      <c r="C425" t="s">
        <v>221</v>
      </c>
      <c r="D425" t="s">
        <v>1624</v>
      </c>
      <c r="E425" t="s">
        <v>1624</v>
      </c>
      <c r="F425">
        <v>-18</v>
      </c>
      <c r="G425">
        <v>2</v>
      </c>
      <c r="H425">
        <v>0</v>
      </c>
      <c r="I425">
        <v>0</v>
      </c>
      <c r="J425">
        <v>0</v>
      </c>
      <c r="K425">
        <v>0</v>
      </c>
      <c r="L425">
        <v>0</v>
      </c>
      <c r="M425">
        <v>1</v>
      </c>
      <c r="N425">
        <v>2</v>
      </c>
      <c r="O425">
        <v>1</v>
      </c>
      <c r="P425">
        <v>0</v>
      </c>
      <c r="Q425">
        <v>0</v>
      </c>
      <c r="R425">
        <v>1</v>
      </c>
      <c r="S425">
        <v>1</v>
      </c>
      <c r="T425">
        <v>0</v>
      </c>
      <c r="U425">
        <v>3.78</v>
      </c>
      <c r="V425">
        <v>1</v>
      </c>
      <c r="W425">
        <v>0.16700000000000001</v>
      </c>
      <c r="X425">
        <v>0</v>
      </c>
      <c r="Y425">
        <f t="shared" si="31"/>
        <v>1</v>
      </c>
      <c r="Z425" t="str">
        <f t="shared" si="32"/>
        <v>STELLAR</v>
      </c>
      <c r="AA425" s="176" t="str">
        <f t="shared" si="33"/>
        <v>Didn't Start</v>
      </c>
      <c r="AB425" s="192" t="e">
        <f t="shared" si="34"/>
        <v>#DIV/0!</v>
      </c>
    </row>
    <row r="426" spans="2:28" x14ac:dyDescent="0.3">
      <c r="B426" t="s">
        <v>3059</v>
      </c>
      <c r="C426" t="s">
        <v>270</v>
      </c>
      <c r="D426" t="s">
        <v>1623</v>
      </c>
      <c r="E426" t="s">
        <v>1623</v>
      </c>
      <c r="F426">
        <v>-18</v>
      </c>
      <c r="G426">
        <v>2</v>
      </c>
      <c r="H426">
        <v>1</v>
      </c>
      <c r="I426">
        <v>0</v>
      </c>
      <c r="J426">
        <v>0</v>
      </c>
      <c r="K426">
        <v>1</v>
      </c>
      <c r="L426">
        <v>0</v>
      </c>
      <c r="M426">
        <v>0</v>
      </c>
      <c r="N426">
        <v>7</v>
      </c>
      <c r="O426">
        <v>11</v>
      </c>
      <c r="P426">
        <v>8</v>
      </c>
      <c r="Q426">
        <v>1</v>
      </c>
      <c r="R426">
        <v>6</v>
      </c>
      <c r="S426">
        <v>4</v>
      </c>
      <c r="T426">
        <v>10.29</v>
      </c>
      <c r="U426">
        <v>5.14</v>
      </c>
      <c r="V426">
        <v>2.14</v>
      </c>
      <c r="W426">
        <v>0.4</v>
      </c>
      <c r="X426">
        <v>0</v>
      </c>
      <c r="Y426">
        <f>IFERROR(R592/S592,"STELLAR")</f>
        <v>0.54545454545454541</v>
      </c>
      <c r="Z426" t="str">
        <f>IFERROR(R592/H592,"STELLAR")</f>
        <v>STELLAR</v>
      </c>
      <c r="AA426" s="176" t="str">
        <f>IFERROR(J592/H592,"Didn't Start")</f>
        <v>Didn't Start</v>
      </c>
      <c r="AB426" s="192" t="e">
        <f t="shared" si="34"/>
        <v>#DIV/0!</v>
      </c>
    </row>
    <row r="427" spans="2:28" x14ac:dyDescent="0.3">
      <c r="B427" t="s">
        <v>488</v>
      </c>
      <c r="C427" t="s">
        <v>311</v>
      </c>
      <c r="D427" t="s">
        <v>1624</v>
      </c>
      <c r="E427" t="s">
        <v>1624</v>
      </c>
      <c r="F427">
        <v>-18.100000000000001</v>
      </c>
      <c r="G427">
        <v>15</v>
      </c>
      <c r="H427">
        <v>0</v>
      </c>
      <c r="I427">
        <v>0</v>
      </c>
      <c r="J427">
        <v>1</v>
      </c>
      <c r="K427">
        <v>0</v>
      </c>
      <c r="L427">
        <v>0</v>
      </c>
      <c r="M427">
        <v>1</v>
      </c>
      <c r="N427">
        <v>12.7</v>
      </c>
      <c r="O427">
        <v>12</v>
      </c>
      <c r="P427">
        <v>8</v>
      </c>
      <c r="Q427">
        <v>2</v>
      </c>
      <c r="R427">
        <v>14</v>
      </c>
      <c r="S427">
        <v>9</v>
      </c>
      <c r="T427">
        <v>5.68</v>
      </c>
      <c r="U427">
        <v>5.25</v>
      </c>
      <c r="V427">
        <v>1.66</v>
      </c>
      <c r="W427">
        <v>0.28599999999999998</v>
      </c>
      <c r="X427">
        <v>0</v>
      </c>
    </row>
    <row r="428" spans="2:28" x14ac:dyDescent="0.3">
      <c r="B428" t="s">
        <v>3366</v>
      </c>
      <c r="C428" t="s">
        <v>266</v>
      </c>
      <c r="D428" t="s">
        <v>1623</v>
      </c>
      <c r="E428" t="s">
        <v>1624</v>
      </c>
      <c r="F428">
        <v>-18.100000000000001</v>
      </c>
      <c r="G428">
        <v>2</v>
      </c>
      <c r="H428">
        <v>0</v>
      </c>
      <c r="I428">
        <v>0</v>
      </c>
      <c r="J428">
        <v>0</v>
      </c>
      <c r="K428">
        <v>0</v>
      </c>
      <c r="L428">
        <v>0</v>
      </c>
      <c r="M428">
        <v>0</v>
      </c>
      <c r="N428">
        <v>2</v>
      </c>
      <c r="O428">
        <v>5</v>
      </c>
      <c r="P428">
        <v>6</v>
      </c>
      <c r="Q428">
        <v>0</v>
      </c>
      <c r="R428">
        <v>2</v>
      </c>
      <c r="S428">
        <v>3</v>
      </c>
      <c r="T428">
        <v>27</v>
      </c>
      <c r="U428">
        <v>5.78</v>
      </c>
      <c r="V428">
        <v>4</v>
      </c>
      <c r="W428">
        <v>0.5</v>
      </c>
      <c r="X428">
        <v>0</v>
      </c>
    </row>
    <row r="429" spans="2:28" x14ac:dyDescent="0.3">
      <c r="B429" t="s">
        <v>3367</v>
      </c>
      <c r="C429" t="s">
        <v>234</v>
      </c>
      <c r="D429" t="s">
        <v>1624</v>
      </c>
      <c r="E429" t="s">
        <v>1624</v>
      </c>
      <c r="F429">
        <v>-18.100000000000001</v>
      </c>
      <c r="G429">
        <v>2</v>
      </c>
      <c r="H429">
        <v>0</v>
      </c>
      <c r="I429">
        <v>0</v>
      </c>
      <c r="J429">
        <v>0</v>
      </c>
      <c r="K429">
        <v>0</v>
      </c>
      <c r="L429">
        <v>0</v>
      </c>
      <c r="M429">
        <v>0</v>
      </c>
      <c r="N429">
        <v>1.3</v>
      </c>
      <c r="O429">
        <v>1</v>
      </c>
      <c r="P429">
        <v>0</v>
      </c>
      <c r="Q429">
        <v>0</v>
      </c>
      <c r="R429">
        <v>3</v>
      </c>
      <c r="S429">
        <v>1</v>
      </c>
      <c r="T429">
        <v>0</v>
      </c>
      <c r="U429">
        <v>1.03</v>
      </c>
      <c r="V429">
        <v>1.5</v>
      </c>
      <c r="W429">
        <v>0.5</v>
      </c>
      <c r="X429">
        <v>0</v>
      </c>
    </row>
    <row r="430" spans="2:28" x14ac:dyDescent="0.3">
      <c r="B430" t="s">
        <v>415</v>
      </c>
      <c r="C430" t="s">
        <v>231</v>
      </c>
      <c r="D430" t="s">
        <v>1624</v>
      </c>
      <c r="E430" t="s">
        <v>1624</v>
      </c>
      <c r="F430">
        <v>-18.2</v>
      </c>
      <c r="G430">
        <v>20</v>
      </c>
      <c r="H430">
        <v>1</v>
      </c>
      <c r="I430">
        <v>0</v>
      </c>
      <c r="J430">
        <v>1</v>
      </c>
      <c r="K430">
        <v>0</v>
      </c>
      <c r="L430">
        <v>2</v>
      </c>
      <c r="M430">
        <v>3</v>
      </c>
      <c r="N430">
        <v>23.3</v>
      </c>
      <c r="O430">
        <v>24</v>
      </c>
      <c r="P430">
        <v>14</v>
      </c>
      <c r="Q430">
        <v>3</v>
      </c>
      <c r="R430">
        <v>13</v>
      </c>
      <c r="S430">
        <v>11</v>
      </c>
      <c r="T430">
        <v>5.4</v>
      </c>
      <c r="U430">
        <v>5.25</v>
      </c>
      <c r="V430">
        <v>1.5</v>
      </c>
      <c r="W430">
        <v>0.3</v>
      </c>
      <c r="X430">
        <v>0</v>
      </c>
    </row>
    <row r="431" spans="2:28" x14ac:dyDescent="0.3">
      <c r="B431" t="s">
        <v>725</v>
      </c>
      <c r="C431" t="s">
        <v>325</v>
      </c>
      <c r="D431" t="s">
        <v>1624</v>
      </c>
      <c r="E431" t="s">
        <v>1624</v>
      </c>
      <c r="F431">
        <v>-18.2</v>
      </c>
      <c r="G431">
        <v>22</v>
      </c>
      <c r="H431">
        <v>0</v>
      </c>
      <c r="I431">
        <v>0</v>
      </c>
      <c r="J431">
        <v>0</v>
      </c>
      <c r="K431">
        <v>2</v>
      </c>
      <c r="L431">
        <v>0</v>
      </c>
      <c r="M431">
        <v>4</v>
      </c>
      <c r="N431">
        <v>17.3</v>
      </c>
      <c r="O431">
        <v>8</v>
      </c>
      <c r="P431">
        <v>10</v>
      </c>
      <c r="Q431">
        <v>0</v>
      </c>
      <c r="R431">
        <v>17</v>
      </c>
      <c r="S431">
        <v>13</v>
      </c>
      <c r="T431">
        <v>5.19</v>
      </c>
      <c r="U431">
        <v>4.43</v>
      </c>
      <c r="V431">
        <v>1.21</v>
      </c>
      <c r="W431">
        <v>0.19</v>
      </c>
      <c r="X431">
        <v>0</v>
      </c>
    </row>
    <row r="432" spans="2:28" x14ac:dyDescent="0.3">
      <c r="B432" t="s">
        <v>3276</v>
      </c>
      <c r="C432" t="s">
        <v>234</v>
      </c>
      <c r="D432" t="s">
        <v>1624</v>
      </c>
      <c r="E432" t="s">
        <v>1624</v>
      </c>
      <c r="F432">
        <v>-18.2</v>
      </c>
      <c r="G432">
        <v>3</v>
      </c>
      <c r="H432">
        <v>0</v>
      </c>
      <c r="I432">
        <v>0</v>
      </c>
      <c r="J432">
        <v>0</v>
      </c>
      <c r="K432">
        <v>0</v>
      </c>
      <c r="L432">
        <v>0</v>
      </c>
      <c r="M432">
        <v>0</v>
      </c>
      <c r="N432">
        <v>3</v>
      </c>
      <c r="O432">
        <v>1</v>
      </c>
      <c r="P432">
        <v>1</v>
      </c>
      <c r="Q432">
        <v>1</v>
      </c>
      <c r="R432">
        <v>2</v>
      </c>
      <c r="S432">
        <v>2</v>
      </c>
      <c r="T432">
        <v>3</v>
      </c>
      <c r="U432">
        <v>8.2799999999999994</v>
      </c>
      <c r="V432">
        <v>1</v>
      </c>
      <c r="W432">
        <v>0</v>
      </c>
      <c r="X432">
        <v>0</v>
      </c>
    </row>
    <row r="433" spans="2:24" x14ac:dyDescent="0.3">
      <c r="B433" t="s">
        <v>720</v>
      </c>
      <c r="C433" t="s">
        <v>270</v>
      </c>
      <c r="D433" t="s">
        <v>1624</v>
      </c>
      <c r="E433" t="s">
        <v>1624</v>
      </c>
      <c r="F433">
        <v>-18.3</v>
      </c>
      <c r="G433">
        <v>10</v>
      </c>
      <c r="H433">
        <v>0</v>
      </c>
      <c r="I433">
        <v>0</v>
      </c>
      <c r="J433">
        <v>1</v>
      </c>
      <c r="K433">
        <v>0</v>
      </c>
      <c r="L433">
        <v>0</v>
      </c>
      <c r="M433">
        <v>1</v>
      </c>
      <c r="N433">
        <v>13.7</v>
      </c>
      <c r="O433">
        <v>15</v>
      </c>
      <c r="P433">
        <v>10</v>
      </c>
      <c r="Q433">
        <v>1</v>
      </c>
      <c r="R433">
        <v>20</v>
      </c>
      <c r="S433">
        <v>8</v>
      </c>
      <c r="T433">
        <v>6.59</v>
      </c>
      <c r="U433">
        <v>3.06</v>
      </c>
      <c r="V433">
        <v>1.68</v>
      </c>
      <c r="W433">
        <v>0.4</v>
      </c>
      <c r="X433">
        <v>0</v>
      </c>
    </row>
    <row r="434" spans="2:24" x14ac:dyDescent="0.3">
      <c r="B434" t="s">
        <v>3012</v>
      </c>
      <c r="C434" t="s">
        <v>246</v>
      </c>
      <c r="D434" t="s">
        <v>1624</v>
      </c>
      <c r="E434" t="s">
        <v>1624</v>
      </c>
      <c r="F434">
        <v>-18.3</v>
      </c>
      <c r="G434">
        <v>3</v>
      </c>
      <c r="H434">
        <v>0</v>
      </c>
      <c r="I434">
        <v>0</v>
      </c>
      <c r="J434">
        <v>0</v>
      </c>
      <c r="K434">
        <v>0</v>
      </c>
      <c r="L434">
        <v>0</v>
      </c>
      <c r="M434">
        <v>0</v>
      </c>
      <c r="N434">
        <v>7</v>
      </c>
      <c r="O434">
        <v>7</v>
      </c>
      <c r="P434">
        <v>2</v>
      </c>
      <c r="Q434">
        <v>0</v>
      </c>
      <c r="R434">
        <v>3</v>
      </c>
      <c r="S434">
        <v>2</v>
      </c>
      <c r="T434">
        <v>2.57</v>
      </c>
      <c r="U434">
        <v>3.28</v>
      </c>
      <c r="V434">
        <v>1.29</v>
      </c>
      <c r="W434">
        <v>0.29199999999999998</v>
      </c>
      <c r="X434">
        <v>0</v>
      </c>
    </row>
    <row r="435" spans="2:24" x14ac:dyDescent="0.3">
      <c r="B435" t="s">
        <v>3368</v>
      </c>
      <c r="C435" t="s">
        <v>224</v>
      </c>
      <c r="D435" t="s">
        <v>1624</v>
      </c>
      <c r="E435" t="s">
        <v>1624</v>
      </c>
      <c r="F435">
        <v>-18.399999999999999</v>
      </c>
      <c r="G435">
        <v>1</v>
      </c>
      <c r="H435">
        <v>0</v>
      </c>
      <c r="I435">
        <v>0</v>
      </c>
      <c r="J435">
        <v>0</v>
      </c>
      <c r="K435">
        <v>0</v>
      </c>
      <c r="L435">
        <v>0</v>
      </c>
      <c r="M435">
        <v>0</v>
      </c>
      <c r="N435">
        <v>1</v>
      </c>
      <c r="O435">
        <v>1</v>
      </c>
      <c r="P435">
        <v>0</v>
      </c>
      <c r="Q435">
        <v>0</v>
      </c>
      <c r="R435">
        <v>1</v>
      </c>
      <c r="S435">
        <v>0</v>
      </c>
      <c r="T435">
        <v>0</v>
      </c>
      <c r="U435">
        <v>1.28</v>
      </c>
      <c r="V435">
        <v>1</v>
      </c>
      <c r="W435">
        <v>0.25</v>
      </c>
      <c r="X435">
        <v>0</v>
      </c>
    </row>
    <row r="436" spans="2:24" x14ac:dyDescent="0.3">
      <c r="B436" t="s">
        <v>3060</v>
      </c>
      <c r="C436" t="s">
        <v>286</v>
      </c>
      <c r="D436" t="s">
        <v>1624</v>
      </c>
      <c r="E436" t="s">
        <v>1624</v>
      </c>
      <c r="F436">
        <v>-18.399999999999999</v>
      </c>
      <c r="G436">
        <v>7</v>
      </c>
      <c r="H436">
        <v>0</v>
      </c>
      <c r="I436">
        <v>0</v>
      </c>
      <c r="J436">
        <v>1</v>
      </c>
      <c r="K436">
        <v>0</v>
      </c>
      <c r="L436">
        <v>0</v>
      </c>
      <c r="M436">
        <v>0</v>
      </c>
      <c r="N436">
        <v>8</v>
      </c>
      <c r="O436">
        <v>11</v>
      </c>
      <c r="P436">
        <v>5</v>
      </c>
      <c r="Q436">
        <v>1</v>
      </c>
      <c r="R436">
        <v>6</v>
      </c>
      <c r="S436">
        <v>3</v>
      </c>
      <c r="T436">
        <v>5.63</v>
      </c>
      <c r="U436">
        <v>4.53</v>
      </c>
      <c r="V436">
        <v>1.75</v>
      </c>
      <c r="W436">
        <v>0.38500000000000001</v>
      </c>
      <c r="X436">
        <v>0</v>
      </c>
    </row>
    <row r="437" spans="2:24" x14ac:dyDescent="0.3">
      <c r="B437" t="s">
        <v>3190</v>
      </c>
      <c r="C437" t="s">
        <v>1524</v>
      </c>
      <c r="D437" t="s">
        <v>1624</v>
      </c>
      <c r="E437" t="s">
        <v>1624</v>
      </c>
      <c r="F437">
        <v>-18.399999999999999</v>
      </c>
      <c r="G437">
        <v>2</v>
      </c>
      <c r="H437">
        <v>0</v>
      </c>
      <c r="I437">
        <v>0</v>
      </c>
      <c r="J437">
        <v>0</v>
      </c>
      <c r="K437">
        <v>0</v>
      </c>
      <c r="L437">
        <v>0</v>
      </c>
      <c r="M437">
        <v>0</v>
      </c>
      <c r="N437">
        <v>4</v>
      </c>
      <c r="O437">
        <v>3</v>
      </c>
      <c r="P437">
        <v>1</v>
      </c>
      <c r="Q437">
        <v>1</v>
      </c>
      <c r="R437">
        <v>2</v>
      </c>
      <c r="S437">
        <v>2</v>
      </c>
      <c r="T437">
        <v>2.25</v>
      </c>
      <c r="U437">
        <v>7.03</v>
      </c>
      <c r="V437">
        <v>1.25</v>
      </c>
      <c r="W437">
        <v>0.14299999999999999</v>
      </c>
      <c r="X437">
        <v>0</v>
      </c>
    </row>
    <row r="438" spans="2:24" x14ac:dyDescent="0.3">
      <c r="B438" t="s">
        <v>3011</v>
      </c>
      <c r="C438" t="s">
        <v>1520</v>
      </c>
      <c r="D438" t="s">
        <v>1624</v>
      </c>
      <c r="E438" t="s">
        <v>1624</v>
      </c>
      <c r="F438">
        <v>-18.5</v>
      </c>
      <c r="G438">
        <v>16</v>
      </c>
      <c r="H438">
        <v>1</v>
      </c>
      <c r="I438">
        <v>0</v>
      </c>
      <c r="J438">
        <v>1</v>
      </c>
      <c r="K438">
        <v>2</v>
      </c>
      <c r="L438">
        <v>0</v>
      </c>
      <c r="M438">
        <v>0</v>
      </c>
      <c r="N438">
        <v>17.7</v>
      </c>
      <c r="O438">
        <v>19</v>
      </c>
      <c r="P438">
        <v>14</v>
      </c>
      <c r="Q438">
        <v>4</v>
      </c>
      <c r="R438">
        <v>26</v>
      </c>
      <c r="S438">
        <v>8</v>
      </c>
      <c r="T438">
        <v>7.13</v>
      </c>
      <c r="U438">
        <v>4.6399999999999997</v>
      </c>
      <c r="V438">
        <v>1.53</v>
      </c>
      <c r="W438">
        <v>0.36599999999999999</v>
      </c>
      <c r="X438">
        <v>0</v>
      </c>
    </row>
    <row r="439" spans="2:24" x14ac:dyDescent="0.3">
      <c r="B439" t="s">
        <v>796</v>
      </c>
      <c r="C439" t="s">
        <v>255</v>
      </c>
      <c r="D439" t="s">
        <v>1624</v>
      </c>
      <c r="E439" t="s">
        <v>1624</v>
      </c>
      <c r="F439">
        <v>-18.5</v>
      </c>
      <c r="G439">
        <v>20</v>
      </c>
      <c r="H439">
        <v>0</v>
      </c>
      <c r="I439">
        <v>0</v>
      </c>
      <c r="J439">
        <v>0</v>
      </c>
      <c r="K439">
        <v>3</v>
      </c>
      <c r="L439">
        <v>0</v>
      </c>
      <c r="M439">
        <v>4</v>
      </c>
      <c r="N439">
        <v>20.7</v>
      </c>
      <c r="O439">
        <v>17</v>
      </c>
      <c r="P439">
        <v>11</v>
      </c>
      <c r="Q439">
        <v>2</v>
      </c>
      <c r="R439">
        <v>33</v>
      </c>
      <c r="S439">
        <v>17</v>
      </c>
      <c r="T439">
        <v>4.79</v>
      </c>
      <c r="U439">
        <v>4.0999999999999996</v>
      </c>
      <c r="V439">
        <v>1.65</v>
      </c>
      <c r="W439">
        <v>0.34899999999999998</v>
      </c>
      <c r="X439">
        <v>0</v>
      </c>
    </row>
    <row r="440" spans="2:24" x14ac:dyDescent="0.3">
      <c r="B440" t="s">
        <v>707</v>
      </c>
      <c r="C440" t="s">
        <v>222</v>
      </c>
      <c r="D440" t="s">
        <v>1624</v>
      </c>
      <c r="E440" t="s">
        <v>1624</v>
      </c>
      <c r="F440">
        <v>-18.600000000000001</v>
      </c>
      <c r="G440">
        <v>3</v>
      </c>
      <c r="H440">
        <v>0</v>
      </c>
      <c r="I440">
        <v>0</v>
      </c>
      <c r="J440">
        <v>0</v>
      </c>
      <c r="K440">
        <v>0</v>
      </c>
      <c r="L440">
        <v>0</v>
      </c>
      <c r="M440">
        <v>0</v>
      </c>
      <c r="N440">
        <v>8.3000000000000007</v>
      </c>
      <c r="O440">
        <v>6</v>
      </c>
      <c r="P440">
        <v>4</v>
      </c>
      <c r="Q440">
        <v>3</v>
      </c>
      <c r="R440">
        <v>4</v>
      </c>
      <c r="S440">
        <v>3</v>
      </c>
      <c r="T440">
        <v>4.32</v>
      </c>
      <c r="U440">
        <v>8.44</v>
      </c>
      <c r="V440">
        <v>1.08</v>
      </c>
      <c r="W440">
        <v>0.13</v>
      </c>
      <c r="X440">
        <v>0</v>
      </c>
    </row>
    <row r="441" spans="2:24" x14ac:dyDescent="0.3">
      <c r="B441" t="s">
        <v>712</v>
      </c>
      <c r="C441" t="s">
        <v>248</v>
      </c>
      <c r="D441" t="s">
        <v>1624</v>
      </c>
      <c r="E441" t="s">
        <v>1624</v>
      </c>
      <c r="F441">
        <v>-18.600000000000001</v>
      </c>
      <c r="G441">
        <v>18</v>
      </c>
      <c r="H441">
        <v>0</v>
      </c>
      <c r="I441">
        <v>0</v>
      </c>
      <c r="J441">
        <v>0</v>
      </c>
      <c r="K441">
        <v>0</v>
      </c>
      <c r="L441">
        <v>0</v>
      </c>
      <c r="M441">
        <v>0</v>
      </c>
      <c r="N441">
        <v>18.3</v>
      </c>
      <c r="O441">
        <v>20</v>
      </c>
      <c r="P441">
        <v>10</v>
      </c>
      <c r="Q441">
        <v>2</v>
      </c>
      <c r="R441">
        <v>22</v>
      </c>
      <c r="S441">
        <v>6</v>
      </c>
      <c r="T441">
        <v>4.91</v>
      </c>
      <c r="U441">
        <v>3.28</v>
      </c>
      <c r="V441">
        <v>1.42</v>
      </c>
      <c r="W441">
        <v>0.36</v>
      </c>
      <c r="X441">
        <v>0</v>
      </c>
    </row>
    <row r="442" spans="2:24" x14ac:dyDescent="0.3">
      <c r="B442" t="s">
        <v>1638</v>
      </c>
      <c r="C442" t="s">
        <v>278</v>
      </c>
      <c r="D442" t="s">
        <v>1624</v>
      </c>
      <c r="E442" t="s">
        <v>1624</v>
      </c>
      <c r="F442">
        <v>-18.600000000000001</v>
      </c>
      <c r="G442">
        <v>21</v>
      </c>
      <c r="H442">
        <v>0</v>
      </c>
      <c r="I442">
        <v>0</v>
      </c>
      <c r="J442">
        <v>1</v>
      </c>
      <c r="K442">
        <v>1</v>
      </c>
      <c r="L442">
        <v>0</v>
      </c>
      <c r="M442">
        <v>7</v>
      </c>
      <c r="N442">
        <v>18.3</v>
      </c>
      <c r="O442">
        <v>23</v>
      </c>
      <c r="P442">
        <v>7</v>
      </c>
      <c r="Q442">
        <v>0</v>
      </c>
      <c r="R442">
        <v>14</v>
      </c>
      <c r="S442">
        <v>10</v>
      </c>
      <c r="T442">
        <v>3.44</v>
      </c>
      <c r="U442">
        <v>3.55</v>
      </c>
      <c r="V442">
        <v>1.8</v>
      </c>
      <c r="W442">
        <v>0.377</v>
      </c>
      <c r="X442">
        <v>1</v>
      </c>
    </row>
    <row r="443" spans="2:24" x14ac:dyDescent="0.3">
      <c r="B443" t="s">
        <v>3262</v>
      </c>
      <c r="C443" t="s">
        <v>244</v>
      </c>
      <c r="D443" t="s">
        <v>1624</v>
      </c>
      <c r="E443" t="s">
        <v>1624</v>
      </c>
      <c r="F443">
        <v>-18.600000000000001</v>
      </c>
      <c r="G443">
        <v>7</v>
      </c>
      <c r="H443">
        <v>0</v>
      </c>
      <c r="I443">
        <v>0</v>
      </c>
      <c r="J443">
        <v>0</v>
      </c>
      <c r="K443">
        <v>0</v>
      </c>
      <c r="L443">
        <v>0</v>
      </c>
      <c r="M443">
        <v>0</v>
      </c>
      <c r="N443">
        <v>7.3</v>
      </c>
      <c r="O443">
        <v>7</v>
      </c>
      <c r="P443">
        <v>3</v>
      </c>
      <c r="Q443">
        <v>0</v>
      </c>
      <c r="R443">
        <v>4</v>
      </c>
      <c r="S443">
        <v>2</v>
      </c>
      <c r="T443">
        <v>3.68</v>
      </c>
      <c r="U443">
        <v>3.01</v>
      </c>
      <c r="V443">
        <v>1.23</v>
      </c>
      <c r="W443">
        <v>0.25900000000000001</v>
      </c>
      <c r="X443">
        <v>0</v>
      </c>
    </row>
    <row r="444" spans="2:24" x14ac:dyDescent="0.3">
      <c r="B444" t="s">
        <v>668</v>
      </c>
      <c r="C444" t="s">
        <v>248</v>
      </c>
      <c r="D444" t="s">
        <v>1624</v>
      </c>
      <c r="E444" t="s">
        <v>1624</v>
      </c>
      <c r="F444">
        <v>-18.7</v>
      </c>
      <c r="G444">
        <v>17</v>
      </c>
      <c r="H444">
        <v>0</v>
      </c>
      <c r="I444">
        <v>0</v>
      </c>
      <c r="J444">
        <v>0</v>
      </c>
      <c r="K444">
        <v>1</v>
      </c>
      <c r="L444">
        <v>2</v>
      </c>
      <c r="M444">
        <v>1</v>
      </c>
      <c r="N444">
        <v>14.7</v>
      </c>
      <c r="O444">
        <v>13</v>
      </c>
      <c r="P444">
        <v>9</v>
      </c>
      <c r="Q444">
        <v>3</v>
      </c>
      <c r="R444">
        <v>13</v>
      </c>
      <c r="S444">
        <v>9</v>
      </c>
      <c r="T444">
        <v>5.52</v>
      </c>
      <c r="U444">
        <v>6.21</v>
      </c>
      <c r="V444">
        <v>1.5</v>
      </c>
      <c r="W444">
        <v>0.25600000000000001</v>
      </c>
      <c r="X444">
        <v>8</v>
      </c>
    </row>
    <row r="445" spans="2:24" x14ac:dyDescent="0.3">
      <c r="B445" t="s">
        <v>2027</v>
      </c>
      <c r="C445" t="s">
        <v>231</v>
      </c>
      <c r="D445" t="s">
        <v>1624</v>
      </c>
      <c r="E445" t="s">
        <v>1624</v>
      </c>
      <c r="F445">
        <v>-18.7</v>
      </c>
      <c r="G445">
        <v>16</v>
      </c>
      <c r="H445">
        <v>0</v>
      </c>
      <c r="I445">
        <v>0</v>
      </c>
      <c r="J445">
        <v>0</v>
      </c>
      <c r="K445">
        <v>2</v>
      </c>
      <c r="L445">
        <v>0</v>
      </c>
      <c r="M445">
        <v>6</v>
      </c>
      <c r="N445">
        <v>12.3</v>
      </c>
      <c r="O445">
        <v>11</v>
      </c>
      <c r="P445">
        <v>6</v>
      </c>
      <c r="Q445">
        <v>2</v>
      </c>
      <c r="R445">
        <v>14</v>
      </c>
      <c r="S445">
        <v>7</v>
      </c>
      <c r="T445">
        <v>4.38</v>
      </c>
      <c r="U445">
        <v>4.82</v>
      </c>
      <c r="V445">
        <v>1.46</v>
      </c>
      <c r="W445">
        <v>0.3</v>
      </c>
      <c r="X445">
        <v>0</v>
      </c>
    </row>
    <row r="446" spans="2:24" x14ac:dyDescent="0.3">
      <c r="B446" t="s">
        <v>3369</v>
      </c>
      <c r="C446" t="s">
        <v>286</v>
      </c>
      <c r="D446" t="s">
        <v>1624</v>
      </c>
      <c r="E446" t="s">
        <v>1624</v>
      </c>
      <c r="F446">
        <v>-18.7</v>
      </c>
      <c r="G446">
        <v>2</v>
      </c>
      <c r="H446">
        <v>0</v>
      </c>
      <c r="I446">
        <v>0</v>
      </c>
      <c r="J446">
        <v>0</v>
      </c>
      <c r="K446">
        <v>0</v>
      </c>
      <c r="L446">
        <v>0</v>
      </c>
      <c r="M446">
        <v>2</v>
      </c>
      <c r="N446">
        <v>1.3</v>
      </c>
      <c r="O446">
        <v>0</v>
      </c>
      <c r="P446">
        <v>1</v>
      </c>
      <c r="Q446">
        <v>0</v>
      </c>
      <c r="R446">
        <v>2</v>
      </c>
      <c r="S446">
        <v>1</v>
      </c>
      <c r="T446">
        <v>6.75</v>
      </c>
      <c r="U446">
        <v>2.5299999999999998</v>
      </c>
      <c r="V446">
        <v>0.75</v>
      </c>
      <c r="W446">
        <v>0</v>
      </c>
      <c r="X446">
        <v>0</v>
      </c>
    </row>
    <row r="447" spans="2:24" x14ac:dyDescent="0.3">
      <c r="B447" t="s">
        <v>636</v>
      </c>
      <c r="C447" t="s">
        <v>1522</v>
      </c>
      <c r="D447" t="s">
        <v>1624</v>
      </c>
      <c r="E447" t="s">
        <v>1624</v>
      </c>
      <c r="F447">
        <v>-18.8</v>
      </c>
      <c r="G447">
        <v>16</v>
      </c>
      <c r="H447">
        <v>0</v>
      </c>
      <c r="I447">
        <v>0</v>
      </c>
      <c r="J447">
        <v>1</v>
      </c>
      <c r="K447">
        <v>1</v>
      </c>
      <c r="L447">
        <v>0</v>
      </c>
      <c r="M447">
        <v>3</v>
      </c>
      <c r="N447">
        <v>15</v>
      </c>
      <c r="O447">
        <v>12</v>
      </c>
      <c r="P447">
        <v>11</v>
      </c>
      <c r="Q447">
        <v>2</v>
      </c>
      <c r="R447">
        <v>9</v>
      </c>
      <c r="S447">
        <v>7</v>
      </c>
      <c r="T447">
        <v>6.6</v>
      </c>
      <c r="U447">
        <v>5.61</v>
      </c>
      <c r="V447">
        <v>1.27</v>
      </c>
      <c r="W447">
        <v>0.21299999999999999</v>
      </c>
      <c r="X447">
        <v>0</v>
      </c>
    </row>
    <row r="448" spans="2:24" x14ac:dyDescent="0.3">
      <c r="B448" t="s">
        <v>3370</v>
      </c>
      <c r="C448" t="s">
        <v>266</v>
      </c>
      <c r="D448" t="s">
        <v>1623</v>
      </c>
      <c r="E448" t="s">
        <v>1623</v>
      </c>
      <c r="F448">
        <v>-18.8</v>
      </c>
      <c r="G448">
        <v>2</v>
      </c>
      <c r="H448">
        <v>2</v>
      </c>
      <c r="I448">
        <v>0</v>
      </c>
      <c r="J448">
        <v>0</v>
      </c>
      <c r="K448">
        <v>2</v>
      </c>
      <c r="L448">
        <v>0</v>
      </c>
      <c r="M448">
        <v>0</v>
      </c>
      <c r="N448">
        <v>8.6999999999999993</v>
      </c>
      <c r="O448">
        <v>13</v>
      </c>
      <c r="P448">
        <v>9</v>
      </c>
      <c r="Q448">
        <v>1</v>
      </c>
      <c r="R448">
        <v>6</v>
      </c>
      <c r="S448">
        <v>5</v>
      </c>
      <c r="T448">
        <v>9.35</v>
      </c>
      <c r="U448">
        <v>5.47</v>
      </c>
      <c r="V448">
        <v>2.08</v>
      </c>
      <c r="W448">
        <v>0.41399999999999998</v>
      </c>
      <c r="X448">
        <v>0</v>
      </c>
    </row>
    <row r="449" spans="2:24" x14ac:dyDescent="0.3">
      <c r="B449" t="s">
        <v>3183</v>
      </c>
      <c r="C449" t="s">
        <v>1524</v>
      </c>
      <c r="D449" t="s">
        <v>1624</v>
      </c>
      <c r="E449" t="s">
        <v>1624</v>
      </c>
      <c r="F449">
        <v>-18.899999999999999</v>
      </c>
      <c r="G449">
        <v>11</v>
      </c>
      <c r="H449">
        <v>0</v>
      </c>
      <c r="I449">
        <v>0</v>
      </c>
      <c r="J449">
        <v>0</v>
      </c>
      <c r="K449">
        <v>0</v>
      </c>
      <c r="L449">
        <v>0</v>
      </c>
      <c r="M449">
        <v>1</v>
      </c>
      <c r="N449">
        <v>13</v>
      </c>
      <c r="O449">
        <v>14</v>
      </c>
      <c r="P449">
        <v>7</v>
      </c>
      <c r="Q449">
        <v>3</v>
      </c>
      <c r="R449">
        <v>10</v>
      </c>
      <c r="S449">
        <v>2</v>
      </c>
      <c r="T449">
        <v>4.8499999999999996</v>
      </c>
      <c r="U449">
        <v>5.2</v>
      </c>
      <c r="V449">
        <v>1.23</v>
      </c>
      <c r="W449">
        <v>0.29699999999999999</v>
      </c>
      <c r="X449">
        <v>0</v>
      </c>
    </row>
    <row r="450" spans="2:24" x14ac:dyDescent="0.3">
      <c r="B450" t="s">
        <v>418</v>
      </c>
      <c r="C450" t="s">
        <v>231</v>
      </c>
      <c r="D450" t="s">
        <v>1624</v>
      </c>
      <c r="E450" t="s">
        <v>1624</v>
      </c>
      <c r="F450">
        <v>-19</v>
      </c>
      <c r="G450">
        <v>9</v>
      </c>
      <c r="H450">
        <v>0</v>
      </c>
      <c r="I450">
        <v>0</v>
      </c>
      <c r="J450">
        <v>1</v>
      </c>
      <c r="K450">
        <v>0</v>
      </c>
      <c r="L450">
        <v>0</v>
      </c>
      <c r="M450">
        <v>2</v>
      </c>
      <c r="N450">
        <v>7.7</v>
      </c>
      <c r="O450">
        <v>8</v>
      </c>
      <c r="P450">
        <v>6</v>
      </c>
      <c r="Q450">
        <v>0</v>
      </c>
      <c r="R450">
        <v>6</v>
      </c>
      <c r="S450">
        <v>5</v>
      </c>
      <c r="T450">
        <v>7.04</v>
      </c>
      <c r="U450">
        <v>3.67</v>
      </c>
      <c r="V450">
        <v>1.7</v>
      </c>
      <c r="W450">
        <v>0.33300000000000002</v>
      </c>
      <c r="X450">
        <v>0</v>
      </c>
    </row>
    <row r="451" spans="2:24" x14ac:dyDescent="0.3">
      <c r="B451" t="s">
        <v>573</v>
      </c>
      <c r="C451" t="s">
        <v>235</v>
      </c>
      <c r="D451" t="s">
        <v>1624</v>
      </c>
      <c r="E451" t="s">
        <v>1624</v>
      </c>
      <c r="F451">
        <v>-19</v>
      </c>
      <c r="G451">
        <v>11</v>
      </c>
      <c r="H451">
        <v>0</v>
      </c>
      <c r="I451">
        <v>0</v>
      </c>
      <c r="J451">
        <v>1</v>
      </c>
      <c r="K451">
        <v>1</v>
      </c>
      <c r="L451">
        <v>1</v>
      </c>
      <c r="M451">
        <v>0</v>
      </c>
      <c r="N451">
        <v>20</v>
      </c>
      <c r="O451">
        <v>25</v>
      </c>
      <c r="P451">
        <v>14</v>
      </c>
      <c r="Q451">
        <v>1</v>
      </c>
      <c r="R451">
        <v>21</v>
      </c>
      <c r="S451">
        <v>7</v>
      </c>
      <c r="T451">
        <v>6.3</v>
      </c>
      <c r="U451">
        <v>3.18</v>
      </c>
      <c r="V451">
        <v>1.6</v>
      </c>
      <c r="W451">
        <v>0.41399999999999998</v>
      </c>
      <c r="X451">
        <v>0</v>
      </c>
    </row>
    <row r="452" spans="2:24" x14ac:dyDescent="0.3">
      <c r="B452" t="s">
        <v>3020</v>
      </c>
      <c r="C452" t="s">
        <v>244</v>
      </c>
      <c r="D452" t="s">
        <v>1624</v>
      </c>
      <c r="E452" t="s">
        <v>1624</v>
      </c>
      <c r="F452">
        <v>-19</v>
      </c>
      <c r="G452">
        <v>1</v>
      </c>
      <c r="H452">
        <v>0</v>
      </c>
      <c r="I452">
        <v>0</v>
      </c>
      <c r="J452">
        <v>0</v>
      </c>
      <c r="K452">
        <v>0</v>
      </c>
      <c r="L452">
        <v>0</v>
      </c>
      <c r="M452">
        <v>0</v>
      </c>
      <c r="N452">
        <v>1</v>
      </c>
      <c r="O452">
        <v>1</v>
      </c>
      <c r="P452">
        <v>0</v>
      </c>
      <c r="Q452">
        <v>0</v>
      </c>
      <c r="R452">
        <v>1</v>
      </c>
      <c r="S452">
        <v>1</v>
      </c>
      <c r="T452">
        <v>0</v>
      </c>
      <c r="U452">
        <v>4.28</v>
      </c>
      <c r="V452">
        <v>2</v>
      </c>
      <c r="W452">
        <v>0.25</v>
      </c>
      <c r="X452">
        <v>0</v>
      </c>
    </row>
    <row r="453" spans="2:24" x14ac:dyDescent="0.3">
      <c r="B453" t="s">
        <v>691</v>
      </c>
      <c r="C453" t="s">
        <v>339</v>
      </c>
      <c r="D453" t="s">
        <v>1624</v>
      </c>
      <c r="E453" t="s">
        <v>1624</v>
      </c>
      <c r="F453">
        <v>-19.2</v>
      </c>
      <c r="G453">
        <v>11</v>
      </c>
      <c r="H453">
        <v>0</v>
      </c>
      <c r="I453">
        <v>0</v>
      </c>
      <c r="J453">
        <v>0</v>
      </c>
      <c r="K453">
        <v>0</v>
      </c>
      <c r="L453">
        <v>0</v>
      </c>
      <c r="M453">
        <v>2</v>
      </c>
      <c r="N453">
        <v>13</v>
      </c>
      <c r="O453">
        <v>10</v>
      </c>
      <c r="P453">
        <v>7</v>
      </c>
      <c r="Q453">
        <v>2</v>
      </c>
      <c r="R453">
        <v>7</v>
      </c>
      <c r="S453">
        <v>5</v>
      </c>
      <c r="T453">
        <v>4.8499999999999996</v>
      </c>
      <c r="U453">
        <v>5.36</v>
      </c>
      <c r="V453">
        <v>1.1499999999999999</v>
      </c>
      <c r="W453">
        <v>0.21099999999999999</v>
      </c>
      <c r="X453">
        <v>0</v>
      </c>
    </row>
    <row r="454" spans="2:24" x14ac:dyDescent="0.3">
      <c r="B454" t="s">
        <v>3275</v>
      </c>
      <c r="C454" t="s">
        <v>339</v>
      </c>
      <c r="D454" t="s">
        <v>1624</v>
      </c>
      <c r="E454" t="s">
        <v>1624</v>
      </c>
      <c r="F454">
        <v>-19.2</v>
      </c>
      <c r="G454">
        <v>2</v>
      </c>
      <c r="H454">
        <v>0</v>
      </c>
      <c r="I454">
        <v>0</v>
      </c>
      <c r="J454">
        <v>0</v>
      </c>
      <c r="K454">
        <v>0</v>
      </c>
      <c r="L454">
        <v>0</v>
      </c>
      <c r="M454">
        <v>0</v>
      </c>
      <c r="N454">
        <v>3.7</v>
      </c>
      <c r="O454">
        <v>5</v>
      </c>
      <c r="P454">
        <v>1</v>
      </c>
      <c r="Q454">
        <v>0</v>
      </c>
      <c r="R454">
        <v>2</v>
      </c>
      <c r="S454">
        <v>1</v>
      </c>
      <c r="T454">
        <v>2.4500000000000002</v>
      </c>
      <c r="U454">
        <v>3.82</v>
      </c>
      <c r="V454">
        <v>1.64</v>
      </c>
      <c r="W454">
        <v>0.38500000000000001</v>
      </c>
    </row>
    <row r="455" spans="2:24" x14ac:dyDescent="0.3">
      <c r="B455" t="s">
        <v>414</v>
      </c>
      <c r="C455" t="s">
        <v>278</v>
      </c>
      <c r="D455" t="s">
        <v>1624</v>
      </c>
      <c r="E455" t="s">
        <v>1624</v>
      </c>
      <c r="F455">
        <v>-19.2</v>
      </c>
      <c r="G455">
        <v>13</v>
      </c>
      <c r="H455">
        <v>0</v>
      </c>
      <c r="I455">
        <v>0</v>
      </c>
      <c r="J455">
        <v>1</v>
      </c>
      <c r="K455">
        <v>1</v>
      </c>
      <c r="L455">
        <v>0</v>
      </c>
      <c r="M455">
        <v>3</v>
      </c>
      <c r="N455">
        <v>10.7</v>
      </c>
      <c r="O455">
        <v>15</v>
      </c>
      <c r="P455">
        <v>7</v>
      </c>
      <c r="Q455">
        <v>1</v>
      </c>
      <c r="R455">
        <v>10</v>
      </c>
      <c r="S455">
        <v>4</v>
      </c>
      <c r="T455">
        <v>5.91</v>
      </c>
      <c r="U455">
        <v>3.75</v>
      </c>
      <c r="V455">
        <v>1.78</v>
      </c>
      <c r="W455">
        <v>0.4</v>
      </c>
      <c r="X455">
        <v>0</v>
      </c>
    </row>
    <row r="456" spans="2:24" x14ac:dyDescent="0.3">
      <c r="B456" t="s">
        <v>537</v>
      </c>
      <c r="C456" t="s">
        <v>221</v>
      </c>
      <c r="D456" t="s">
        <v>1624</v>
      </c>
      <c r="E456" t="s">
        <v>1624</v>
      </c>
      <c r="F456">
        <v>-19.3</v>
      </c>
      <c r="G456">
        <v>19</v>
      </c>
      <c r="H456">
        <v>0</v>
      </c>
      <c r="I456">
        <v>0</v>
      </c>
      <c r="J456">
        <v>1</v>
      </c>
      <c r="K456">
        <v>0</v>
      </c>
      <c r="L456">
        <v>0</v>
      </c>
      <c r="M456">
        <v>2</v>
      </c>
      <c r="N456">
        <v>20</v>
      </c>
      <c r="O456">
        <v>24</v>
      </c>
      <c r="P456">
        <v>13</v>
      </c>
      <c r="Q456">
        <v>4</v>
      </c>
      <c r="R456">
        <v>12</v>
      </c>
      <c r="S456">
        <v>3</v>
      </c>
      <c r="T456">
        <v>5.85</v>
      </c>
      <c r="U456">
        <v>5.43</v>
      </c>
      <c r="V456">
        <v>1.35</v>
      </c>
      <c r="W456">
        <v>0.312</v>
      </c>
      <c r="X456">
        <v>0</v>
      </c>
    </row>
    <row r="457" spans="2:24" x14ac:dyDescent="0.3">
      <c r="B457" t="s">
        <v>1742</v>
      </c>
      <c r="C457" t="s">
        <v>325</v>
      </c>
      <c r="D457" t="s">
        <v>1624</v>
      </c>
      <c r="E457" t="s">
        <v>1624</v>
      </c>
      <c r="F457">
        <v>-19.3</v>
      </c>
      <c r="G457">
        <v>8</v>
      </c>
      <c r="H457">
        <v>0</v>
      </c>
      <c r="I457">
        <v>0</v>
      </c>
      <c r="J457">
        <v>1</v>
      </c>
      <c r="K457">
        <v>1</v>
      </c>
      <c r="L457">
        <v>0</v>
      </c>
      <c r="M457">
        <v>0</v>
      </c>
      <c r="N457">
        <v>10</v>
      </c>
      <c r="O457">
        <v>11</v>
      </c>
      <c r="P457">
        <v>7</v>
      </c>
      <c r="Q457">
        <v>1</v>
      </c>
      <c r="R457">
        <v>6</v>
      </c>
      <c r="S457">
        <v>5</v>
      </c>
      <c r="T457">
        <v>6.3</v>
      </c>
      <c r="U457">
        <v>5.18</v>
      </c>
      <c r="V457">
        <v>1.6</v>
      </c>
      <c r="W457">
        <v>0.32300000000000001</v>
      </c>
      <c r="X457">
        <v>0</v>
      </c>
    </row>
    <row r="458" spans="2:24" x14ac:dyDescent="0.3">
      <c r="B458" t="s">
        <v>723</v>
      </c>
      <c r="C458" t="s">
        <v>1524</v>
      </c>
      <c r="D458" t="s">
        <v>1624</v>
      </c>
      <c r="E458" t="s">
        <v>1624</v>
      </c>
      <c r="F458">
        <v>-19.3</v>
      </c>
      <c r="G458">
        <v>12</v>
      </c>
      <c r="H458">
        <v>0</v>
      </c>
      <c r="I458">
        <v>0</v>
      </c>
      <c r="J458">
        <v>0</v>
      </c>
      <c r="K458">
        <v>0</v>
      </c>
      <c r="L458">
        <v>0</v>
      </c>
      <c r="M458">
        <v>0</v>
      </c>
      <c r="N458">
        <v>16.7</v>
      </c>
      <c r="O458">
        <v>9</v>
      </c>
      <c r="P458">
        <v>9</v>
      </c>
      <c r="Q458">
        <v>3</v>
      </c>
      <c r="R458">
        <v>16</v>
      </c>
      <c r="S458">
        <v>14</v>
      </c>
      <c r="T458">
        <v>4.8600000000000003</v>
      </c>
      <c r="U458">
        <v>6.22</v>
      </c>
      <c r="V458">
        <v>1.38</v>
      </c>
      <c r="W458">
        <v>0.16200000000000001</v>
      </c>
      <c r="X458">
        <v>0</v>
      </c>
    </row>
    <row r="459" spans="2:24" x14ac:dyDescent="0.3">
      <c r="B459" t="s">
        <v>1631</v>
      </c>
      <c r="C459" t="s">
        <v>325</v>
      </c>
      <c r="D459" t="s">
        <v>1624</v>
      </c>
      <c r="E459" t="s">
        <v>1624</v>
      </c>
      <c r="F459">
        <v>-19.3</v>
      </c>
      <c r="G459">
        <v>7</v>
      </c>
      <c r="H459">
        <v>0</v>
      </c>
      <c r="I459">
        <v>0</v>
      </c>
      <c r="J459">
        <v>0</v>
      </c>
      <c r="K459">
        <v>0</v>
      </c>
      <c r="L459">
        <v>1</v>
      </c>
      <c r="M459">
        <v>0</v>
      </c>
      <c r="N459">
        <v>6.7</v>
      </c>
      <c r="O459">
        <v>4</v>
      </c>
      <c r="P459">
        <v>4</v>
      </c>
      <c r="Q459">
        <v>2</v>
      </c>
      <c r="R459">
        <v>4</v>
      </c>
      <c r="S459">
        <v>6</v>
      </c>
      <c r="T459">
        <v>5.4</v>
      </c>
      <c r="U459">
        <v>8.68</v>
      </c>
      <c r="V459">
        <v>1.5</v>
      </c>
      <c r="W459">
        <v>0.111</v>
      </c>
      <c r="X459">
        <v>1</v>
      </c>
    </row>
    <row r="460" spans="2:24" x14ac:dyDescent="0.3">
      <c r="B460" t="s">
        <v>3191</v>
      </c>
      <c r="C460" t="s">
        <v>278</v>
      </c>
      <c r="D460" t="s">
        <v>1624</v>
      </c>
      <c r="E460" t="s">
        <v>1624</v>
      </c>
      <c r="F460">
        <v>-19.399999999999999</v>
      </c>
      <c r="G460">
        <v>1</v>
      </c>
      <c r="H460">
        <v>0</v>
      </c>
      <c r="I460">
        <v>0</v>
      </c>
      <c r="J460">
        <v>0</v>
      </c>
      <c r="K460">
        <v>0</v>
      </c>
      <c r="L460">
        <v>0</v>
      </c>
      <c r="M460">
        <v>0</v>
      </c>
      <c r="N460">
        <v>3</v>
      </c>
      <c r="O460">
        <v>5</v>
      </c>
      <c r="P460">
        <v>2</v>
      </c>
      <c r="Q460">
        <v>1</v>
      </c>
      <c r="R460">
        <v>7</v>
      </c>
      <c r="S460">
        <v>1</v>
      </c>
      <c r="T460">
        <v>6</v>
      </c>
      <c r="U460">
        <v>3.94</v>
      </c>
      <c r="V460">
        <v>2</v>
      </c>
      <c r="W460">
        <v>0.66700000000000004</v>
      </c>
      <c r="X460">
        <v>7</v>
      </c>
    </row>
    <row r="461" spans="2:24" x14ac:dyDescent="0.3">
      <c r="B461" t="s">
        <v>627</v>
      </c>
      <c r="C461" t="s">
        <v>234</v>
      </c>
      <c r="D461" t="s">
        <v>1624</v>
      </c>
      <c r="E461" t="s">
        <v>1624</v>
      </c>
      <c r="F461">
        <v>-19.5</v>
      </c>
      <c r="G461">
        <v>24</v>
      </c>
      <c r="H461">
        <v>0</v>
      </c>
      <c r="I461">
        <v>0</v>
      </c>
      <c r="J461">
        <v>1</v>
      </c>
      <c r="K461">
        <v>2</v>
      </c>
      <c r="L461">
        <v>0</v>
      </c>
      <c r="M461">
        <v>7</v>
      </c>
      <c r="N461">
        <v>22.7</v>
      </c>
      <c r="O461">
        <v>26</v>
      </c>
      <c r="P461">
        <v>16</v>
      </c>
      <c r="Q461">
        <v>3</v>
      </c>
      <c r="R461">
        <v>27</v>
      </c>
      <c r="S461">
        <v>9</v>
      </c>
      <c r="T461">
        <v>6.35</v>
      </c>
      <c r="U461">
        <v>3.94</v>
      </c>
      <c r="V461">
        <v>1.54</v>
      </c>
      <c r="W461">
        <v>0.35899999999999999</v>
      </c>
      <c r="X461">
        <v>0</v>
      </c>
    </row>
    <row r="462" spans="2:24" x14ac:dyDescent="0.3">
      <c r="B462" t="s">
        <v>3371</v>
      </c>
      <c r="C462" t="s">
        <v>1709</v>
      </c>
      <c r="D462" t="s">
        <v>1624</v>
      </c>
      <c r="E462" t="s">
        <v>1624</v>
      </c>
      <c r="F462">
        <v>-19.5</v>
      </c>
      <c r="G462">
        <v>4</v>
      </c>
      <c r="H462">
        <v>0</v>
      </c>
      <c r="I462">
        <v>0</v>
      </c>
      <c r="J462">
        <v>0</v>
      </c>
      <c r="K462">
        <v>0</v>
      </c>
      <c r="L462">
        <v>0</v>
      </c>
      <c r="M462">
        <v>0</v>
      </c>
      <c r="N462">
        <v>5.3</v>
      </c>
      <c r="O462">
        <v>2</v>
      </c>
      <c r="P462">
        <v>3</v>
      </c>
      <c r="Q462">
        <v>0</v>
      </c>
      <c r="R462">
        <v>4</v>
      </c>
      <c r="S462">
        <v>5</v>
      </c>
      <c r="T462">
        <v>5.0599999999999996</v>
      </c>
      <c r="U462">
        <v>4.59</v>
      </c>
      <c r="V462">
        <v>1.31</v>
      </c>
      <c r="W462">
        <v>0.154</v>
      </c>
      <c r="X462">
        <v>0</v>
      </c>
    </row>
    <row r="463" spans="2:24" x14ac:dyDescent="0.3">
      <c r="B463" t="s">
        <v>3372</v>
      </c>
      <c r="C463" t="s">
        <v>311</v>
      </c>
      <c r="D463" t="s">
        <v>1623</v>
      </c>
      <c r="E463" t="s">
        <v>1623</v>
      </c>
      <c r="F463">
        <v>-19.5</v>
      </c>
      <c r="G463">
        <v>3</v>
      </c>
      <c r="H463">
        <v>3</v>
      </c>
      <c r="I463">
        <v>0</v>
      </c>
      <c r="J463">
        <v>0</v>
      </c>
      <c r="K463">
        <v>1</v>
      </c>
      <c r="L463">
        <v>0</v>
      </c>
      <c r="M463">
        <v>0</v>
      </c>
      <c r="N463">
        <v>11</v>
      </c>
      <c r="O463">
        <v>17</v>
      </c>
      <c r="P463">
        <v>12</v>
      </c>
      <c r="Q463">
        <v>1</v>
      </c>
      <c r="R463">
        <v>13</v>
      </c>
      <c r="S463">
        <v>5</v>
      </c>
      <c r="T463">
        <v>9.82</v>
      </c>
      <c r="U463">
        <v>3.46</v>
      </c>
      <c r="V463">
        <v>2</v>
      </c>
      <c r="W463">
        <v>0.45700000000000002</v>
      </c>
      <c r="X463">
        <v>48</v>
      </c>
    </row>
    <row r="464" spans="2:24" x14ac:dyDescent="0.3">
      <c r="B464" t="s">
        <v>1635</v>
      </c>
      <c r="C464" t="s">
        <v>264</v>
      </c>
      <c r="D464" t="s">
        <v>1624</v>
      </c>
      <c r="E464" t="s">
        <v>1624</v>
      </c>
      <c r="F464">
        <v>-19.600000000000001</v>
      </c>
      <c r="G464">
        <v>21</v>
      </c>
      <c r="H464">
        <v>0</v>
      </c>
      <c r="I464">
        <v>0</v>
      </c>
      <c r="J464">
        <v>1</v>
      </c>
      <c r="K464">
        <v>1</v>
      </c>
      <c r="L464">
        <v>0</v>
      </c>
      <c r="M464">
        <v>8</v>
      </c>
      <c r="N464">
        <v>17.7</v>
      </c>
      <c r="O464">
        <v>18</v>
      </c>
      <c r="P464">
        <v>13</v>
      </c>
      <c r="Q464">
        <v>4</v>
      </c>
      <c r="R464">
        <v>19</v>
      </c>
      <c r="S464">
        <v>9</v>
      </c>
      <c r="T464">
        <v>6.62</v>
      </c>
      <c r="U464">
        <v>6.11</v>
      </c>
      <c r="V464">
        <v>1.53</v>
      </c>
      <c r="W464">
        <v>0.311</v>
      </c>
      <c r="X464">
        <v>1</v>
      </c>
    </row>
    <row r="465" spans="2:24" x14ac:dyDescent="0.3">
      <c r="B465" t="s">
        <v>3274</v>
      </c>
      <c r="C465" t="s">
        <v>251</v>
      </c>
      <c r="D465" t="s">
        <v>1624</v>
      </c>
      <c r="E465" t="s">
        <v>1624</v>
      </c>
      <c r="F465">
        <v>-19.600000000000001</v>
      </c>
      <c r="G465">
        <v>6</v>
      </c>
      <c r="H465">
        <v>0</v>
      </c>
      <c r="I465">
        <v>0</v>
      </c>
      <c r="J465">
        <v>0</v>
      </c>
      <c r="K465">
        <v>0</v>
      </c>
      <c r="L465">
        <v>0</v>
      </c>
      <c r="M465">
        <v>4</v>
      </c>
      <c r="N465">
        <v>4</v>
      </c>
      <c r="O465">
        <v>3</v>
      </c>
      <c r="P465">
        <v>3</v>
      </c>
      <c r="Q465">
        <v>0</v>
      </c>
      <c r="R465">
        <v>6</v>
      </c>
      <c r="S465">
        <v>3</v>
      </c>
      <c r="T465">
        <v>6.75</v>
      </c>
      <c r="U465">
        <v>2.5299999999999998</v>
      </c>
      <c r="V465">
        <v>1.5</v>
      </c>
      <c r="W465">
        <v>0.33300000000000002</v>
      </c>
      <c r="X465">
        <v>0</v>
      </c>
    </row>
    <row r="466" spans="2:24" x14ac:dyDescent="0.3">
      <c r="B466" t="s">
        <v>3188</v>
      </c>
      <c r="C466" t="s">
        <v>224</v>
      </c>
      <c r="D466" t="s">
        <v>1624</v>
      </c>
      <c r="E466" t="s">
        <v>1624</v>
      </c>
      <c r="F466">
        <v>-19.600000000000001</v>
      </c>
      <c r="G466">
        <v>3</v>
      </c>
      <c r="H466">
        <v>0</v>
      </c>
      <c r="I466">
        <v>0</v>
      </c>
      <c r="J466">
        <v>0</v>
      </c>
      <c r="K466">
        <v>0</v>
      </c>
      <c r="L466">
        <v>0</v>
      </c>
      <c r="M466">
        <v>0</v>
      </c>
      <c r="N466">
        <v>4</v>
      </c>
      <c r="O466">
        <v>5</v>
      </c>
      <c r="P466">
        <v>2</v>
      </c>
      <c r="Q466">
        <v>1</v>
      </c>
      <c r="R466">
        <v>5</v>
      </c>
      <c r="S466">
        <v>2</v>
      </c>
      <c r="T466">
        <v>4.5</v>
      </c>
      <c r="U466">
        <v>5.53</v>
      </c>
      <c r="V466">
        <v>1.75</v>
      </c>
      <c r="W466">
        <v>0.4</v>
      </c>
      <c r="X466">
        <v>0</v>
      </c>
    </row>
    <row r="467" spans="2:24" x14ac:dyDescent="0.3">
      <c r="B467" t="s">
        <v>3266</v>
      </c>
      <c r="C467" t="s">
        <v>246</v>
      </c>
      <c r="D467" t="s">
        <v>1624</v>
      </c>
      <c r="E467" t="s">
        <v>1624</v>
      </c>
      <c r="F467">
        <v>-19.7</v>
      </c>
      <c r="G467">
        <v>2</v>
      </c>
      <c r="H467">
        <v>0</v>
      </c>
      <c r="I467">
        <v>0</v>
      </c>
      <c r="J467">
        <v>0</v>
      </c>
      <c r="K467">
        <v>0</v>
      </c>
      <c r="L467">
        <v>0</v>
      </c>
      <c r="M467">
        <v>0</v>
      </c>
      <c r="N467">
        <v>2.7</v>
      </c>
      <c r="O467">
        <v>4</v>
      </c>
      <c r="P467">
        <v>1</v>
      </c>
      <c r="Q467">
        <v>0</v>
      </c>
      <c r="R467">
        <v>2</v>
      </c>
      <c r="S467">
        <v>1</v>
      </c>
      <c r="T467">
        <v>3.38</v>
      </c>
      <c r="U467">
        <v>2.9</v>
      </c>
      <c r="V467">
        <v>1.87</v>
      </c>
      <c r="W467">
        <v>0.4</v>
      </c>
      <c r="X467">
        <v>0</v>
      </c>
    </row>
    <row r="468" spans="2:24" x14ac:dyDescent="0.3">
      <c r="B468" t="s">
        <v>3373</v>
      </c>
      <c r="C468" t="s">
        <v>243</v>
      </c>
      <c r="D468" t="s">
        <v>1624</v>
      </c>
      <c r="E468" t="s">
        <v>1624</v>
      </c>
      <c r="F468">
        <v>-19.7</v>
      </c>
      <c r="G468">
        <v>3</v>
      </c>
      <c r="H468">
        <v>0</v>
      </c>
      <c r="I468">
        <v>0</v>
      </c>
      <c r="J468">
        <v>0</v>
      </c>
      <c r="K468">
        <v>0</v>
      </c>
      <c r="L468">
        <v>0</v>
      </c>
      <c r="M468">
        <v>0</v>
      </c>
      <c r="N468">
        <v>2</v>
      </c>
      <c r="O468">
        <v>1</v>
      </c>
      <c r="P468">
        <v>1</v>
      </c>
      <c r="Q468">
        <v>0</v>
      </c>
      <c r="R468">
        <v>0</v>
      </c>
      <c r="S468">
        <v>2</v>
      </c>
      <c r="T468">
        <v>4.5</v>
      </c>
      <c r="U468">
        <v>6.28</v>
      </c>
      <c r="V468">
        <v>1.5</v>
      </c>
      <c r="W468">
        <v>0.14299999999999999</v>
      </c>
      <c r="X468">
        <v>0</v>
      </c>
    </row>
    <row r="469" spans="2:24" x14ac:dyDescent="0.3">
      <c r="B469" t="s">
        <v>3271</v>
      </c>
      <c r="C469" t="s">
        <v>286</v>
      </c>
      <c r="D469" t="s">
        <v>1623</v>
      </c>
      <c r="E469" t="s">
        <v>1623</v>
      </c>
      <c r="F469">
        <v>-19.7</v>
      </c>
      <c r="G469">
        <v>4</v>
      </c>
      <c r="H469">
        <v>4</v>
      </c>
      <c r="I469">
        <v>0</v>
      </c>
      <c r="J469">
        <v>0</v>
      </c>
      <c r="K469">
        <v>1</v>
      </c>
      <c r="L469">
        <v>0</v>
      </c>
      <c r="M469">
        <v>0</v>
      </c>
      <c r="N469">
        <v>20</v>
      </c>
      <c r="O469">
        <v>23</v>
      </c>
      <c r="P469">
        <v>17</v>
      </c>
      <c r="Q469">
        <v>7</v>
      </c>
      <c r="R469">
        <v>14</v>
      </c>
      <c r="S469">
        <v>8</v>
      </c>
      <c r="T469">
        <v>7.65</v>
      </c>
      <c r="U469">
        <v>7.63</v>
      </c>
      <c r="V469">
        <v>1.55</v>
      </c>
      <c r="W469">
        <v>0.27100000000000002</v>
      </c>
      <c r="X469">
        <v>93</v>
      </c>
    </row>
    <row r="470" spans="2:24" x14ac:dyDescent="0.3">
      <c r="B470" t="s">
        <v>583</v>
      </c>
      <c r="C470" t="s">
        <v>248</v>
      </c>
      <c r="D470" t="s">
        <v>1624</v>
      </c>
      <c r="E470" t="s">
        <v>1624</v>
      </c>
      <c r="F470">
        <v>-19.8</v>
      </c>
      <c r="G470">
        <v>5</v>
      </c>
      <c r="H470">
        <v>1</v>
      </c>
      <c r="I470">
        <v>0</v>
      </c>
      <c r="J470">
        <v>0</v>
      </c>
      <c r="K470">
        <v>2</v>
      </c>
      <c r="L470">
        <v>0</v>
      </c>
      <c r="M470">
        <v>0</v>
      </c>
      <c r="N470">
        <v>17.7</v>
      </c>
      <c r="O470">
        <v>15</v>
      </c>
      <c r="P470">
        <v>10</v>
      </c>
      <c r="Q470">
        <v>3</v>
      </c>
      <c r="R470">
        <v>10</v>
      </c>
      <c r="S470">
        <v>6</v>
      </c>
      <c r="T470">
        <v>5.09</v>
      </c>
      <c r="U470">
        <v>5.37</v>
      </c>
      <c r="V470">
        <v>1.19</v>
      </c>
      <c r="W470">
        <v>0.23499999999999999</v>
      </c>
      <c r="X470">
        <v>0</v>
      </c>
    </row>
    <row r="471" spans="2:24" x14ac:dyDescent="0.3">
      <c r="B471" t="s">
        <v>670</v>
      </c>
      <c r="C471" t="s">
        <v>339</v>
      </c>
      <c r="D471" t="s">
        <v>1624</v>
      </c>
      <c r="E471" t="s">
        <v>1624</v>
      </c>
      <c r="F471">
        <v>-19.8</v>
      </c>
      <c r="G471">
        <v>10</v>
      </c>
      <c r="H471">
        <v>0</v>
      </c>
      <c r="I471">
        <v>0</v>
      </c>
      <c r="J471">
        <v>0</v>
      </c>
      <c r="K471">
        <v>0</v>
      </c>
      <c r="L471">
        <v>0</v>
      </c>
      <c r="M471">
        <v>0</v>
      </c>
      <c r="N471">
        <v>20.3</v>
      </c>
      <c r="O471">
        <v>19</v>
      </c>
      <c r="P471">
        <v>10</v>
      </c>
      <c r="Q471">
        <v>3</v>
      </c>
      <c r="R471">
        <v>21</v>
      </c>
      <c r="S471">
        <v>12</v>
      </c>
      <c r="T471">
        <v>4.43</v>
      </c>
      <c r="U471">
        <v>5.2</v>
      </c>
      <c r="V471">
        <v>1.52</v>
      </c>
      <c r="W471">
        <v>0.30199999999999999</v>
      </c>
      <c r="X471">
        <v>0</v>
      </c>
    </row>
    <row r="472" spans="2:24" x14ac:dyDescent="0.3">
      <c r="B472" t="s">
        <v>739</v>
      </c>
      <c r="C472" t="s">
        <v>221</v>
      </c>
      <c r="D472" t="s">
        <v>1624</v>
      </c>
      <c r="E472" t="s">
        <v>1624</v>
      </c>
      <c r="F472">
        <v>-19.8</v>
      </c>
      <c r="G472">
        <v>6</v>
      </c>
      <c r="H472">
        <v>0</v>
      </c>
      <c r="I472">
        <v>0</v>
      </c>
      <c r="J472">
        <v>0</v>
      </c>
      <c r="K472">
        <v>0</v>
      </c>
      <c r="L472">
        <v>0</v>
      </c>
      <c r="M472">
        <v>0</v>
      </c>
      <c r="N472">
        <v>7.3</v>
      </c>
      <c r="O472">
        <v>6</v>
      </c>
      <c r="P472">
        <v>3</v>
      </c>
      <c r="Q472">
        <v>0</v>
      </c>
      <c r="R472">
        <v>6</v>
      </c>
      <c r="S472">
        <v>6</v>
      </c>
      <c r="T472">
        <v>3.68</v>
      </c>
      <c r="U472">
        <v>4.91</v>
      </c>
      <c r="V472">
        <v>1.64</v>
      </c>
      <c r="W472">
        <v>0.316</v>
      </c>
      <c r="X472">
        <v>0</v>
      </c>
    </row>
    <row r="473" spans="2:24" x14ac:dyDescent="0.3">
      <c r="B473" t="s">
        <v>3131</v>
      </c>
      <c r="C473" t="s">
        <v>239</v>
      </c>
      <c r="D473" t="s">
        <v>1624</v>
      </c>
      <c r="E473" t="s">
        <v>1624</v>
      </c>
      <c r="F473">
        <v>-19.899999999999999</v>
      </c>
      <c r="G473">
        <v>1</v>
      </c>
      <c r="H473">
        <v>0</v>
      </c>
      <c r="I473">
        <v>0</v>
      </c>
      <c r="J473">
        <v>0</v>
      </c>
      <c r="K473">
        <v>0</v>
      </c>
      <c r="L473">
        <v>0</v>
      </c>
      <c r="M473">
        <v>0</v>
      </c>
      <c r="N473">
        <v>0.3</v>
      </c>
      <c r="O473">
        <v>2</v>
      </c>
      <c r="P473">
        <v>0</v>
      </c>
      <c r="Q473">
        <v>0</v>
      </c>
      <c r="R473">
        <v>0</v>
      </c>
      <c r="S473">
        <v>0</v>
      </c>
      <c r="T473">
        <v>0</v>
      </c>
      <c r="U473">
        <v>0</v>
      </c>
      <c r="V473">
        <v>6.01</v>
      </c>
      <c r="W473">
        <v>0.66700000000000004</v>
      </c>
      <c r="X473">
        <v>0</v>
      </c>
    </row>
    <row r="474" spans="2:24" x14ac:dyDescent="0.3">
      <c r="B474" t="s">
        <v>919</v>
      </c>
      <c r="C474" t="s">
        <v>286</v>
      </c>
      <c r="D474" t="s">
        <v>1624</v>
      </c>
      <c r="E474" t="s">
        <v>1624</v>
      </c>
      <c r="F474">
        <v>-19.899999999999999</v>
      </c>
      <c r="G474">
        <v>3</v>
      </c>
      <c r="H474">
        <v>0</v>
      </c>
      <c r="I474">
        <v>0</v>
      </c>
      <c r="J474">
        <v>0</v>
      </c>
      <c r="K474">
        <v>0</v>
      </c>
      <c r="L474">
        <v>0</v>
      </c>
      <c r="M474">
        <v>0</v>
      </c>
      <c r="N474">
        <v>4.3</v>
      </c>
      <c r="O474">
        <v>3</v>
      </c>
      <c r="P474">
        <v>3</v>
      </c>
      <c r="Q474">
        <v>2</v>
      </c>
      <c r="R474">
        <v>4</v>
      </c>
      <c r="S474">
        <v>3</v>
      </c>
      <c r="T474">
        <v>6.23</v>
      </c>
      <c r="U474">
        <v>9.51</v>
      </c>
      <c r="V474">
        <v>1.38</v>
      </c>
      <c r="W474">
        <v>0.111</v>
      </c>
      <c r="X474">
        <v>0</v>
      </c>
    </row>
    <row r="475" spans="2:24" x14ac:dyDescent="0.3">
      <c r="B475" t="s">
        <v>3374</v>
      </c>
      <c r="C475" t="s">
        <v>325</v>
      </c>
      <c r="D475" t="s">
        <v>1624</v>
      </c>
      <c r="E475" t="s">
        <v>1624</v>
      </c>
      <c r="F475">
        <v>-20</v>
      </c>
      <c r="G475">
        <v>2</v>
      </c>
      <c r="H475">
        <v>0</v>
      </c>
      <c r="I475">
        <v>0</v>
      </c>
      <c r="J475">
        <v>0</v>
      </c>
      <c r="K475">
        <v>0</v>
      </c>
      <c r="L475">
        <v>0</v>
      </c>
      <c r="M475">
        <v>0</v>
      </c>
      <c r="N475">
        <v>3.3</v>
      </c>
      <c r="O475">
        <v>4</v>
      </c>
      <c r="P475">
        <v>3</v>
      </c>
      <c r="Q475">
        <v>2</v>
      </c>
      <c r="R475">
        <v>3</v>
      </c>
      <c r="S475">
        <v>0</v>
      </c>
      <c r="T475">
        <v>8.1</v>
      </c>
      <c r="U475">
        <v>9.2799999999999994</v>
      </c>
      <c r="V475">
        <v>1.2</v>
      </c>
      <c r="W475">
        <v>0.222</v>
      </c>
      <c r="X475">
        <v>0</v>
      </c>
    </row>
    <row r="476" spans="2:24" x14ac:dyDescent="0.3">
      <c r="B476" t="s">
        <v>382</v>
      </c>
      <c r="C476" t="s">
        <v>274</v>
      </c>
      <c r="D476" t="s">
        <v>1623</v>
      </c>
      <c r="E476" t="s">
        <v>1623</v>
      </c>
      <c r="F476">
        <v>-20</v>
      </c>
      <c r="G476">
        <v>4</v>
      </c>
      <c r="H476">
        <v>4</v>
      </c>
      <c r="I476">
        <v>0</v>
      </c>
      <c r="J476">
        <v>0</v>
      </c>
      <c r="K476">
        <v>4</v>
      </c>
      <c r="L476">
        <v>0</v>
      </c>
      <c r="M476">
        <v>0</v>
      </c>
      <c r="N476">
        <v>16</v>
      </c>
      <c r="O476">
        <v>23</v>
      </c>
      <c r="P476">
        <v>16</v>
      </c>
      <c r="Q476">
        <v>3</v>
      </c>
      <c r="R476">
        <v>14</v>
      </c>
      <c r="S476">
        <v>3</v>
      </c>
      <c r="T476">
        <v>9</v>
      </c>
      <c r="U476">
        <v>4.53</v>
      </c>
      <c r="V476">
        <v>1.63</v>
      </c>
      <c r="W476">
        <v>0.377</v>
      </c>
      <c r="X476">
        <v>6</v>
      </c>
    </row>
    <row r="477" spans="2:24" x14ac:dyDescent="0.3">
      <c r="B477" t="s">
        <v>3375</v>
      </c>
      <c r="C477" t="s">
        <v>264</v>
      </c>
      <c r="D477" t="s">
        <v>1624</v>
      </c>
      <c r="E477" t="s">
        <v>1624</v>
      </c>
      <c r="F477">
        <v>-20</v>
      </c>
      <c r="G477">
        <v>4</v>
      </c>
      <c r="H477">
        <v>0</v>
      </c>
      <c r="I477">
        <v>0</v>
      </c>
      <c r="J477">
        <v>0</v>
      </c>
      <c r="K477">
        <v>0</v>
      </c>
      <c r="L477">
        <v>0</v>
      </c>
      <c r="M477">
        <v>0</v>
      </c>
      <c r="N477">
        <v>2.7</v>
      </c>
      <c r="O477">
        <v>3</v>
      </c>
      <c r="P477">
        <v>2</v>
      </c>
      <c r="Q477">
        <v>1</v>
      </c>
      <c r="R477">
        <v>2</v>
      </c>
      <c r="S477">
        <v>1</v>
      </c>
      <c r="T477">
        <v>6.75</v>
      </c>
      <c r="U477">
        <v>7.78</v>
      </c>
      <c r="V477">
        <v>1.5</v>
      </c>
      <c r="W477">
        <v>0.222</v>
      </c>
      <c r="X477">
        <v>1</v>
      </c>
    </row>
    <row r="478" spans="2:24" x14ac:dyDescent="0.3">
      <c r="B478" t="s">
        <v>834</v>
      </c>
      <c r="C478" t="s">
        <v>1520</v>
      </c>
      <c r="D478" t="s">
        <v>1624</v>
      </c>
      <c r="E478" t="s">
        <v>1624</v>
      </c>
      <c r="F478">
        <v>-20.100000000000001</v>
      </c>
      <c r="G478">
        <v>21</v>
      </c>
      <c r="H478">
        <v>0</v>
      </c>
      <c r="I478">
        <v>0</v>
      </c>
      <c r="J478">
        <v>0</v>
      </c>
      <c r="K478">
        <v>0</v>
      </c>
      <c r="L478">
        <v>0</v>
      </c>
      <c r="M478">
        <v>0</v>
      </c>
      <c r="N478">
        <v>19</v>
      </c>
      <c r="O478">
        <v>20</v>
      </c>
      <c r="P478">
        <v>7</v>
      </c>
      <c r="Q478">
        <v>2</v>
      </c>
      <c r="R478">
        <v>21</v>
      </c>
      <c r="S478">
        <v>14</v>
      </c>
      <c r="T478">
        <v>3.32</v>
      </c>
      <c r="U478">
        <v>4.6500000000000004</v>
      </c>
      <c r="V478">
        <v>1.79</v>
      </c>
      <c r="W478">
        <v>0.36699999999999999</v>
      </c>
      <c r="X478">
        <v>0</v>
      </c>
    </row>
    <row r="479" spans="2:24" x14ac:dyDescent="0.3">
      <c r="B479" t="s">
        <v>519</v>
      </c>
      <c r="C479" t="s">
        <v>235</v>
      </c>
      <c r="D479" t="s">
        <v>1624</v>
      </c>
      <c r="E479" t="s">
        <v>1624</v>
      </c>
      <c r="F479">
        <v>-20.100000000000001</v>
      </c>
      <c r="G479">
        <v>12</v>
      </c>
      <c r="H479">
        <v>0</v>
      </c>
      <c r="I479">
        <v>0</v>
      </c>
      <c r="J479">
        <v>0</v>
      </c>
      <c r="K479">
        <v>2</v>
      </c>
      <c r="L479">
        <v>0</v>
      </c>
      <c r="M479">
        <v>4</v>
      </c>
      <c r="N479">
        <v>12.3</v>
      </c>
      <c r="O479">
        <v>14</v>
      </c>
      <c r="P479">
        <v>6</v>
      </c>
      <c r="Q479">
        <v>2</v>
      </c>
      <c r="R479">
        <v>9</v>
      </c>
      <c r="S479">
        <v>4</v>
      </c>
      <c r="T479">
        <v>4.38</v>
      </c>
      <c r="U479">
        <v>5.14</v>
      </c>
      <c r="V479">
        <v>1.46</v>
      </c>
      <c r="W479">
        <v>0.316</v>
      </c>
      <c r="X479">
        <v>1</v>
      </c>
    </row>
    <row r="480" spans="2:24" x14ac:dyDescent="0.3">
      <c r="B480" t="s">
        <v>3197</v>
      </c>
      <c r="C480" t="s">
        <v>264</v>
      </c>
      <c r="D480" t="s">
        <v>1624</v>
      </c>
      <c r="E480" t="s">
        <v>1624</v>
      </c>
      <c r="F480">
        <v>-20.100000000000001</v>
      </c>
      <c r="G480">
        <v>4</v>
      </c>
      <c r="H480">
        <v>0</v>
      </c>
      <c r="I480">
        <v>0</v>
      </c>
      <c r="J480">
        <v>0</v>
      </c>
      <c r="K480">
        <v>0</v>
      </c>
      <c r="L480">
        <v>0</v>
      </c>
      <c r="M480">
        <v>0</v>
      </c>
      <c r="N480">
        <v>4</v>
      </c>
      <c r="O480">
        <v>4</v>
      </c>
      <c r="P480">
        <v>2</v>
      </c>
      <c r="Q480">
        <v>1</v>
      </c>
      <c r="R480">
        <v>1</v>
      </c>
      <c r="S480">
        <v>2</v>
      </c>
      <c r="T480">
        <v>4.5</v>
      </c>
      <c r="U480">
        <v>7.53</v>
      </c>
      <c r="V480">
        <v>1.5</v>
      </c>
      <c r="W480">
        <v>0.214</v>
      </c>
      <c r="X480">
        <v>0</v>
      </c>
    </row>
    <row r="481" spans="2:24" x14ac:dyDescent="0.3">
      <c r="B481" t="s">
        <v>3106</v>
      </c>
      <c r="C481" t="s">
        <v>311</v>
      </c>
      <c r="D481" t="s">
        <v>1624</v>
      </c>
      <c r="E481" t="s">
        <v>1624</v>
      </c>
      <c r="F481">
        <v>-20.2</v>
      </c>
      <c r="G481">
        <v>1</v>
      </c>
      <c r="H481">
        <v>1</v>
      </c>
      <c r="I481">
        <v>0</v>
      </c>
      <c r="J481">
        <v>0</v>
      </c>
      <c r="K481">
        <v>0</v>
      </c>
      <c r="L481">
        <v>0</v>
      </c>
      <c r="M481">
        <v>0</v>
      </c>
      <c r="N481">
        <v>4.3</v>
      </c>
      <c r="O481">
        <v>5</v>
      </c>
      <c r="P481">
        <v>3</v>
      </c>
      <c r="Q481">
        <v>0</v>
      </c>
      <c r="R481">
        <v>5</v>
      </c>
      <c r="S481">
        <v>2</v>
      </c>
      <c r="T481">
        <v>6.23</v>
      </c>
      <c r="U481">
        <v>2.36</v>
      </c>
      <c r="V481">
        <v>1.62</v>
      </c>
      <c r="W481">
        <v>0.38500000000000001</v>
      </c>
      <c r="X481">
        <v>0</v>
      </c>
    </row>
    <row r="482" spans="2:24" x14ac:dyDescent="0.3">
      <c r="B482" t="s">
        <v>398</v>
      </c>
      <c r="C482" t="s">
        <v>226</v>
      </c>
      <c r="D482" t="s">
        <v>1623</v>
      </c>
      <c r="E482" t="s">
        <v>1623</v>
      </c>
      <c r="F482">
        <v>-20.2</v>
      </c>
      <c r="G482">
        <v>4</v>
      </c>
      <c r="H482">
        <v>4</v>
      </c>
      <c r="I482">
        <v>0</v>
      </c>
      <c r="J482">
        <v>0</v>
      </c>
      <c r="K482">
        <v>1</v>
      </c>
      <c r="L482">
        <v>0</v>
      </c>
      <c r="M482">
        <v>0</v>
      </c>
      <c r="N482">
        <v>16</v>
      </c>
      <c r="O482">
        <v>21</v>
      </c>
      <c r="P482">
        <v>15</v>
      </c>
      <c r="Q482">
        <v>2</v>
      </c>
      <c r="R482">
        <v>14</v>
      </c>
      <c r="S482">
        <v>7</v>
      </c>
      <c r="T482">
        <v>8.44</v>
      </c>
      <c r="U482">
        <v>4.6500000000000004</v>
      </c>
      <c r="V482">
        <v>1.75</v>
      </c>
      <c r="W482">
        <v>0.373</v>
      </c>
      <c r="X482">
        <v>1</v>
      </c>
    </row>
    <row r="483" spans="2:24" x14ac:dyDescent="0.3">
      <c r="B483" t="s">
        <v>3175</v>
      </c>
      <c r="C483" t="s">
        <v>231</v>
      </c>
      <c r="D483" t="s">
        <v>1624</v>
      </c>
      <c r="E483" t="s">
        <v>1624</v>
      </c>
      <c r="F483">
        <v>-20.2</v>
      </c>
      <c r="G483">
        <v>3</v>
      </c>
      <c r="H483">
        <v>0</v>
      </c>
      <c r="I483">
        <v>0</v>
      </c>
      <c r="J483">
        <v>0</v>
      </c>
      <c r="K483">
        <v>0</v>
      </c>
      <c r="L483">
        <v>0</v>
      </c>
      <c r="M483">
        <v>0</v>
      </c>
      <c r="N483">
        <v>6</v>
      </c>
      <c r="O483">
        <v>7</v>
      </c>
      <c r="P483">
        <v>3</v>
      </c>
      <c r="Q483">
        <v>1</v>
      </c>
      <c r="R483">
        <v>5</v>
      </c>
      <c r="S483">
        <v>3</v>
      </c>
      <c r="T483">
        <v>4.5</v>
      </c>
      <c r="U483">
        <v>5.78</v>
      </c>
      <c r="V483">
        <v>1.67</v>
      </c>
      <c r="W483">
        <v>0.33300000000000002</v>
      </c>
      <c r="X483">
        <v>0</v>
      </c>
    </row>
    <row r="484" spans="2:24" x14ac:dyDescent="0.3">
      <c r="B484" t="s">
        <v>3196</v>
      </c>
      <c r="C484" t="s">
        <v>243</v>
      </c>
      <c r="D484" t="s">
        <v>1624</v>
      </c>
      <c r="E484" t="s">
        <v>1624</v>
      </c>
      <c r="F484">
        <v>-20.3</v>
      </c>
      <c r="G484">
        <v>4</v>
      </c>
      <c r="H484">
        <v>0</v>
      </c>
      <c r="I484">
        <v>0</v>
      </c>
      <c r="J484">
        <v>0</v>
      </c>
      <c r="K484">
        <v>1</v>
      </c>
      <c r="L484">
        <v>0</v>
      </c>
      <c r="M484">
        <v>0</v>
      </c>
      <c r="N484">
        <v>3</v>
      </c>
      <c r="O484">
        <v>2</v>
      </c>
      <c r="P484">
        <v>2</v>
      </c>
      <c r="Q484">
        <v>1</v>
      </c>
      <c r="R484">
        <v>2</v>
      </c>
      <c r="S484">
        <v>3</v>
      </c>
      <c r="T484">
        <v>6</v>
      </c>
      <c r="U484">
        <v>9.2799999999999994</v>
      </c>
      <c r="V484">
        <v>1.67</v>
      </c>
      <c r="W484">
        <v>0.111</v>
      </c>
      <c r="X484">
        <v>0</v>
      </c>
    </row>
    <row r="485" spans="2:24" x14ac:dyDescent="0.3">
      <c r="B485" t="s">
        <v>3129</v>
      </c>
      <c r="C485" t="s">
        <v>239</v>
      </c>
      <c r="D485" t="s">
        <v>1624</v>
      </c>
      <c r="E485" t="s">
        <v>1624</v>
      </c>
      <c r="F485">
        <v>-20.3</v>
      </c>
      <c r="G485">
        <v>7</v>
      </c>
      <c r="H485">
        <v>0</v>
      </c>
      <c r="I485">
        <v>0</v>
      </c>
      <c r="J485">
        <v>0</v>
      </c>
      <c r="K485">
        <v>0</v>
      </c>
      <c r="L485">
        <v>0</v>
      </c>
      <c r="M485">
        <v>0</v>
      </c>
      <c r="N485">
        <v>8.3000000000000007</v>
      </c>
      <c r="O485">
        <v>7</v>
      </c>
      <c r="P485">
        <v>3</v>
      </c>
      <c r="Q485">
        <v>1</v>
      </c>
      <c r="R485">
        <v>7</v>
      </c>
      <c r="S485">
        <v>8</v>
      </c>
      <c r="T485">
        <v>3.24</v>
      </c>
      <c r="U485">
        <v>6.04</v>
      </c>
      <c r="V485">
        <v>1.8</v>
      </c>
      <c r="W485">
        <v>0.26100000000000001</v>
      </c>
      <c r="X485">
        <v>0</v>
      </c>
    </row>
    <row r="486" spans="2:24" x14ac:dyDescent="0.3">
      <c r="B486" t="s">
        <v>688</v>
      </c>
      <c r="C486" t="s">
        <v>231</v>
      </c>
      <c r="D486" t="s">
        <v>1624</v>
      </c>
      <c r="E486" t="s">
        <v>1624</v>
      </c>
      <c r="F486">
        <v>-20.399999999999999</v>
      </c>
      <c r="G486">
        <v>5</v>
      </c>
      <c r="H486">
        <v>0</v>
      </c>
      <c r="I486">
        <v>0</v>
      </c>
      <c r="J486">
        <v>0</v>
      </c>
      <c r="K486">
        <v>1</v>
      </c>
      <c r="L486">
        <v>1</v>
      </c>
      <c r="M486">
        <v>0</v>
      </c>
      <c r="N486">
        <v>9.6999999999999993</v>
      </c>
      <c r="O486">
        <v>9</v>
      </c>
      <c r="P486">
        <v>5</v>
      </c>
      <c r="Q486">
        <v>1</v>
      </c>
      <c r="R486">
        <v>9</v>
      </c>
      <c r="S486">
        <v>9</v>
      </c>
      <c r="T486">
        <v>4.66</v>
      </c>
      <c r="U486">
        <v>5.86</v>
      </c>
      <c r="V486">
        <v>1.86</v>
      </c>
      <c r="W486">
        <v>0.29599999999999999</v>
      </c>
      <c r="X486">
        <v>0</v>
      </c>
    </row>
    <row r="487" spans="2:24" x14ac:dyDescent="0.3">
      <c r="B487" t="s">
        <v>3280</v>
      </c>
      <c r="C487" t="s">
        <v>239</v>
      </c>
      <c r="D487" t="s">
        <v>1624</v>
      </c>
      <c r="E487" t="s">
        <v>1624</v>
      </c>
      <c r="F487">
        <v>-20.399999999999999</v>
      </c>
      <c r="G487">
        <v>1</v>
      </c>
      <c r="H487">
        <v>0</v>
      </c>
      <c r="I487">
        <v>0</v>
      </c>
      <c r="J487">
        <v>0</v>
      </c>
      <c r="K487">
        <v>0</v>
      </c>
      <c r="L487">
        <v>0</v>
      </c>
      <c r="M487">
        <v>0</v>
      </c>
      <c r="N487">
        <v>1.7</v>
      </c>
      <c r="O487">
        <v>2</v>
      </c>
      <c r="P487">
        <v>2</v>
      </c>
      <c r="Q487">
        <v>1</v>
      </c>
      <c r="R487">
        <v>2</v>
      </c>
      <c r="S487">
        <v>1</v>
      </c>
      <c r="T487">
        <v>10.8</v>
      </c>
      <c r="U487">
        <v>10.48</v>
      </c>
      <c r="V487">
        <v>1.8</v>
      </c>
      <c r="W487">
        <v>0.25</v>
      </c>
      <c r="X487">
        <v>0</v>
      </c>
    </row>
    <row r="488" spans="2:24" x14ac:dyDescent="0.3">
      <c r="B488" t="s">
        <v>666</v>
      </c>
      <c r="C488" t="s">
        <v>339</v>
      </c>
      <c r="D488" t="s">
        <v>1624</v>
      </c>
      <c r="E488" t="s">
        <v>1624</v>
      </c>
      <c r="F488">
        <v>-20.399999999999999</v>
      </c>
      <c r="G488">
        <v>6</v>
      </c>
      <c r="H488">
        <v>1</v>
      </c>
      <c r="I488">
        <v>0</v>
      </c>
      <c r="J488">
        <v>0</v>
      </c>
      <c r="K488">
        <v>1</v>
      </c>
      <c r="L488">
        <v>0</v>
      </c>
      <c r="M488">
        <v>1</v>
      </c>
      <c r="N488">
        <v>7.3</v>
      </c>
      <c r="O488">
        <v>8</v>
      </c>
      <c r="P488">
        <v>5</v>
      </c>
      <c r="Q488">
        <v>2</v>
      </c>
      <c r="R488">
        <v>8</v>
      </c>
      <c r="S488">
        <v>3</v>
      </c>
      <c r="T488">
        <v>6.14</v>
      </c>
      <c r="U488">
        <v>5.87</v>
      </c>
      <c r="V488">
        <v>1.5</v>
      </c>
      <c r="W488">
        <v>0.316</v>
      </c>
      <c r="X488">
        <v>0</v>
      </c>
    </row>
    <row r="489" spans="2:24" x14ac:dyDescent="0.3">
      <c r="B489" t="s">
        <v>790</v>
      </c>
      <c r="C489" t="s">
        <v>286</v>
      </c>
      <c r="D489" t="s">
        <v>1624</v>
      </c>
      <c r="E489" t="s">
        <v>1624</v>
      </c>
      <c r="F489">
        <v>-20.399999999999999</v>
      </c>
      <c r="G489">
        <v>5</v>
      </c>
      <c r="H489">
        <v>0</v>
      </c>
      <c r="I489">
        <v>0</v>
      </c>
      <c r="J489">
        <v>0</v>
      </c>
      <c r="K489">
        <v>0</v>
      </c>
      <c r="L489">
        <v>0</v>
      </c>
      <c r="M489">
        <v>0</v>
      </c>
      <c r="N489">
        <v>4.7</v>
      </c>
      <c r="O489">
        <v>5</v>
      </c>
      <c r="P489">
        <v>3</v>
      </c>
      <c r="Q489">
        <v>2</v>
      </c>
      <c r="R489">
        <v>7</v>
      </c>
      <c r="S489">
        <v>4</v>
      </c>
      <c r="T489">
        <v>5.79</v>
      </c>
      <c r="U489">
        <v>9.06</v>
      </c>
      <c r="V489">
        <v>1.93</v>
      </c>
      <c r="W489">
        <v>0.375</v>
      </c>
      <c r="X489">
        <v>0</v>
      </c>
    </row>
    <row r="490" spans="2:24" x14ac:dyDescent="0.3">
      <c r="B490" t="s">
        <v>3283</v>
      </c>
      <c r="C490" t="s">
        <v>1709</v>
      </c>
      <c r="D490" t="s">
        <v>1624</v>
      </c>
      <c r="E490" t="s">
        <v>1624</v>
      </c>
      <c r="F490">
        <v>-20.5</v>
      </c>
      <c r="G490">
        <v>4</v>
      </c>
      <c r="H490">
        <v>0</v>
      </c>
      <c r="I490">
        <v>0</v>
      </c>
      <c r="J490">
        <v>0</v>
      </c>
      <c r="K490">
        <v>0</v>
      </c>
      <c r="L490">
        <v>0</v>
      </c>
      <c r="M490">
        <v>0</v>
      </c>
      <c r="N490">
        <v>6.7</v>
      </c>
      <c r="O490">
        <v>4</v>
      </c>
      <c r="P490">
        <v>6</v>
      </c>
      <c r="Q490">
        <v>2</v>
      </c>
      <c r="R490">
        <v>7</v>
      </c>
      <c r="S490">
        <v>4</v>
      </c>
      <c r="T490">
        <v>8.1</v>
      </c>
      <c r="U490">
        <v>6.88</v>
      </c>
      <c r="V490">
        <v>1.2</v>
      </c>
      <c r="W490">
        <v>0.13300000000000001</v>
      </c>
      <c r="X490">
        <v>0</v>
      </c>
    </row>
    <row r="491" spans="2:24" x14ac:dyDescent="0.3">
      <c r="B491" t="s">
        <v>3376</v>
      </c>
      <c r="C491" t="s">
        <v>250</v>
      </c>
      <c r="D491" t="s">
        <v>1624</v>
      </c>
      <c r="E491" t="s">
        <v>1624</v>
      </c>
      <c r="F491">
        <v>-20.5</v>
      </c>
      <c r="G491">
        <v>1</v>
      </c>
      <c r="H491">
        <v>0</v>
      </c>
      <c r="I491">
        <v>0</v>
      </c>
      <c r="J491">
        <v>0</v>
      </c>
      <c r="K491">
        <v>0</v>
      </c>
      <c r="L491">
        <v>0</v>
      </c>
      <c r="M491">
        <v>0</v>
      </c>
      <c r="N491">
        <v>0.7</v>
      </c>
      <c r="O491">
        <v>1</v>
      </c>
      <c r="P491">
        <v>1</v>
      </c>
      <c r="Q491">
        <v>0</v>
      </c>
      <c r="R491">
        <v>0</v>
      </c>
      <c r="S491">
        <v>1</v>
      </c>
      <c r="T491">
        <v>13.5</v>
      </c>
      <c r="U491">
        <v>0</v>
      </c>
      <c r="V491">
        <v>3</v>
      </c>
      <c r="W491">
        <v>0.5</v>
      </c>
      <c r="X491">
        <v>0</v>
      </c>
    </row>
    <row r="492" spans="2:24" x14ac:dyDescent="0.3">
      <c r="B492" t="s">
        <v>517</v>
      </c>
      <c r="C492" t="s">
        <v>1520</v>
      </c>
      <c r="D492" t="s">
        <v>1623</v>
      </c>
      <c r="E492" t="s">
        <v>1623</v>
      </c>
      <c r="F492">
        <v>-20.5</v>
      </c>
      <c r="G492">
        <v>10</v>
      </c>
      <c r="H492">
        <v>10</v>
      </c>
      <c r="I492">
        <v>3</v>
      </c>
      <c r="J492">
        <v>3</v>
      </c>
      <c r="K492">
        <v>4</v>
      </c>
      <c r="L492">
        <v>0</v>
      </c>
      <c r="M492">
        <v>0</v>
      </c>
      <c r="N492">
        <v>49.3</v>
      </c>
      <c r="O492">
        <v>61</v>
      </c>
      <c r="P492">
        <v>41</v>
      </c>
      <c r="Q492">
        <v>8</v>
      </c>
      <c r="R492">
        <v>43</v>
      </c>
      <c r="S492">
        <v>20</v>
      </c>
      <c r="T492">
        <v>7.48</v>
      </c>
      <c r="U492">
        <v>5.04</v>
      </c>
      <c r="V492">
        <v>1.64</v>
      </c>
      <c r="W492">
        <v>0.35299999999999998</v>
      </c>
      <c r="X492">
        <v>92</v>
      </c>
    </row>
    <row r="493" spans="2:24" x14ac:dyDescent="0.3">
      <c r="B493" t="s">
        <v>3377</v>
      </c>
      <c r="C493" t="s">
        <v>264</v>
      </c>
      <c r="D493" t="s">
        <v>1624</v>
      </c>
      <c r="E493" t="s">
        <v>1624</v>
      </c>
      <c r="F493">
        <v>-20.5</v>
      </c>
      <c r="G493">
        <v>3</v>
      </c>
      <c r="H493">
        <v>0</v>
      </c>
      <c r="I493">
        <v>0</v>
      </c>
      <c r="J493">
        <v>0</v>
      </c>
      <c r="K493">
        <v>0</v>
      </c>
      <c r="L493">
        <v>0</v>
      </c>
      <c r="M493">
        <v>1</v>
      </c>
      <c r="N493">
        <v>3.3</v>
      </c>
      <c r="O493">
        <v>7</v>
      </c>
      <c r="P493">
        <v>1</v>
      </c>
      <c r="Q493">
        <v>0</v>
      </c>
      <c r="R493">
        <v>1</v>
      </c>
      <c r="S493">
        <v>0</v>
      </c>
      <c r="T493">
        <v>2.7</v>
      </c>
      <c r="U493">
        <v>2.68</v>
      </c>
      <c r="V493">
        <v>2.1</v>
      </c>
      <c r="W493">
        <v>0.46700000000000003</v>
      </c>
      <c r="X493">
        <v>0</v>
      </c>
    </row>
    <row r="494" spans="2:24" x14ac:dyDescent="0.3">
      <c r="B494" t="s">
        <v>3272</v>
      </c>
      <c r="C494" t="s">
        <v>325</v>
      </c>
      <c r="D494" t="s">
        <v>1624</v>
      </c>
      <c r="E494" t="s">
        <v>1624</v>
      </c>
      <c r="F494">
        <v>-20.6</v>
      </c>
      <c r="G494">
        <v>4</v>
      </c>
      <c r="H494">
        <v>0</v>
      </c>
      <c r="I494">
        <v>0</v>
      </c>
      <c r="J494">
        <v>0</v>
      </c>
      <c r="K494">
        <v>0</v>
      </c>
      <c r="L494">
        <v>0</v>
      </c>
      <c r="M494">
        <v>0</v>
      </c>
      <c r="N494">
        <v>5.3</v>
      </c>
      <c r="O494">
        <v>5</v>
      </c>
      <c r="P494">
        <v>4</v>
      </c>
      <c r="Q494">
        <v>2</v>
      </c>
      <c r="R494">
        <v>1</v>
      </c>
      <c r="S494">
        <v>1</v>
      </c>
      <c r="T494">
        <v>6.75</v>
      </c>
      <c r="U494">
        <v>8.34</v>
      </c>
      <c r="V494">
        <v>1.1299999999999999</v>
      </c>
      <c r="W494">
        <v>0.188</v>
      </c>
      <c r="X494">
        <v>0</v>
      </c>
    </row>
    <row r="495" spans="2:24" x14ac:dyDescent="0.3">
      <c r="B495" t="s">
        <v>591</v>
      </c>
      <c r="C495" t="s">
        <v>234</v>
      </c>
      <c r="D495" t="s">
        <v>1624</v>
      </c>
      <c r="E495" t="s">
        <v>1624</v>
      </c>
      <c r="F495">
        <v>-20.6</v>
      </c>
      <c r="G495">
        <v>19</v>
      </c>
      <c r="H495">
        <v>0</v>
      </c>
      <c r="I495">
        <v>0</v>
      </c>
      <c r="J495">
        <v>0</v>
      </c>
      <c r="K495">
        <v>0</v>
      </c>
      <c r="L495">
        <v>0</v>
      </c>
      <c r="M495">
        <v>1</v>
      </c>
      <c r="N495">
        <v>16</v>
      </c>
      <c r="O495">
        <v>16</v>
      </c>
      <c r="P495">
        <v>9</v>
      </c>
      <c r="Q495">
        <v>2</v>
      </c>
      <c r="R495">
        <v>16</v>
      </c>
      <c r="S495">
        <v>8</v>
      </c>
      <c r="T495">
        <v>5.0599999999999996</v>
      </c>
      <c r="U495">
        <v>4.4000000000000004</v>
      </c>
      <c r="V495">
        <v>1.5</v>
      </c>
      <c r="W495">
        <v>0.30399999999999999</v>
      </c>
      <c r="X495">
        <v>0</v>
      </c>
    </row>
    <row r="496" spans="2:24" x14ac:dyDescent="0.3">
      <c r="B496" t="s">
        <v>552</v>
      </c>
      <c r="C496" t="s">
        <v>1709</v>
      </c>
      <c r="D496" t="s">
        <v>1624</v>
      </c>
      <c r="E496" t="s">
        <v>1624</v>
      </c>
      <c r="F496">
        <v>-20.7</v>
      </c>
      <c r="G496">
        <v>11</v>
      </c>
      <c r="H496">
        <v>0</v>
      </c>
      <c r="I496">
        <v>0</v>
      </c>
      <c r="J496">
        <v>0</v>
      </c>
      <c r="K496">
        <v>1</v>
      </c>
      <c r="L496">
        <v>0</v>
      </c>
      <c r="M496">
        <v>0</v>
      </c>
      <c r="N496">
        <v>10</v>
      </c>
      <c r="O496">
        <v>11</v>
      </c>
      <c r="P496">
        <v>8</v>
      </c>
      <c r="Q496">
        <v>1</v>
      </c>
      <c r="R496">
        <v>13</v>
      </c>
      <c r="S496">
        <v>3</v>
      </c>
      <c r="T496">
        <v>7.2</v>
      </c>
      <c r="U496">
        <v>3.18</v>
      </c>
      <c r="V496">
        <v>1.4</v>
      </c>
      <c r="W496">
        <v>0.37</v>
      </c>
      <c r="X496">
        <v>0</v>
      </c>
    </row>
    <row r="497" spans="2:24" x14ac:dyDescent="0.3">
      <c r="B497" t="s">
        <v>3378</v>
      </c>
      <c r="C497" t="s">
        <v>243</v>
      </c>
      <c r="D497" t="s">
        <v>1624</v>
      </c>
      <c r="E497" t="s">
        <v>1624</v>
      </c>
      <c r="F497">
        <v>-20.7</v>
      </c>
      <c r="G497">
        <v>1</v>
      </c>
      <c r="H497">
        <v>0</v>
      </c>
      <c r="I497">
        <v>0</v>
      </c>
      <c r="J497">
        <v>0</v>
      </c>
      <c r="K497">
        <v>0</v>
      </c>
      <c r="L497">
        <v>0</v>
      </c>
      <c r="M497">
        <v>0</v>
      </c>
      <c r="N497">
        <v>2</v>
      </c>
      <c r="O497">
        <v>4</v>
      </c>
      <c r="P497">
        <v>2</v>
      </c>
      <c r="Q497">
        <v>1</v>
      </c>
      <c r="R497">
        <v>2</v>
      </c>
      <c r="S497">
        <v>0</v>
      </c>
      <c r="T497">
        <v>9</v>
      </c>
      <c r="U497">
        <v>7.78</v>
      </c>
      <c r="V497">
        <v>2</v>
      </c>
      <c r="W497">
        <v>0.42899999999999999</v>
      </c>
      <c r="X497">
        <v>0</v>
      </c>
    </row>
    <row r="498" spans="2:24" x14ac:dyDescent="0.3">
      <c r="B498" t="s">
        <v>199</v>
      </c>
      <c r="C498" t="s">
        <v>234</v>
      </c>
      <c r="D498" t="s">
        <v>1623</v>
      </c>
      <c r="E498" t="s">
        <v>1623</v>
      </c>
      <c r="F498">
        <v>-20.7</v>
      </c>
      <c r="G498">
        <v>10</v>
      </c>
      <c r="H498">
        <v>10</v>
      </c>
      <c r="I498">
        <v>2</v>
      </c>
      <c r="J498">
        <v>1</v>
      </c>
      <c r="K498">
        <v>4</v>
      </c>
      <c r="L498">
        <v>0</v>
      </c>
      <c r="M498">
        <v>0</v>
      </c>
      <c r="N498">
        <v>50.7</v>
      </c>
      <c r="O498">
        <v>55</v>
      </c>
      <c r="P498">
        <v>29</v>
      </c>
      <c r="Q498">
        <v>9</v>
      </c>
      <c r="R498">
        <v>40</v>
      </c>
      <c r="S498">
        <v>33</v>
      </c>
      <c r="T498">
        <v>5.15</v>
      </c>
      <c r="U498">
        <v>6.26</v>
      </c>
      <c r="V498">
        <v>1.74</v>
      </c>
      <c r="W498">
        <v>0.30099999999999999</v>
      </c>
      <c r="X498">
        <v>97</v>
      </c>
    </row>
    <row r="499" spans="2:24" x14ac:dyDescent="0.3">
      <c r="B499" t="s">
        <v>3379</v>
      </c>
      <c r="C499" t="s">
        <v>278</v>
      </c>
      <c r="D499" t="s">
        <v>1624</v>
      </c>
      <c r="E499" t="s">
        <v>1624</v>
      </c>
      <c r="F499">
        <v>-20.9</v>
      </c>
      <c r="G499">
        <v>3</v>
      </c>
      <c r="H499">
        <v>0</v>
      </c>
      <c r="I499">
        <v>0</v>
      </c>
      <c r="J499">
        <v>0</v>
      </c>
      <c r="K499">
        <v>0</v>
      </c>
      <c r="L499">
        <v>0</v>
      </c>
      <c r="M499">
        <v>1</v>
      </c>
      <c r="N499">
        <v>2.2999999999999998</v>
      </c>
      <c r="O499">
        <v>1</v>
      </c>
      <c r="P499">
        <v>2</v>
      </c>
      <c r="Q499">
        <v>0</v>
      </c>
      <c r="R499">
        <v>2</v>
      </c>
      <c r="S499">
        <v>4</v>
      </c>
      <c r="T499">
        <v>7.71</v>
      </c>
      <c r="U499">
        <v>7.99</v>
      </c>
      <c r="V499">
        <v>2.14</v>
      </c>
      <c r="W499">
        <v>0.16700000000000001</v>
      </c>
      <c r="X499">
        <v>0</v>
      </c>
    </row>
    <row r="500" spans="2:24" x14ac:dyDescent="0.3">
      <c r="B500" t="s">
        <v>544</v>
      </c>
      <c r="C500" t="s">
        <v>226</v>
      </c>
      <c r="D500" t="s">
        <v>1624</v>
      </c>
      <c r="E500" t="s">
        <v>1624</v>
      </c>
      <c r="F500">
        <v>-20.9</v>
      </c>
      <c r="G500">
        <v>22</v>
      </c>
      <c r="H500">
        <v>0</v>
      </c>
      <c r="I500">
        <v>0</v>
      </c>
      <c r="J500">
        <v>2</v>
      </c>
      <c r="K500">
        <v>0</v>
      </c>
      <c r="L500">
        <v>0</v>
      </c>
      <c r="M500">
        <v>5</v>
      </c>
      <c r="N500">
        <v>21</v>
      </c>
      <c r="O500">
        <v>23</v>
      </c>
      <c r="P500">
        <v>18</v>
      </c>
      <c r="Q500">
        <v>4</v>
      </c>
      <c r="R500">
        <v>17</v>
      </c>
      <c r="S500">
        <v>10</v>
      </c>
      <c r="T500">
        <v>7.71</v>
      </c>
      <c r="U500">
        <v>5.85</v>
      </c>
      <c r="V500">
        <v>1.57</v>
      </c>
      <c r="W500">
        <v>0.30199999999999999</v>
      </c>
      <c r="X500">
        <v>0</v>
      </c>
    </row>
    <row r="501" spans="2:24" x14ac:dyDescent="0.3">
      <c r="B501" t="s">
        <v>1738</v>
      </c>
      <c r="C501" t="s">
        <v>244</v>
      </c>
      <c r="D501" t="s">
        <v>1624</v>
      </c>
      <c r="E501" t="s">
        <v>1624</v>
      </c>
      <c r="F501">
        <v>-20.9</v>
      </c>
      <c r="G501">
        <v>1</v>
      </c>
      <c r="H501">
        <v>0</v>
      </c>
      <c r="I501">
        <v>0</v>
      </c>
      <c r="J501">
        <v>0</v>
      </c>
      <c r="K501">
        <v>0</v>
      </c>
      <c r="L501">
        <v>0</v>
      </c>
      <c r="M501">
        <v>0</v>
      </c>
      <c r="N501">
        <v>3</v>
      </c>
      <c r="O501">
        <v>3</v>
      </c>
      <c r="P501">
        <v>3</v>
      </c>
      <c r="Q501">
        <v>0</v>
      </c>
      <c r="R501">
        <v>1</v>
      </c>
      <c r="S501">
        <v>1</v>
      </c>
      <c r="T501">
        <v>9</v>
      </c>
      <c r="U501">
        <v>3.61</v>
      </c>
      <c r="V501">
        <v>1.33</v>
      </c>
      <c r="W501">
        <v>0.3</v>
      </c>
      <c r="X501">
        <v>0</v>
      </c>
    </row>
    <row r="502" spans="2:24" x14ac:dyDescent="0.3">
      <c r="B502" t="s">
        <v>624</v>
      </c>
      <c r="C502" t="s">
        <v>239</v>
      </c>
      <c r="D502" t="s">
        <v>1624</v>
      </c>
      <c r="E502" t="s">
        <v>1624</v>
      </c>
      <c r="F502">
        <v>-21</v>
      </c>
      <c r="G502">
        <v>9</v>
      </c>
      <c r="H502">
        <v>0</v>
      </c>
      <c r="I502">
        <v>0</v>
      </c>
      <c r="J502">
        <v>0</v>
      </c>
      <c r="K502">
        <v>1</v>
      </c>
      <c r="L502">
        <v>1</v>
      </c>
      <c r="M502">
        <v>1</v>
      </c>
      <c r="N502">
        <v>7.7</v>
      </c>
      <c r="O502">
        <v>6</v>
      </c>
      <c r="P502">
        <v>7</v>
      </c>
      <c r="Q502">
        <v>4</v>
      </c>
      <c r="R502">
        <v>8</v>
      </c>
      <c r="S502">
        <v>6</v>
      </c>
      <c r="T502">
        <v>8.2200000000000006</v>
      </c>
      <c r="U502">
        <v>10.32</v>
      </c>
      <c r="V502">
        <v>1.57</v>
      </c>
      <c r="W502">
        <v>0.11799999999999999</v>
      </c>
      <c r="X502">
        <v>0</v>
      </c>
    </row>
    <row r="503" spans="2:24" x14ac:dyDescent="0.3">
      <c r="B503" t="s">
        <v>693</v>
      </c>
      <c r="C503" t="s">
        <v>1522</v>
      </c>
      <c r="D503" t="s">
        <v>1623</v>
      </c>
      <c r="E503" t="s">
        <v>1623</v>
      </c>
      <c r="F503">
        <v>-21</v>
      </c>
      <c r="G503">
        <v>14</v>
      </c>
      <c r="H503">
        <v>2</v>
      </c>
      <c r="I503">
        <v>0</v>
      </c>
      <c r="J503">
        <v>0</v>
      </c>
      <c r="K503">
        <v>0</v>
      </c>
      <c r="L503">
        <v>0</v>
      </c>
      <c r="M503">
        <v>0</v>
      </c>
      <c r="N503">
        <v>13.3</v>
      </c>
      <c r="O503">
        <v>14</v>
      </c>
      <c r="P503">
        <v>9</v>
      </c>
      <c r="Q503">
        <v>1</v>
      </c>
      <c r="R503">
        <v>9</v>
      </c>
      <c r="S503">
        <v>18</v>
      </c>
      <c r="T503">
        <v>6.08</v>
      </c>
      <c r="U503">
        <v>7.4</v>
      </c>
      <c r="V503">
        <v>2.4</v>
      </c>
      <c r="W503">
        <v>0.31</v>
      </c>
      <c r="X503">
        <v>0</v>
      </c>
    </row>
    <row r="504" spans="2:24" x14ac:dyDescent="0.3">
      <c r="B504" t="s">
        <v>1605</v>
      </c>
      <c r="C504" t="s">
        <v>239</v>
      </c>
      <c r="D504" t="s">
        <v>1624</v>
      </c>
      <c r="E504" t="s">
        <v>1624</v>
      </c>
      <c r="F504">
        <v>-21</v>
      </c>
      <c r="G504">
        <v>1</v>
      </c>
      <c r="H504">
        <v>0</v>
      </c>
      <c r="I504">
        <v>0</v>
      </c>
      <c r="J504">
        <v>0</v>
      </c>
      <c r="K504">
        <v>0</v>
      </c>
      <c r="L504">
        <v>0</v>
      </c>
      <c r="M504">
        <v>0</v>
      </c>
      <c r="N504">
        <v>1</v>
      </c>
      <c r="O504">
        <v>2</v>
      </c>
      <c r="P504">
        <v>1</v>
      </c>
      <c r="Q504">
        <v>0</v>
      </c>
      <c r="R504">
        <v>1</v>
      </c>
      <c r="S504">
        <v>2</v>
      </c>
      <c r="T504">
        <v>9</v>
      </c>
      <c r="U504">
        <v>7.28</v>
      </c>
      <c r="V504">
        <v>4</v>
      </c>
      <c r="W504">
        <v>0.5</v>
      </c>
      <c r="X504">
        <v>0</v>
      </c>
    </row>
    <row r="505" spans="2:24" x14ac:dyDescent="0.3">
      <c r="B505" t="s">
        <v>3380</v>
      </c>
      <c r="C505" t="s">
        <v>311</v>
      </c>
      <c r="D505" t="s">
        <v>1624</v>
      </c>
      <c r="E505" t="s">
        <v>1624</v>
      </c>
      <c r="F505">
        <v>-21</v>
      </c>
      <c r="G505">
        <v>1</v>
      </c>
      <c r="H505">
        <v>0</v>
      </c>
      <c r="I505">
        <v>0</v>
      </c>
      <c r="J505">
        <v>0</v>
      </c>
      <c r="K505">
        <v>0</v>
      </c>
      <c r="L505">
        <v>0</v>
      </c>
      <c r="M505">
        <v>0</v>
      </c>
      <c r="N505">
        <v>1</v>
      </c>
      <c r="O505">
        <v>2</v>
      </c>
      <c r="P505">
        <v>1</v>
      </c>
      <c r="Q505">
        <v>0</v>
      </c>
      <c r="R505">
        <v>1</v>
      </c>
      <c r="S505">
        <v>2</v>
      </c>
      <c r="T505">
        <v>9</v>
      </c>
      <c r="U505">
        <v>7.28</v>
      </c>
      <c r="V505">
        <v>4</v>
      </c>
      <c r="W505">
        <v>0.4</v>
      </c>
      <c r="X505">
        <v>0</v>
      </c>
    </row>
    <row r="506" spans="2:24" x14ac:dyDescent="0.3">
      <c r="B506" t="s">
        <v>3067</v>
      </c>
      <c r="C506" t="s">
        <v>1521</v>
      </c>
      <c r="D506" t="s">
        <v>1624</v>
      </c>
      <c r="E506" t="s">
        <v>1624</v>
      </c>
      <c r="F506">
        <v>-21</v>
      </c>
      <c r="G506">
        <v>8</v>
      </c>
      <c r="H506">
        <v>0</v>
      </c>
      <c r="I506">
        <v>0</v>
      </c>
      <c r="J506">
        <v>0</v>
      </c>
      <c r="K506">
        <v>0</v>
      </c>
      <c r="L506">
        <v>0</v>
      </c>
      <c r="M506">
        <v>2</v>
      </c>
      <c r="N506">
        <v>20</v>
      </c>
      <c r="O506">
        <v>24</v>
      </c>
      <c r="P506">
        <v>12</v>
      </c>
      <c r="Q506">
        <v>5</v>
      </c>
      <c r="R506">
        <v>18</v>
      </c>
      <c r="S506">
        <v>4</v>
      </c>
      <c r="T506">
        <v>5.4</v>
      </c>
      <c r="U506">
        <v>5.63</v>
      </c>
      <c r="V506">
        <v>1.4</v>
      </c>
      <c r="W506">
        <v>0.32200000000000001</v>
      </c>
      <c r="X506">
        <v>0</v>
      </c>
    </row>
    <row r="507" spans="2:24" x14ac:dyDescent="0.3">
      <c r="B507" t="s">
        <v>3381</v>
      </c>
      <c r="C507" t="s">
        <v>248</v>
      </c>
      <c r="D507" t="s">
        <v>1624</v>
      </c>
      <c r="E507" t="s">
        <v>1624</v>
      </c>
      <c r="F507">
        <v>-21.2</v>
      </c>
      <c r="G507">
        <v>3</v>
      </c>
      <c r="H507">
        <v>0</v>
      </c>
      <c r="I507">
        <v>0</v>
      </c>
      <c r="J507">
        <v>0</v>
      </c>
      <c r="K507">
        <v>0</v>
      </c>
      <c r="L507">
        <v>0</v>
      </c>
      <c r="M507">
        <v>0</v>
      </c>
      <c r="N507">
        <v>3</v>
      </c>
      <c r="O507">
        <v>3</v>
      </c>
      <c r="P507">
        <v>3</v>
      </c>
      <c r="Q507">
        <v>0</v>
      </c>
      <c r="R507">
        <v>4</v>
      </c>
      <c r="S507">
        <v>3</v>
      </c>
      <c r="T507">
        <v>9</v>
      </c>
      <c r="U507">
        <v>3.61</v>
      </c>
      <c r="V507">
        <v>2</v>
      </c>
      <c r="W507">
        <v>0.42899999999999999</v>
      </c>
      <c r="X507">
        <v>1</v>
      </c>
    </row>
    <row r="508" spans="2:24" x14ac:dyDescent="0.3">
      <c r="B508" t="s">
        <v>200</v>
      </c>
      <c r="C508" t="s">
        <v>346</v>
      </c>
      <c r="D508" t="s">
        <v>1623</v>
      </c>
      <c r="E508" t="s">
        <v>1623</v>
      </c>
      <c r="F508">
        <v>-21.2</v>
      </c>
      <c r="G508">
        <v>7</v>
      </c>
      <c r="H508">
        <v>7</v>
      </c>
      <c r="I508">
        <v>0</v>
      </c>
      <c r="J508">
        <v>1</v>
      </c>
      <c r="K508">
        <v>4</v>
      </c>
      <c r="L508">
        <v>0</v>
      </c>
      <c r="M508">
        <v>0</v>
      </c>
      <c r="N508">
        <v>31</v>
      </c>
      <c r="O508">
        <v>37</v>
      </c>
      <c r="P508">
        <v>25</v>
      </c>
      <c r="Q508">
        <v>5</v>
      </c>
      <c r="R508">
        <v>24</v>
      </c>
      <c r="S508">
        <v>15</v>
      </c>
      <c r="T508">
        <v>7.26</v>
      </c>
      <c r="U508">
        <v>5.57</v>
      </c>
      <c r="V508">
        <v>1.68</v>
      </c>
      <c r="W508">
        <v>0.33</v>
      </c>
      <c r="X508">
        <v>1</v>
      </c>
    </row>
    <row r="509" spans="2:24" x14ac:dyDescent="0.3">
      <c r="B509" t="s">
        <v>3270</v>
      </c>
      <c r="C509" t="s">
        <v>226</v>
      </c>
      <c r="D509" t="s">
        <v>1623</v>
      </c>
      <c r="E509" t="s">
        <v>1623</v>
      </c>
      <c r="F509">
        <v>-21.2</v>
      </c>
      <c r="G509">
        <v>2</v>
      </c>
      <c r="H509">
        <v>2</v>
      </c>
      <c r="I509">
        <v>0</v>
      </c>
      <c r="J509">
        <v>0</v>
      </c>
      <c r="K509">
        <v>0</v>
      </c>
      <c r="L509">
        <v>0</v>
      </c>
      <c r="M509">
        <v>0</v>
      </c>
      <c r="N509">
        <v>8</v>
      </c>
      <c r="O509">
        <v>13</v>
      </c>
      <c r="P509">
        <v>9</v>
      </c>
      <c r="Q509">
        <v>1</v>
      </c>
      <c r="R509">
        <v>2</v>
      </c>
      <c r="S509">
        <v>7</v>
      </c>
      <c r="T509">
        <v>10.130000000000001</v>
      </c>
      <c r="U509">
        <v>7.03</v>
      </c>
      <c r="V509">
        <v>2.5</v>
      </c>
      <c r="W509">
        <v>0.375</v>
      </c>
      <c r="X509">
        <v>96</v>
      </c>
    </row>
    <row r="510" spans="2:24" x14ac:dyDescent="0.3">
      <c r="B510" t="s">
        <v>607</v>
      </c>
      <c r="C510" t="s">
        <v>325</v>
      </c>
      <c r="D510" t="s">
        <v>1624</v>
      </c>
      <c r="E510" t="s">
        <v>1624</v>
      </c>
      <c r="F510">
        <v>-21.3</v>
      </c>
      <c r="G510">
        <v>9</v>
      </c>
      <c r="H510">
        <v>0</v>
      </c>
      <c r="I510">
        <v>0</v>
      </c>
      <c r="J510">
        <v>2</v>
      </c>
      <c r="K510">
        <v>3</v>
      </c>
      <c r="L510">
        <v>0</v>
      </c>
      <c r="M510">
        <v>0</v>
      </c>
      <c r="N510">
        <v>7</v>
      </c>
      <c r="O510">
        <v>10</v>
      </c>
      <c r="P510">
        <v>8</v>
      </c>
      <c r="Q510">
        <v>2</v>
      </c>
      <c r="R510">
        <v>6</v>
      </c>
      <c r="S510">
        <v>9</v>
      </c>
      <c r="T510">
        <v>10.29</v>
      </c>
      <c r="U510">
        <v>9.99</v>
      </c>
      <c r="V510">
        <v>2.71</v>
      </c>
      <c r="W510">
        <v>0.33300000000000002</v>
      </c>
      <c r="X510">
        <v>1</v>
      </c>
    </row>
    <row r="511" spans="2:24" x14ac:dyDescent="0.3">
      <c r="B511" t="s">
        <v>809</v>
      </c>
      <c r="C511" t="s">
        <v>339</v>
      </c>
      <c r="D511" t="s">
        <v>1623</v>
      </c>
      <c r="E511" t="s">
        <v>1623</v>
      </c>
      <c r="F511">
        <v>-21.3</v>
      </c>
      <c r="G511">
        <v>4</v>
      </c>
      <c r="H511">
        <v>4</v>
      </c>
      <c r="I511">
        <v>0</v>
      </c>
      <c r="J511">
        <v>0</v>
      </c>
      <c r="K511">
        <v>2</v>
      </c>
      <c r="L511">
        <v>0</v>
      </c>
      <c r="M511">
        <v>0</v>
      </c>
      <c r="N511">
        <v>18.7</v>
      </c>
      <c r="O511">
        <v>19</v>
      </c>
      <c r="P511">
        <v>18</v>
      </c>
      <c r="Q511">
        <v>4</v>
      </c>
      <c r="R511">
        <v>11</v>
      </c>
      <c r="S511">
        <v>10</v>
      </c>
      <c r="T511">
        <v>8.68</v>
      </c>
      <c r="U511">
        <v>6.97</v>
      </c>
      <c r="V511">
        <v>1.55</v>
      </c>
      <c r="W511">
        <v>0.25900000000000001</v>
      </c>
      <c r="X511">
        <v>12</v>
      </c>
    </row>
    <row r="512" spans="2:24" x14ac:dyDescent="0.3">
      <c r="B512" t="s">
        <v>384</v>
      </c>
      <c r="C512" t="s">
        <v>224</v>
      </c>
      <c r="D512" t="s">
        <v>1624</v>
      </c>
      <c r="E512" t="s">
        <v>1624</v>
      </c>
      <c r="F512">
        <v>-21.3</v>
      </c>
      <c r="G512">
        <v>9</v>
      </c>
      <c r="H512">
        <v>0</v>
      </c>
      <c r="I512">
        <v>0</v>
      </c>
      <c r="J512">
        <v>0</v>
      </c>
      <c r="K512">
        <v>0</v>
      </c>
      <c r="L512">
        <v>0</v>
      </c>
      <c r="M512">
        <v>0</v>
      </c>
      <c r="N512">
        <v>12</v>
      </c>
      <c r="O512">
        <v>16</v>
      </c>
      <c r="P512">
        <v>6</v>
      </c>
      <c r="Q512">
        <v>1</v>
      </c>
      <c r="R512">
        <v>16</v>
      </c>
      <c r="S512">
        <v>7</v>
      </c>
      <c r="T512">
        <v>4.5</v>
      </c>
      <c r="U512">
        <v>3.69</v>
      </c>
      <c r="V512">
        <v>1.92</v>
      </c>
      <c r="W512">
        <v>0.45500000000000002</v>
      </c>
      <c r="X512">
        <v>0</v>
      </c>
    </row>
    <row r="513" spans="2:24" x14ac:dyDescent="0.3">
      <c r="B513" t="s">
        <v>3382</v>
      </c>
      <c r="C513" t="s">
        <v>270</v>
      </c>
      <c r="D513" t="s">
        <v>1624</v>
      </c>
      <c r="E513" t="s">
        <v>1624</v>
      </c>
      <c r="F513">
        <v>-21.4</v>
      </c>
      <c r="G513">
        <v>3</v>
      </c>
      <c r="H513">
        <v>0</v>
      </c>
      <c r="I513">
        <v>0</v>
      </c>
      <c r="J513">
        <v>0</v>
      </c>
      <c r="K513">
        <v>0</v>
      </c>
      <c r="L513">
        <v>0</v>
      </c>
      <c r="M513">
        <v>0</v>
      </c>
      <c r="N513">
        <v>3</v>
      </c>
      <c r="O513">
        <v>6</v>
      </c>
      <c r="P513">
        <v>2</v>
      </c>
      <c r="Q513">
        <v>0</v>
      </c>
      <c r="R513">
        <v>2</v>
      </c>
      <c r="S513">
        <v>1</v>
      </c>
      <c r="T513">
        <v>6</v>
      </c>
      <c r="U513">
        <v>2.94</v>
      </c>
      <c r="V513">
        <v>2.33</v>
      </c>
      <c r="W513">
        <v>0.46200000000000002</v>
      </c>
      <c r="X513">
        <v>0</v>
      </c>
    </row>
    <row r="514" spans="2:24" x14ac:dyDescent="0.3">
      <c r="B514" t="s">
        <v>442</v>
      </c>
      <c r="C514" t="s">
        <v>221</v>
      </c>
      <c r="D514" t="s">
        <v>1624</v>
      </c>
      <c r="E514" t="s">
        <v>1624</v>
      </c>
      <c r="F514">
        <v>-21.4</v>
      </c>
      <c r="G514">
        <v>12</v>
      </c>
      <c r="H514">
        <v>0</v>
      </c>
      <c r="I514">
        <v>0</v>
      </c>
      <c r="J514">
        <v>1</v>
      </c>
      <c r="K514">
        <v>0</v>
      </c>
      <c r="L514">
        <v>0</v>
      </c>
      <c r="M514">
        <v>1</v>
      </c>
      <c r="N514">
        <v>12.3</v>
      </c>
      <c r="O514">
        <v>16</v>
      </c>
      <c r="P514">
        <v>10</v>
      </c>
      <c r="Q514">
        <v>3</v>
      </c>
      <c r="R514">
        <v>12</v>
      </c>
      <c r="S514">
        <v>6</v>
      </c>
      <c r="T514">
        <v>7.3</v>
      </c>
      <c r="U514">
        <v>6.2</v>
      </c>
      <c r="V514">
        <v>1.78</v>
      </c>
      <c r="W514">
        <v>0.35099999999999998</v>
      </c>
      <c r="X514">
        <v>0</v>
      </c>
    </row>
    <row r="515" spans="2:24" x14ac:dyDescent="0.3">
      <c r="B515" t="s">
        <v>846</v>
      </c>
      <c r="C515" t="s">
        <v>251</v>
      </c>
      <c r="D515" t="s">
        <v>1623</v>
      </c>
      <c r="E515" t="s">
        <v>1623</v>
      </c>
      <c r="F515">
        <v>-21.8</v>
      </c>
      <c r="G515">
        <v>5</v>
      </c>
      <c r="H515">
        <v>5</v>
      </c>
      <c r="I515">
        <v>1</v>
      </c>
      <c r="J515">
        <v>1</v>
      </c>
      <c r="K515">
        <v>1</v>
      </c>
      <c r="L515">
        <v>0</v>
      </c>
      <c r="M515">
        <v>0</v>
      </c>
      <c r="N515">
        <v>21.3</v>
      </c>
      <c r="O515">
        <v>37</v>
      </c>
      <c r="P515">
        <v>18</v>
      </c>
      <c r="Q515">
        <v>3</v>
      </c>
      <c r="R515">
        <v>14</v>
      </c>
      <c r="S515">
        <v>5</v>
      </c>
      <c r="T515">
        <v>7.59</v>
      </c>
      <c r="U515">
        <v>4.5</v>
      </c>
      <c r="V515">
        <v>1.97</v>
      </c>
      <c r="W515">
        <v>0.41499999999999998</v>
      </c>
      <c r="X515">
        <v>0</v>
      </c>
    </row>
    <row r="516" spans="2:24" x14ac:dyDescent="0.3">
      <c r="B516" t="s">
        <v>192</v>
      </c>
      <c r="C516" t="s">
        <v>244</v>
      </c>
      <c r="D516" t="s">
        <v>1623</v>
      </c>
      <c r="E516" t="s">
        <v>1623</v>
      </c>
      <c r="F516">
        <v>-21.9</v>
      </c>
      <c r="G516">
        <v>10</v>
      </c>
      <c r="H516">
        <v>4</v>
      </c>
      <c r="I516">
        <v>0</v>
      </c>
      <c r="J516">
        <v>0</v>
      </c>
      <c r="K516">
        <v>4</v>
      </c>
      <c r="L516">
        <v>0</v>
      </c>
      <c r="M516">
        <v>0</v>
      </c>
      <c r="N516">
        <v>29.3</v>
      </c>
      <c r="O516">
        <v>37</v>
      </c>
      <c r="P516">
        <v>21</v>
      </c>
      <c r="Q516">
        <v>5</v>
      </c>
      <c r="R516">
        <v>21</v>
      </c>
      <c r="S516">
        <v>12</v>
      </c>
      <c r="T516">
        <v>6.44</v>
      </c>
      <c r="U516">
        <v>5.29</v>
      </c>
      <c r="V516">
        <v>1.67</v>
      </c>
      <c r="W516">
        <v>0.34799999999999998</v>
      </c>
      <c r="X516">
        <v>0</v>
      </c>
    </row>
    <row r="517" spans="2:24" x14ac:dyDescent="0.3">
      <c r="B517" t="s">
        <v>760</v>
      </c>
      <c r="C517" t="s">
        <v>1709</v>
      </c>
      <c r="D517" t="s">
        <v>1624</v>
      </c>
      <c r="E517" t="s">
        <v>1624</v>
      </c>
      <c r="F517">
        <v>-22</v>
      </c>
      <c r="G517">
        <v>20</v>
      </c>
      <c r="H517">
        <v>0</v>
      </c>
      <c r="I517">
        <v>0</v>
      </c>
      <c r="J517">
        <v>1</v>
      </c>
      <c r="K517">
        <v>0</v>
      </c>
      <c r="L517">
        <v>1</v>
      </c>
      <c r="M517">
        <v>1</v>
      </c>
      <c r="N517">
        <v>21</v>
      </c>
      <c r="O517">
        <v>24</v>
      </c>
      <c r="P517">
        <v>17</v>
      </c>
      <c r="Q517">
        <v>2</v>
      </c>
      <c r="R517">
        <v>18</v>
      </c>
      <c r="S517">
        <v>9</v>
      </c>
      <c r="T517">
        <v>7.29</v>
      </c>
      <c r="U517">
        <v>4.37</v>
      </c>
      <c r="V517">
        <v>1.57</v>
      </c>
      <c r="W517">
        <v>0.33800000000000002</v>
      </c>
      <c r="X517">
        <v>0</v>
      </c>
    </row>
    <row r="518" spans="2:24" x14ac:dyDescent="0.3">
      <c r="B518" t="s">
        <v>759</v>
      </c>
      <c r="C518" t="s">
        <v>278</v>
      </c>
      <c r="D518" t="s">
        <v>1623</v>
      </c>
      <c r="E518" t="s">
        <v>1623</v>
      </c>
      <c r="F518">
        <v>-22</v>
      </c>
      <c r="G518">
        <v>4</v>
      </c>
      <c r="H518">
        <v>3</v>
      </c>
      <c r="I518">
        <v>0</v>
      </c>
      <c r="J518">
        <v>0</v>
      </c>
      <c r="K518">
        <v>2</v>
      </c>
      <c r="L518">
        <v>0</v>
      </c>
      <c r="M518">
        <v>0</v>
      </c>
      <c r="N518">
        <v>13</v>
      </c>
      <c r="O518">
        <v>18</v>
      </c>
      <c r="P518">
        <v>15</v>
      </c>
      <c r="Q518">
        <v>2</v>
      </c>
      <c r="R518">
        <v>13</v>
      </c>
      <c r="S518">
        <v>8</v>
      </c>
      <c r="T518">
        <v>10.39</v>
      </c>
      <c r="U518">
        <v>5.36</v>
      </c>
      <c r="V518">
        <v>2</v>
      </c>
      <c r="W518">
        <v>0.41</v>
      </c>
      <c r="X518">
        <v>1</v>
      </c>
    </row>
    <row r="519" spans="2:24" x14ac:dyDescent="0.3">
      <c r="B519" t="s">
        <v>1248</v>
      </c>
      <c r="C519" t="s">
        <v>246</v>
      </c>
      <c r="D519" t="s">
        <v>1624</v>
      </c>
      <c r="E519" t="s">
        <v>1624</v>
      </c>
      <c r="F519">
        <v>-22</v>
      </c>
      <c r="G519">
        <v>1</v>
      </c>
      <c r="H519">
        <v>0</v>
      </c>
      <c r="I519">
        <v>0</v>
      </c>
      <c r="J519">
        <v>0</v>
      </c>
      <c r="K519">
        <v>0</v>
      </c>
      <c r="L519">
        <v>0</v>
      </c>
      <c r="M519">
        <v>0</v>
      </c>
      <c r="N519">
        <v>1</v>
      </c>
      <c r="O519">
        <v>2</v>
      </c>
      <c r="P519">
        <v>3</v>
      </c>
      <c r="Q519">
        <v>2</v>
      </c>
      <c r="R519">
        <v>2</v>
      </c>
      <c r="S519">
        <v>1</v>
      </c>
      <c r="T519">
        <v>27</v>
      </c>
      <c r="U519">
        <v>28.28</v>
      </c>
      <c r="V519">
        <v>3</v>
      </c>
      <c r="W519">
        <v>0</v>
      </c>
      <c r="X519">
        <v>0</v>
      </c>
    </row>
    <row r="520" spans="2:24" x14ac:dyDescent="0.3">
      <c r="B520" t="s">
        <v>902</v>
      </c>
      <c r="C520" t="s">
        <v>244</v>
      </c>
      <c r="D520" t="s">
        <v>1624</v>
      </c>
      <c r="E520" t="s">
        <v>1624</v>
      </c>
      <c r="F520">
        <v>-22</v>
      </c>
      <c r="G520">
        <v>8</v>
      </c>
      <c r="H520">
        <v>0</v>
      </c>
      <c r="I520">
        <v>0</v>
      </c>
      <c r="J520">
        <v>0</v>
      </c>
      <c r="K520">
        <v>0</v>
      </c>
      <c r="L520">
        <v>0</v>
      </c>
      <c r="M520">
        <v>1</v>
      </c>
      <c r="N520">
        <v>8.6999999999999993</v>
      </c>
      <c r="O520">
        <v>7</v>
      </c>
      <c r="P520">
        <v>6</v>
      </c>
      <c r="Q520">
        <v>2</v>
      </c>
      <c r="R520">
        <v>7</v>
      </c>
      <c r="S520">
        <v>7</v>
      </c>
      <c r="T520">
        <v>6.23</v>
      </c>
      <c r="U520">
        <v>7.43</v>
      </c>
      <c r="V520">
        <v>1.62</v>
      </c>
      <c r="W520">
        <v>0.20799999999999999</v>
      </c>
      <c r="X520">
        <v>0</v>
      </c>
    </row>
    <row r="521" spans="2:24" x14ac:dyDescent="0.3">
      <c r="B521" t="s">
        <v>3383</v>
      </c>
      <c r="C521" t="s">
        <v>266</v>
      </c>
      <c r="D521" t="s">
        <v>1624</v>
      </c>
      <c r="E521" t="s">
        <v>1624</v>
      </c>
      <c r="F521">
        <v>-22</v>
      </c>
      <c r="G521">
        <v>1</v>
      </c>
      <c r="H521">
        <v>0</v>
      </c>
      <c r="I521">
        <v>0</v>
      </c>
      <c r="J521">
        <v>0</v>
      </c>
      <c r="K521">
        <v>0</v>
      </c>
      <c r="L521">
        <v>0</v>
      </c>
      <c r="M521">
        <v>0</v>
      </c>
      <c r="N521">
        <v>0.3</v>
      </c>
      <c r="O521">
        <v>1</v>
      </c>
      <c r="P521">
        <v>1</v>
      </c>
      <c r="Q521">
        <v>0</v>
      </c>
      <c r="R521">
        <v>0</v>
      </c>
      <c r="S521">
        <v>3</v>
      </c>
      <c r="T521">
        <v>27</v>
      </c>
      <c r="U521">
        <v>0</v>
      </c>
      <c r="V521">
        <v>12.01</v>
      </c>
      <c r="W521">
        <v>0.5</v>
      </c>
      <c r="X521">
        <v>0</v>
      </c>
    </row>
    <row r="522" spans="2:24" x14ac:dyDescent="0.3">
      <c r="B522" t="s">
        <v>3284</v>
      </c>
      <c r="C522" t="s">
        <v>243</v>
      </c>
      <c r="D522" t="s">
        <v>1624</v>
      </c>
      <c r="E522" t="s">
        <v>1624</v>
      </c>
      <c r="F522">
        <v>-22</v>
      </c>
      <c r="G522">
        <v>1</v>
      </c>
      <c r="H522">
        <v>0</v>
      </c>
      <c r="I522">
        <v>0</v>
      </c>
      <c r="J522">
        <v>0</v>
      </c>
      <c r="K522">
        <v>0</v>
      </c>
      <c r="L522">
        <v>0</v>
      </c>
      <c r="M522">
        <v>0</v>
      </c>
      <c r="N522">
        <v>0.7</v>
      </c>
      <c r="O522">
        <v>2</v>
      </c>
      <c r="P522">
        <v>2</v>
      </c>
      <c r="Q522">
        <v>0</v>
      </c>
      <c r="R522">
        <v>2</v>
      </c>
      <c r="S522">
        <v>2</v>
      </c>
      <c r="T522">
        <v>27</v>
      </c>
      <c r="U522">
        <v>0</v>
      </c>
      <c r="V522">
        <v>6</v>
      </c>
      <c r="W522">
        <v>0.999</v>
      </c>
    </row>
    <row r="523" spans="2:24" x14ac:dyDescent="0.3">
      <c r="B523" t="s">
        <v>3063</v>
      </c>
      <c r="C523" t="s">
        <v>222</v>
      </c>
      <c r="D523" t="s">
        <v>1624</v>
      </c>
      <c r="E523" t="s">
        <v>1624</v>
      </c>
      <c r="F523">
        <v>-22.1</v>
      </c>
      <c r="G523">
        <v>5</v>
      </c>
      <c r="H523">
        <v>0</v>
      </c>
      <c r="I523">
        <v>0</v>
      </c>
      <c r="J523">
        <v>0</v>
      </c>
      <c r="K523">
        <v>0</v>
      </c>
      <c r="L523">
        <v>0</v>
      </c>
      <c r="M523">
        <v>0</v>
      </c>
      <c r="N523">
        <v>5.3</v>
      </c>
      <c r="O523">
        <v>7</v>
      </c>
      <c r="P523">
        <v>3</v>
      </c>
      <c r="Q523">
        <v>2</v>
      </c>
      <c r="R523">
        <v>5</v>
      </c>
      <c r="S523">
        <v>5</v>
      </c>
      <c r="T523">
        <v>5.0599999999999996</v>
      </c>
      <c r="U523">
        <v>9.65</v>
      </c>
      <c r="V523">
        <v>2.25</v>
      </c>
      <c r="W523">
        <v>0.35699999999999998</v>
      </c>
      <c r="X523">
        <v>0</v>
      </c>
    </row>
    <row r="524" spans="2:24" x14ac:dyDescent="0.3">
      <c r="B524" t="s">
        <v>3384</v>
      </c>
      <c r="C524" t="s">
        <v>235</v>
      </c>
      <c r="D524" t="s">
        <v>1624</v>
      </c>
      <c r="E524" t="s">
        <v>1624</v>
      </c>
      <c r="F524">
        <v>-22.2</v>
      </c>
      <c r="G524">
        <v>2</v>
      </c>
      <c r="H524">
        <v>0</v>
      </c>
      <c r="I524">
        <v>0</v>
      </c>
      <c r="J524">
        <v>0</v>
      </c>
      <c r="K524">
        <v>0</v>
      </c>
      <c r="L524">
        <v>0</v>
      </c>
      <c r="M524">
        <v>0</v>
      </c>
      <c r="N524">
        <v>1.3</v>
      </c>
      <c r="O524">
        <v>4</v>
      </c>
      <c r="P524">
        <v>1</v>
      </c>
      <c r="Q524">
        <v>1</v>
      </c>
      <c r="R524">
        <v>2</v>
      </c>
      <c r="S524">
        <v>3</v>
      </c>
      <c r="T524">
        <v>6.75</v>
      </c>
      <c r="U524">
        <v>16.78</v>
      </c>
      <c r="V524">
        <v>5.25</v>
      </c>
      <c r="W524">
        <v>0.5</v>
      </c>
      <c r="X524">
        <v>0</v>
      </c>
    </row>
    <row r="525" spans="2:24" x14ac:dyDescent="0.3">
      <c r="B525" t="s">
        <v>3385</v>
      </c>
      <c r="C525" t="s">
        <v>1520</v>
      </c>
      <c r="D525" t="s">
        <v>1624</v>
      </c>
      <c r="E525" t="s">
        <v>1624</v>
      </c>
      <c r="F525">
        <v>-22.4</v>
      </c>
      <c r="G525">
        <v>1</v>
      </c>
      <c r="H525">
        <v>0</v>
      </c>
      <c r="I525">
        <v>0</v>
      </c>
      <c r="J525">
        <v>0</v>
      </c>
      <c r="K525">
        <v>0</v>
      </c>
      <c r="L525">
        <v>0</v>
      </c>
      <c r="M525">
        <v>0</v>
      </c>
      <c r="N525">
        <v>2</v>
      </c>
      <c r="O525">
        <v>3</v>
      </c>
      <c r="P525">
        <v>2</v>
      </c>
      <c r="Q525">
        <v>0</v>
      </c>
      <c r="R525">
        <v>0</v>
      </c>
      <c r="S525">
        <v>3</v>
      </c>
      <c r="T525">
        <v>9</v>
      </c>
      <c r="U525">
        <v>7.78</v>
      </c>
      <c r="V525">
        <v>3</v>
      </c>
      <c r="W525">
        <v>0.33300000000000002</v>
      </c>
    </row>
    <row r="526" spans="2:24" x14ac:dyDescent="0.3">
      <c r="B526" t="s">
        <v>539</v>
      </c>
      <c r="C526" t="s">
        <v>274</v>
      </c>
      <c r="D526" t="s">
        <v>1624</v>
      </c>
      <c r="E526" t="s">
        <v>1624</v>
      </c>
      <c r="F526">
        <v>-22.4</v>
      </c>
      <c r="G526">
        <v>10</v>
      </c>
      <c r="H526">
        <v>0</v>
      </c>
      <c r="I526">
        <v>0</v>
      </c>
      <c r="J526">
        <v>0</v>
      </c>
      <c r="K526">
        <v>1</v>
      </c>
      <c r="L526">
        <v>0</v>
      </c>
      <c r="M526">
        <v>2</v>
      </c>
      <c r="N526">
        <v>15.3</v>
      </c>
      <c r="O526">
        <v>13</v>
      </c>
      <c r="P526">
        <v>11</v>
      </c>
      <c r="Q526">
        <v>4</v>
      </c>
      <c r="R526">
        <v>12</v>
      </c>
      <c r="S526">
        <v>8</v>
      </c>
      <c r="T526">
        <v>6.46</v>
      </c>
      <c r="U526">
        <v>6.87</v>
      </c>
      <c r="V526">
        <v>1.37</v>
      </c>
      <c r="W526">
        <v>0.22500000000000001</v>
      </c>
      <c r="X526">
        <v>0</v>
      </c>
    </row>
    <row r="527" spans="2:24" x14ac:dyDescent="0.3">
      <c r="B527" t="s">
        <v>3386</v>
      </c>
      <c r="C527" t="s">
        <v>221</v>
      </c>
      <c r="D527" t="s">
        <v>1624</v>
      </c>
      <c r="E527" t="s">
        <v>1624</v>
      </c>
      <c r="F527">
        <v>-22.7</v>
      </c>
      <c r="G527">
        <v>3</v>
      </c>
      <c r="H527">
        <v>0</v>
      </c>
      <c r="I527">
        <v>0</v>
      </c>
      <c r="J527">
        <v>0</v>
      </c>
      <c r="K527">
        <v>0</v>
      </c>
      <c r="L527">
        <v>0</v>
      </c>
      <c r="M527">
        <v>0</v>
      </c>
      <c r="N527">
        <v>2.2999999999999998</v>
      </c>
      <c r="O527">
        <v>4</v>
      </c>
      <c r="P527">
        <v>3</v>
      </c>
      <c r="Q527">
        <v>1</v>
      </c>
      <c r="R527">
        <v>3</v>
      </c>
      <c r="S527">
        <v>3</v>
      </c>
      <c r="T527">
        <v>11.57</v>
      </c>
      <c r="U527">
        <v>10.14</v>
      </c>
      <c r="V527">
        <v>3</v>
      </c>
      <c r="W527">
        <v>0.42899999999999999</v>
      </c>
      <c r="X527">
        <v>0</v>
      </c>
    </row>
    <row r="528" spans="2:24" x14ac:dyDescent="0.3">
      <c r="B528" t="s">
        <v>3278</v>
      </c>
      <c r="C528" t="s">
        <v>255</v>
      </c>
      <c r="D528" t="s">
        <v>1624</v>
      </c>
      <c r="E528" t="s">
        <v>1624</v>
      </c>
      <c r="F528">
        <v>-22.7</v>
      </c>
      <c r="G528">
        <v>3</v>
      </c>
      <c r="H528">
        <v>0</v>
      </c>
      <c r="I528">
        <v>0</v>
      </c>
      <c r="J528">
        <v>0</v>
      </c>
      <c r="K528">
        <v>0</v>
      </c>
      <c r="L528">
        <v>0</v>
      </c>
      <c r="M528">
        <v>1</v>
      </c>
      <c r="N528">
        <v>4.3</v>
      </c>
      <c r="O528">
        <v>8</v>
      </c>
      <c r="P528">
        <v>2</v>
      </c>
      <c r="Q528">
        <v>0</v>
      </c>
      <c r="R528">
        <v>1</v>
      </c>
      <c r="S528">
        <v>3</v>
      </c>
      <c r="T528">
        <v>4.1500000000000004</v>
      </c>
      <c r="U528">
        <v>4.8899999999999997</v>
      </c>
      <c r="V528">
        <v>2.54</v>
      </c>
      <c r="W528">
        <v>0.4</v>
      </c>
      <c r="X528">
        <v>0</v>
      </c>
    </row>
    <row r="529" spans="2:24" x14ac:dyDescent="0.3">
      <c r="B529" t="s">
        <v>1746</v>
      </c>
      <c r="C529" t="s">
        <v>239</v>
      </c>
      <c r="D529" t="s">
        <v>1624</v>
      </c>
      <c r="E529" t="s">
        <v>1624</v>
      </c>
      <c r="F529">
        <v>-22.7</v>
      </c>
      <c r="G529">
        <v>1</v>
      </c>
      <c r="H529">
        <v>1</v>
      </c>
      <c r="I529">
        <v>0</v>
      </c>
      <c r="J529">
        <v>0</v>
      </c>
      <c r="K529">
        <v>1</v>
      </c>
      <c r="L529">
        <v>0</v>
      </c>
      <c r="M529">
        <v>0</v>
      </c>
      <c r="N529">
        <v>4.7</v>
      </c>
      <c r="O529">
        <v>7</v>
      </c>
      <c r="P529">
        <v>4</v>
      </c>
      <c r="Q529">
        <v>1</v>
      </c>
      <c r="R529">
        <v>2</v>
      </c>
      <c r="S529">
        <v>2</v>
      </c>
      <c r="T529">
        <v>7.71</v>
      </c>
      <c r="U529">
        <v>6.49</v>
      </c>
      <c r="V529">
        <v>1.93</v>
      </c>
      <c r="W529">
        <v>0.33300000000000002</v>
      </c>
      <c r="X529">
        <v>0</v>
      </c>
    </row>
    <row r="530" spans="2:24" x14ac:dyDescent="0.3">
      <c r="B530" t="s">
        <v>952</v>
      </c>
      <c r="C530" t="s">
        <v>1521</v>
      </c>
      <c r="D530" t="s">
        <v>1623</v>
      </c>
      <c r="E530" t="s">
        <v>1623</v>
      </c>
      <c r="F530">
        <v>-22.8</v>
      </c>
      <c r="G530">
        <v>9</v>
      </c>
      <c r="H530">
        <v>5</v>
      </c>
      <c r="I530">
        <v>0</v>
      </c>
      <c r="J530">
        <v>0</v>
      </c>
      <c r="K530">
        <v>2</v>
      </c>
      <c r="L530">
        <v>0</v>
      </c>
      <c r="M530">
        <v>0</v>
      </c>
      <c r="N530">
        <v>32.299999999999997</v>
      </c>
      <c r="O530">
        <v>41</v>
      </c>
      <c r="P530">
        <v>26</v>
      </c>
      <c r="Q530">
        <v>10</v>
      </c>
      <c r="R530">
        <v>26</v>
      </c>
      <c r="S530">
        <v>10</v>
      </c>
      <c r="T530">
        <v>7.24</v>
      </c>
      <c r="U530">
        <v>6.71</v>
      </c>
      <c r="V530">
        <v>1.58</v>
      </c>
      <c r="W530">
        <v>0.313</v>
      </c>
      <c r="X530">
        <v>2</v>
      </c>
    </row>
    <row r="531" spans="2:24" x14ac:dyDescent="0.3">
      <c r="B531" t="s">
        <v>3279</v>
      </c>
      <c r="C531" t="s">
        <v>339</v>
      </c>
      <c r="D531" t="s">
        <v>1624</v>
      </c>
      <c r="E531" t="s">
        <v>1624</v>
      </c>
      <c r="F531">
        <v>-22.8</v>
      </c>
      <c r="G531">
        <v>8</v>
      </c>
      <c r="H531">
        <v>0</v>
      </c>
      <c r="I531">
        <v>0</v>
      </c>
      <c r="J531">
        <v>0</v>
      </c>
      <c r="K531">
        <v>1</v>
      </c>
      <c r="L531">
        <v>0</v>
      </c>
      <c r="M531">
        <v>0</v>
      </c>
      <c r="N531">
        <v>9</v>
      </c>
      <c r="O531">
        <v>13</v>
      </c>
      <c r="P531">
        <v>6</v>
      </c>
      <c r="Q531">
        <v>2</v>
      </c>
      <c r="R531">
        <v>7</v>
      </c>
      <c r="S531">
        <v>3</v>
      </c>
      <c r="T531">
        <v>6</v>
      </c>
      <c r="U531">
        <v>5.61</v>
      </c>
      <c r="V531">
        <v>1.78</v>
      </c>
      <c r="W531">
        <v>0.379</v>
      </c>
      <c r="X531">
        <v>0</v>
      </c>
    </row>
    <row r="532" spans="2:24" x14ac:dyDescent="0.3">
      <c r="B532" t="s">
        <v>3181</v>
      </c>
      <c r="C532" t="s">
        <v>1709</v>
      </c>
      <c r="D532" t="s">
        <v>1624</v>
      </c>
      <c r="E532" t="s">
        <v>1624</v>
      </c>
      <c r="F532">
        <v>-22.8</v>
      </c>
      <c r="G532">
        <v>3</v>
      </c>
      <c r="H532">
        <v>0</v>
      </c>
      <c r="I532">
        <v>0</v>
      </c>
      <c r="J532">
        <v>0</v>
      </c>
      <c r="K532">
        <v>0</v>
      </c>
      <c r="L532">
        <v>0</v>
      </c>
      <c r="M532">
        <v>0</v>
      </c>
      <c r="N532">
        <v>4</v>
      </c>
      <c r="O532">
        <v>6</v>
      </c>
      <c r="P532">
        <v>5</v>
      </c>
      <c r="Q532">
        <v>0</v>
      </c>
      <c r="R532">
        <v>5</v>
      </c>
      <c r="S532">
        <v>2</v>
      </c>
      <c r="T532">
        <v>11.25</v>
      </c>
      <c r="U532">
        <v>2.2799999999999998</v>
      </c>
      <c r="V532">
        <v>2</v>
      </c>
      <c r="W532">
        <v>0.375</v>
      </c>
      <c r="X532">
        <v>0</v>
      </c>
    </row>
    <row r="533" spans="2:24" x14ac:dyDescent="0.3">
      <c r="B533" t="s">
        <v>475</v>
      </c>
      <c r="C533" t="s">
        <v>346</v>
      </c>
      <c r="D533" t="s">
        <v>1624</v>
      </c>
      <c r="E533" t="s">
        <v>1624</v>
      </c>
      <c r="F533">
        <v>-22.8</v>
      </c>
      <c r="G533">
        <v>5</v>
      </c>
      <c r="H533">
        <v>0</v>
      </c>
      <c r="I533">
        <v>0</v>
      </c>
      <c r="J533">
        <v>0</v>
      </c>
      <c r="K533">
        <v>0</v>
      </c>
      <c r="L533">
        <v>1</v>
      </c>
      <c r="M533">
        <v>1</v>
      </c>
      <c r="N533">
        <v>7</v>
      </c>
      <c r="O533">
        <v>7</v>
      </c>
      <c r="P533">
        <v>8</v>
      </c>
      <c r="Q533">
        <v>2</v>
      </c>
      <c r="R533">
        <v>7</v>
      </c>
      <c r="S533">
        <v>5</v>
      </c>
      <c r="T533">
        <v>10.29</v>
      </c>
      <c r="U533">
        <v>7.14</v>
      </c>
      <c r="V533">
        <v>1.71</v>
      </c>
      <c r="W533">
        <v>0.25</v>
      </c>
      <c r="X533">
        <v>0</v>
      </c>
    </row>
    <row r="534" spans="2:24" x14ac:dyDescent="0.3">
      <c r="B534" t="s">
        <v>508</v>
      </c>
      <c r="C534" t="s">
        <v>248</v>
      </c>
      <c r="D534" t="s">
        <v>1624</v>
      </c>
      <c r="E534" t="s">
        <v>1624</v>
      </c>
      <c r="F534">
        <v>-22.9</v>
      </c>
      <c r="G534">
        <v>22</v>
      </c>
      <c r="H534">
        <v>0</v>
      </c>
      <c r="I534">
        <v>0</v>
      </c>
      <c r="J534">
        <v>0</v>
      </c>
      <c r="K534">
        <v>3</v>
      </c>
      <c r="L534">
        <v>1</v>
      </c>
      <c r="M534">
        <v>3</v>
      </c>
      <c r="N534">
        <v>20</v>
      </c>
      <c r="O534">
        <v>23</v>
      </c>
      <c r="P534">
        <v>16</v>
      </c>
      <c r="Q534">
        <v>3</v>
      </c>
      <c r="R534">
        <v>22</v>
      </c>
      <c r="S534">
        <v>7</v>
      </c>
      <c r="T534">
        <v>7.2</v>
      </c>
      <c r="U534">
        <v>4.08</v>
      </c>
      <c r="V534">
        <v>1.5</v>
      </c>
      <c r="W534">
        <v>0.37</v>
      </c>
      <c r="X534">
        <v>4</v>
      </c>
    </row>
    <row r="535" spans="2:24" x14ac:dyDescent="0.3">
      <c r="B535" t="s">
        <v>565</v>
      </c>
      <c r="C535" t="s">
        <v>1524</v>
      </c>
      <c r="D535" t="s">
        <v>1624</v>
      </c>
      <c r="E535" t="s">
        <v>1624</v>
      </c>
      <c r="F535">
        <v>-23</v>
      </c>
      <c r="G535">
        <v>10</v>
      </c>
      <c r="H535">
        <v>0</v>
      </c>
      <c r="I535">
        <v>0</v>
      </c>
      <c r="J535">
        <v>0</v>
      </c>
      <c r="K535">
        <v>0</v>
      </c>
      <c r="L535">
        <v>0</v>
      </c>
      <c r="M535">
        <v>0</v>
      </c>
      <c r="N535">
        <v>7</v>
      </c>
      <c r="O535">
        <v>9</v>
      </c>
      <c r="P535">
        <v>5</v>
      </c>
      <c r="Q535">
        <v>1</v>
      </c>
      <c r="R535">
        <v>6</v>
      </c>
      <c r="S535">
        <v>5</v>
      </c>
      <c r="T535">
        <v>6.43</v>
      </c>
      <c r="U535">
        <v>5.99</v>
      </c>
      <c r="V535">
        <v>2</v>
      </c>
      <c r="W535">
        <v>0.38100000000000001</v>
      </c>
      <c r="X535">
        <v>0</v>
      </c>
    </row>
    <row r="536" spans="2:24" x14ac:dyDescent="0.3">
      <c r="B536" t="s">
        <v>3017</v>
      </c>
      <c r="C536" t="s">
        <v>1523</v>
      </c>
      <c r="D536" t="s">
        <v>1624</v>
      </c>
      <c r="E536" t="s">
        <v>1624</v>
      </c>
      <c r="F536">
        <v>-23.1</v>
      </c>
      <c r="G536">
        <v>3</v>
      </c>
      <c r="H536">
        <v>0</v>
      </c>
      <c r="I536">
        <v>0</v>
      </c>
      <c r="J536">
        <v>0</v>
      </c>
      <c r="K536">
        <v>0</v>
      </c>
      <c r="L536">
        <v>0</v>
      </c>
      <c r="M536">
        <v>0</v>
      </c>
      <c r="N536">
        <v>3.7</v>
      </c>
      <c r="O536">
        <v>4</v>
      </c>
      <c r="P536">
        <v>5</v>
      </c>
      <c r="Q536">
        <v>1</v>
      </c>
      <c r="R536">
        <v>3</v>
      </c>
      <c r="S536">
        <v>3</v>
      </c>
      <c r="T536">
        <v>12.27</v>
      </c>
      <c r="U536">
        <v>7.64</v>
      </c>
      <c r="V536">
        <v>1.91</v>
      </c>
      <c r="W536">
        <v>0.27300000000000002</v>
      </c>
      <c r="X536">
        <v>0</v>
      </c>
    </row>
    <row r="537" spans="2:24" x14ac:dyDescent="0.3">
      <c r="B537" t="s">
        <v>605</v>
      </c>
      <c r="C537" t="s">
        <v>224</v>
      </c>
      <c r="D537" t="s">
        <v>1624</v>
      </c>
      <c r="E537" t="s">
        <v>1624</v>
      </c>
      <c r="F537">
        <v>-23.2</v>
      </c>
      <c r="G537">
        <v>21</v>
      </c>
      <c r="H537">
        <v>0</v>
      </c>
      <c r="I537">
        <v>0</v>
      </c>
      <c r="J537">
        <v>1</v>
      </c>
      <c r="K537">
        <v>3</v>
      </c>
      <c r="L537">
        <v>1</v>
      </c>
      <c r="M537">
        <v>3</v>
      </c>
      <c r="N537">
        <v>19.7</v>
      </c>
      <c r="O537">
        <v>28</v>
      </c>
      <c r="P537">
        <v>16</v>
      </c>
      <c r="Q537">
        <v>3</v>
      </c>
      <c r="R537">
        <v>23</v>
      </c>
      <c r="S537">
        <v>9</v>
      </c>
      <c r="T537">
        <v>7.32</v>
      </c>
      <c r="U537">
        <v>4.3</v>
      </c>
      <c r="V537">
        <v>1.88</v>
      </c>
      <c r="W537">
        <v>0.42399999999999999</v>
      </c>
      <c r="X537">
        <v>4</v>
      </c>
    </row>
    <row r="538" spans="2:24" x14ac:dyDescent="0.3">
      <c r="B538" t="s">
        <v>690</v>
      </c>
      <c r="C538" t="s">
        <v>270</v>
      </c>
      <c r="D538" t="s">
        <v>1624</v>
      </c>
      <c r="E538" t="s">
        <v>1624</v>
      </c>
      <c r="F538">
        <v>-23.2</v>
      </c>
      <c r="G538">
        <v>14</v>
      </c>
      <c r="H538">
        <v>0</v>
      </c>
      <c r="I538">
        <v>0</v>
      </c>
      <c r="J538">
        <v>1</v>
      </c>
      <c r="K538">
        <v>0</v>
      </c>
      <c r="L538">
        <v>0</v>
      </c>
      <c r="M538">
        <v>1</v>
      </c>
      <c r="N538">
        <v>14</v>
      </c>
      <c r="O538">
        <v>17</v>
      </c>
      <c r="P538">
        <v>11</v>
      </c>
      <c r="Q538">
        <v>2</v>
      </c>
      <c r="R538">
        <v>13</v>
      </c>
      <c r="S538">
        <v>10</v>
      </c>
      <c r="T538">
        <v>7.07</v>
      </c>
      <c r="U538">
        <v>5.42</v>
      </c>
      <c r="V538">
        <v>1.93</v>
      </c>
      <c r="W538">
        <v>0.34100000000000003</v>
      </c>
      <c r="X538">
        <v>0</v>
      </c>
    </row>
    <row r="539" spans="2:24" x14ac:dyDescent="0.3">
      <c r="B539" t="s">
        <v>882</v>
      </c>
      <c r="C539" t="s">
        <v>244</v>
      </c>
      <c r="D539" t="s">
        <v>1624</v>
      </c>
      <c r="E539" t="s">
        <v>1624</v>
      </c>
      <c r="F539">
        <v>-23.2</v>
      </c>
      <c r="G539">
        <v>3</v>
      </c>
      <c r="H539">
        <v>0</v>
      </c>
      <c r="I539">
        <v>0</v>
      </c>
      <c r="J539">
        <v>0</v>
      </c>
      <c r="K539">
        <v>0</v>
      </c>
      <c r="L539">
        <v>0</v>
      </c>
      <c r="M539">
        <v>1</v>
      </c>
      <c r="N539">
        <v>3.3</v>
      </c>
      <c r="O539">
        <v>3</v>
      </c>
      <c r="P539">
        <v>4</v>
      </c>
      <c r="Q539">
        <v>1</v>
      </c>
      <c r="R539">
        <v>5</v>
      </c>
      <c r="S539">
        <v>6</v>
      </c>
      <c r="T539">
        <v>10.8</v>
      </c>
      <c r="U539">
        <v>9.58</v>
      </c>
      <c r="V539">
        <v>2.7</v>
      </c>
      <c r="W539">
        <v>0.28599999999999998</v>
      </c>
      <c r="X539">
        <v>0</v>
      </c>
    </row>
    <row r="540" spans="2:24" x14ac:dyDescent="0.3">
      <c r="B540" t="s">
        <v>186</v>
      </c>
      <c r="C540" t="s">
        <v>1520</v>
      </c>
      <c r="D540" t="s">
        <v>1623</v>
      </c>
      <c r="E540" t="s">
        <v>1623</v>
      </c>
      <c r="F540">
        <v>-23.3</v>
      </c>
      <c r="G540">
        <v>10</v>
      </c>
      <c r="H540">
        <v>10</v>
      </c>
      <c r="I540">
        <v>3</v>
      </c>
      <c r="J540">
        <v>0</v>
      </c>
      <c r="K540">
        <v>8</v>
      </c>
      <c r="L540">
        <v>0</v>
      </c>
      <c r="M540">
        <v>0</v>
      </c>
      <c r="N540">
        <v>56.7</v>
      </c>
      <c r="O540">
        <v>55</v>
      </c>
      <c r="P540">
        <v>45</v>
      </c>
      <c r="Q540">
        <v>14</v>
      </c>
      <c r="R540">
        <v>43</v>
      </c>
      <c r="S540">
        <v>20</v>
      </c>
      <c r="T540">
        <v>7.15</v>
      </c>
      <c r="U540">
        <v>6.08</v>
      </c>
      <c r="V540">
        <v>1.32</v>
      </c>
      <c r="W540">
        <v>0.247</v>
      </c>
      <c r="X540">
        <v>0</v>
      </c>
    </row>
    <row r="541" spans="2:24" x14ac:dyDescent="0.3">
      <c r="B541" t="s">
        <v>643</v>
      </c>
      <c r="C541" t="s">
        <v>346</v>
      </c>
      <c r="D541" t="s">
        <v>1623</v>
      </c>
      <c r="E541" t="s">
        <v>1623</v>
      </c>
      <c r="F541">
        <v>-23.3</v>
      </c>
      <c r="G541">
        <v>9</v>
      </c>
      <c r="H541">
        <v>9</v>
      </c>
      <c r="I541">
        <v>0</v>
      </c>
      <c r="J541">
        <v>1</v>
      </c>
      <c r="K541">
        <v>4</v>
      </c>
      <c r="L541">
        <v>0</v>
      </c>
      <c r="M541">
        <v>0</v>
      </c>
      <c r="N541">
        <v>38.700000000000003</v>
      </c>
      <c r="O541">
        <v>49</v>
      </c>
      <c r="P541">
        <v>32</v>
      </c>
      <c r="Q541">
        <v>9</v>
      </c>
      <c r="R541">
        <v>31</v>
      </c>
      <c r="S541">
        <v>14</v>
      </c>
      <c r="T541">
        <v>7.45</v>
      </c>
      <c r="U541">
        <v>5.79</v>
      </c>
      <c r="V541">
        <v>1.63</v>
      </c>
      <c r="W541">
        <v>0.32800000000000001</v>
      </c>
      <c r="X541">
        <v>0</v>
      </c>
    </row>
    <row r="542" spans="2:24" x14ac:dyDescent="0.3">
      <c r="B542" t="s">
        <v>679</v>
      </c>
      <c r="C542" t="s">
        <v>270</v>
      </c>
      <c r="D542" t="s">
        <v>1624</v>
      </c>
      <c r="E542" t="s">
        <v>1624</v>
      </c>
      <c r="F542">
        <v>-23.3</v>
      </c>
      <c r="G542">
        <v>1</v>
      </c>
      <c r="H542">
        <v>0</v>
      </c>
      <c r="I542">
        <v>0</v>
      </c>
      <c r="J542">
        <v>0</v>
      </c>
      <c r="K542">
        <v>0</v>
      </c>
      <c r="L542">
        <v>0</v>
      </c>
      <c r="M542">
        <v>0</v>
      </c>
      <c r="N542">
        <v>2</v>
      </c>
      <c r="O542">
        <v>5</v>
      </c>
      <c r="P542">
        <v>3</v>
      </c>
      <c r="Q542">
        <v>0</v>
      </c>
      <c r="R542">
        <v>0</v>
      </c>
      <c r="S542">
        <v>1</v>
      </c>
      <c r="T542">
        <v>13.5</v>
      </c>
      <c r="U542">
        <v>4.78</v>
      </c>
      <c r="V542">
        <v>3</v>
      </c>
      <c r="W542">
        <v>0.5</v>
      </c>
      <c r="X542">
        <v>0</v>
      </c>
    </row>
    <row r="543" spans="2:24" x14ac:dyDescent="0.3">
      <c r="B543" t="s">
        <v>866</v>
      </c>
      <c r="C543" t="s">
        <v>339</v>
      </c>
      <c r="D543" t="s">
        <v>1624</v>
      </c>
      <c r="E543" t="s">
        <v>1624</v>
      </c>
      <c r="F543">
        <v>-23.5</v>
      </c>
      <c r="G543">
        <v>10</v>
      </c>
      <c r="H543">
        <v>0</v>
      </c>
      <c r="I543">
        <v>0</v>
      </c>
      <c r="J543">
        <v>0</v>
      </c>
      <c r="K543">
        <v>0</v>
      </c>
      <c r="L543">
        <v>0</v>
      </c>
      <c r="M543">
        <v>1</v>
      </c>
      <c r="N543">
        <v>18.3</v>
      </c>
      <c r="O543">
        <v>22</v>
      </c>
      <c r="P543">
        <v>14</v>
      </c>
      <c r="Q543">
        <v>3</v>
      </c>
      <c r="R543">
        <v>15</v>
      </c>
      <c r="S543">
        <v>3</v>
      </c>
      <c r="T543">
        <v>6.87</v>
      </c>
      <c r="U543">
        <v>4.59</v>
      </c>
      <c r="V543">
        <v>1.36</v>
      </c>
      <c r="W543">
        <v>0.32200000000000001</v>
      </c>
      <c r="X543">
        <v>0</v>
      </c>
    </row>
    <row r="544" spans="2:24" x14ac:dyDescent="0.3">
      <c r="B544" t="s">
        <v>450</v>
      </c>
      <c r="C544" t="s">
        <v>248</v>
      </c>
      <c r="D544" t="s">
        <v>1623</v>
      </c>
      <c r="E544" t="s">
        <v>1623</v>
      </c>
      <c r="F544">
        <v>-23.5</v>
      </c>
      <c r="G544">
        <v>7</v>
      </c>
      <c r="H544">
        <v>7</v>
      </c>
      <c r="I544">
        <v>0</v>
      </c>
      <c r="J544">
        <v>0</v>
      </c>
      <c r="K544">
        <v>3</v>
      </c>
      <c r="L544">
        <v>0</v>
      </c>
      <c r="M544">
        <v>0</v>
      </c>
      <c r="N544">
        <v>26.7</v>
      </c>
      <c r="O544">
        <v>36</v>
      </c>
      <c r="P544">
        <v>24</v>
      </c>
      <c r="Q544">
        <v>5</v>
      </c>
      <c r="R544">
        <v>27</v>
      </c>
      <c r="S544">
        <v>10</v>
      </c>
      <c r="T544">
        <v>8.1</v>
      </c>
      <c r="U544">
        <v>4.93</v>
      </c>
      <c r="V544">
        <v>1.72</v>
      </c>
      <c r="W544">
        <v>0.373</v>
      </c>
      <c r="X544">
        <v>58</v>
      </c>
    </row>
    <row r="545" spans="2:24" x14ac:dyDescent="0.3">
      <c r="B545" t="s">
        <v>3009</v>
      </c>
      <c r="C545" t="s">
        <v>1522</v>
      </c>
      <c r="D545" t="s">
        <v>1624</v>
      </c>
      <c r="E545" t="s">
        <v>1624</v>
      </c>
      <c r="F545">
        <v>-23.5</v>
      </c>
      <c r="G545">
        <v>3</v>
      </c>
      <c r="H545">
        <v>0</v>
      </c>
      <c r="I545">
        <v>0</v>
      </c>
      <c r="J545">
        <v>0</v>
      </c>
      <c r="K545">
        <v>1</v>
      </c>
      <c r="L545">
        <v>0</v>
      </c>
      <c r="M545">
        <v>0</v>
      </c>
      <c r="N545">
        <v>11.3</v>
      </c>
      <c r="O545">
        <v>15</v>
      </c>
      <c r="P545">
        <v>10</v>
      </c>
      <c r="Q545">
        <v>3</v>
      </c>
      <c r="R545">
        <v>13</v>
      </c>
      <c r="S545">
        <v>3</v>
      </c>
      <c r="T545">
        <v>7.94</v>
      </c>
      <c r="U545">
        <v>6.01</v>
      </c>
      <c r="V545">
        <v>1.59</v>
      </c>
      <c r="W545">
        <v>0.375</v>
      </c>
      <c r="X545">
        <v>0</v>
      </c>
    </row>
    <row r="546" spans="2:24" x14ac:dyDescent="0.3">
      <c r="B546" t="s">
        <v>566</v>
      </c>
      <c r="C546" t="s">
        <v>226</v>
      </c>
      <c r="D546" t="s">
        <v>1624</v>
      </c>
      <c r="E546" t="s">
        <v>1624</v>
      </c>
      <c r="F546">
        <v>-23.6</v>
      </c>
      <c r="G546">
        <v>6</v>
      </c>
      <c r="H546">
        <v>0</v>
      </c>
      <c r="I546">
        <v>0</v>
      </c>
      <c r="J546">
        <v>0</v>
      </c>
      <c r="K546">
        <v>0</v>
      </c>
      <c r="L546">
        <v>1</v>
      </c>
      <c r="M546">
        <v>0</v>
      </c>
      <c r="N546">
        <v>14.7</v>
      </c>
      <c r="O546">
        <v>19</v>
      </c>
      <c r="P546">
        <v>13</v>
      </c>
      <c r="Q546">
        <v>5</v>
      </c>
      <c r="R546">
        <v>13</v>
      </c>
      <c r="S546">
        <v>3</v>
      </c>
      <c r="T546">
        <v>7.98</v>
      </c>
      <c r="U546">
        <v>6.55</v>
      </c>
      <c r="V546">
        <v>1.5</v>
      </c>
      <c r="W546">
        <v>0.30399999999999999</v>
      </c>
      <c r="X546">
        <v>0</v>
      </c>
    </row>
    <row r="547" spans="2:24" x14ac:dyDescent="0.3">
      <c r="B547" t="s">
        <v>575</v>
      </c>
      <c r="C547" t="s">
        <v>243</v>
      </c>
      <c r="D547" t="s">
        <v>1624</v>
      </c>
      <c r="E547" t="s">
        <v>1624</v>
      </c>
      <c r="F547">
        <v>-23.7</v>
      </c>
      <c r="G547">
        <v>20</v>
      </c>
      <c r="H547">
        <v>0</v>
      </c>
      <c r="I547">
        <v>0</v>
      </c>
      <c r="J547">
        <v>1</v>
      </c>
      <c r="K547">
        <v>1</v>
      </c>
      <c r="L547">
        <v>0</v>
      </c>
      <c r="M547">
        <v>6</v>
      </c>
      <c r="N547">
        <v>15</v>
      </c>
      <c r="O547">
        <v>17</v>
      </c>
      <c r="P547">
        <v>14</v>
      </c>
      <c r="Q547">
        <v>0</v>
      </c>
      <c r="R547">
        <v>15</v>
      </c>
      <c r="S547">
        <v>9</v>
      </c>
      <c r="T547">
        <v>8.4</v>
      </c>
      <c r="U547">
        <v>3.28</v>
      </c>
      <c r="V547">
        <v>1.73</v>
      </c>
      <c r="W547">
        <v>0.378</v>
      </c>
      <c r="X547">
        <v>0</v>
      </c>
    </row>
    <row r="548" spans="2:24" x14ac:dyDescent="0.3">
      <c r="B548" t="s">
        <v>818</v>
      </c>
      <c r="C548" t="s">
        <v>1522</v>
      </c>
      <c r="D548" t="s">
        <v>1624</v>
      </c>
      <c r="E548" t="s">
        <v>1624</v>
      </c>
      <c r="F548">
        <v>-23.7</v>
      </c>
      <c r="G548">
        <v>8</v>
      </c>
      <c r="H548">
        <v>4</v>
      </c>
      <c r="I548">
        <v>0</v>
      </c>
      <c r="J548">
        <v>0</v>
      </c>
      <c r="K548">
        <v>1</v>
      </c>
      <c r="L548">
        <v>0</v>
      </c>
      <c r="M548">
        <v>0</v>
      </c>
      <c r="N548">
        <v>14</v>
      </c>
      <c r="O548">
        <v>16</v>
      </c>
      <c r="P548">
        <v>10</v>
      </c>
      <c r="Q548">
        <v>2</v>
      </c>
      <c r="R548">
        <v>11</v>
      </c>
      <c r="S548">
        <v>6</v>
      </c>
      <c r="T548">
        <v>6.43</v>
      </c>
      <c r="U548">
        <v>5.0599999999999996</v>
      </c>
      <c r="V548">
        <v>1.57</v>
      </c>
      <c r="W548">
        <v>0.311</v>
      </c>
      <c r="X548">
        <v>0</v>
      </c>
    </row>
    <row r="549" spans="2:24" x14ac:dyDescent="0.3">
      <c r="B549" t="s">
        <v>3387</v>
      </c>
      <c r="C549" t="s">
        <v>1709</v>
      </c>
      <c r="D549" t="s">
        <v>1624</v>
      </c>
      <c r="E549" t="s">
        <v>1624</v>
      </c>
      <c r="F549">
        <v>-23.8</v>
      </c>
      <c r="G549">
        <v>3</v>
      </c>
      <c r="H549">
        <v>0</v>
      </c>
      <c r="I549">
        <v>0</v>
      </c>
      <c r="J549">
        <v>0</v>
      </c>
      <c r="K549">
        <v>0</v>
      </c>
      <c r="L549">
        <v>0</v>
      </c>
      <c r="M549">
        <v>0</v>
      </c>
      <c r="N549">
        <v>2.7</v>
      </c>
      <c r="O549">
        <v>6</v>
      </c>
      <c r="P549">
        <v>3</v>
      </c>
      <c r="Q549">
        <v>2</v>
      </c>
      <c r="R549">
        <v>0</v>
      </c>
      <c r="S549">
        <v>2</v>
      </c>
      <c r="T549">
        <v>10.130000000000001</v>
      </c>
      <c r="U549">
        <v>15.28</v>
      </c>
      <c r="V549">
        <v>3</v>
      </c>
      <c r="W549">
        <v>0.33300000000000002</v>
      </c>
    </row>
    <row r="550" spans="2:24" x14ac:dyDescent="0.3">
      <c r="B550" t="s">
        <v>581</v>
      </c>
      <c r="C550" t="s">
        <v>270</v>
      </c>
      <c r="D550" t="s">
        <v>1623</v>
      </c>
      <c r="E550" t="s">
        <v>1623</v>
      </c>
      <c r="F550">
        <v>-23.9</v>
      </c>
      <c r="G550">
        <v>3</v>
      </c>
      <c r="H550">
        <v>3</v>
      </c>
      <c r="I550">
        <v>0</v>
      </c>
      <c r="J550">
        <v>0</v>
      </c>
      <c r="K550">
        <v>1</v>
      </c>
      <c r="L550">
        <v>0</v>
      </c>
      <c r="M550">
        <v>0</v>
      </c>
      <c r="N550">
        <v>11</v>
      </c>
      <c r="O550">
        <v>19</v>
      </c>
      <c r="P550">
        <v>14</v>
      </c>
      <c r="Q550">
        <v>3</v>
      </c>
      <c r="R550">
        <v>9</v>
      </c>
      <c r="S550">
        <v>7</v>
      </c>
      <c r="T550">
        <v>11.45</v>
      </c>
      <c r="U550">
        <v>7.1</v>
      </c>
      <c r="V550">
        <v>2.36</v>
      </c>
      <c r="W550">
        <v>0.45700000000000002</v>
      </c>
      <c r="X550">
        <v>0</v>
      </c>
    </row>
    <row r="551" spans="2:24" x14ac:dyDescent="0.3">
      <c r="B551" t="s">
        <v>197</v>
      </c>
      <c r="C551" t="s">
        <v>339</v>
      </c>
      <c r="D551" t="s">
        <v>1623</v>
      </c>
      <c r="E551" t="s">
        <v>1623</v>
      </c>
      <c r="F551">
        <v>-23.9</v>
      </c>
      <c r="G551">
        <v>8</v>
      </c>
      <c r="H551">
        <v>8</v>
      </c>
      <c r="I551">
        <v>0</v>
      </c>
      <c r="J551">
        <v>1</v>
      </c>
      <c r="K551">
        <v>6</v>
      </c>
      <c r="L551">
        <v>0</v>
      </c>
      <c r="M551">
        <v>0</v>
      </c>
      <c r="N551">
        <v>39</v>
      </c>
      <c r="O551">
        <v>53</v>
      </c>
      <c r="P551">
        <v>35</v>
      </c>
      <c r="Q551">
        <v>8</v>
      </c>
      <c r="R551">
        <v>45</v>
      </c>
      <c r="S551">
        <v>14</v>
      </c>
      <c r="T551">
        <v>8.08</v>
      </c>
      <c r="U551">
        <v>4.79</v>
      </c>
      <c r="V551">
        <v>1.72</v>
      </c>
      <c r="W551">
        <v>0.40200000000000002</v>
      </c>
      <c r="X551">
        <v>5</v>
      </c>
    </row>
    <row r="552" spans="2:24" x14ac:dyDescent="0.3">
      <c r="B552" t="s">
        <v>634</v>
      </c>
      <c r="C552" t="s">
        <v>1709</v>
      </c>
      <c r="D552" t="s">
        <v>1624</v>
      </c>
      <c r="E552" t="s">
        <v>1624</v>
      </c>
      <c r="F552">
        <v>-24</v>
      </c>
      <c r="G552">
        <v>14</v>
      </c>
      <c r="H552">
        <v>0</v>
      </c>
      <c r="I552">
        <v>0</v>
      </c>
      <c r="J552">
        <v>0</v>
      </c>
      <c r="K552">
        <v>1</v>
      </c>
      <c r="L552">
        <v>2</v>
      </c>
      <c r="M552">
        <v>1</v>
      </c>
      <c r="N552">
        <v>12.7</v>
      </c>
      <c r="O552">
        <v>13</v>
      </c>
      <c r="P552">
        <v>9</v>
      </c>
      <c r="Q552">
        <v>2</v>
      </c>
      <c r="R552">
        <v>9</v>
      </c>
      <c r="S552">
        <v>13</v>
      </c>
      <c r="T552">
        <v>6.4</v>
      </c>
      <c r="U552">
        <v>7.23</v>
      </c>
      <c r="V552">
        <v>2.0499999999999998</v>
      </c>
      <c r="W552">
        <v>0.29699999999999999</v>
      </c>
      <c r="X552">
        <v>0</v>
      </c>
    </row>
    <row r="553" spans="2:24" x14ac:dyDescent="0.3">
      <c r="B553" t="s">
        <v>3285</v>
      </c>
      <c r="C553" t="s">
        <v>1522</v>
      </c>
      <c r="D553" t="s">
        <v>1624</v>
      </c>
      <c r="E553" t="s">
        <v>1624</v>
      </c>
      <c r="F553">
        <v>-24</v>
      </c>
      <c r="G553">
        <v>6</v>
      </c>
      <c r="H553">
        <v>0</v>
      </c>
      <c r="I553">
        <v>0</v>
      </c>
      <c r="J553">
        <v>0</v>
      </c>
      <c r="K553">
        <v>1</v>
      </c>
      <c r="L553">
        <v>0</v>
      </c>
      <c r="M553">
        <v>0</v>
      </c>
      <c r="N553">
        <v>6.3</v>
      </c>
      <c r="O553">
        <v>10</v>
      </c>
      <c r="P553">
        <v>6</v>
      </c>
      <c r="Q553">
        <v>1</v>
      </c>
      <c r="R553">
        <v>6</v>
      </c>
      <c r="S553">
        <v>3</v>
      </c>
      <c r="T553">
        <v>8.5299999999999994</v>
      </c>
      <c r="U553">
        <v>4.8600000000000003</v>
      </c>
      <c r="V553">
        <v>2.0499999999999998</v>
      </c>
      <c r="W553">
        <v>0.40899999999999997</v>
      </c>
      <c r="X553">
        <v>0</v>
      </c>
    </row>
    <row r="554" spans="2:24" x14ac:dyDescent="0.3">
      <c r="B554" t="s">
        <v>1633</v>
      </c>
      <c r="C554" t="s">
        <v>325</v>
      </c>
      <c r="D554" t="s">
        <v>1624</v>
      </c>
      <c r="E554" t="s">
        <v>1624</v>
      </c>
      <c r="F554">
        <v>-24.4</v>
      </c>
      <c r="G554">
        <v>10</v>
      </c>
      <c r="H554">
        <v>0</v>
      </c>
      <c r="I554">
        <v>0</v>
      </c>
      <c r="J554">
        <v>0</v>
      </c>
      <c r="K554">
        <v>0</v>
      </c>
      <c r="L554">
        <v>0</v>
      </c>
      <c r="M554">
        <v>0</v>
      </c>
      <c r="N554">
        <v>22</v>
      </c>
      <c r="O554">
        <v>25</v>
      </c>
      <c r="P554">
        <v>15</v>
      </c>
      <c r="Q554">
        <v>3</v>
      </c>
      <c r="R554">
        <v>18</v>
      </c>
      <c r="S554">
        <v>8</v>
      </c>
      <c r="T554">
        <v>6.14</v>
      </c>
      <c r="U554">
        <v>4.6399999999999997</v>
      </c>
      <c r="V554">
        <v>1.5</v>
      </c>
      <c r="W554">
        <v>0.33800000000000002</v>
      </c>
      <c r="X554">
        <v>0</v>
      </c>
    </row>
    <row r="555" spans="2:24" x14ac:dyDescent="0.3">
      <c r="B555" t="s">
        <v>692</v>
      </c>
      <c r="C555" t="s">
        <v>278</v>
      </c>
      <c r="D555" t="s">
        <v>1624</v>
      </c>
      <c r="E555" t="s">
        <v>1624</v>
      </c>
      <c r="F555">
        <v>-24.5</v>
      </c>
      <c r="G555">
        <v>9</v>
      </c>
      <c r="H555">
        <v>0</v>
      </c>
      <c r="I555">
        <v>0</v>
      </c>
      <c r="J555">
        <v>0</v>
      </c>
      <c r="K555">
        <v>1</v>
      </c>
      <c r="L555">
        <v>0</v>
      </c>
      <c r="M555">
        <v>2</v>
      </c>
      <c r="N555">
        <v>6.7</v>
      </c>
      <c r="O555">
        <v>12</v>
      </c>
      <c r="P555">
        <v>5</v>
      </c>
      <c r="Q555">
        <v>1</v>
      </c>
      <c r="R555">
        <v>6</v>
      </c>
      <c r="S555">
        <v>4</v>
      </c>
      <c r="T555">
        <v>6.75</v>
      </c>
      <c r="U555">
        <v>5.68</v>
      </c>
      <c r="V555">
        <v>2.4</v>
      </c>
      <c r="W555">
        <v>0.45800000000000002</v>
      </c>
      <c r="X555">
        <v>0</v>
      </c>
    </row>
    <row r="556" spans="2:24" x14ac:dyDescent="0.3">
      <c r="B556" t="s">
        <v>3281</v>
      </c>
      <c r="C556" t="s">
        <v>1521</v>
      </c>
      <c r="D556" t="s">
        <v>1624</v>
      </c>
      <c r="E556" t="s">
        <v>1624</v>
      </c>
      <c r="F556">
        <v>-24.5</v>
      </c>
      <c r="G556">
        <v>3</v>
      </c>
      <c r="H556">
        <v>0</v>
      </c>
      <c r="I556">
        <v>0</v>
      </c>
      <c r="J556">
        <v>0</v>
      </c>
      <c r="K556">
        <v>0</v>
      </c>
      <c r="L556">
        <v>0</v>
      </c>
      <c r="M556">
        <v>0</v>
      </c>
      <c r="N556">
        <v>2.2999999999999998</v>
      </c>
      <c r="O556">
        <v>6</v>
      </c>
      <c r="P556">
        <v>4</v>
      </c>
      <c r="Q556">
        <v>0</v>
      </c>
      <c r="R556">
        <v>2</v>
      </c>
      <c r="S556">
        <v>2</v>
      </c>
      <c r="T556">
        <v>15.43</v>
      </c>
      <c r="U556">
        <v>4.1399999999999997</v>
      </c>
      <c r="V556">
        <v>3.43</v>
      </c>
      <c r="W556">
        <v>0.54500000000000004</v>
      </c>
      <c r="X556">
        <v>0</v>
      </c>
    </row>
    <row r="557" spans="2:24" x14ac:dyDescent="0.3">
      <c r="B557" t="s">
        <v>3200</v>
      </c>
      <c r="C557" t="s">
        <v>246</v>
      </c>
      <c r="D557" t="s">
        <v>1624</v>
      </c>
      <c r="E557" t="s">
        <v>1624</v>
      </c>
      <c r="F557">
        <v>-24.6</v>
      </c>
      <c r="G557">
        <v>1</v>
      </c>
      <c r="H557">
        <v>0</v>
      </c>
      <c r="I557">
        <v>0</v>
      </c>
      <c r="J557">
        <v>0</v>
      </c>
      <c r="K557">
        <v>0</v>
      </c>
      <c r="L557">
        <v>0</v>
      </c>
      <c r="M557">
        <v>0</v>
      </c>
      <c r="N557">
        <v>0.7</v>
      </c>
      <c r="O557">
        <v>1</v>
      </c>
      <c r="P557">
        <v>3</v>
      </c>
      <c r="Q557">
        <v>0</v>
      </c>
      <c r="R557">
        <v>0</v>
      </c>
      <c r="S557">
        <v>5</v>
      </c>
      <c r="T557">
        <v>40.5</v>
      </c>
      <c r="U557">
        <v>0</v>
      </c>
      <c r="V557">
        <v>9</v>
      </c>
      <c r="W557">
        <v>0.5</v>
      </c>
      <c r="X557">
        <v>0</v>
      </c>
    </row>
    <row r="558" spans="2:24" x14ac:dyDescent="0.3">
      <c r="B558" t="s">
        <v>766</v>
      </c>
      <c r="C558" t="s">
        <v>255</v>
      </c>
      <c r="D558" t="s">
        <v>1623</v>
      </c>
      <c r="E558" t="s">
        <v>1623</v>
      </c>
      <c r="F558">
        <v>-24.8</v>
      </c>
      <c r="G558">
        <v>10</v>
      </c>
      <c r="H558">
        <v>10</v>
      </c>
      <c r="I558">
        <v>0</v>
      </c>
      <c r="J558">
        <v>0</v>
      </c>
      <c r="K558">
        <v>6</v>
      </c>
      <c r="L558">
        <v>0</v>
      </c>
      <c r="M558">
        <v>0</v>
      </c>
      <c r="N558">
        <v>50.3</v>
      </c>
      <c r="O558">
        <v>68</v>
      </c>
      <c r="P558">
        <v>32</v>
      </c>
      <c r="Q558">
        <v>8</v>
      </c>
      <c r="R558">
        <v>45</v>
      </c>
      <c r="S558">
        <v>20</v>
      </c>
      <c r="T558">
        <v>5.72</v>
      </c>
      <c r="U558">
        <v>4.8099999999999996</v>
      </c>
      <c r="V558">
        <v>1.75</v>
      </c>
      <c r="W558">
        <v>0.373</v>
      </c>
      <c r="X558">
        <v>14</v>
      </c>
    </row>
    <row r="559" spans="2:24" x14ac:dyDescent="0.3">
      <c r="B559" t="s">
        <v>557</v>
      </c>
      <c r="C559" t="s">
        <v>264</v>
      </c>
      <c r="D559" t="s">
        <v>1624</v>
      </c>
      <c r="E559" t="s">
        <v>1624</v>
      </c>
      <c r="F559">
        <v>-24.9</v>
      </c>
      <c r="G559">
        <v>4</v>
      </c>
      <c r="H559">
        <v>0</v>
      </c>
      <c r="I559">
        <v>0</v>
      </c>
      <c r="J559">
        <v>0</v>
      </c>
      <c r="K559">
        <v>0</v>
      </c>
      <c r="L559">
        <v>0</v>
      </c>
      <c r="M559">
        <v>0</v>
      </c>
      <c r="N559">
        <v>7</v>
      </c>
      <c r="O559">
        <v>9</v>
      </c>
      <c r="P559">
        <v>8</v>
      </c>
      <c r="Q559">
        <v>1</v>
      </c>
      <c r="R559">
        <v>7</v>
      </c>
      <c r="S559">
        <v>4</v>
      </c>
      <c r="T559">
        <v>10.29</v>
      </c>
      <c r="U559">
        <v>4.8499999999999996</v>
      </c>
      <c r="V559">
        <v>1.86</v>
      </c>
      <c r="W559">
        <v>0.36399999999999999</v>
      </c>
      <c r="X559">
        <v>0</v>
      </c>
    </row>
    <row r="560" spans="2:24" x14ac:dyDescent="0.3">
      <c r="B560" t="s">
        <v>3273</v>
      </c>
      <c r="C560" t="s">
        <v>325</v>
      </c>
      <c r="D560" t="s">
        <v>1624</v>
      </c>
      <c r="E560" t="s">
        <v>1624</v>
      </c>
      <c r="F560">
        <v>-25</v>
      </c>
      <c r="G560">
        <v>3</v>
      </c>
      <c r="H560">
        <v>0</v>
      </c>
      <c r="I560">
        <v>0</v>
      </c>
      <c r="J560">
        <v>0</v>
      </c>
      <c r="K560">
        <v>0</v>
      </c>
      <c r="L560">
        <v>0</v>
      </c>
      <c r="M560">
        <v>1</v>
      </c>
      <c r="N560">
        <v>3</v>
      </c>
      <c r="O560">
        <v>5</v>
      </c>
      <c r="P560">
        <v>5</v>
      </c>
      <c r="Q560">
        <v>2</v>
      </c>
      <c r="R560">
        <v>1</v>
      </c>
      <c r="S560">
        <v>3</v>
      </c>
      <c r="T560">
        <v>15</v>
      </c>
      <c r="U560">
        <v>14.28</v>
      </c>
      <c r="V560">
        <v>2.67</v>
      </c>
      <c r="W560">
        <v>0.27300000000000002</v>
      </c>
      <c r="X560">
        <v>0</v>
      </c>
    </row>
    <row r="561" spans="2:24" x14ac:dyDescent="0.3">
      <c r="B561" t="s">
        <v>1653</v>
      </c>
      <c r="C561" t="s">
        <v>286</v>
      </c>
      <c r="D561" t="s">
        <v>1624</v>
      </c>
      <c r="E561" t="s">
        <v>1624</v>
      </c>
      <c r="F561">
        <v>-25.1</v>
      </c>
      <c r="G561">
        <v>20</v>
      </c>
      <c r="H561">
        <v>0</v>
      </c>
      <c r="I561">
        <v>0</v>
      </c>
      <c r="J561">
        <v>1</v>
      </c>
      <c r="K561">
        <v>1</v>
      </c>
      <c r="L561">
        <v>0</v>
      </c>
      <c r="M561">
        <v>0</v>
      </c>
      <c r="N561">
        <v>22.7</v>
      </c>
      <c r="O561">
        <v>29</v>
      </c>
      <c r="P561">
        <v>18</v>
      </c>
      <c r="Q561">
        <v>6</v>
      </c>
      <c r="R561">
        <v>23</v>
      </c>
      <c r="S561">
        <v>11</v>
      </c>
      <c r="T561">
        <v>7.15</v>
      </c>
      <c r="U561">
        <v>6.81</v>
      </c>
      <c r="V561">
        <v>1.76</v>
      </c>
      <c r="W561">
        <v>0.34799999999999998</v>
      </c>
      <c r="X561">
        <v>0</v>
      </c>
    </row>
    <row r="562" spans="2:24" x14ac:dyDescent="0.3">
      <c r="B562" t="s">
        <v>584</v>
      </c>
      <c r="C562" t="s">
        <v>1524</v>
      </c>
      <c r="D562" t="s">
        <v>1623</v>
      </c>
      <c r="E562" t="s">
        <v>1623</v>
      </c>
      <c r="F562">
        <v>-26.1</v>
      </c>
      <c r="G562">
        <v>6</v>
      </c>
      <c r="H562">
        <v>5</v>
      </c>
      <c r="I562">
        <v>0</v>
      </c>
      <c r="J562">
        <v>0</v>
      </c>
      <c r="K562">
        <v>2</v>
      </c>
      <c r="L562">
        <v>0</v>
      </c>
      <c r="M562">
        <v>0</v>
      </c>
      <c r="N562">
        <v>24</v>
      </c>
      <c r="O562">
        <v>28</v>
      </c>
      <c r="P562">
        <v>23</v>
      </c>
      <c r="Q562">
        <v>5</v>
      </c>
      <c r="R562">
        <v>20</v>
      </c>
      <c r="S562">
        <v>17</v>
      </c>
      <c r="T562">
        <v>8.6300000000000008</v>
      </c>
      <c r="U562">
        <v>6.57</v>
      </c>
      <c r="V562">
        <v>1.88</v>
      </c>
      <c r="W562">
        <v>0.34799999999999998</v>
      </c>
      <c r="X562">
        <v>0</v>
      </c>
    </row>
    <row r="563" spans="2:24" x14ac:dyDescent="0.3">
      <c r="B563" t="s">
        <v>3132</v>
      </c>
      <c r="C563" t="s">
        <v>246</v>
      </c>
      <c r="D563" t="s">
        <v>1624</v>
      </c>
      <c r="E563" t="s">
        <v>1624</v>
      </c>
      <c r="F563">
        <v>-26.2</v>
      </c>
      <c r="G563">
        <v>1</v>
      </c>
      <c r="H563">
        <v>0</v>
      </c>
      <c r="I563">
        <v>0</v>
      </c>
      <c r="J563">
        <v>0</v>
      </c>
      <c r="K563">
        <v>0</v>
      </c>
      <c r="L563">
        <v>0</v>
      </c>
      <c r="M563">
        <v>0</v>
      </c>
      <c r="N563">
        <v>3</v>
      </c>
      <c r="O563">
        <v>7</v>
      </c>
      <c r="P563">
        <v>6</v>
      </c>
      <c r="Q563">
        <v>2</v>
      </c>
      <c r="R563">
        <v>2</v>
      </c>
      <c r="S563">
        <v>2</v>
      </c>
      <c r="T563">
        <v>18</v>
      </c>
      <c r="U563">
        <v>12.61</v>
      </c>
      <c r="V563">
        <v>3</v>
      </c>
      <c r="W563">
        <v>0.41699999999999998</v>
      </c>
      <c r="X563">
        <v>0</v>
      </c>
    </row>
    <row r="564" spans="2:24" x14ac:dyDescent="0.3">
      <c r="B564" t="s">
        <v>954</v>
      </c>
      <c r="C564" t="s">
        <v>311</v>
      </c>
      <c r="D564" t="s">
        <v>1624</v>
      </c>
      <c r="E564" t="s">
        <v>1624</v>
      </c>
      <c r="F564">
        <v>-26.5</v>
      </c>
      <c r="G564">
        <v>9</v>
      </c>
      <c r="H564">
        <v>0</v>
      </c>
      <c r="I564">
        <v>0</v>
      </c>
      <c r="J564">
        <v>0</v>
      </c>
      <c r="K564">
        <v>0</v>
      </c>
      <c r="L564">
        <v>0</v>
      </c>
      <c r="M564">
        <v>0</v>
      </c>
      <c r="N564">
        <v>8</v>
      </c>
      <c r="O564">
        <v>9</v>
      </c>
      <c r="P564">
        <v>10</v>
      </c>
      <c r="Q564">
        <v>3</v>
      </c>
      <c r="R564">
        <v>8</v>
      </c>
      <c r="S564">
        <v>6</v>
      </c>
      <c r="T564">
        <v>11.25</v>
      </c>
      <c r="U564">
        <v>8.4</v>
      </c>
      <c r="V564">
        <v>1.88</v>
      </c>
      <c r="W564">
        <v>0.27300000000000002</v>
      </c>
      <c r="X564">
        <v>0</v>
      </c>
    </row>
    <row r="565" spans="2:24" x14ac:dyDescent="0.3">
      <c r="B565" t="s">
        <v>546</v>
      </c>
      <c r="C565" t="s">
        <v>1522</v>
      </c>
      <c r="D565" t="s">
        <v>1624</v>
      </c>
      <c r="E565" t="s">
        <v>1624</v>
      </c>
      <c r="F565">
        <v>-26.7</v>
      </c>
      <c r="G565">
        <v>17</v>
      </c>
      <c r="H565">
        <v>0</v>
      </c>
      <c r="I565">
        <v>0</v>
      </c>
      <c r="J565">
        <v>0</v>
      </c>
      <c r="K565">
        <v>1</v>
      </c>
      <c r="L565">
        <v>0</v>
      </c>
      <c r="M565">
        <v>3</v>
      </c>
      <c r="N565">
        <v>15</v>
      </c>
      <c r="O565">
        <v>13</v>
      </c>
      <c r="P565">
        <v>12</v>
      </c>
      <c r="Q565">
        <v>2</v>
      </c>
      <c r="R565">
        <v>13</v>
      </c>
      <c r="S565">
        <v>14</v>
      </c>
      <c r="T565">
        <v>7.2</v>
      </c>
      <c r="U565">
        <v>6.28</v>
      </c>
      <c r="V565">
        <v>1.8</v>
      </c>
      <c r="W565">
        <v>0.26200000000000001</v>
      </c>
      <c r="X565">
        <v>0</v>
      </c>
    </row>
    <row r="566" spans="2:24" x14ac:dyDescent="0.3">
      <c r="B566" t="s">
        <v>622</v>
      </c>
      <c r="C566" t="s">
        <v>325</v>
      </c>
      <c r="D566" t="s">
        <v>1623</v>
      </c>
      <c r="E566" t="s">
        <v>1623</v>
      </c>
      <c r="F566">
        <v>-26.7</v>
      </c>
      <c r="G566">
        <v>8</v>
      </c>
      <c r="H566">
        <v>5</v>
      </c>
      <c r="I566">
        <v>1</v>
      </c>
      <c r="J566">
        <v>0</v>
      </c>
      <c r="K566">
        <v>4</v>
      </c>
      <c r="L566">
        <v>0</v>
      </c>
      <c r="M566">
        <v>0</v>
      </c>
      <c r="N566">
        <v>28</v>
      </c>
      <c r="O566">
        <v>33</v>
      </c>
      <c r="P566">
        <v>27</v>
      </c>
      <c r="Q566">
        <v>6</v>
      </c>
      <c r="R566">
        <v>30</v>
      </c>
      <c r="S566">
        <v>19</v>
      </c>
      <c r="T566">
        <v>8.68</v>
      </c>
      <c r="U566">
        <v>6.39</v>
      </c>
      <c r="V566">
        <v>1.86</v>
      </c>
      <c r="W566">
        <v>0.34200000000000003</v>
      </c>
      <c r="X566">
        <v>0</v>
      </c>
    </row>
    <row r="567" spans="2:24" x14ac:dyDescent="0.3">
      <c r="B567" t="s">
        <v>3088</v>
      </c>
      <c r="C567" t="s">
        <v>226</v>
      </c>
      <c r="D567" t="s">
        <v>1624</v>
      </c>
      <c r="E567" t="s">
        <v>1624</v>
      </c>
      <c r="F567">
        <v>-27.1</v>
      </c>
      <c r="G567">
        <v>1</v>
      </c>
      <c r="H567">
        <v>0</v>
      </c>
      <c r="I567">
        <v>0</v>
      </c>
      <c r="J567">
        <v>0</v>
      </c>
      <c r="K567">
        <v>0</v>
      </c>
      <c r="L567">
        <v>0</v>
      </c>
      <c r="M567">
        <v>0</v>
      </c>
      <c r="N567">
        <v>0.7</v>
      </c>
      <c r="O567">
        <v>5</v>
      </c>
      <c r="P567">
        <v>6</v>
      </c>
      <c r="Q567">
        <v>1</v>
      </c>
      <c r="R567">
        <v>1</v>
      </c>
      <c r="S567">
        <v>1</v>
      </c>
      <c r="T567">
        <v>81</v>
      </c>
      <c r="U567">
        <v>0</v>
      </c>
      <c r="V567">
        <v>9</v>
      </c>
      <c r="W567">
        <v>0.999</v>
      </c>
      <c r="X567">
        <v>0</v>
      </c>
    </row>
    <row r="568" spans="2:24" x14ac:dyDescent="0.3">
      <c r="B568" t="s">
        <v>635</v>
      </c>
      <c r="C568" t="s">
        <v>1524</v>
      </c>
      <c r="D568" t="s">
        <v>1624</v>
      </c>
      <c r="E568" t="s">
        <v>1624</v>
      </c>
      <c r="F568">
        <v>-27.1</v>
      </c>
      <c r="G568">
        <v>15</v>
      </c>
      <c r="H568">
        <v>0</v>
      </c>
      <c r="I568">
        <v>0</v>
      </c>
      <c r="J568">
        <v>0</v>
      </c>
      <c r="K568">
        <v>0</v>
      </c>
      <c r="L568">
        <v>0</v>
      </c>
      <c r="M568">
        <v>0</v>
      </c>
      <c r="N568">
        <v>18.3</v>
      </c>
      <c r="O568">
        <v>21</v>
      </c>
      <c r="P568">
        <v>11</v>
      </c>
      <c r="Q568">
        <v>2</v>
      </c>
      <c r="R568">
        <v>9</v>
      </c>
      <c r="S568">
        <v>12</v>
      </c>
      <c r="T568">
        <v>5.4</v>
      </c>
      <c r="U568">
        <v>5.84</v>
      </c>
      <c r="V568">
        <v>1.8</v>
      </c>
      <c r="W568">
        <v>0.30199999999999999</v>
      </c>
      <c r="X568">
        <v>0</v>
      </c>
    </row>
    <row r="569" spans="2:24" x14ac:dyDescent="0.3">
      <c r="B569" t="s">
        <v>1646</v>
      </c>
      <c r="C569" t="s">
        <v>286</v>
      </c>
      <c r="D569" t="s">
        <v>1624</v>
      </c>
      <c r="E569" t="s">
        <v>1624</v>
      </c>
      <c r="F569">
        <v>-27.2</v>
      </c>
      <c r="G569">
        <v>4</v>
      </c>
      <c r="H569">
        <v>0</v>
      </c>
      <c r="I569">
        <v>0</v>
      </c>
      <c r="J569">
        <v>0</v>
      </c>
      <c r="K569">
        <v>0</v>
      </c>
      <c r="L569">
        <v>0</v>
      </c>
      <c r="M569">
        <v>0</v>
      </c>
      <c r="N569">
        <v>4.3</v>
      </c>
      <c r="O569">
        <v>7</v>
      </c>
      <c r="P569">
        <v>7</v>
      </c>
      <c r="Q569">
        <v>1</v>
      </c>
      <c r="R569">
        <v>3</v>
      </c>
      <c r="S569">
        <v>5</v>
      </c>
      <c r="T569">
        <v>14.54</v>
      </c>
      <c r="U569">
        <v>8.36</v>
      </c>
      <c r="V569">
        <v>2.77</v>
      </c>
      <c r="W569">
        <v>0.4</v>
      </c>
      <c r="X569">
        <v>0</v>
      </c>
    </row>
    <row r="570" spans="2:24" x14ac:dyDescent="0.3">
      <c r="B570" t="s">
        <v>1609</v>
      </c>
      <c r="C570" t="s">
        <v>311</v>
      </c>
      <c r="D570" t="s">
        <v>1624</v>
      </c>
      <c r="E570" t="s">
        <v>1624</v>
      </c>
      <c r="F570">
        <v>-27.4</v>
      </c>
      <c r="G570">
        <v>3</v>
      </c>
      <c r="H570">
        <v>0</v>
      </c>
      <c r="I570">
        <v>0</v>
      </c>
      <c r="J570">
        <v>0</v>
      </c>
      <c r="K570">
        <v>0</v>
      </c>
      <c r="L570">
        <v>0</v>
      </c>
      <c r="M570">
        <v>0</v>
      </c>
      <c r="N570">
        <v>3.3</v>
      </c>
      <c r="O570">
        <v>5</v>
      </c>
      <c r="P570">
        <v>7</v>
      </c>
      <c r="Q570">
        <v>1</v>
      </c>
      <c r="R570">
        <v>2</v>
      </c>
      <c r="S570">
        <v>5</v>
      </c>
      <c r="T570">
        <v>18.899999999999999</v>
      </c>
      <c r="U570">
        <v>12.28</v>
      </c>
      <c r="V570">
        <v>3</v>
      </c>
      <c r="W570">
        <v>0.36399999999999999</v>
      </c>
      <c r="X570">
        <v>0</v>
      </c>
    </row>
    <row r="571" spans="2:24" x14ac:dyDescent="0.3">
      <c r="B571" t="s">
        <v>2212</v>
      </c>
      <c r="C571" t="s">
        <v>325</v>
      </c>
      <c r="D571" t="s">
        <v>1624</v>
      </c>
      <c r="E571" t="s">
        <v>1624</v>
      </c>
      <c r="F571">
        <v>-27.7</v>
      </c>
      <c r="G571">
        <v>1</v>
      </c>
      <c r="H571">
        <v>0</v>
      </c>
      <c r="I571">
        <v>0</v>
      </c>
      <c r="J571">
        <v>0</v>
      </c>
      <c r="K571">
        <v>0</v>
      </c>
      <c r="L571">
        <v>0</v>
      </c>
      <c r="M571">
        <v>0</v>
      </c>
      <c r="N571">
        <v>0.3</v>
      </c>
      <c r="O571">
        <v>1</v>
      </c>
      <c r="P571">
        <v>6</v>
      </c>
      <c r="Q571">
        <v>0</v>
      </c>
      <c r="R571">
        <v>0</v>
      </c>
      <c r="S571">
        <v>5</v>
      </c>
      <c r="T571">
        <v>162</v>
      </c>
      <c r="U571">
        <v>0</v>
      </c>
      <c r="V571">
        <v>18.02</v>
      </c>
      <c r="W571">
        <v>0.5</v>
      </c>
      <c r="X571">
        <v>0</v>
      </c>
    </row>
    <row r="572" spans="2:24" x14ac:dyDescent="0.3">
      <c r="B572" t="s">
        <v>567</v>
      </c>
      <c r="C572" t="s">
        <v>235</v>
      </c>
      <c r="D572" t="s">
        <v>1624</v>
      </c>
      <c r="E572" t="s">
        <v>1624</v>
      </c>
      <c r="F572">
        <v>-27.9</v>
      </c>
      <c r="G572">
        <v>13</v>
      </c>
      <c r="H572">
        <v>0</v>
      </c>
      <c r="I572">
        <v>0</v>
      </c>
      <c r="J572">
        <v>0</v>
      </c>
      <c r="K572">
        <v>2</v>
      </c>
      <c r="L572">
        <v>0</v>
      </c>
      <c r="M572">
        <v>4</v>
      </c>
      <c r="N572">
        <v>10.3</v>
      </c>
      <c r="O572">
        <v>17</v>
      </c>
      <c r="P572">
        <v>9</v>
      </c>
      <c r="Q572">
        <v>0</v>
      </c>
      <c r="R572">
        <v>8</v>
      </c>
      <c r="S572">
        <v>6</v>
      </c>
      <c r="T572">
        <v>7.84</v>
      </c>
      <c r="U572">
        <v>4.05</v>
      </c>
      <c r="V572">
        <v>2.23</v>
      </c>
      <c r="W572">
        <v>0.42499999999999999</v>
      </c>
      <c r="X572">
        <v>0</v>
      </c>
    </row>
    <row r="573" spans="2:24" x14ac:dyDescent="0.3">
      <c r="B573" t="s">
        <v>3201</v>
      </c>
      <c r="C573" t="s">
        <v>248</v>
      </c>
      <c r="D573" t="s">
        <v>1624</v>
      </c>
      <c r="E573" t="s">
        <v>1624</v>
      </c>
      <c r="F573">
        <v>-28</v>
      </c>
      <c r="G573">
        <v>1</v>
      </c>
      <c r="H573">
        <v>1</v>
      </c>
      <c r="I573">
        <v>0</v>
      </c>
      <c r="J573">
        <v>0</v>
      </c>
      <c r="K573">
        <v>1</v>
      </c>
      <c r="L573">
        <v>0</v>
      </c>
      <c r="M573">
        <v>0</v>
      </c>
      <c r="N573">
        <v>3.3</v>
      </c>
      <c r="O573">
        <v>10</v>
      </c>
      <c r="P573">
        <v>7</v>
      </c>
      <c r="Q573">
        <v>0</v>
      </c>
      <c r="R573">
        <v>4</v>
      </c>
      <c r="S573">
        <v>2</v>
      </c>
      <c r="T573">
        <v>18.899999999999999</v>
      </c>
      <c r="U573">
        <v>4.4800000000000004</v>
      </c>
      <c r="V573">
        <v>3.6</v>
      </c>
      <c r="W573">
        <v>0.66700000000000004</v>
      </c>
      <c r="X573">
        <v>0</v>
      </c>
    </row>
    <row r="574" spans="2:24" x14ac:dyDescent="0.3">
      <c r="B574" t="s">
        <v>456</v>
      </c>
      <c r="C574" t="s">
        <v>325</v>
      </c>
      <c r="D574" t="s">
        <v>1624</v>
      </c>
      <c r="E574" t="s">
        <v>1624</v>
      </c>
      <c r="F574">
        <v>-28.1</v>
      </c>
      <c r="G574">
        <v>9</v>
      </c>
      <c r="H574">
        <v>0</v>
      </c>
      <c r="I574">
        <v>0</v>
      </c>
      <c r="J574">
        <v>0</v>
      </c>
      <c r="K574">
        <v>0</v>
      </c>
      <c r="L574">
        <v>0</v>
      </c>
      <c r="M574">
        <v>2</v>
      </c>
      <c r="N574">
        <v>9.3000000000000007</v>
      </c>
      <c r="O574">
        <v>16</v>
      </c>
      <c r="P574">
        <v>11</v>
      </c>
      <c r="Q574">
        <v>2</v>
      </c>
      <c r="R574">
        <v>7</v>
      </c>
      <c r="S574">
        <v>2</v>
      </c>
      <c r="T574">
        <v>10.61</v>
      </c>
      <c r="U574">
        <v>5.53</v>
      </c>
      <c r="V574">
        <v>1.93</v>
      </c>
      <c r="W574">
        <v>0.42399999999999999</v>
      </c>
      <c r="X574">
        <v>0</v>
      </c>
    </row>
    <row r="575" spans="2:24" x14ac:dyDescent="0.3">
      <c r="B575" t="s">
        <v>1648</v>
      </c>
      <c r="C575" t="s">
        <v>235</v>
      </c>
      <c r="D575" t="s">
        <v>1623</v>
      </c>
      <c r="E575" t="s">
        <v>1623</v>
      </c>
      <c r="F575">
        <v>-28.3</v>
      </c>
      <c r="G575">
        <v>6</v>
      </c>
      <c r="H575">
        <v>6</v>
      </c>
      <c r="I575">
        <v>0</v>
      </c>
      <c r="J575">
        <v>1</v>
      </c>
      <c r="K575">
        <v>2</v>
      </c>
      <c r="L575">
        <v>0</v>
      </c>
      <c r="M575">
        <v>0</v>
      </c>
      <c r="N575">
        <v>24.3</v>
      </c>
      <c r="O575">
        <v>37</v>
      </c>
      <c r="P575">
        <v>26</v>
      </c>
      <c r="Q575">
        <v>9</v>
      </c>
      <c r="R575">
        <v>21</v>
      </c>
      <c r="S575">
        <v>15</v>
      </c>
      <c r="T575">
        <v>9.6199999999999992</v>
      </c>
      <c r="U575">
        <v>8.2100000000000009</v>
      </c>
      <c r="V575">
        <v>2.14</v>
      </c>
      <c r="W575">
        <v>0.36799999999999999</v>
      </c>
      <c r="X575">
        <v>0</v>
      </c>
    </row>
    <row r="576" spans="2:24" x14ac:dyDescent="0.3">
      <c r="B576" t="s">
        <v>829</v>
      </c>
      <c r="C576" t="s">
        <v>231</v>
      </c>
      <c r="D576" t="s">
        <v>1624</v>
      </c>
      <c r="E576" t="s">
        <v>1624</v>
      </c>
      <c r="F576">
        <v>-28.7</v>
      </c>
      <c r="G576">
        <v>5</v>
      </c>
      <c r="H576">
        <v>0</v>
      </c>
      <c r="I576">
        <v>0</v>
      </c>
      <c r="J576">
        <v>0</v>
      </c>
      <c r="K576">
        <v>0</v>
      </c>
      <c r="L576">
        <v>0</v>
      </c>
      <c r="M576">
        <v>0</v>
      </c>
      <c r="N576">
        <v>9.3000000000000007</v>
      </c>
      <c r="O576">
        <v>13</v>
      </c>
      <c r="P576">
        <v>11</v>
      </c>
      <c r="Q576">
        <v>3</v>
      </c>
      <c r="R576">
        <v>5</v>
      </c>
      <c r="S576">
        <v>5</v>
      </c>
      <c r="T576">
        <v>10.61</v>
      </c>
      <c r="U576">
        <v>8.31</v>
      </c>
      <c r="V576">
        <v>1.93</v>
      </c>
      <c r="W576">
        <v>0.33300000000000002</v>
      </c>
      <c r="X576">
        <v>0</v>
      </c>
    </row>
    <row r="577" spans="2:24" x14ac:dyDescent="0.3">
      <c r="B577" t="s">
        <v>3193</v>
      </c>
      <c r="C577" t="s">
        <v>325</v>
      </c>
      <c r="D577" t="s">
        <v>1623</v>
      </c>
      <c r="E577" t="s">
        <v>1623</v>
      </c>
      <c r="F577">
        <v>-28.8</v>
      </c>
      <c r="G577">
        <v>4</v>
      </c>
      <c r="H577">
        <v>4</v>
      </c>
      <c r="I577">
        <v>0</v>
      </c>
      <c r="J577">
        <v>0</v>
      </c>
      <c r="K577">
        <v>4</v>
      </c>
      <c r="L577">
        <v>0</v>
      </c>
      <c r="M577">
        <v>0</v>
      </c>
      <c r="N577">
        <v>18</v>
      </c>
      <c r="O577">
        <v>27</v>
      </c>
      <c r="P577">
        <v>18</v>
      </c>
      <c r="Q577">
        <v>5</v>
      </c>
      <c r="R577">
        <v>6</v>
      </c>
      <c r="S577">
        <v>14</v>
      </c>
      <c r="T577">
        <v>9</v>
      </c>
      <c r="U577">
        <v>8.7200000000000006</v>
      </c>
      <c r="V577">
        <v>2.2799999999999998</v>
      </c>
      <c r="W577">
        <v>0.32800000000000001</v>
      </c>
      <c r="X577">
        <v>0</v>
      </c>
    </row>
    <row r="578" spans="2:24" x14ac:dyDescent="0.3">
      <c r="B578" t="s">
        <v>658</v>
      </c>
      <c r="C578" t="s">
        <v>1521</v>
      </c>
      <c r="D578" t="s">
        <v>1624</v>
      </c>
      <c r="E578" t="s">
        <v>1624</v>
      </c>
      <c r="F578">
        <v>-28.8</v>
      </c>
      <c r="G578">
        <v>10</v>
      </c>
      <c r="H578">
        <v>0</v>
      </c>
      <c r="I578">
        <v>0</v>
      </c>
      <c r="J578">
        <v>1</v>
      </c>
      <c r="K578">
        <v>1</v>
      </c>
      <c r="L578">
        <v>0</v>
      </c>
      <c r="M578">
        <v>0</v>
      </c>
      <c r="N578">
        <v>13.3</v>
      </c>
      <c r="O578">
        <v>21</v>
      </c>
      <c r="P578">
        <v>15</v>
      </c>
      <c r="Q578">
        <v>1</v>
      </c>
      <c r="R578">
        <v>16</v>
      </c>
      <c r="S578">
        <v>10</v>
      </c>
      <c r="T578">
        <v>10.130000000000001</v>
      </c>
      <c r="U578">
        <v>4.55</v>
      </c>
      <c r="V578">
        <v>2.33</v>
      </c>
      <c r="W578">
        <v>0.46500000000000002</v>
      </c>
      <c r="X578">
        <v>0</v>
      </c>
    </row>
    <row r="579" spans="2:24" x14ac:dyDescent="0.3">
      <c r="B579" t="s">
        <v>894</v>
      </c>
      <c r="C579" t="s">
        <v>1709</v>
      </c>
      <c r="D579" t="s">
        <v>1623</v>
      </c>
      <c r="E579" t="s">
        <v>1623</v>
      </c>
      <c r="F579">
        <v>-29.3</v>
      </c>
      <c r="G579">
        <v>4</v>
      </c>
      <c r="H579">
        <v>4</v>
      </c>
      <c r="I579">
        <v>0</v>
      </c>
      <c r="J579">
        <v>0</v>
      </c>
      <c r="K579">
        <v>3</v>
      </c>
      <c r="L579">
        <v>0</v>
      </c>
      <c r="M579">
        <v>0</v>
      </c>
      <c r="N579">
        <v>16.7</v>
      </c>
      <c r="O579">
        <v>25</v>
      </c>
      <c r="P579">
        <v>19</v>
      </c>
      <c r="Q579">
        <v>4</v>
      </c>
      <c r="R579">
        <v>10</v>
      </c>
      <c r="S579">
        <v>15</v>
      </c>
      <c r="T579">
        <v>10.26</v>
      </c>
      <c r="U579">
        <v>8.08</v>
      </c>
      <c r="V579">
        <v>2.4</v>
      </c>
      <c r="W579">
        <v>0.36199999999999999</v>
      </c>
      <c r="X579">
        <v>0</v>
      </c>
    </row>
    <row r="580" spans="2:24" x14ac:dyDescent="0.3">
      <c r="B580" t="s">
        <v>1649</v>
      </c>
      <c r="C580" t="s">
        <v>1524</v>
      </c>
      <c r="D580" t="s">
        <v>1623</v>
      </c>
      <c r="E580" t="s">
        <v>1623</v>
      </c>
      <c r="F580">
        <v>-29.3</v>
      </c>
      <c r="G580">
        <v>5</v>
      </c>
      <c r="H580">
        <v>5</v>
      </c>
      <c r="I580">
        <v>0</v>
      </c>
      <c r="J580">
        <v>0</v>
      </c>
      <c r="K580">
        <v>4</v>
      </c>
      <c r="L580">
        <v>0</v>
      </c>
      <c r="M580">
        <v>0</v>
      </c>
      <c r="N580">
        <v>18.3</v>
      </c>
      <c r="O580">
        <v>27</v>
      </c>
      <c r="P580">
        <v>20</v>
      </c>
      <c r="Q580">
        <v>9</v>
      </c>
      <c r="R580">
        <v>9</v>
      </c>
      <c r="S580">
        <v>14</v>
      </c>
      <c r="T580">
        <v>9.82</v>
      </c>
      <c r="U580">
        <v>10.97</v>
      </c>
      <c r="V580">
        <v>2.2400000000000002</v>
      </c>
      <c r="W580">
        <v>0.3</v>
      </c>
      <c r="X580">
        <v>0</v>
      </c>
    </row>
    <row r="581" spans="2:24" x14ac:dyDescent="0.3">
      <c r="B581" t="s">
        <v>831</v>
      </c>
      <c r="C581" t="s">
        <v>226</v>
      </c>
      <c r="D581" t="s">
        <v>1624</v>
      </c>
      <c r="E581" t="s">
        <v>1624</v>
      </c>
      <c r="F581">
        <v>-29.3</v>
      </c>
      <c r="G581">
        <v>13</v>
      </c>
      <c r="H581">
        <v>0</v>
      </c>
      <c r="I581">
        <v>0</v>
      </c>
      <c r="J581">
        <v>0</v>
      </c>
      <c r="K581">
        <v>2</v>
      </c>
      <c r="L581">
        <v>0</v>
      </c>
      <c r="M581">
        <v>2</v>
      </c>
      <c r="N581">
        <v>10.3</v>
      </c>
      <c r="O581">
        <v>23</v>
      </c>
      <c r="P581">
        <v>9</v>
      </c>
      <c r="Q581">
        <v>1</v>
      </c>
      <c r="R581">
        <v>15</v>
      </c>
      <c r="S581">
        <v>6</v>
      </c>
      <c r="T581">
        <v>7.84</v>
      </c>
      <c r="U581">
        <v>3.37</v>
      </c>
      <c r="V581">
        <v>2.81</v>
      </c>
      <c r="W581">
        <v>0.59499999999999997</v>
      </c>
      <c r="X581">
        <v>0</v>
      </c>
    </row>
    <row r="582" spans="2:24" x14ac:dyDescent="0.3">
      <c r="B582" t="s">
        <v>650</v>
      </c>
      <c r="C582" t="s">
        <v>266</v>
      </c>
      <c r="D582" t="s">
        <v>1624</v>
      </c>
      <c r="E582" t="s">
        <v>1624</v>
      </c>
      <c r="F582">
        <v>-29.8</v>
      </c>
      <c r="G582">
        <v>6</v>
      </c>
      <c r="H582">
        <v>0</v>
      </c>
      <c r="I582">
        <v>0</v>
      </c>
      <c r="J582">
        <v>0</v>
      </c>
      <c r="K582">
        <v>0</v>
      </c>
      <c r="L582">
        <v>0</v>
      </c>
      <c r="M582">
        <v>0</v>
      </c>
      <c r="N582">
        <v>11</v>
      </c>
      <c r="O582">
        <v>22</v>
      </c>
      <c r="P582">
        <v>10</v>
      </c>
      <c r="Q582">
        <v>2</v>
      </c>
      <c r="R582">
        <v>4</v>
      </c>
      <c r="S582">
        <v>2</v>
      </c>
      <c r="T582">
        <v>8.18</v>
      </c>
      <c r="U582">
        <v>5.46</v>
      </c>
      <c r="V582">
        <v>2.1800000000000002</v>
      </c>
      <c r="W582">
        <v>0.44400000000000001</v>
      </c>
      <c r="X582">
        <v>0</v>
      </c>
    </row>
    <row r="583" spans="2:24" x14ac:dyDescent="0.3">
      <c r="B583" t="s">
        <v>780</v>
      </c>
      <c r="C583" t="s">
        <v>1520</v>
      </c>
      <c r="D583" t="s">
        <v>1624</v>
      </c>
      <c r="E583" t="s">
        <v>1624</v>
      </c>
      <c r="F583">
        <v>-29.8</v>
      </c>
      <c r="G583">
        <v>5</v>
      </c>
      <c r="H583">
        <v>0</v>
      </c>
      <c r="I583">
        <v>0</v>
      </c>
      <c r="J583">
        <v>0</v>
      </c>
      <c r="K583">
        <v>0</v>
      </c>
      <c r="L583">
        <v>0</v>
      </c>
      <c r="M583">
        <v>0</v>
      </c>
      <c r="N583">
        <v>5</v>
      </c>
      <c r="O583">
        <v>7</v>
      </c>
      <c r="P583">
        <v>10</v>
      </c>
      <c r="Q583">
        <v>1</v>
      </c>
      <c r="R583">
        <v>5</v>
      </c>
      <c r="S583">
        <v>7</v>
      </c>
      <c r="T583">
        <v>18</v>
      </c>
      <c r="U583">
        <v>8.08</v>
      </c>
      <c r="V583">
        <v>2.8</v>
      </c>
      <c r="W583">
        <v>0.375</v>
      </c>
      <c r="X583">
        <v>0</v>
      </c>
    </row>
    <row r="584" spans="2:24" x14ac:dyDescent="0.3">
      <c r="B584" t="s">
        <v>652</v>
      </c>
      <c r="C584" t="s">
        <v>266</v>
      </c>
      <c r="D584" t="s">
        <v>1624</v>
      </c>
      <c r="E584" t="s">
        <v>1624</v>
      </c>
      <c r="F584">
        <v>-30</v>
      </c>
      <c r="G584">
        <v>12</v>
      </c>
      <c r="H584">
        <v>0</v>
      </c>
      <c r="I584">
        <v>0</v>
      </c>
      <c r="J584">
        <v>1</v>
      </c>
      <c r="K584">
        <v>1</v>
      </c>
      <c r="L584">
        <v>0</v>
      </c>
      <c r="M584">
        <v>0</v>
      </c>
      <c r="N584">
        <v>10.7</v>
      </c>
      <c r="O584">
        <v>15</v>
      </c>
      <c r="P584">
        <v>15</v>
      </c>
      <c r="Q584">
        <v>2</v>
      </c>
      <c r="R584">
        <v>13</v>
      </c>
      <c r="S584">
        <v>12</v>
      </c>
      <c r="T584">
        <v>12.66</v>
      </c>
      <c r="U584">
        <v>6.65</v>
      </c>
      <c r="V584">
        <v>2.5299999999999998</v>
      </c>
      <c r="W584">
        <v>0.44800000000000001</v>
      </c>
      <c r="X584">
        <v>0</v>
      </c>
    </row>
    <row r="585" spans="2:24" x14ac:dyDescent="0.3">
      <c r="B585" t="s">
        <v>889</v>
      </c>
      <c r="C585" t="s">
        <v>1523</v>
      </c>
      <c r="D585" t="s">
        <v>1624</v>
      </c>
      <c r="E585" t="s">
        <v>1624</v>
      </c>
      <c r="F585">
        <v>-30.3</v>
      </c>
      <c r="G585">
        <v>6</v>
      </c>
      <c r="H585">
        <v>0</v>
      </c>
      <c r="I585">
        <v>0</v>
      </c>
      <c r="J585">
        <v>0</v>
      </c>
      <c r="K585">
        <v>1</v>
      </c>
      <c r="L585">
        <v>0</v>
      </c>
      <c r="M585">
        <v>0</v>
      </c>
      <c r="N585">
        <v>10</v>
      </c>
      <c r="O585">
        <v>17</v>
      </c>
      <c r="P585">
        <v>12</v>
      </c>
      <c r="Q585">
        <v>3</v>
      </c>
      <c r="R585">
        <v>8</v>
      </c>
      <c r="S585">
        <v>5</v>
      </c>
      <c r="T585">
        <v>10.8</v>
      </c>
      <c r="U585">
        <v>7.38</v>
      </c>
      <c r="V585">
        <v>2.2000000000000002</v>
      </c>
      <c r="W585">
        <v>0.38900000000000001</v>
      </c>
      <c r="X585">
        <v>0</v>
      </c>
    </row>
    <row r="586" spans="2:24" x14ac:dyDescent="0.3">
      <c r="B586" t="s">
        <v>620</v>
      </c>
      <c r="C586" t="s">
        <v>226</v>
      </c>
      <c r="D586" t="s">
        <v>1624</v>
      </c>
      <c r="E586" t="s">
        <v>1624</v>
      </c>
      <c r="F586">
        <v>-31.8</v>
      </c>
      <c r="G586">
        <v>8</v>
      </c>
      <c r="H586">
        <v>0</v>
      </c>
      <c r="I586">
        <v>0</v>
      </c>
      <c r="J586">
        <v>0</v>
      </c>
      <c r="K586">
        <v>0</v>
      </c>
      <c r="L586">
        <v>0</v>
      </c>
      <c r="M586">
        <v>1</v>
      </c>
      <c r="N586">
        <v>8.6999999999999993</v>
      </c>
      <c r="O586">
        <v>15</v>
      </c>
      <c r="P586">
        <v>11</v>
      </c>
      <c r="Q586">
        <v>3</v>
      </c>
      <c r="R586">
        <v>6</v>
      </c>
      <c r="S586">
        <v>8</v>
      </c>
      <c r="T586">
        <v>11.42</v>
      </c>
      <c r="U586">
        <v>9.51</v>
      </c>
      <c r="V586">
        <v>2.65</v>
      </c>
      <c r="W586">
        <v>0.36399999999999999</v>
      </c>
      <c r="X586">
        <v>0</v>
      </c>
    </row>
    <row r="587" spans="2:24" x14ac:dyDescent="0.3">
      <c r="B587" t="s">
        <v>478</v>
      </c>
      <c r="C587" t="s">
        <v>266</v>
      </c>
      <c r="D587" t="s">
        <v>1623</v>
      </c>
      <c r="E587" t="s">
        <v>1623</v>
      </c>
      <c r="F587">
        <v>-31.9</v>
      </c>
      <c r="G587">
        <v>7</v>
      </c>
      <c r="H587">
        <v>6</v>
      </c>
      <c r="I587">
        <v>0</v>
      </c>
      <c r="J587">
        <v>1</v>
      </c>
      <c r="K587">
        <v>4</v>
      </c>
      <c r="L587">
        <v>0</v>
      </c>
      <c r="M587">
        <v>0</v>
      </c>
      <c r="N587">
        <v>26</v>
      </c>
      <c r="O587">
        <v>46</v>
      </c>
      <c r="P587">
        <v>26</v>
      </c>
      <c r="Q587">
        <v>3</v>
      </c>
      <c r="R587">
        <v>11</v>
      </c>
      <c r="S587">
        <v>12</v>
      </c>
      <c r="T587">
        <v>9</v>
      </c>
      <c r="U587">
        <v>5.43</v>
      </c>
      <c r="V587">
        <v>2.23</v>
      </c>
      <c r="W587">
        <v>0.42199999999999999</v>
      </c>
      <c r="X587">
        <v>0</v>
      </c>
    </row>
    <row r="588" spans="2:24" x14ac:dyDescent="0.3">
      <c r="B588" t="s">
        <v>210</v>
      </c>
      <c r="C588" t="s">
        <v>325</v>
      </c>
      <c r="D588" t="s">
        <v>1623</v>
      </c>
      <c r="E588" t="s">
        <v>1623</v>
      </c>
      <c r="F588">
        <v>-32</v>
      </c>
      <c r="G588">
        <v>10</v>
      </c>
      <c r="H588">
        <v>9</v>
      </c>
      <c r="I588">
        <v>1</v>
      </c>
      <c r="J588">
        <v>1</v>
      </c>
      <c r="K588">
        <v>4</v>
      </c>
      <c r="L588">
        <v>0</v>
      </c>
      <c r="M588">
        <v>0</v>
      </c>
      <c r="N588">
        <v>48.7</v>
      </c>
      <c r="O588">
        <v>65</v>
      </c>
      <c r="P588">
        <v>40</v>
      </c>
      <c r="Q588">
        <v>13</v>
      </c>
      <c r="R588">
        <v>46</v>
      </c>
      <c r="S588">
        <v>31</v>
      </c>
      <c r="T588">
        <v>7.4</v>
      </c>
      <c r="U588">
        <v>6.96</v>
      </c>
      <c r="V588">
        <v>1.97</v>
      </c>
      <c r="W588">
        <v>0.36099999999999999</v>
      </c>
      <c r="X588">
        <v>1</v>
      </c>
    </row>
    <row r="589" spans="2:24" x14ac:dyDescent="0.3">
      <c r="B589" t="s">
        <v>198</v>
      </c>
      <c r="C589" t="s">
        <v>325</v>
      </c>
      <c r="D589" t="s">
        <v>1624</v>
      </c>
      <c r="E589" t="s">
        <v>1624</v>
      </c>
      <c r="F589">
        <v>-34.9</v>
      </c>
      <c r="G589">
        <v>9</v>
      </c>
      <c r="H589">
        <v>1</v>
      </c>
      <c r="I589">
        <v>0</v>
      </c>
      <c r="J589">
        <v>1</v>
      </c>
      <c r="K589">
        <v>1</v>
      </c>
      <c r="L589">
        <v>0</v>
      </c>
      <c r="M589">
        <v>0</v>
      </c>
      <c r="N589">
        <v>19.7</v>
      </c>
      <c r="O589">
        <v>29</v>
      </c>
      <c r="P589">
        <v>22</v>
      </c>
      <c r="Q589">
        <v>5</v>
      </c>
      <c r="R589">
        <v>13</v>
      </c>
      <c r="S589">
        <v>12</v>
      </c>
      <c r="T589">
        <v>10.07</v>
      </c>
      <c r="U589">
        <v>7.24</v>
      </c>
      <c r="V589">
        <v>2.08</v>
      </c>
      <c r="W589">
        <v>0.35799999999999998</v>
      </c>
      <c r="X589">
        <v>0</v>
      </c>
    </row>
    <row r="590" spans="2:24" x14ac:dyDescent="0.3">
      <c r="B590" t="s">
        <v>587</v>
      </c>
      <c r="C590" t="s">
        <v>325</v>
      </c>
      <c r="D590" t="s">
        <v>1623</v>
      </c>
      <c r="E590" t="s">
        <v>1623</v>
      </c>
      <c r="F590">
        <v>-35.799999999999997</v>
      </c>
      <c r="G590">
        <v>14</v>
      </c>
      <c r="H590">
        <v>4</v>
      </c>
      <c r="I590">
        <v>1</v>
      </c>
      <c r="J590">
        <v>1</v>
      </c>
      <c r="K590">
        <v>5</v>
      </c>
      <c r="L590">
        <v>0</v>
      </c>
      <c r="M590">
        <v>0</v>
      </c>
      <c r="N590">
        <v>27.7</v>
      </c>
      <c r="O590">
        <v>34</v>
      </c>
      <c r="P590">
        <v>39</v>
      </c>
      <c r="Q590">
        <v>3</v>
      </c>
      <c r="R590">
        <v>29</v>
      </c>
      <c r="S590">
        <v>24</v>
      </c>
      <c r="T590">
        <v>12.69</v>
      </c>
      <c r="U590">
        <v>5.63</v>
      </c>
      <c r="V590">
        <v>2.1</v>
      </c>
      <c r="W590">
        <v>0.36899999999999999</v>
      </c>
      <c r="X590">
        <v>2</v>
      </c>
    </row>
    <row r="591" spans="2:24" x14ac:dyDescent="0.3">
      <c r="B591" t="s">
        <v>167</v>
      </c>
      <c r="C591" t="s">
        <v>325</v>
      </c>
      <c r="D591" t="s">
        <v>1623</v>
      </c>
      <c r="E591" t="s">
        <v>1623</v>
      </c>
      <c r="F591">
        <v>-35.9</v>
      </c>
      <c r="G591">
        <v>10</v>
      </c>
      <c r="H591">
        <v>10</v>
      </c>
      <c r="I591">
        <v>0</v>
      </c>
      <c r="J591">
        <v>1</v>
      </c>
      <c r="K591">
        <v>4</v>
      </c>
      <c r="L591">
        <v>0</v>
      </c>
      <c r="M591">
        <v>0</v>
      </c>
      <c r="N591">
        <v>47</v>
      </c>
      <c r="O591">
        <v>69</v>
      </c>
      <c r="P591">
        <v>42</v>
      </c>
      <c r="Q591">
        <v>9</v>
      </c>
      <c r="R591">
        <v>33</v>
      </c>
      <c r="S591">
        <v>23</v>
      </c>
      <c r="T591">
        <v>8.0399999999999991</v>
      </c>
      <c r="U591">
        <v>6.02</v>
      </c>
      <c r="V591">
        <v>1.96</v>
      </c>
      <c r="W591">
        <v>0.38500000000000001</v>
      </c>
      <c r="X591">
        <v>0</v>
      </c>
    </row>
    <row r="592" spans="2:24" x14ac:dyDescent="0.3">
      <c r="B592" t="s">
        <v>1600</v>
      </c>
      <c r="C592" t="s">
        <v>286</v>
      </c>
      <c r="D592" t="s">
        <v>1624</v>
      </c>
      <c r="E592" t="s">
        <v>1624</v>
      </c>
      <c r="F592">
        <v>-36.200000000000003</v>
      </c>
      <c r="G592">
        <v>5</v>
      </c>
      <c r="H592">
        <v>0</v>
      </c>
      <c r="I592">
        <v>0</v>
      </c>
      <c r="J592">
        <v>0</v>
      </c>
      <c r="K592">
        <v>0</v>
      </c>
      <c r="L592">
        <v>0</v>
      </c>
      <c r="M592">
        <v>0</v>
      </c>
      <c r="N592">
        <v>13.3</v>
      </c>
      <c r="O592">
        <v>17</v>
      </c>
      <c r="P592">
        <v>18</v>
      </c>
      <c r="Q592">
        <v>2</v>
      </c>
      <c r="R592">
        <v>6</v>
      </c>
      <c r="S592">
        <v>11</v>
      </c>
      <c r="T592">
        <v>12.15</v>
      </c>
      <c r="U592">
        <v>7.03</v>
      </c>
      <c r="V592">
        <v>2.1</v>
      </c>
      <c r="W592">
        <v>0.31900000000000001</v>
      </c>
      <c r="X592">
        <v>0</v>
      </c>
    </row>
  </sheetData>
  <autoFilter ref="A1:AA592" xr:uid="{1AA6404C-BB50-480A-BD0D-57B78DE2D86B}">
    <sortState xmlns:xlrd2="http://schemas.microsoft.com/office/spreadsheetml/2017/richdata2" ref="A2:AA426">
      <sortCondition descending="1" ref="T1:T426"/>
    </sortState>
  </autoFilter>
  <conditionalFormatting sqref="Y1:Z1048576">
    <cfRule type="containsText" dxfId="1011" priority="4" operator="containsText" text="STELLAR">
      <formula>NOT(ISERROR(SEARCH("STELLAR",Y1)))</formula>
    </cfRule>
  </conditionalFormatting>
  <conditionalFormatting sqref="X1">
    <cfRule type="containsText" dxfId="1010" priority="3" operator="containsText" text="STELLAR">
      <formula>NOT(ISERROR(SEARCH("STELLAR",X1)))</formula>
    </cfRule>
  </conditionalFormatting>
  <conditionalFormatting sqref="AB1">
    <cfRule type="containsText" dxfId="1009" priority="2" operator="containsText" text="STELLAR">
      <formula>NOT(ISERROR(SEARCH("STELLAR",AB1)))</formula>
    </cfRule>
  </conditionalFormatting>
  <conditionalFormatting sqref="H2:H666">
    <cfRule type="cellIs" dxfId="1008" priority="1" operator="greaterThanOrEqual">
      <formula>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05396-882C-4C77-B9EB-70A2E81F7E4B}">
  <sheetPr codeName="Sheet10">
    <tabColor rgb="FF00B050"/>
  </sheetPr>
  <dimension ref="A1:R31"/>
  <sheetViews>
    <sheetView workbookViewId="0">
      <selection activeCell="M2" sqref="M2"/>
    </sheetView>
  </sheetViews>
  <sheetFormatPr defaultRowHeight="14.4" x14ac:dyDescent="0.3"/>
  <cols>
    <col min="1" max="1" width="10.77734375" style="1" bestFit="1" customWidth="1"/>
    <col min="2" max="2" width="15.5546875" style="1" bestFit="1" customWidth="1"/>
    <col min="3" max="3" width="7" style="1" bestFit="1" customWidth="1"/>
    <col min="4" max="4" width="6" style="1" bestFit="1" customWidth="1"/>
    <col min="5" max="5" width="11.88671875" style="1" bestFit="1" customWidth="1"/>
    <col min="6" max="6" width="8.88671875" style="1"/>
    <col min="7" max="7" width="10.77734375" style="1" bestFit="1" customWidth="1"/>
    <col min="8" max="8" width="15.21875" style="1" bestFit="1" customWidth="1"/>
    <col min="9" max="9" width="8.21875" style="1" bestFit="1" customWidth="1"/>
    <col min="10" max="10" width="6" style="1" bestFit="1" customWidth="1"/>
    <col min="11" max="11" width="11.88671875" style="1" bestFit="1" customWidth="1"/>
    <col min="12" max="12" width="8.88671875" style="1"/>
    <col min="13" max="13" width="10.77734375" style="1" bestFit="1" customWidth="1"/>
    <col min="14" max="14" width="11.77734375" style="1" bestFit="1" customWidth="1"/>
    <col min="15" max="15" width="7.44140625" style="1" bestFit="1" customWidth="1"/>
    <col min="16" max="16" width="8.77734375" style="1" bestFit="1" customWidth="1"/>
    <col min="17" max="17" width="9" style="1" bestFit="1" customWidth="1"/>
    <col min="18" max="18" width="5.77734375" bestFit="1" customWidth="1"/>
  </cols>
  <sheetData>
    <row r="1" spans="1:18" ht="15" thickBot="1" x14ac:dyDescent="0.35">
      <c r="A1" s="153" t="s">
        <v>32</v>
      </c>
      <c r="B1" s="154" t="s">
        <v>33</v>
      </c>
      <c r="C1" s="154" t="s">
        <v>34</v>
      </c>
      <c r="D1" s="154" t="s">
        <v>35</v>
      </c>
      <c r="E1" s="155" t="s">
        <v>36</v>
      </c>
      <c r="G1" s="153" t="s">
        <v>32</v>
      </c>
      <c r="H1" s="154" t="s">
        <v>67</v>
      </c>
      <c r="I1" s="154" t="s">
        <v>68</v>
      </c>
      <c r="J1" s="154" t="s">
        <v>35</v>
      </c>
      <c r="K1" s="155" t="s">
        <v>36</v>
      </c>
      <c r="M1" s="153" t="s">
        <v>32</v>
      </c>
      <c r="N1" s="154" t="s">
        <v>69</v>
      </c>
      <c r="O1" s="154" t="s">
        <v>70</v>
      </c>
      <c r="P1" s="154" t="s">
        <v>71</v>
      </c>
      <c r="Q1" s="155" t="s">
        <v>72</v>
      </c>
      <c r="R1" s="3" t="s">
        <v>73</v>
      </c>
    </row>
    <row r="2" spans="1:18" x14ac:dyDescent="0.3">
      <c r="A2" s="159" t="s">
        <v>37</v>
      </c>
      <c r="B2" s="160" t="s">
        <v>3388</v>
      </c>
      <c r="C2" s="161">
        <v>0.70599999999999996</v>
      </c>
      <c r="D2" s="160">
        <v>2.2000000000000002</v>
      </c>
      <c r="E2" s="162">
        <v>1</v>
      </c>
      <c r="G2" s="159" t="s">
        <v>46</v>
      </c>
      <c r="H2" s="160" t="s">
        <v>3389</v>
      </c>
      <c r="I2" s="161">
        <v>0.65300000000000002</v>
      </c>
      <c r="J2" s="160">
        <v>0.9</v>
      </c>
      <c r="K2" s="162">
        <v>0.8</v>
      </c>
      <c r="M2" s="159" t="s">
        <v>37</v>
      </c>
      <c r="N2" s="160" t="s">
        <v>3427</v>
      </c>
      <c r="O2" s="161">
        <v>0.625</v>
      </c>
      <c r="P2" s="161">
        <v>0.375</v>
      </c>
      <c r="Q2" s="162">
        <v>1.4</v>
      </c>
      <c r="R2" s="4">
        <v>1</v>
      </c>
    </row>
    <row r="3" spans="1:18" x14ac:dyDescent="0.3">
      <c r="A3" s="163" t="s">
        <v>46</v>
      </c>
      <c r="B3" s="158" t="s">
        <v>3389</v>
      </c>
      <c r="C3" s="157">
        <v>0.65300000000000002</v>
      </c>
      <c r="D3" s="156">
        <v>0.9</v>
      </c>
      <c r="E3" s="164">
        <v>0.8</v>
      </c>
      <c r="G3" s="163" t="s">
        <v>45</v>
      </c>
      <c r="H3" s="158" t="s">
        <v>3390</v>
      </c>
      <c r="I3" s="157">
        <v>0.63300000000000001</v>
      </c>
      <c r="J3" s="156">
        <v>2.2999999999999998</v>
      </c>
      <c r="K3" s="164">
        <v>2</v>
      </c>
      <c r="M3" s="163" t="s">
        <v>54</v>
      </c>
      <c r="N3" s="158" t="s">
        <v>3428</v>
      </c>
      <c r="O3" s="157">
        <v>0.625</v>
      </c>
      <c r="P3" s="157">
        <v>0.375</v>
      </c>
      <c r="Q3" s="164">
        <v>1.4</v>
      </c>
      <c r="R3" s="4">
        <v>2</v>
      </c>
    </row>
    <row r="4" spans="1:18" x14ac:dyDescent="0.3">
      <c r="A4" s="163" t="s">
        <v>45</v>
      </c>
      <c r="B4" s="158" t="s">
        <v>3390</v>
      </c>
      <c r="C4" s="157">
        <v>0.63300000000000001</v>
      </c>
      <c r="D4" s="156">
        <v>2.2999999999999998</v>
      </c>
      <c r="E4" s="164">
        <v>2</v>
      </c>
      <c r="G4" s="163" t="s">
        <v>66</v>
      </c>
      <c r="H4" s="158" t="s">
        <v>3390</v>
      </c>
      <c r="I4" s="157">
        <v>0.63300000000000001</v>
      </c>
      <c r="J4" s="156">
        <v>-0.4</v>
      </c>
      <c r="K4" s="164">
        <v>0.9</v>
      </c>
      <c r="M4" s="163" t="s">
        <v>45</v>
      </c>
      <c r="N4" s="158" t="s">
        <v>3429</v>
      </c>
      <c r="O4" s="157">
        <v>0.61699999999999999</v>
      </c>
      <c r="P4" s="157">
        <v>0.38300000000000001</v>
      </c>
      <c r="Q4" s="164">
        <v>2.1</v>
      </c>
      <c r="R4" s="4">
        <v>3</v>
      </c>
    </row>
    <row r="5" spans="1:18" x14ac:dyDescent="0.3">
      <c r="A5" s="163" t="s">
        <v>39</v>
      </c>
      <c r="B5" s="158" t="s">
        <v>3391</v>
      </c>
      <c r="C5" s="157">
        <v>0.61199999999999999</v>
      </c>
      <c r="D5" s="156">
        <v>1.1000000000000001</v>
      </c>
      <c r="E5" s="164">
        <v>0.1</v>
      </c>
      <c r="G5" s="163" t="s">
        <v>37</v>
      </c>
      <c r="H5" s="158" t="s">
        <v>3393</v>
      </c>
      <c r="I5" s="157">
        <v>0.58799999999999997</v>
      </c>
      <c r="J5" s="156">
        <v>2.2000000000000002</v>
      </c>
      <c r="K5" s="164">
        <v>1</v>
      </c>
      <c r="M5" s="163" t="s">
        <v>39</v>
      </c>
      <c r="N5" s="158" t="s">
        <v>3430</v>
      </c>
      <c r="O5" s="157">
        <v>0.60399999999999998</v>
      </c>
      <c r="P5" s="157">
        <v>0.39600000000000002</v>
      </c>
      <c r="Q5" s="164">
        <v>0.4</v>
      </c>
      <c r="R5" s="4">
        <v>4</v>
      </c>
    </row>
    <row r="6" spans="1:18" x14ac:dyDescent="0.3">
      <c r="A6" s="163" t="s">
        <v>42</v>
      </c>
      <c r="B6" s="158" t="s">
        <v>3392</v>
      </c>
      <c r="C6" s="157">
        <v>0.60799999999999998</v>
      </c>
      <c r="D6" s="156">
        <v>1.1000000000000001</v>
      </c>
      <c r="E6" s="164">
        <v>0.1</v>
      </c>
      <c r="G6" s="163" t="s">
        <v>55</v>
      </c>
      <c r="H6" s="158" t="s">
        <v>3394</v>
      </c>
      <c r="I6" s="157">
        <v>0.57999999999999996</v>
      </c>
      <c r="J6" s="156">
        <v>0.3</v>
      </c>
      <c r="K6" s="164">
        <v>0.5</v>
      </c>
      <c r="M6" s="163" t="s">
        <v>62</v>
      </c>
      <c r="N6" s="158" t="s">
        <v>3431</v>
      </c>
      <c r="O6" s="157">
        <v>0.57099999999999995</v>
      </c>
      <c r="P6" s="157">
        <v>0.42899999999999999</v>
      </c>
      <c r="Q6" s="164">
        <v>2.1</v>
      </c>
      <c r="R6" s="4">
        <v>5</v>
      </c>
    </row>
    <row r="7" spans="1:18" x14ac:dyDescent="0.3">
      <c r="A7" s="163" t="s">
        <v>48</v>
      </c>
      <c r="B7" s="158" t="s">
        <v>3393</v>
      </c>
      <c r="C7" s="157">
        <v>0.58799999999999997</v>
      </c>
      <c r="D7" s="156">
        <v>0.6</v>
      </c>
      <c r="E7" s="164">
        <v>0</v>
      </c>
      <c r="G7" s="163" t="s">
        <v>42</v>
      </c>
      <c r="H7" s="158" t="s">
        <v>3412</v>
      </c>
      <c r="I7" s="157">
        <v>0.56899999999999995</v>
      </c>
      <c r="J7" s="156">
        <v>1.1000000000000001</v>
      </c>
      <c r="K7" s="164">
        <v>0.1</v>
      </c>
      <c r="M7" s="163" t="s">
        <v>46</v>
      </c>
      <c r="N7" s="158" t="s">
        <v>3432</v>
      </c>
      <c r="O7" s="157">
        <v>0.56499999999999995</v>
      </c>
      <c r="P7" s="157">
        <v>0.435</v>
      </c>
      <c r="Q7" s="164">
        <v>0.9</v>
      </c>
      <c r="R7" s="4">
        <v>6</v>
      </c>
    </row>
    <row r="8" spans="1:18" x14ac:dyDescent="0.3">
      <c r="A8" s="163" t="s">
        <v>55</v>
      </c>
      <c r="B8" s="158" t="s">
        <v>3394</v>
      </c>
      <c r="C8" s="157">
        <v>0.57999999999999996</v>
      </c>
      <c r="D8" s="156">
        <v>0.3</v>
      </c>
      <c r="E8" s="164">
        <v>0.5</v>
      </c>
      <c r="G8" s="163" t="s">
        <v>50</v>
      </c>
      <c r="H8" s="158" t="s">
        <v>3413</v>
      </c>
      <c r="I8" s="157">
        <v>0.56299999999999994</v>
      </c>
      <c r="J8" s="156">
        <v>0.6</v>
      </c>
      <c r="K8" s="164">
        <v>0.4</v>
      </c>
      <c r="M8" s="163" t="s">
        <v>42</v>
      </c>
      <c r="N8" s="158" t="s">
        <v>3433</v>
      </c>
      <c r="O8" s="157">
        <v>0.56000000000000005</v>
      </c>
      <c r="P8" s="157">
        <v>0.44</v>
      </c>
      <c r="Q8" s="164">
        <v>1.3</v>
      </c>
      <c r="R8" s="4">
        <v>7</v>
      </c>
    </row>
    <row r="9" spans="1:18" x14ac:dyDescent="0.3">
      <c r="A9" s="163" t="s">
        <v>59</v>
      </c>
      <c r="B9" s="158" t="s">
        <v>3395</v>
      </c>
      <c r="C9" s="157">
        <v>0.57099999999999995</v>
      </c>
      <c r="D9" s="156">
        <v>0.8</v>
      </c>
      <c r="E9" s="164">
        <v>0.1</v>
      </c>
      <c r="G9" s="163" t="s">
        <v>52</v>
      </c>
      <c r="H9" s="158" t="s">
        <v>3414</v>
      </c>
      <c r="I9" s="157">
        <v>0.56000000000000005</v>
      </c>
      <c r="J9" s="156">
        <v>-0.8</v>
      </c>
      <c r="K9" s="164">
        <v>0</v>
      </c>
      <c r="M9" s="163" t="s">
        <v>61</v>
      </c>
      <c r="N9" s="158" t="s">
        <v>3434</v>
      </c>
      <c r="O9" s="157">
        <v>0.54</v>
      </c>
      <c r="P9" s="157">
        <v>0.46</v>
      </c>
      <c r="Q9" s="164">
        <v>0.9</v>
      </c>
      <c r="R9" s="4">
        <v>8</v>
      </c>
    </row>
    <row r="10" spans="1:18" x14ac:dyDescent="0.3">
      <c r="A10" s="163" t="s">
        <v>38</v>
      </c>
      <c r="B10" s="158" t="s">
        <v>3396</v>
      </c>
      <c r="C10" s="157">
        <v>0.55100000000000005</v>
      </c>
      <c r="D10" s="156">
        <v>0</v>
      </c>
      <c r="E10" s="164">
        <v>-0.1</v>
      </c>
      <c r="G10" s="163" t="s">
        <v>64</v>
      </c>
      <c r="H10" s="158" t="s">
        <v>3415</v>
      </c>
      <c r="I10" s="157">
        <v>0.55300000000000005</v>
      </c>
      <c r="J10" s="156">
        <v>-1</v>
      </c>
      <c r="K10" s="164">
        <v>0.2</v>
      </c>
      <c r="M10" s="163" t="s">
        <v>52</v>
      </c>
      <c r="N10" s="158" t="s">
        <v>3416</v>
      </c>
      <c r="O10" s="157">
        <v>0.54</v>
      </c>
      <c r="P10" s="157">
        <v>0.46</v>
      </c>
      <c r="Q10" s="164">
        <v>0.3</v>
      </c>
      <c r="R10" s="4">
        <v>9</v>
      </c>
    </row>
    <row r="11" spans="1:18" x14ac:dyDescent="0.3">
      <c r="A11" s="163" t="s">
        <v>43</v>
      </c>
      <c r="B11" s="158" t="s">
        <v>3397</v>
      </c>
      <c r="C11" s="157">
        <v>0.54900000000000004</v>
      </c>
      <c r="D11" s="156">
        <v>0.3</v>
      </c>
      <c r="E11" s="164">
        <v>0</v>
      </c>
      <c r="G11" s="163" t="s">
        <v>48</v>
      </c>
      <c r="H11" s="158" t="s">
        <v>3397</v>
      </c>
      <c r="I11" s="157">
        <v>0.54900000000000004</v>
      </c>
      <c r="J11" s="156">
        <v>0.6</v>
      </c>
      <c r="K11" s="164">
        <v>0</v>
      </c>
      <c r="M11" s="163" t="s">
        <v>50</v>
      </c>
      <c r="N11" s="158" t="s">
        <v>3435</v>
      </c>
      <c r="O11" s="157">
        <v>0.53200000000000003</v>
      </c>
      <c r="P11" s="157">
        <v>0.46800000000000003</v>
      </c>
      <c r="Q11" s="164">
        <v>0.8</v>
      </c>
      <c r="R11" s="4">
        <v>10</v>
      </c>
    </row>
    <row r="12" spans="1:18" x14ac:dyDescent="0.3">
      <c r="A12" s="163" t="s">
        <v>47</v>
      </c>
      <c r="B12" s="158" t="s">
        <v>3398</v>
      </c>
      <c r="C12" s="157">
        <v>0.52</v>
      </c>
      <c r="D12" s="156">
        <v>0.4</v>
      </c>
      <c r="E12" s="164">
        <v>-0.1</v>
      </c>
      <c r="G12" s="163" t="s">
        <v>54</v>
      </c>
      <c r="H12" s="158" t="s">
        <v>3416</v>
      </c>
      <c r="I12" s="157">
        <v>0.54</v>
      </c>
      <c r="J12" s="156">
        <v>0.1</v>
      </c>
      <c r="K12" s="164">
        <v>0.5</v>
      </c>
      <c r="M12" s="163" t="s">
        <v>55</v>
      </c>
      <c r="N12" s="158" t="s">
        <v>3436</v>
      </c>
      <c r="O12" s="157">
        <v>0.53200000000000003</v>
      </c>
      <c r="P12" s="157">
        <v>0.46800000000000003</v>
      </c>
      <c r="Q12" s="164">
        <v>1.1000000000000001</v>
      </c>
      <c r="R12" s="4">
        <v>11</v>
      </c>
    </row>
    <row r="13" spans="1:18" x14ac:dyDescent="0.3">
      <c r="A13" s="163" t="s">
        <v>54</v>
      </c>
      <c r="B13" s="158" t="s">
        <v>3398</v>
      </c>
      <c r="C13" s="157">
        <v>0.52</v>
      </c>
      <c r="D13" s="156">
        <v>0.1</v>
      </c>
      <c r="E13" s="164">
        <v>0.5</v>
      </c>
      <c r="G13" s="163" t="s">
        <v>57</v>
      </c>
      <c r="H13" s="158" t="s">
        <v>3417</v>
      </c>
      <c r="I13" s="157">
        <v>0.53100000000000003</v>
      </c>
      <c r="J13" s="156">
        <v>0.7</v>
      </c>
      <c r="K13" s="164">
        <v>0.2</v>
      </c>
      <c r="M13" s="163" t="s">
        <v>64</v>
      </c>
      <c r="N13" s="158" t="s">
        <v>3437</v>
      </c>
      <c r="O13" s="157">
        <v>0.52200000000000002</v>
      </c>
      <c r="P13" s="157">
        <v>0.47799999999999998</v>
      </c>
      <c r="Q13" s="164">
        <v>0.1</v>
      </c>
      <c r="R13" s="4">
        <v>12</v>
      </c>
    </row>
    <row r="14" spans="1:18" x14ac:dyDescent="0.3">
      <c r="A14" s="163" t="s">
        <v>40</v>
      </c>
      <c r="B14" s="158" t="s">
        <v>3398</v>
      </c>
      <c r="C14" s="157">
        <v>0.52</v>
      </c>
      <c r="D14" s="156">
        <v>0.9</v>
      </c>
      <c r="E14" s="164">
        <v>0.3</v>
      </c>
      <c r="G14" s="163" t="s">
        <v>41</v>
      </c>
      <c r="H14" s="158" t="s">
        <v>3417</v>
      </c>
      <c r="I14" s="157">
        <v>0.53100000000000003</v>
      </c>
      <c r="J14" s="156">
        <v>0.3</v>
      </c>
      <c r="K14" s="164">
        <v>1</v>
      </c>
      <c r="M14" s="163" t="s">
        <v>47</v>
      </c>
      <c r="N14" s="158" t="s">
        <v>3438</v>
      </c>
      <c r="O14" s="157">
        <v>0.52100000000000002</v>
      </c>
      <c r="P14" s="157">
        <v>0.47899999999999998</v>
      </c>
      <c r="Q14" s="164">
        <v>0.4</v>
      </c>
      <c r="R14" s="4">
        <v>13</v>
      </c>
    </row>
    <row r="15" spans="1:18" x14ac:dyDescent="0.3">
      <c r="A15" s="163" t="s">
        <v>41</v>
      </c>
      <c r="B15" s="158" t="s">
        <v>3399</v>
      </c>
      <c r="C15" s="157">
        <v>0.51</v>
      </c>
      <c r="D15" s="156">
        <v>0.3</v>
      </c>
      <c r="E15" s="164">
        <v>1</v>
      </c>
      <c r="G15" s="163" t="s">
        <v>60</v>
      </c>
      <c r="H15" s="158" t="s">
        <v>3418</v>
      </c>
      <c r="I15" s="157">
        <v>0.52900000000000003</v>
      </c>
      <c r="J15" s="156">
        <v>-1</v>
      </c>
      <c r="K15" s="164">
        <v>-0.5</v>
      </c>
      <c r="M15" s="163" t="s">
        <v>43</v>
      </c>
      <c r="N15" s="158" t="s">
        <v>3439</v>
      </c>
      <c r="O15" s="157">
        <v>0.48899999999999999</v>
      </c>
      <c r="P15" s="157">
        <v>0.51100000000000001</v>
      </c>
      <c r="Q15" s="164">
        <v>0.9</v>
      </c>
      <c r="R15" s="4">
        <v>14</v>
      </c>
    </row>
    <row r="16" spans="1:18" x14ac:dyDescent="0.3">
      <c r="A16" s="163" t="s">
        <v>57</v>
      </c>
      <c r="B16" s="158" t="s">
        <v>3399</v>
      </c>
      <c r="C16" s="157">
        <v>0.51</v>
      </c>
      <c r="D16" s="156">
        <v>0.7</v>
      </c>
      <c r="E16" s="164">
        <v>0.2</v>
      </c>
      <c r="G16" s="163" t="s">
        <v>40</v>
      </c>
      <c r="H16" s="158" t="s">
        <v>3398</v>
      </c>
      <c r="I16" s="157">
        <v>0.52</v>
      </c>
      <c r="J16" s="156">
        <v>0.9</v>
      </c>
      <c r="K16" s="164">
        <v>0.3</v>
      </c>
      <c r="M16" s="163" t="s">
        <v>48</v>
      </c>
      <c r="N16" s="158" t="s">
        <v>3440</v>
      </c>
      <c r="O16" s="157">
        <v>0.48</v>
      </c>
      <c r="P16" s="157">
        <v>0.52</v>
      </c>
      <c r="Q16" s="164">
        <v>0.5</v>
      </c>
      <c r="R16" s="4">
        <v>15</v>
      </c>
    </row>
    <row r="17" spans="1:18" x14ac:dyDescent="0.3">
      <c r="A17" s="163" t="s">
        <v>58</v>
      </c>
      <c r="B17" s="158" t="s">
        <v>3400</v>
      </c>
      <c r="C17" s="157">
        <v>0.5</v>
      </c>
      <c r="D17" s="156">
        <v>-1</v>
      </c>
      <c r="E17" s="164">
        <v>-0.7</v>
      </c>
      <c r="G17" s="163" t="s">
        <v>43</v>
      </c>
      <c r="H17" s="158" t="s">
        <v>3419</v>
      </c>
      <c r="I17" s="157">
        <v>0.51</v>
      </c>
      <c r="J17" s="156">
        <v>0.3</v>
      </c>
      <c r="K17" s="164">
        <v>0</v>
      </c>
      <c r="M17" s="163" t="s">
        <v>59</v>
      </c>
      <c r="N17" s="158" t="s">
        <v>3441</v>
      </c>
      <c r="O17" s="157">
        <v>0.47899999999999998</v>
      </c>
      <c r="P17" s="157">
        <v>0.52100000000000002</v>
      </c>
      <c r="Q17" s="164">
        <v>-0.3</v>
      </c>
      <c r="R17" s="4">
        <v>16</v>
      </c>
    </row>
    <row r="18" spans="1:18" x14ac:dyDescent="0.3">
      <c r="A18" s="163" t="s">
        <v>51</v>
      </c>
      <c r="B18" s="158" t="s">
        <v>3400</v>
      </c>
      <c r="C18" s="157">
        <v>0.5</v>
      </c>
      <c r="D18" s="156">
        <v>-0.4</v>
      </c>
      <c r="E18" s="164">
        <v>-1.1000000000000001</v>
      </c>
      <c r="G18" s="163" t="s">
        <v>38</v>
      </c>
      <c r="H18" s="158" t="s">
        <v>3401</v>
      </c>
      <c r="I18" s="157">
        <v>0.49</v>
      </c>
      <c r="J18" s="156">
        <v>0</v>
      </c>
      <c r="K18" s="164">
        <v>-0.1</v>
      </c>
      <c r="M18" s="163" t="s">
        <v>60</v>
      </c>
      <c r="N18" s="158" t="s">
        <v>3442</v>
      </c>
      <c r="O18" s="157">
        <v>0.47899999999999998</v>
      </c>
      <c r="P18" s="157">
        <v>0.52100000000000002</v>
      </c>
      <c r="Q18" s="164">
        <v>0.9</v>
      </c>
      <c r="R18" s="4">
        <v>17</v>
      </c>
    </row>
    <row r="19" spans="1:18" x14ac:dyDescent="0.3">
      <c r="A19" s="163" t="s">
        <v>53</v>
      </c>
      <c r="B19" s="158" t="s">
        <v>3401</v>
      </c>
      <c r="C19" s="157">
        <v>0.49</v>
      </c>
      <c r="D19" s="156">
        <v>-0.4</v>
      </c>
      <c r="E19" s="164">
        <v>-0.2</v>
      </c>
      <c r="G19" s="163" t="s">
        <v>53</v>
      </c>
      <c r="H19" s="158" t="s">
        <v>3401</v>
      </c>
      <c r="I19" s="157">
        <v>0.49</v>
      </c>
      <c r="J19" s="156">
        <v>-0.4</v>
      </c>
      <c r="K19" s="164">
        <v>-0.2</v>
      </c>
      <c r="M19" s="163" t="s">
        <v>57</v>
      </c>
      <c r="N19" s="158" t="s">
        <v>3441</v>
      </c>
      <c r="O19" s="157">
        <v>0.47899999999999998</v>
      </c>
      <c r="P19" s="157">
        <v>0.52100000000000002</v>
      </c>
      <c r="Q19" s="164">
        <v>0</v>
      </c>
      <c r="R19" s="4">
        <v>18</v>
      </c>
    </row>
    <row r="20" spans="1:18" x14ac:dyDescent="0.3">
      <c r="A20" s="163" t="s">
        <v>63</v>
      </c>
      <c r="B20" s="158" t="s">
        <v>3402</v>
      </c>
      <c r="C20" s="157">
        <v>0.46899999999999997</v>
      </c>
      <c r="D20" s="156">
        <v>-0.6</v>
      </c>
      <c r="E20" s="164">
        <v>-1</v>
      </c>
      <c r="G20" s="163" t="s">
        <v>59</v>
      </c>
      <c r="H20" s="158" t="s">
        <v>3401</v>
      </c>
      <c r="I20" s="157">
        <v>0.49</v>
      </c>
      <c r="J20" s="156">
        <v>0.8</v>
      </c>
      <c r="K20" s="164">
        <v>0.1</v>
      </c>
      <c r="M20" s="163" t="s">
        <v>51</v>
      </c>
      <c r="N20" s="158" t="s">
        <v>3443</v>
      </c>
      <c r="O20" s="157">
        <v>0.46899999999999997</v>
      </c>
      <c r="P20" s="157">
        <v>0.53100000000000003</v>
      </c>
      <c r="Q20" s="164">
        <v>0.4</v>
      </c>
      <c r="R20" s="4">
        <v>19</v>
      </c>
    </row>
    <row r="21" spans="1:18" x14ac:dyDescent="0.3">
      <c r="A21" s="163" t="s">
        <v>64</v>
      </c>
      <c r="B21" s="158" t="s">
        <v>3403</v>
      </c>
      <c r="C21" s="157">
        <v>0.46800000000000003</v>
      </c>
      <c r="D21" s="156">
        <v>-1</v>
      </c>
      <c r="E21" s="164">
        <v>0.2</v>
      </c>
      <c r="G21" s="163" t="s">
        <v>49</v>
      </c>
      <c r="H21" s="158" t="s">
        <v>3402</v>
      </c>
      <c r="I21" s="157">
        <v>0.46899999999999997</v>
      </c>
      <c r="J21" s="156">
        <v>-0.1</v>
      </c>
      <c r="K21" s="164">
        <v>-0.5</v>
      </c>
      <c r="M21" s="163" t="s">
        <v>65</v>
      </c>
      <c r="N21" s="158" t="s">
        <v>3444</v>
      </c>
      <c r="O21" s="157">
        <v>0.46899999999999997</v>
      </c>
      <c r="P21" s="157">
        <v>0.53100000000000003</v>
      </c>
      <c r="Q21" s="164">
        <v>0.4</v>
      </c>
      <c r="R21" s="4">
        <v>20</v>
      </c>
    </row>
    <row r="22" spans="1:18" x14ac:dyDescent="0.3">
      <c r="A22" s="163" t="s">
        <v>50</v>
      </c>
      <c r="B22" s="158" t="s">
        <v>3404</v>
      </c>
      <c r="C22" s="157">
        <v>0.45800000000000002</v>
      </c>
      <c r="D22" s="156">
        <v>0.6</v>
      </c>
      <c r="E22" s="164">
        <v>0.4</v>
      </c>
      <c r="G22" s="163" t="s">
        <v>47</v>
      </c>
      <c r="H22" s="158" t="s">
        <v>3420</v>
      </c>
      <c r="I22" s="157">
        <v>0.46</v>
      </c>
      <c r="J22" s="156">
        <v>0.4</v>
      </c>
      <c r="K22" s="164">
        <v>-0.1</v>
      </c>
      <c r="M22" s="163" t="s">
        <v>41</v>
      </c>
      <c r="N22" s="158" t="s">
        <v>3445</v>
      </c>
      <c r="O22" s="157">
        <v>0.46800000000000003</v>
      </c>
      <c r="P22" s="157">
        <v>0.53200000000000003</v>
      </c>
      <c r="Q22" s="164">
        <v>-0.3</v>
      </c>
      <c r="R22" s="4">
        <v>21</v>
      </c>
    </row>
    <row r="23" spans="1:18" x14ac:dyDescent="0.3">
      <c r="A23" s="163" t="s">
        <v>49</v>
      </c>
      <c r="B23" s="158" t="s">
        <v>3405</v>
      </c>
      <c r="C23" s="157">
        <v>0.44900000000000001</v>
      </c>
      <c r="D23" s="156">
        <v>-0.1</v>
      </c>
      <c r="E23" s="164">
        <v>-0.5</v>
      </c>
      <c r="G23" s="163" t="s">
        <v>56</v>
      </c>
      <c r="H23" s="158" t="s">
        <v>3420</v>
      </c>
      <c r="I23" s="157">
        <v>0.46</v>
      </c>
      <c r="J23" s="156">
        <v>-1</v>
      </c>
      <c r="K23" s="164">
        <v>0</v>
      </c>
      <c r="M23" s="163" t="s">
        <v>53</v>
      </c>
      <c r="N23" s="158" t="s">
        <v>3445</v>
      </c>
      <c r="O23" s="157">
        <v>0.46800000000000003</v>
      </c>
      <c r="P23" s="157">
        <v>0.53200000000000003</v>
      </c>
      <c r="Q23" s="164">
        <v>0.3</v>
      </c>
      <c r="R23" s="4">
        <v>22</v>
      </c>
    </row>
    <row r="24" spans="1:18" x14ac:dyDescent="0.3">
      <c r="A24" s="163" t="s">
        <v>61</v>
      </c>
      <c r="B24" s="158" t="s">
        <v>3406</v>
      </c>
      <c r="C24" s="157">
        <v>0.442</v>
      </c>
      <c r="D24" s="156">
        <v>0.3</v>
      </c>
      <c r="E24" s="164">
        <v>0</v>
      </c>
      <c r="G24" s="163" t="s">
        <v>61</v>
      </c>
      <c r="H24" s="158" t="s">
        <v>3406</v>
      </c>
      <c r="I24" s="157">
        <v>0.442</v>
      </c>
      <c r="J24" s="156">
        <v>0.3</v>
      </c>
      <c r="K24" s="164">
        <v>0</v>
      </c>
      <c r="M24" s="163" t="s">
        <v>38</v>
      </c>
      <c r="N24" s="158" t="s">
        <v>3446</v>
      </c>
      <c r="O24" s="157">
        <v>0.45800000000000002</v>
      </c>
      <c r="P24" s="157">
        <v>0.54200000000000004</v>
      </c>
      <c r="Q24" s="164">
        <v>-0.2</v>
      </c>
      <c r="R24" s="4">
        <v>23</v>
      </c>
    </row>
    <row r="25" spans="1:18" x14ac:dyDescent="0.3">
      <c r="A25" s="163" t="s">
        <v>44</v>
      </c>
      <c r="B25" s="158" t="s">
        <v>3407</v>
      </c>
      <c r="C25" s="157">
        <v>0.42899999999999999</v>
      </c>
      <c r="D25" s="156">
        <v>-0.8</v>
      </c>
      <c r="E25" s="164">
        <v>-1.1000000000000001</v>
      </c>
      <c r="G25" s="163" t="s">
        <v>44</v>
      </c>
      <c r="H25" s="158" t="s">
        <v>3407</v>
      </c>
      <c r="I25" s="157">
        <v>0.42899999999999999</v>
      </c>
      <c r="J25" s="156">
        <v>-0.8</v>
      </c>
      <c r="K25" s="164">
        <v>-1.1000000000000001</v>
      </c>
      <c r="M25" s="163" t="s">
        <v>63</v>
      </c>
      <c r="N25" s="158" t="s">
        <v>3447</v>
      </c>
      <c r="O25" s="157">
        <v>0.45700000000000002</v>
      </c>
      <c r="P25" s="157">
        <v>0.54400000000000004</v>
      </c>
      <c r="Q25" s="164">
        <v>0.5</v>
      </c>
      <c r="R25" s="4">
        <v>24</v>
      </c>
    </row>
    <row r="26" spans="1:18" x14ac:dyDescent="0.3">
      <c r="A26" s="163" t="s">
        <v>66</v>
      </c>
      <c r="B26" s="158" t="s">
        <v>3407</v>
      </c>
      <c r="C26" s="157">
        <v>0.42899999999999999</v>
      </c>
      <c r="D26" s="156">
        <v>-0.4</v>
      </c>
      <c r="E26" s="164">
        <v>0.9</v>
      </c>
      <c r="G26" s="163" t="s">
        <v>39</v>
      </c>
      <c r="H26" s="158" t="s">
        <v>3421</v>
      </c>
      <c r="I26" s="157">
        <v>0.40799999999999997</v>
      </c>
      <c r="J26" s="156">
        <v>1.1000000000000001</v>
      </c>
      <c r="K26" s="164">
        <v>0.1</v>
      </c>
      <c r="M26" s="163" t="s">
        <v>66</v>
      </c>
      <c r="N26" s="158" t="s">
        <v>3447</v>
      </c>
      <c r="O26" s="157">
        <v>0.45700000000000002</v>
      </c>
      <c r="P26" s="157">
        <v>0.54400000000000004</v>
      </c>
      <c r="Q26" s="164">
        <v>-0.2</v>
      </c>
      <c r="R26" s="4">
        <v>25</v>
      </c>
    </row>
    <row r="27" spans="1:18" x14ac:dyDescent="0.3">
      <c r="A27" s="163" t="s">
        <v>52</v>
      </c>
      <c r="B27" s="158" t="s">
        <v>3408</v>
      </c>
      <c r="C27" s="157">
        <v>0.42</v>
      </c>
      <c r="D27" s="156">
        <v>-0.8</v>
      </c>
      <c r="E27" s="164">
        <v>0</v>
      </c>
      <c r="G27" s="163" t="s">
        <v>63</v>
      </c>
      <c r="H27" s="158" t="s">
        <v>3422</v>
      </c>
      <c r="I27" s="157">
        <v>0.38800000000000001</v>
      </c>
      <c r="J27" s="156">
        <v>-0.6</v>
      </c>
      <c r="K27" s="164">
        <v>-1</v>
      </c>
      <c r="M27" s="163" t="s">
        <v>40</v>
      </c>
      <c r="N27" s="158" t="s">
        <v>3448</v>
      </c>
      <c r="O27" s="157">
        <v>0.44700000000000001</v>
      </c>
      <c r="P27" s="157">
        <v>0.55300000000000005</v>
      </c>
      <c r="Q27" s="164">
        <v>0.3</v>
      </c>
      <c r="R27" s="4">
        <v>26</v>
      </c>
    </row>
    <row r="28" spans="1:18" x14ac:dyDescent="0.3">
      <c r="A28" s="163" t="s">
        <v>56</v>
      </c>
      <c r="B28" s="158" t="s">
        <v>3408</v>
      </c>
      <c r="C28" s="157">
        <v>0.42</v>
      </c>
      <c r="D28" s="156">
        <v>-1</v>
      </c>
      <c r="E28" s="164">
        <v>0</v>
      </c>
      <c r="G28" s="163" t="s">
        <v>58</v>
      </c>
      <c r="H28" s="158" t="s">
        <v>3423</v>
      </c>
      <c r="I28" s="157">
        <v>0.38</v>
      </c>
      <c r="J28" s="156">
        <v>-1</v>
      </c>
      <c r="K28" s="164">
        <v>-0.7</v>
      </c>
      <c r="M28" s="163" t="s">
        <v>58</v>
      </c>
      <c r="N28" s="158" t="s">
        <v>3449</v>
      </c>
      <c r="O28" s="157">
        <v>0.438</v>
      </c>
      <c r="P28" s="157">
        <v>0.56299999999999994</v>
      </c>
      <c r="Q28" s="164">
        <v>0</v>
      </c>
      <c r="R28" s="4">
        <v>27</v>
      </c>
    </row>
    <row r="29" spans="1:18" x14ac:dyDescent="0.3">
      <c r="A29" s="163" t="s">
        <v>60</v>
      </c>
      <c r="B29" s="158" t="s">
        <v>3409</v>
      </c>
      <c r="C29" s="157">
        <v>0.41199999999999998</v>
      </c>
      <c r="D29" s="156">
        <v>-1</v>
      </c>
      <c r="E29" s="164">
        <v>-0.5</v>
      </c>
      <c r="G29" s="163" t="s">
        <v>62</v>
      </c>
      <c r="H29" s="158" t="s">
        <v>3424</v>
      </c>
      <c r="I29" s="157">
        <v>0.373</v>
      </c>
      <c r="J29" s="156">
        <v>-3.6</v>
      </c>
      <c r="K29" s="164">
        <v>-2.1</v>
      </c>
      <c r="M29" s="163" t="s">
        <v>56</v>
      </c>
      <c r="N29" s="158" t="s">
        <v>3408</v>
      </c>
      <c r="O29" s="157">
        <v>0.42</v>
      </c>
      <c r="P29" s="157">
        <v>0.57999999999999996</v>
      </c>
      <c r="Q29" s="164">
        <v>-0.2</v>
      </c>
      <c r="R29" s="4">
        <v>28</v>
      </c>
    </row>
    <row r="30" spans="1:18" x14ac:dyDescent="0.3">
      <c r="A30" s="163" t="s">
        <v>65</v>
      </c>
      <c r="B30" s="158" t="s">
        <v>3410</v>
      </c>
      <c r="C30" s="157">
        <v>0.29399999999999998</v>
      </c>
      <c r="D30" s="156">
        <v>-1.4</v>
      </c>
      <c r="E30" s="164">
        <v>-0.3</v>
      </c>
      <c r="G30" s="163" t="s">
        <v>65</v>
      </c>
      <c r="H30" s="158" t="s">
        <v>3425</v>
      </c>
      <c r="I30" s="157">
        <v>0.35299999999999998</v>
      </c>
      <c r="J30" s="156">
        <v>-1.4</v>
      </c>
      <c r="K30" s="164">
        <v>-0.3</v>
      </c>
      <c r="M30" s="163" t="s">
        <v>44</v>
      </c>
      <c r="N30" s="158" t="s">
        <v>3450</v>
      </c>
      <c r="O30" s="157">
        <v>0.36199999999999999</v>
      </c>
      <c r="P30" s="157">
        <v>0.63800000000000001</v>
      </c>
      <c r="Q30" s="164">
        <v>-0.4</v>
      </c>
      <c r="R30" s="4">
        <v>29</v>
      </c>
    </row>
    <row r="31" spans="1:18" ht="15" thickBot="1" x14ac:dyDescent="0.35">
      <c r="A31" s="165" t="s">
        <v>62</v>
      </c>
      <c r="B31" s="166" t="s">
        <v>3411</v>
      </c>
      <c r="C31" s="167">
        <v>0.19600000000000001</v>
      </c>
      <c r="D31" s="168">
        <v>-3.6</v>
      </c>
      <c r="E31" s="169">
        <v>-2.1</v>
      </c>
      <c r="G31" s="165" t="s">
        <v>51</v>
      </c>
      <c r="H31" s="166" t="s">
        <v>3426</v>
      </c>
      <c r="I31" s="167">
        <v>0.34</v>
      </c>
      <c r="J31" s="168">
        <v>-0.4</v>
      </c>
      <c r="K31" s="169">
        <v>-1.1000000000000001</v>
      </c>
      <c r="M31" s="165" t="s">
        <v>49</v>
      </c>
      <c r="N31" s="166" t="s">
        <v>3451</v>
      </c>
      <c r="O31" s="167">
        <v>0.31900000000000001</v>
      </c>
      <c r="P31" s="167">
        <v>0.68100000000000005</v>
      </c>
      <c r="Q31" s="169">
        <v>-0.9</v>
      </c>
      <c r="R31" s="4">
        <v>30</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B5163-8CAE-4879-A569-1613D0727A3F}">
  <sheetPr codeName="Sheet12">
    <tabColor rgb="FF00B050"/>
  </sheetPr>
  <dimension ref="A1:AB33"/>
  <sheetViews>
    <sheetView workbookViewId="0">
      <selection activeCell="U2" sqref="U2"/>
    </sheetView>
  </sheetViews>
  <sheetFormatPr defaultRowHeight="14.4" x14ac:dyDescent="0.3"/>
  <cols>
    <col min="1" max="1" width="6" bestFit="1" customWidth="1"/>
    <col min="2" max="2" width="10.77734375" bestFit="1" customWidth="1"/>
    <col min="3" max="3" width="6" bestFit="1" customWidth="1"/>
    <col min="4" max="6" width="6.5546875" bestFit="1" customWidth="1"/>
    <col min="7" max="7" width="6.33203125" bestFit="1" customWidth="1"/>
    <col min="8" max="8" width="6" bestFit="1" customWidth="1"/>
    <col min="11" max="11" width="6" bestFit="1" customWidth="1"/>
    <col min="12" max="12" width="10.77734375" bestFit="1" customWidth="1"/>
    <col min="13" max="13" width="5.6640625" bestFit="1" customWidth="1"/>
    <col min="14" max="16" width="6.5546875" bestFit="1" customWidth="1"/>
    <col min="17" max="17" width="6.33203125" bestFit="1" customWidth="1"/>
    <col min="18" max="18" width="5.6640625" bestFit="1" customWidth="1"/>
    <col min="21" max="21" width="6" bestFit="1" customWidth="1"/>
    <col min="22" max="22" width="10.77734375" bestFit="1" customWidth="1"/>
    <col min="23" max="23" width="5.6640625" bestFit="1" customWidth="1"/>
    <col min="24" max="26" width="6.5546875" bestFit="1" customWidth="1"/>
    <col min="27" max="27" width="6.33203125" bestFit="1" customWidth="1"/>
    <col min="28" max="28" width="5.6640625" bestFit="1" customWidth="1"/>
  </cols>
  <sheetData>
    <row r="1" spans="1:28" ht="15" thickBot="1" x14ac:dyDescent="0.35">
      <c r="A1" s="153" t="s">
        <v>116</v>
      </c>
      <c r="B1" s="153" t="s">
        <v>32</v>
      </c>
      <c r="C1" s="153">
        <v>2023</v>
      </c>
      <c r="D1" s="153" t="s">
        <v>211</v>
      </c>
      <c r="E1" s="153" t="s">
        <v>212</v>
      </c>
      <c r="F1" s="153" t="s">
        <v>103</v>
      </c>
      <c r="G1" s="153" t="s">
        <v>102</v>
      </c>
      <c r="H1" s="153">
        <v>2022</v>
      </c>
      <c r="K1" s="153" t="s">
        <v>116</v>
      </c>
      <c r="L1" s="153" t="s">
        <v>32</v>
      </c>
      <c r="M1" s="153">
        <v>2023</v>
      </c>
      <c r="N1" s="153" t="s">
        <v>211</v>
      </c>
      <c r="O1" s="153" t="s">
        <v>212</v>
      </c>
      <c r="P1" s="153" t="s">
        <v>103</v>
      </c>
      <c r="Q1" s="153" t="s">
        <v>102</v>
      </c>
      <c r="R1" s="153">
        <v>2022</v>
      </c>
      <c r="U1" s="153" t="s">
        <v>116</v>
      </c>
      <c r="V1" s="153" t="s">
        <v>32</v>
      </c>
      <c r="W1" s="153">
        <v>2023</v>
      </c>
      <c r="X1" s="153" t="s">
        <v>211</v>
      </c>
      <c r="Y1" s="153" t="s">
        <v>212</v>
      </c>
      <c r="Z1" s="153" t="s">
        <v>103</v>
      </c>
      <c r="AA1" s="153" t="s">
        <v>102</v>
      </c>
      <c r="AB1" s="153">
        <v>2022</v>
      </c>
    </row>
    <row r="2" spans="1:28" x14ac:dyDescent="0.3">
      <c r="A2" s="171">
        <v>1</v>
      </c>
      <c r="B2" s="172" t="s">
        <v>48</v>
      </c>
      <c r="C2" s="172">
        <v>12.69</v>
      </c>
      <c r="D2" s="172">
        <v>11.67</v>
      </c>
      <c r="E2" s="172">
        <v>12</v>
      </c>
      <c r="F2" s="172">
        <v>12.46</v>
      </c>
      <c r="G2" s="172">
        <v>12.96</v>
      </c>
      <c r="H2" s="173">
        <v>14.54</v>
      </c>
      <c r="K2" s="171">
        <v>1</v>
      </c>
      <c r="L2" s="172" t="s">
        <v>45</v>
      </c>
      <c r="M2" s="172">
        <v>112</v>
      </c>
      <c r="N2" s="172">
        <v>4</v>
      </c>
      <c r="O2" s="172">
        <v>1</v>
      </c>
      <c r="P2" s="172">
        <v>58</v>
      </c>
      <c r="Q2" s="172">
        <v>54</v>
      </c>
      <c r="R2" s="173">
        <v>-36</v>
      </c>
      <c r="U2" s="171">
        <v>1</v>
      </c>
      <c r="V2" s="172" t="s">
        <v>59</v>
      </c>
      <c r="W2" s="172">
        <v>3.23</v>
      </c>
      <c r="X2" s="172">
        <v>3.96</v>
      </c>
      <c r="Y2" s="172">
        <v>4.5</v>
      </c>
      <c r="Z2" s="172">
        <v>3.09</v>
      </c>
      <c r="AA2" s="172">
        <v>3.38</v>
      </c>
      <c r="AB2" s="173">
        <v>2.84</v>
      </c>
    </row>
    <row r="3" spans="1:28" x14ac:dyDescent="0.3">
      <c r="A3" s="8">
        <v>2</v>
      </c>
      <c r="B3" s="4" t="s">
        <v>60</v>
      </c>
      <c r="C3" s="4">
        <v>13.55</v>
      </c>
      <c r="D3" s="4">
        <v>9</v>
      </c>
      <c r="E3" s="4">
        <v>3</v>
      </c>
      <c r="F3" s="4">
        <v>13.96</v>
      </c>
      <c r="G3" s="4">
        <v>13.15</v>
      </c>
      <c r="H3" s="9">
        <v>14.62</v>
      </c>
      <c r="K3" s="8">
        <v>2</v>
      </c>
      <c r="L3" s="4" t="s">
        <v>37</v>
      </c>
      <c r="M3" s="4">
        <v>111</v>
      </c>
      <c r="N3" s="4">
        <v>-13</v>
      </c>
      <c r="O3" s="4">
        <v>4</v>
      </c>
      <c r="P3" s="4">
        <v>64</v>
      </c>
      <c r="Q3" s="4">
        <v>47</v>
      </c>
      <c r="R3" s="9">
        <v>50</v>
      </c>
      <c r="U3" s="8">
        <v>2</v>
      </c>
      <c r="V3" s="4" t="s">
        <v>40</v>
      </c>
      <c r="W3" s="4">
        <v>3.38</v>
      </c>
      <c r="X3" s="4">
        <v>3</v>
      </c>
      <c r="Y3" s="4">
        <v>1</v>
      </c>
      <c r="Z3" s="4">
        <v>3.46</v>
      </c>
      <c r="AA3" s="4">
        <v>3.3</v>
      </c>
      <c r="AB3" s="9">
        <v>3.98</v>
      </c>
    </row>
    <row r="4" spans="1:28" x14ac:dyDescent="0.3">
      <c r="A4" s="8">
        <v>3</v>
      </c>
      <c r="B4" s="4" t="s">
        <v>38</v>
      </c>
      <c r="C4" s="4">
        <v>13.67</v>
      </c>
      <c r="D4" s="4">
        <v>8.33</v>
      </c>
      <c r="E4" s="4">
        <v>2</v>
      </c>
      <c r="F4" s="4">
        <v>12.04</v>
      </c>
      <c r="G4" s="4">
        <v>15.24</v>
      </c>
      <c r="H4" s="9">
        <v>14.25</v>
      </c>
      <c r="K4" s="8">
        <v>3</v>
      </c>
      <c r="L4" s="4" t="s">
        <v>42</v>
      </c>
      <c r="M4" s="4">
        <v>56</v>
      </c>
      <c r="N4" s="4">
        <v>8</v>
      </c>
      <c r="O4" s="4">
        <v>-1</v>
      </c>
      <c r="P4" s="4">
        <v>62</v>
      </c>
      <c r="Q4" s="4">
        <v>-6</v>
      </c>
      <c r="R4" s="9">
        <v>331</v>
      </c>
      <c r="U4" s="8">
        <v>3</v>
      </c>
      <c r="V4" s="4" t="s">
        <v>57</v>
      </c>
      <c r="W4" s="4">
        <v>3.48</v>
      </c>
      <c r="X4" s="4">
        <v>1.67</v>
      </c>
      <c r="Y4" s="4">
        <v>1</v>
      </c>
      <c r="Z4" s="4">
        <v>3.16</v>
      </c>
      <c r="AA4" s="4">
        <v>3.83</v>
      </c>
      <c r="AB4" s="9">
        <v>3.59</v>
      </c>
    </row>
    <row r="5" spans="1:28" x14ac:dyDescent="0.3">
      <c r="A5" s="8">
        <v>4</v>
      </c>
      <c r="B5" s="4" t="s">
        <v>65</v>
      </c>
      <c r="C5" s="4">
        <v>13.84</v>
      </c>
      <c r="D5" s="4">
        <v>18</v>
      </c>
      <c r="E5" s="4">
        <v>18</v>
      </c>
      <c r="F5" s="4">
        <v>14.65</v>
      </c>
      <c r="G5" s="4">
        <v>13</v>
      </c>
      <c r="H5" s="9">
        <v>14.17</v>
      </c>
      <c r="K5" s="8">
        <v>4</v>
      </c>
      <c r="L5" s="4" t="s">
        <v>39</v>
      </c>
      <c r="M5" s="4">
        <v>55</v>
      </c>
      <c r="N5" s="4">
        <v>-8</v>
      </c>
      <c r="O5" s="4">
        <v>1</v>
      </c>
      <c r="P5" s="4">
        <v>-8</v>
      </c>
      <c r="Q5" s="4">
        <v>63</v>
      </c>
      <c r="R5" s="9">
        <v>169</v>
      </c>
      <c r="U5" s="8">
        <v>4</v>
      </c>
      <c r="V5" s="4" t="s">
        <v>39</v>
      </c>
      <c r="W5" s="4">
        <v>3.62</v>
      </c>
      <c r="X5" s="4">
        <v>5.67</v>
      </c>
      <c r="Y5" s="4">
        <v>3</v>
      </c>
      <c r="Z5" s="4">
        <v>4.24</v>
      </c>
      <c r="AA5" s="4">
        <v>2.93</v>
      </c>
      <c r="AB5" s="9">
        <v>3.51</v>
      </c>
    </row>
    <row r="6" spans="1:28" x14ac:dyDescent="0.3">
      <c r="A6" s="8">
        <v>5</v>
      </c>
      <c r="B6" s="4" t="s">
        <v>37</v>
      </c>
      <c r="C6" s="4">
        <v>13.96</v>
      </c>
      <c r="D6" s="4">
        <v>11.33</v>
      </c>
      <c r="E6" s="4">
        <v>13</v>
      </c>
      <c r="F6" s="4">
        <v>12.96</v>
      </c>
      <c r="G6" s="4">
        <v>15.17</v>
      </c>
      <c r="H6" s="9">
        <v>14.16</v>
      </c>
      <c r="K6" s="8">
        <v>5</v>
      </c>
      <c r="L6" s="4" t="s">
        <v>40</v>
      </c>
      <c r="M6" s="4">
        <v>45</v>
      </c>
      <c r="N6" s="4">
        <v>2</v>
      </c>
      <c r="O6" s="4">
        <v>6</v>
      </c>
      <c r="P6" s="4">
        <v>30</v>
      </c>
      <c r="Q6" s="4">
        <v>15</v>
      </c>
      <c r="R6" s="9">
        <v>12</v>
      </c>
      <c r="U6" s="8">
        <v>5</v>
      </c>
      <c r="V6" s="4" t="s">
        <v>37</v>
      </c>
      <c r="W6" s="4">
        <v>3.7</v>
      </c>
      <c r="X6" s="4">
        <v>8.67</v>
      </c>
      <c r="Y6" s="4">
        <v>3</v>
      </c>
      <c r="Z6" s="4">
        <v>3.26</v>
      </c>
      <c r="AA6" s="4">
        <v>4.25</v>
      </c>
      <c r="AB6" s="9">
        <v>3.38</v>
      </c>
    </row>
    <row r="7" spans="1:28" x14ac:dyDescent="0.3">
      <c r="A7" s="8">
        <v>6</v>
      </c>
      <c r="B7" s="4" t="s">
        <v>41</v>
      </c>
      <c r="C7" s="4">
        <v>14.04</v>
      </c>
      <c r="D7" s="4">
        <v>13</v>
      </c>
      <c r="E7" s="4">
        <v>17</v>
      </c>
      <c r="F7" s="4">
        <v>13</v>
      </c>
      <c r="G7" s="4">
        <v>15.13</v>
      </c>
      <c r="H7" s="9">
        <v>13.18</v>
      </c>
      <c r="K7" s="8">
        <v>6</v>
      </c>
      <c r="L7" s="4" t="s">
        <v>46</v>
      </c>
      <c r="M7" s="4">
        <v>43</v>
      </c>
      <c r="N7" s="4">
        <v>7</v>
      </c>
      <c r="O7" s="4">
        <v>3</v>
      </c>
      <c r="P7" s="4">
        <v>12</v>
      </c>
      <c r="Q7" s="4">
        <v>31</v>
      </c>
      <c r="R7" s="9">
        <v>-14</v>
      </c>
      <c r="U7" s="8">
        <v>6</v>
      </c>
      <c r="V7" s="4" t="s">
        <v>41</v>
      </c>
      <c r="W7" s="4">
        <v>3.77</v>
      </c>
      <c r="X7" s="4">
        <v>4.33</v>
      </c>
      <c r="Y7" s="4">
        <v>3</v>
      </c>
      <c r="Z7" s="4">
        <v>4.4000000000000004</v>
      </c>
      <c r="AA7" s="4">
        <v>3.08</v>
      </c>
      <c r="AB7" s="9">
        <v>4.66</v>
      </c>
    </row>
    <row r="8" spans="1:28" x14ac:dyDescent="0.3">
      <c r="A8" s="8">
        <v>7</v>
      </c>
      <c r="B8" s="4" t="s">
        <v>59</v>
      </c>
      <c r="C8" s="4">
        <v>14.06</v>
      </c>
      <c r="D8" s="4">
        <v>13</v>
      </c>
      <c r="E8" s="4">
        <v>9</v>
      </c>
      <c r="F8" s="4">
        <v>14.52</v>
      </c>
      <c r="G8" s="4">
        <v>13.58</v>
      </c>
      <c r="H8" s="9">
        <v>13.89</v>
      </c>
      <c r="K8" s="8">
        <v>7</v>
      </c>
      <c r="L8" s="4" t="s">
        <v>59</v>
      </c>
      <c r="M8" s="4">
        <v>38</v>
      </c>
      <c r="N8" s="4">
        <v>0</v>
      </c>
      <c r="O8" s="4">
        <v>-4</v>
      </c>
      <c r="P8" s="4">
        <v>17</v>
      </c>
      <c r="Q8" s="4">
        <v>21</v>
      </c>
      <c r="R8" s="9">
        <v>236</v>
      </c>
      <c r="U8" s="8">
        <v>7</v>
      </c>
      <c r="V8" s="4" t="s">
        <v>45</v>
      </c>
      <c r="W8" s="4">
        <v>3.77</v>
      </c>
      <c r="X8" s="4">
        <v>3.12</v>
      </c>
      <c r="Y8" s="4">
        <v>2</v>
      </c>
      <c r="Z8" s="4">
        <v>4.1100000000000003</v>
      </c>
      <c r="AA8" s="4">
        <v>3.44</v>
      </c>
      <c r="AB8" s="9">
        <v>4.21</v>
      </c>
    </row>
    <row r="9" spans="1:28" x14ac:dyDescent="0.3">
      <c r="A9" s="8">
        <v>8</v>
      </c>
      <c r="B9" s="4" t="s">
        <v>40</v>
      </c>
      <c r="C9" s="4">
        <v>14.08</v>
      </c>
      <c r="D9" s="4">
        <v>13.33</v>
      </c>
      <c r="E9" s="4">
        <v>15</v>
      </c>
      <c r="F9" s="4">
        <v>14</v>
      </c>
      <c r="G9" s="4">
        <v>14.16</v>
      </c>
      <c r="H9" s="9">
        <v>14.73</v>
      </c>
      <c r="K9" s="8">
        <v>8</v>
      </c>
      <c r="L9" s="4" t="s">
        <v>57</v>
      </c>
      <c r="M9" s="4">
        <v>33</v>
      </c>
      <c r="N9" s="4">
        <v>15</v>
      </c>
      <c r="O9" s="4">
        <v>5</v>
      </c>
      <c r="P9" s="4">
        <v>22</v>
      </c>
      <c r="Q9" s="4">
        <v>11</v>
      </c>
      <c r="R9" s="9">
        <v>68</v>
      </c>
      <c r="U9" s="8">
        <v>8</v>
      </c>
      <c r="V9" s="4" t="s">
        <v>48</v>
      </c>
      <c r="W9" s="4">
        <v>3.77</v>
      </c>
      <c r="X9" s="4">
        <v>4.5</v>
      </c>
      <c r="Y9" s="4">
        <v>8</v>
      </c>
      <c r="Z9" s="4">
        <v>3.74</v>
      </c>
      <c r="AA9" s="4">
        <v>3.81</v>
      </c>
      <c r="AB9" s="9">
        <v>3.31</v>
      </c>
    </row>
    <row r="10" spans="1:28" x14ac:dyDescent="0.3">
      <c r="A10" s="8">
        <v>9</v>
      </c>
      <c r="B10" s="4" t="s">
        <v>58</v>
      </c>
      <c r="C10" s="4">
        <v>14.2</v>
      </c>
      <c r="D10" s="4">
        <v>18.329999999999998</v>
      </c>
      <c r="E10" s="4">
        <v>16</v>
      </c>
      <c r="F10" s="4">
        <v>14.24</v>
      </c>
      <c r="G10" s="4">
        <v>14.16</v>
      </c>
      <c r="H10" s="9">
        <v>13.59</v>
      </c>
      <c r="K10" s="8">
        <v>9</v>
      </c>
      <c r="L10" s="4" t="s">
        <v>48</v>
      </c>
      <c r="M10" s="4">
        <v>29</v>
      </c>
      <c r="N10" s="4">
        <v>1</v>
      </c>
      <c r="O10" s="4">
        <v>-3</v>
      </c>
      <c r="P10" s="4">
        <v>21</v>
      </c>
      <c r="Q10" s="4">
        <v>8</v>
      </c>
      <c r="R10" s="9">
        <v>237</v>
      </c>
      <c r="U10" s="8">
        <v>9</v>
      </c>
      <c r="V10" s="4" t="s">
        <v>44</v>
      </c>
      <c r="W10" s="4">
        <v>3.86</v>
      </c>
      <c r="X10" s="4">
        <v>3</v>
      </c>
      <c r="Y10" s="4">
        <v>6</v>
      </c>
      <c r="Z10" s="4">
        <v>3.58</v>
      </c>
      <c r="AA10" s="4">
        <v>4.1399999999999997</v>
      </c>
      <c r="AB10" s="9">
        <v>3.43</v>
      </c>
    </row>
    <row r="11" spans="1:28" x14ac:dyDescent="0.3">
      <c r="A11" s="8">
        <v>10</v>
      </c>
      <c r="B11" s="4" t="s">
        <v>55</v>
      </c>
      <c r="C11" s="4">
        <v>14.26</v>
      </c>
      <c r="D11" s="4">
        <v>21.33</v>
      </c>
      <c r="E11" s="4">
        <v>24</v>
      </c>
      <c r="F11" s="4">
        <v>15.04</v>
      </c>
      <c r="G11" s="4">
        <v>13.54</v>
      </c>
      <c r="H11" s="9">
        <v>13.57</v>
      </c>
      <c r="K11" s="8">
        <v>10</v>
      </c>
      <c r="L11" s="4" t="s">
        <v>50</v>
      </c>
      <c r="M11" s="4">
        <v>28</v>
      </c>
      <c r="N11" s="4">
        <v>6</v>
      </c>
      <c r="O11" s="4">
        <v>2</v>
      </c>
      <c r="P11" s="4">
        <v>24</v>
      </c>
      <c r="Q11" s="4">
        <v>4</v>
      </c>
      <c r="R11" s="9">
        <v>-74</v>
      </c>
      <c r="U11" s="8">
        <v>10</v>
      </c>
      <c r="V11" s="4" t="s">
        <v>49</v>
      </c>
      <c r="W11" s="4">
        <v>3.93</v>
      </c>
      <c r="X11" s="4">
        <v>2.77</v>
      </c>
      <c r="Y11" s="4">
        <v>4.5</v>
      </c>
      <c r="Z11" s="4">
        <v>3.39</v>
      </c>
      <c r="AA11" s="4">
        <v>4.53</v>
      </c>
      <c r="AB11" s="9">
        <v>3.81</v>
      </c>
    </row>
    <row r="12" spans="1:28" x14ac:dyDescent="0.3">
      <c r="A12" s="8">
        <v>11</v>
      </c>
      <c r="B12" s="4" t="s">
        <v>44</v>
      </c>
      <c r="C12" s="4">
        <v>14.31</v>
      </c>
      <c r="D12" s="4">
        <v>8.33</v>
      </c>
      <c r="E12" s="4">
        <v>7</v>
      </c>
      <c r="F12" s="4">
        <v>13.83</v>
      </c>
      <c r="G12" s="4">
        <v>14.76</v>
      </c>
      <c r="H12" s="9">
        <v>15.18</v>
      </c>
      <c r="K12" s="8">
        <v>11</v>
      </c>
      <c r="L12" s="4" t="s">
        <v>47</v>
      </c>
      <c r="M12" s="4">
        <v>20</v>
      </c>
      <c r="N12" s="4">
        <v>13</v>
      </c>
      <c r="O12" s="4">
        <v>-4</v>
      </c>
      <c r="P12" s="4">
        <v>14</v>
      </c>
      <c r="Q12" s="4">
        <v>6</v>
      </c>
      <c r="R12" s="9">
        <v>91</v>
      </c>
      <c r="U12" s="8">
        <v>11</v>
      </c>
      <c r="V12" s="4" t="s">
        <v>47</v>
      </c>
      <c r="W12" s="4">
        <v>3.99</v>
      </c>
      <c r="X12" s="4">
        <v>3.6</v>
      </c>
      <c r="Y12" s="4">
        <v>7.88</v>
      </c>
      <c r="Z12" s="4">
        <v>3.2</v>
      </c>
      <c r="AA12" s="4">
        <v>4.66</v>
      </c>
      <c r="AB12" s="9">
        <v>3.93</v>
      </c>
    </row>
    <row r="13" spans="1:28" x14ac:dyDescent="0.3">
      <c r="A13" s="8">
        <v>12</v>
      </c>
      <c r="B13" s="4" t="s">
        <v>57</v>
      </c>
      <c r="C13" s="4">
        <v>14.39</v>
      </c>
      <c r="D13" s="4">
        <v>16.670000000000002</v>
      </c>
      <c r="E13" s="4">
        <v>22</v>
      </c>
      <c r="F13" s="4">
        <v>14.04</v>
      </c>
      <c r="G13" s="4">
        <v>14.75</v>
      </c>
      <c r="H13" s="9">
        <v>14.04</v>
      </c>
      <c r="K13" s="8">
        <v>12</v>
      </c>
      <c r="L13" s="4" t="s">
        <v>43</v>
      </c>
      <c r="M13" s="4">
        <v>16</v>
      </c>
      <c r="N13" s="4">
        <v>9</v>
      </c>
      <c r="O13" s="4">
        <v>4</v>
      </c>
      <c r="P13" s="4">
        <v>4</v>
      </c>
      <c r="Q13" s="4">
        <v>12</v>
      </c>
      <c r="R13" s="9">
        <v>-45</v>
      </c>
      <c r="U13" s="8">
        <v>12</v>
      </c>
      <c r="V13" s="4" t="s">
        <v>38</v>
      </c>
      <c r="W13" s="4">
        <v>4.05</v>
      </c>
      <c r="X13" s="4">
        <v>4</v>
      </c>
      <c r="Y13" s="4">
        <v>0</v>
      </c>
      <c r="Z13" s="4">
        <v>3.75</v>
      </c>
      <c r="AA13" s="4">
        <v>4.3499999999999996</v>
      </c>
      <c r="AB13" s="9">
        <v>3.83</v>
      </c>
    </row>
    <row r="14" spans="1:28" x14ac:dyDescent="0.3">
      <c r="A14" s="8">
        <v>13</v>
      </c>
      <c r="B14" s="4" t="s">
        <v>42</v>
      </c>
      <c r="C14" s="4">
        <v>14.41</v>
      </c>
      <c r="D14" s="4">
        <v>17</v>
      </c>
      <c r="E14" s="4">
        <v>23</v>
      </c>
      <c r="F14" s="4">
        <v>14.33</v>
      </c>
      <c r="G14" s="4">
        <v>14.48</v>
      </c>
      <c r="H14" s="9">
        <v>15.22</v>
      </c>
      <c r="K14" s="8">
        <v>13</v>
      </c>
      <c r="L14" s="4" t="s">
        <v>55</v>
      </c>
      <c r="M14" s="4">
        <v>15</v>
      </c>
      <c r="N14" s="4">
        <v>3</v>
      </c>
      <c r="O14" s="4">
        <v>-1</v>
      </c>
      <c r="P14" s="4">
        <v>19</v>
      </c>
      <c r="Q14" s="4">
        <v>-4</v>
      </c>
      <c r="R14" s="9">
        <v>-38</v>
      </c>
      <c r="U14" s="8">
        <v>13</v>
      </c>
      <c r="V14" s="4" t="s">
        <v>50</v>
      </c>
      <c r="W14" s="4">
        <v>4.08</v>
      </c>
      <c r="X14" s="4">
        <v>2.08</v>
      </c>
      <c r="Y14" s="4">
        <v>2</v>
      </c>
      <c r="Z14" s="4">
        <v>3.53</v>
      </c>
      <c r="AA14" s="4">
        <v>4.68</v>
      </c>
      <c r="AB14" s="9">
        <v>4</v>
      </c>
    </row>
    <row r="15" spans="1:28" x14ac:dyDescent="0.3">
      <c r="A15" s="8">
        <v>14</v>
      </c>
      <c r="B15" s="4" t="s">
        <v>56</v>
      </c>
      <c r="C15" s="4">
        <v>14.42</v>
      </c>
      <c r="D15" s="4">
        <v>10</v>
      </c>
      <c r="E15" s="4">
        <v>8</v>
      </c>
      <c r="F15" s="4">
        <v>14.2</v>
      </c>
      <c r="G15" s="4">
        <v>14.64</v>
      </c>
      <c r="H15" s="9">
        <v>14.85</v>
      </c>
      <c r="K15" s="8">
        <v>14</v>
      </c>
      <c r="L15" s="4" t="s">
        <v>41</v>
      </c>
      <c r="M15" s="4">
        <v>13</v>
      </c>
      <c r="N15" s="4">
        <v>-4</v>
      </c>
      <c r="O15" s="4">
        <v>-1</v>
      </c>
      <c r="P15" s="4">
        <v>-22</v>
      </c>
      <c r="Q15" s="4">
        <v>35</v>
      </c>
      <c r="R15" s="9">
        <v>-226</v>
      </c>
      <c r="U15" s="8">
        <v>14</v>
      </c>
      <c r="V15" s="4" t="s">
        <v>46</v>
      </c>
      <c r="W15" s="4">
        <v>4.09</v>
      </c>
      <c r="X15" s="4">
        <v>3.94</v>
      </c>
      <c r="Y15" s="4">
        <v>6</v>
      </c>
      <c r="Z15" s="4">
        <v>3.76</v>
      </c>
      <c r="AA15" s="4">
        <v>4.37</v>
      </c>
      <c r="AB15" s="9">
        <v>3.97</v>
      </c>
    </row>
    <row r="16" spans="1:28" x14ac:dyDescent="0.3">
      <c r="A16" s="8">
        <v>15</v>
      </c>
      <c r="B16" s="4" t="s">
        <v>51</v>
      </c>
      <c r="C16" s="4">
        <v>14.46</v>
      </c>
      <c r="D16" s="4">
        <v>9.33</v>
      </c>
      <c r="E16" s="4">
        <v>5</v>
      </c>
      <c r="F16" s="4">
        <v>14.95</v>
      </c>
      <c r="G16" s="4">
        <v>14.1</v>
      </c>
      <c r="H16" s="9">
        <v>15.47</v>
      </c>
      <c r="K16" s="8">
        <v>14</v>
      </c>
      <c r="L16" s="4" t="s">
        <v>61</v>
      </c>
      <c r="M16" s="4">
        <v>13</v>
      </c>
      <c r="N16" s="4">
        <v>-5</v>
      </c>
      <c r="O16" s="4">
        <v>-7</v>
      </c>
      <c r="P16" s="4">
        <v>20</v>
      </c>
      <c r="Q16" s="4">
        <v>-7</v>
      </c>
      <c r="R16" s="9">
        <v>130</v>
      </c>
      <c r="U16" s="8">
        <v>15</v>
      </c>
      <c r="V16" s="4" t="s">
        <v>53</v>
      </c>
      <c r="W16" s="4">
        <v>4.17</v>
      </c>
      <c r="X16" s="4">
        <v>2.77</v>
      </c>
      <c r="Y16" s="4">
        <v>4.5</v>
      </c>
      <c r="Z16" s="4">
        <v>3.92</v>
      </c>
      <c r="AA16" s="4">
        <v>4.46</v>
      </c>
      <c r="AB16" s="9">
        <v>3.85</v>
      </c>
    </row>
    <row r="17" spans="1:28" x14ac:dyDescent="0.3">
      <c r="A17" s="8">
        <v>16</v>
      </c>
      <c r="B17" s="4" t="s">
        <v>54</v>
      </c>
      <c r="C17" s="4">
        <v>14.5</v>
      </c>
      <c r="D17" s="4">
        <v>10.33</v>
      </c>
      <c r="E17" s="4">
        <v>16</v>
      </c>
      <c r="F17" s="4">
        <v>16.420000000000002</v>
      </c>
      <c r="G17" s="4">
        <v>12.42</v>
      </c>
      <c r="H17" s="9">
        <v>15.34</v>
      </c>
      <c r="K17" s="8">
        <v>16</v>
      </c>
      <c r="L17" s="4" t="s">
        <v>54</v>
      </c>
      <c r="M17" s="4">
        <v>7</v>
      </c>
      <c r="N17" s="4">
        <v>-9</v>
      </c>
      <c r="O17" s="4">
        <v>-4</v>
      </c>
      <c r="P17" s="4">
        <v>13</v>
      </c>
      <c r="Q17" s="4">
        <v>-6</v>
      </c>
      <c r="R17" s="9">
        <v>-52</v>
      </c>
      <c r="U17" s="8">
        <v>16</v>
      </c>
      <c r="V17" s="4" t="s">
        <v>43</v>
      </c>
      <c r="W17" s="4">
        <v>4.1900000000000004</v>
      </c>
      <c r="X17" s="4">
        <v>1.33</v>
      </c>
      <c r="Y17" s="4">
        <v>3</v>
      </c>
      <c r="Z17" s="4">
        <v>4.42</v>
      </c>
      <c r="AA17" s="4">
        <v>3.96</v>
      </c>
      <c r="AB17" s="9">
        <v>3.77</v>
      </c>
    </row>
    <row r="18" spans="1:28" x14ac:dyDescent="0.3">
      <c r="A18" s="8">
        <v>17</v>
      </c>
      <c r="B18" s="4" t="s">
        <v>62</v>
      </c>
      <c r="C18" s="4">
        <v>14.51</v>
      </c>
      <c r="D18" s="4">
        <v>10.67</v>
      </c>
      <c r="E18" s="4">
        <v>16</v>
      </c>
      <c r="F18" s="4">
        <v>14.32</v>
      </c>
      <c r="G18" s="4">
        <v>14.69</v>
      </c>
      <c r="H18" s="9">
        <v>12.65</v>
      </c>
      <c r="K18" s="8">
        <v>17</v>
      </c>
      <c r="L18" s="4" t="s">
        <v>38</v>
      </c>
      <c r="M18" s="4">
        <v>-2</v>
      </c>
      <c r="N18" s="4">
        <v>0</v>
      </c>
      <c r="O18" s="4">
        <v>4</v>
      </c>
      <c r="P18" s="4">
        <v>19</v>
      </c>
      <c r="Q18" s="4">
        <v>-21</v>
      </c>
      <c r="R18" s="9">
        <v>37</v>
      </c>
      <c r="U18" s="8">
        <v>17</v>
      </c>
      <c r="V18" s="4" t="s">
        <v>42</v>
      </c>
      <c r="W18" s="4">
        <v>4.25</v>
      </c>
      <c r="X18" s="4">
        <v>3.71</v>
      </c>
      <c r="Y18" s="4">
        <v>4.1500000000000004</v>
      </c>
      <c r="Z18" s="4">
        <v>2.92</v>
      </c>
      <c r="AA18" s="4">
        <v>5.52</v>
      </c>
      <c r="AB18" s="9">
        <v>2.82</v>
      </c>
    </row>
    <row r="19" spans="1:28" x14ac:dyDescent="0.3">
      <c r="A19" s="8">
        <v>18</v>
      </c>
      <c r="B19" s="4" t="s">
        <v>39</v>
      </c>
      <c r="C19" s="4">
        <v>14.53</v>
      </c>
      <c r="D19" s="4">
        <v>10</v>
      </c>
      <c r="E19" s="4">
        <v>6</v>
      </c>
      <c r="F19" s="4">
        <v>15.52</v>
      </c>
      <c r="G19" s="4">
        <v>13.5</v>
      </c>
      <c r="H19" s="9">
        <v>13.41</v>
      </c>
      <c r="K19" s="8">
        <v>18</v>
      </c>
      <c r="L19" s="4" t="s">
        <v>49</v>
      </c>
      <c r="M19" s="4">
        <v>-7</v>
      </c>
      <c r="N19" s="4">
        <v>8</v>
      </c>
      <c r="O19" s="4">
        <v>-2</v>
      </c>
      <c r="P19" s="4">
        <v>-4</v>
      </c>
      <c r="Q19" s="4">
        <v>-3</v>
      </c>
      <c r="R19" s="9">
        <v>50</v>
      </c>
      <c r="U19" s="8">
        <v>18</v>
      </c>
      <c r="V19" s="4" t="s">
        <v>66</v>
      </c>
      <c r="W19" s="4">
        <v>4.37</v>
      </c>
      <c r="X19" s="4">
        <v>4.33</v>
      </c>
      <c r="Y19" s="4">
        <v>3</v>
      </c>
      <c r="Z19" s="4">
        <v>4.5199999999999996</v>
      </c>
      <c r="AA19" s="4">
        <v>4.1900000000000004</v>
      </c>
      <c r="AB19" s="9">
        <v>5</v>
      </c>
    </row>
    <row r="20" spans="1:28" x14ac:dyDescent="0.3">
      <c r="A20" s="8">
        <v>19</v>
      </c>
      <c r="B20" s="4" t="s">
        <v>43</v>
      </c>
      <c r="C20" s="4">
        <v>14.55</v>
      </c>
      <c r="D20" s="4">
        <v>9.33</v>
      </c>
      <c r="E20" s="4">
        <v>6</v>
      </c>
      <c r="F20" s="4">
        <v>13.68</v>
      </c>
      <c r="G20" s="4">
        <v>15.38</v>
      </c>
      <c r="H20" s="9">
        <v>13.57</v>
      </c>
      <c r="K20" s="8">
        <v>19</v>
      </c>
      <c r="L20" s="4" t="s">
        <v>53</v>
      </c>
      <c r="M20" s="4">
        <v>-20</v>
      </c>
      <c r="N20" s="4">
        <v>-2</v>
      </c>
      <c r="O20" s="4">
        <v>-6</v>
      </c>
      <c r="P20" s="4">
        <v>-10</v>
      </c>
      <c r="Q20" s="4">
        <v>-10</v>
      </c>
      <c r="R20" s="9">
        <v>19</v>
      </c>
      <c r="U20" s="8">
        <v>19</v>
      </c>
      <c r="V20" s="4" t="s">
        <v>58</v>
      </c>
      <c r="W20" s="4">
        <v>4.38</v>
      </c>
      <c r="X20" s="4">
        <v>3.96</v>
      </c>
      <c r="Y20" s="4">
        <v>2</v>
      </c>
      <c r="Z20" s="4">
        <v>4.04</v>
      </c>
      <c r="AA20" s="4">
        <v>4.7300000000000004</v>
      </c>
      <c r="AB20" s="9">
        <v>3.87</v>
      </c>
    </row>
    <row r="21" spans="1:28" x14ac:dyDescent="0.3">
      <c r="A21" s="8">
        <v>20</v>
      </c>
      <c r="B21" s="4" t="s">
        <v>52</v>
      </c>
      <c r="C21" s="4">
        <v>14.55</v>
      </c>
      <c r="D21" s="4">
        <v>14.67</v>
      </c>
      <c r="E21" s="4">
        <v>17</v>
      </c>
      <c r="F21" s="4">
        <v>13.3</v>
      </c>
      <c r="G21" s="4">
        <v>16.09</v>
      </c>
      <c r="H21" s="9">
        <v>13.44</v>
      </c>
      <c r="K21" s="8">
        <v>20</v>
      </c>
      <c r="L21" s="4" t="s">
        <v>51</v>
      </c>
      <c r="M21" s="4">
        <v>-21</v>
      </c>
      <c r="N21" s="4">
        <v>-6</v>
      </c>
      <c r="O21" s="4">
        <v>-2</v>
      </c>
      <c r="P21" s="4">
        <v>-7</v>
      </c>
      <c r="Q21" s="4">
        <v>-14</v>
      </c>
      <c r="R21" s="9">
        <v>158</v>
      </c>
      <c r="U21" s="8">
        <v>20</v>
      </c>
      <c r="V21" s="4" t="s">
        <v>61</v>
      </c>
      <c r="W21" s="4">
        <v>4.4000000000000004</v>
      </c>
      <c r="X21" s="4">
        <v>6.84</v>
      </c>
      <c r="Y21" s="4">
        <v>11.25</v>
      </c>
      <c r="Z21" s="4">
        <v>4.41</v>
      </c>
      <c r="AA21" s="4">
        <v>4.3899999999999997</v>
      </c>
      <c r="AB21" s="9">
        <v>3.79</v>
      </c>
    </row>
    <row r="22" spans="1:28" x14ac:dyDescent="0.3">
      <c r="A22" s="8">
        <v>21</v>
      </c>
      <c r="B22" s="4" t="s">
        <v>63</v>
      </c>
      <c r="C22" s="4">
        <v>14.63</v>
      </c>
      <c r="D22" s="4">
        <v>13.33</v>
      </c>
      <c r="E22" s="4">
        <v>13</v>
      </c>
      <c r="F22" s="4">
        <v>14.25</v>
      </c>
      <c r="G22" s="4">
        <v>15</v>
      </c>
      <c r="H22" s="9">
        <v>13.75</v>
      </c>
      <c r="K22" s="8">
        <v>21</v>
      </c>
      <c r="L22" s="4" t="s">
        <v>66</v>
      </c>
      <c r="M22" s="4">
        <v>-22</v>
      </c>
      <c r="N22" s="4">
        <v>1</v>
      </c>
      <c r="O22" s="4">
        <v>2</v>
      </c>
      <c r="P22" s="4">
        <v>-37</v>
      </c>
      <c r="Q22" s="4">
        <v>15</v>
      </c>
      <c r="R22" s="9">
        <v>-252</v>
      </c>
      <c r="U22" s="8">
        <v>21</v>
      </c>
      <c r="V22" s="4" t="s">
        <v>64</v>
      </c>
      <c r="W22" s="4">
        <v>4.4000000000000004</v>
      </c>
      <c r="X22" s="4">
        <v>3.67</v>
      </c>
      <c r="Y22" s="4">
        <v>4</v>
      </c>
      <c r="Z22" s="4">
        <v>4.3499999999999996</v>
      </c>
      <c r="AA22" s="4">
        <v>4.4400000000000004</v>
      </c>
      <c r="AB22" s="9">
        <v>4.0599999999999996</v>
      </c>
    </row>
    <row r="23" spans="1:28" x14ac:dyDescent="0.3">
      <c r="A23" s="8">
        <v>22</v>
      </c>
      <c r="B23" s="4" t="s">
        <v>45</v>
      </c>
      <c r="C23" s="4">
        <v>14.67</v>
      </c>
      <c r="D23" s="4">
        <v>14</v>
      </c>
      <c r="E23" s="4">
        <v>22</v>
      </c>
      <c r="F23" s="4">
        <v>13.67</v>
      </c>
      <c r="G23" s="4">
        <v>15.64</v>
      </c>
      <c r="H23" s="9">
        <v>13.26</v>
      </c>
      <c r="K23" s="8">
        <v>22</v>
      </c>
      <c r="L23" s="4" t="s">
        <v>63</v>
      </c>
      <c r="M23" s="4">
        <v>-31</v>
      </c>
      <c r="N23" s="4">
        <v>-3</v>
      </c>
      <c r="O23" s="4">
        <v>1</v>
      </c>
      <c r="P23" s="4">
        <v>15</v>
      </c>
      <c r="Q23" s="4">
        <v>-46</v>
      </c>
      <c r="R23" s="9">
        <v>80</v>
      </c>
      <c r="U23" s="8">
        <v>22</v>
      </c>
      <c r="V23" s="4" t="s">
        <v>55</v>
      </c>
      <c r="W23" s="4">
        <v>4.49</v>
      </c>
      <c r="X23" s="4">
        <v>3.33</v>
      </c>
      <c r="Y23" s="4">
        <v>4</v>
      </c>
      <c r="Z23" s="4">
        <v>4</v>
      </c>
      <c r="AA23" s="4">
        <v>4.95</v>
      </c>
      <c r="AB23" s="9">
        <v>4.25</v>
      </c>
    </row>
    <row r="24" spans="1:28" x14ac:dyDescent="0.3">
      <c r="A24" s="8">
        <v>23</v>
      </c>
      <c r="B24" s="4" t="s">
        <v>49</v>
      </c>
      <c r="C24" s="4">
        <v>14.71</v>
      </c>
      <c r="D24" s="4">
        <v>13.33</v>
      </c>
      <c r="E24" s="4">
        <v>7</v>
      </c>
      <c r="F24" s="4">
        <v>15.32</v>
      </c>
      <c r="G24" s="4">
        <v>14.08</v>
      </c>
      <c r="H24" s="9">
        <v>14.78</v>
      </c>
      <c r="K24" s="8">
        <v>23</v>
      </c>
      <c r="L24" s="4" t="s">
        <v>52</v>
      </c>
      <c r="M24" s="4">
        <v>-38</v>
      </c>
      <c r="N24" s="4">
        <v>5</v>
      </c>
      <c r="O24" s="4">
        <v>7</v>
      </c>
      <c r="P24" s="4">
        <v>-19</v>
      </c>
      <c r="Q24" s="4">
        <v>-19</v>
      </c>
      <c r="R24" s="9">
        <v>-167</v>
      </c>
      <c r="U24" s="8">
        <v>23</v>
      </c>
      <c r="V24" s="4" t="s">
        <v>63</v>
      </c>
      <c r="W24" s="4">
        <v>4.54</v>
      </c>
      <c r="X24" s="4">
        <v>4.18</v>
      </c>
      <c r="Y24" s="4">
        <v>4.5</v>
      </c>
      <c r="Z24" s="4">
        <v>3.49</v>
      </c>
      <c r="AA24" s="4">
        <v>5.63</v>
      </c>
      <c r="AB24" s="9">
        <v>3.9</v>
      </c>
    </row>
    <row r="25" spans="1:28" x14ac:dyDescent="0.3">
      <c r="A25" s="8">
        <v>24</v>
      </c>
      <c r="B25" s="4" t="s">
        <v>46</v>
      </c>
      <c r="C25" s="4">
        <v>14.73</v>
      </c>
      <c r="D25" s="4">
        <v>13.67</v>
      </c>
      <c r="E25" s="4">
        <v>5</v>
      </c>
      <c r="F25" s="4">
        <v>13.04</v>
      </c>
      <c r="G25" s="4">
        <v>16.23</v>
      </c>
      <c r="H25" s="9">
        <v>14.14</v>
      </c>
      <c r="K25" s="8">
        <v>24</v>
      </c>
      <c r="L25" s="4" t="s">
        <v>44</v>
      </c>
      <c r="M25" s="4">
        <v>-39</v>
      </c>
      <c r="N25" s="4">
        <v>-5</v>
      </c>
      <c r="O25" s="4">
        <v>-6</v>
      </c>
      <c r="P25" s="4">
        <v>-30</v>
      </c>
      <c r="Q25" s="4">
        <v>-9</v>
      </c>
      <c r="R25" s="9">
        <v>60</v>
      </c>
      <c r="U25" s="8">
        <v>24</v>
      </c>
      <c r="V25" s="4" t="s">
        <v>51</v>
      </c>
      <c r="W25" s="4">
        <v>4.7</v>
      </c>
      <c r="X25" s="4">
        <v>3.6</v>
      </c>
      <c r="Y25" s="4">
        <v>4.5</v>
      </c>
      <c r="Z25" s="4">
        <v>4.67</v>
      </c>
      <c r="AA25" s="4">
        <v>4.72</v>
      </c>
      <c r="AB25" s="9">
        <v>3.62</v>
      </c>
    </row>
    <row r="26" spans="1:28" x14ac:dyDescent="0.3">
      <c r="A26" s="8">
        <v>25</v>
      </c>
      <c r="B26" s="4" t="s">
        <v>66</v>
      </c>
      <c r="C26" s="4">
        <v>15.12</v>
      </c>
      <c r="D26" s="4">
        <v>17</v>
      </c>
      <c r="E26" s="4">
        <v>14</v>
      </c>
      <c r="F26" s="4">
        <v>15.22</v>
      </c>
      <c r="G26" s="4">
        <v>15</v>
      </c>
      <c r="H26" s="9">
        <v>14.22</v>
      </c>
      <c r="K26" s="8">
        <v>25</v>
      </c>
      <c r="L26" s="4" t="s">
        <v>58</v>
      </c>
      <c r="M26" s="4">
        <v>-49</v>
      </c>
      <c r="N26" s="4">
        <v>5</v>
      </c>
      <c r="O26" s="4">
        <v>8</v>
      </c>
      <c r="P26" s="4">
        <v>-27</v>
      </c>
      <c r="Q26" s="4">
        <v>-22</v>
      </c>
      <c r="R26" s="9">
        <v>-90</v>
      </c>
      <c r="U26" s="8">
        <v>25</v>
      </c>
      <c r="V26" s="4" t="s">
        <v>60</v>
      </c>
      <c r="W26" s="4">
        <v>4.8</v>
      </c>
      <c r="X26" s="4">
        <v>1.73</v>
      </c>
      <c r="Y26" s="4">
        <v>0</v>
      </c>
      <c r="Z26" s="4">
        <v>4.7</v>
      </c>
      <c r="AA26" s="4">
        <v>4.92</v>
      </c>
      <c r="AB26" s="9">
        <v>3.92</v>
      </c>
    </row>
    <row r="27" spans="1:28" x14ac:dyDescent="0.3">
      <c r="A27" s="8">
        <v>26</v>
      </c>
      <c r="B27" s="4" t="s">
        <v>61</v>
      </c>
      <c r="C27" s="4">
        <v>15.37</v>
      </c>
      <c r="D27" s="4">
        <v>18.670000000000002</v>
      </c>
      <c r="E27" s="4">
        <v>21</v>
      </c>
      <c r="F27" s="4">
        <v>15.38</v>
      </c>
      <c r="G27" s="4">
        <v>15.36</v>
      </c>
      <c r="H27" s="9">
        <v>14.25</v>
      </c>
      <c r="K27" s="8">
        <v>25</v>
      </c>
      <c r="L27" s="4" t="s">
        <v>60</v>
      </c>
      <c r="M27" s="4">
        <v>-49</v>
      </c>
      <c r="N27" s="4">
        <v>5</v>
      </c>
      <c r="O27" s="4">
        <v>6</v>
      </c>
      <c r="P27" s="4">
        <v>-27</v>
      </c>
      <c r="Q27" s="4">
        <v>-22</v>
      </c>
      <c r="R27" s="9">
        <v>-31</v>
      </c>
      <c r="U27" s="8">
        <v>26</v>
      </c>
      <c r="V27" s="4" t="s">
        <v>54</v>
      </c>
      <c r="W27" s="4">
        <v>4.82</v>
      </c>
      <c r="X27" s="4">
        <v>4.88</v>
      </c>
      <c r="Y27" s="4">
        <v>7.88</v>
      </c>
      <c r="Z27" s="4">
        <v>5.03</v>
      </c>
      <c r="AA27" s="4">
        <v>4.57</v>
      </c>
      <c r="AB27" s="9">
        <v>4.53</v>
      </c>
    </row>
    <row r="28" spans="1:28" x14ac:dyDescent="0.3">
      <c r="A28" s="8">
        <v>27</v>
      </c>
      <c r="B28" s="4" t="s">
        <v>53</v>
      </c>
      <c r="C28" s="4">
        <v>15.63</v>
      </c>
      <c r="D28" s="4">
        <v>25.67</v>
      </c>
      <c r="E28" s="4">
        <v>38</v>
      </c>
      <c r="F28" s="4">
        <v>14.08</v>
      </c>
      <c r="G28" s="4">
        <v>17.39</v>
      </c>
      <c r="H28" s="9">
        <v>14.43</v>
      </c>
      <c r="K28" s="8">
        <v>25</v>
      </c>
      <c r="L28" s="4" t="s">
        <v>64</v>
      </c>
      <c r="M28" s="4">
        <v>-49</v>
      </c>
      <c r="N28" s="4">
        <v>2</v>
      </c>
      <c r="O28" s="4">
        <v>2</v>
      </c>
      <c r="P28" s="4">
        <v>-19</v>
      </c>
      <c r="Q28" s="4">
        <v>-30</v>
      </c>
      <c r="R28" s="9">
        <v>-156</v>
      </c>
      <c r="U28" s="8">
        <v>27</v>
      </c>
      <c r="V28" s="4" t="s">
        <v>56</v>
      </c>
      <c r="W28" s="4">
        <v>5</v>
      </c>
      <c r="X28" s="4">
        <v>5.67</v>
      </c>
      <c r="Y28" s="4">
        <v>10</v>
      </c>
      <c r="Z28" s="4">
        <v>5.48</v>
      </c>
      <c r="AA28" s="4">
        <v>4.4800000000000004</v>
      </c>
      <c r="AB28" s="9">
        <v>5.08</v>
      </c>
    </row>
    <row r="29" spans="1:28" x14ac:dyDescent="0.3">
      <c r="A29" s="8">
        <v>28</v>
      </c>
      <c r="B29" s="4" t="s">
        <v>50</v>
      </c>
      <c r="C29" s="4">
        <v>15.79</v>
      </c>
      <c r="D29" s="4">
        <v>17.329999999999998</v>
      </c>
      <c r="E29" s="4">
        <v>24</v>
      </c>
      <c r="F29" s="4">
        <v>15.08</v>
      </c>
      <c r="G29" s="4">
        <v>16.5</v>
      </c>
      <c r="H29" s="9">
        <v>14.54</v>
      </c>
      <c r="K29" s="8">
        <v>28</v>
      </c>
      <c r="L29" s="4" t="s">
        <v>56</v>
      </c>
      <c r="M29" s="4">
        <v>-51</v>
      </c>
      <c r="N29" s="4">
        <v>-5</v>
      </c>
      <c r="O29" s="4">
        <v>-8</v>
      </c>
      <c r="P29" s="4">
        <v>-31</v>
      </c>
      <c r="Q29" s="4">
        <v>-20</v>
      </c>
      <c r="R29" s="9">
        <v>-175</v>
      </c>
      <c r="U29" s="8">
        <v>28</v>
      </c>
      <c r="V29" s="4" t="s">
        <v>52</v>
      </c>
      <c r="W29" s="4">
        <v>5.0599999999999996</v>
      </c>
      <c r="X29" s="4">
        <v>4.82</v>
      </c>
      <c r="Y29" s="4">
        <v>3</v>
      </c>
      <c r="Z29" s="4">
        <v>5.25</v>
      </c>
      <c r="AA29" s="4">
        <v>4.8099999999999996</v>
      </c>
      <c r="AB29" s="9">
        <v>4.8600000000000003</v>
      </c>
    </row>
    <row r="30" spans="1:28" x14ac:dyDescent="0.3">
      <c r="A30" s="8">
        <v>29</v>
      </c>
      <c r="B30" s="4" t="s">
        <v>64</v>
      </c>
      <c r="C30" s="4">
        <v>15.81</v>
      </c>
      <c r="D30" s="4">
        <v>19.670000000000002</v>
      </c>
      <c r="E30" s="4">
        <v>13</v>
      </c>
      <c r="F30" s="4">
        <v>15.45</v>
      </c>
      <c r="G30" s="4">
        <v>16.07</v>
      </c>
      <c r="H30" s="9">
        <v>13.2</v>
      </c>
      <c r="K30" s="8">
        <v>29</v>
      </c>
      <c r="L30" s="4" t="s">
        <v>65</v>
      </c>
      <c r="M30" s="4">
        <v>-73</v>
      </c>
      <c r="N30" s="4">
        <v>-2</v>
      </c>
      <c r="O30" s="4">
        <v>-2</v>
      </c>
      <c r="P30" s="4">
        <v>-39</v>
      </c>
      <c r="Q30" s="4">
        <v>-34</v>
      </c>
      <c r="R30" s="9">
        <v>-170</v>
      </c>
      <c r="U30" s="8">
        <v>29</v>
      </c>
      <c r="V30" s="4" t="s">
        <v>65</v>
      </c>
      <c r="W30" s="4">
        <v>5.1100000000000003</v>
      </c>
      <c r="X30" s="4">
        <v>4.5</v>
      </c>
      <c r="Y30" s="4">
        <v>6</v>
      </c>
      <c r="Z30" s="4">
        <v>5.4</v>
      </c>
      <c r="AA30" s="4">
        <v>4.79</v>
      </c>
      <c r="AB30" s="9">
        <v>4.7</v>
      </c>
    </row>
    <row r="31" spans="1:28" ht="15" thickBot="1" x14ac:dyDescent="0.35">
      <c r="A31" s="10">
        <v>30</v>
      </c>
      <c r="B31" s="174" t="s">
        <v>47</v>
      </c>
      <c r="C31" s="174">
        <v>16.46</v>
      </c>
      <c r="D31" s="174">
        <v>13.67</v>
      </c>
      <c r="E31" s="174">
        <v>10</v>
      </c>
      <c r="F31" s="174">
        <v>17</v>
      </c>
      <c r="G31" s="174">
        <v>16.04</v>
      </c>
      <c r="H31" s="11">
        <v>14.64</v>
      </c>
      <c r="K31" s="10">
        <v>30</v>
      </c>
      <c r="L31" s="174" t="s">
        <v>62</v>
      </c>
      <c r="M31" s="174">
        <v>-183</v>
      </c>
      <c r="N31" s="174">
        <v>-15</v>
      </c>
      <c r="O31" s="174">
        <v>-5</v>
      </c>
      <c r="P31" s="174">
        <v>-86</v>
      </c>
      <c r="Q31" s="174">
        <v>-97</v>
      </c>
      <c r="R31" s="11">
        <v>-202</v>
      </c>
      <c r="U31" s="10">
        <v>30</v>
      </c>
      <c r="V31" s="174" t="s">
        <v>62</v>
      </c>
      <c r="W31" s="174">
        <v>6.95</v>
      </c>
      <c r="X31" s="174">
        <v>7.5</v>
      </c>
      <c r="Y31" s="174">
        <v>6.75</v>
      </c>
      <c r="Z31" s="174">
        <v>5.99</v>
      </c>
      <c r="AA31" s="174">
        <v>7.99</v>
      </c>
      <c r="AB31" s="11">
        <v>4.53</v>
      </c>
    </row>
    <row r="32" spans="1:28" ht="15" thickBot="1" x14ac:dyDescent="0.35"/>
    <row r="33" spans="1:28" ht="15" thickBot="1" x14ac:dyDescent="0.35">
      <c r="A33" s="303" t="s">
        <v>985</v>
      </c>
      <c r="B33" s="304"/>
      <c r="C33" s="304"/>
      <c r="D33" s="304"/>
      <c r="E33" s="304"/>
      <c r="F33" s="304"/>
      <c r="G33" s="304"/>
      <c r="H33" s="305"/>
      <c r="K33" s="303" t="s">
        <v>995</v>
      </c>
      <c r="L33" s="304"/>
      <c r="M33" s="304"/>
      <c r="N33" s="304"/>
      <c r="O33" s="304"/>
      <c r="P33" s="304"/>
      <c r="Q33" s="304"/>
      <c r="R33" s="305"/>
      <c r="U33" s="303" t="s">
        <v>997</v>
      </c>
      <c r="V33" s="304"/>
      <c r="W33" s="304"/>
      <c r="X33" s="304"/>
      <c r="Y33" s="304"/>
      <c r="Z33" s="304"/>
      <c r="AA33" s="304"/>
      <c r="AB33" s="305"/>
    </row>
  </sheetData>
  <mergeCells count="3">
    <mergeCell ref="A33:H33"/>
    <mergeCell ref="K33:R33"/>
    <mergeCell ref="U33:AB3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22B6B-91A2-413D-B677-DE541A88692E}">
  <sheetPr codeName="Sheet13">
    <tabColor rgb="FF00B050"/>
  </sheetPr>
  <dimension ref="A1:V73"/>
  <sheetViews>
    <sheetView workbookViewId="0">
      <selection activeCell="I3" sqref="I3"/>
    </sheetView>
  </sheetViews>
  <sheetFormatPr defaultRowHeight="14.4" x14ac:dyDescent="0.3"/>
  <cols>
    <col min="1" max="1" width="7.21875" bestFit="1" customWidth="1"/>
    <col min="2" max="2" width="17.6640625" bestFit="1" customWidth="1"/>
    <col min="3" max="3" width="19.6640625" bestFit="1" customWidth="1"/>
    <col min="4" max="4" width="6.109375" bestFit="1" customWidth="1"/>
    <col min="5" max="5" width="7.77734375" bestFit="1" customWidth="1"/>
    <col min="9" max="9" width="19.6640625" bestFit="1" customWidth="1"/>
    <col min="10" max="10" width="9.88671875" bestFit="1" customWidth="1"/>
    <col min="11" max="11" width="9.33203125" bestFit="1" customWidth="1"/>
    <col min="13" max="13" width="20.77734375" bestFit="1" customWidth="1"/>
    <col min="14" max="15" width="6.5546875" bestFit="1" customWidth="1"/>
    <col min="18" max="18" width="5.109375" bestFit="1" customWidth="1"/>
    <col min="19" max="19" width="17.33203125" bestFit="1" customWidth="1"/>
    <col min="20" max="20" width="20.77734375" bestFit="1" customWidth="1"/>
    <col min="21" max="21" width="4" bestFit="1" customWidth="1"/>
    <col min="22" max="22" width="6" bestFit="1" customWidth="1"/>
  </cols>
  <sheetData>
    <row r="1" spans="1:22" ht="15" thickBot="1" x14ac:dyDescent="0.35">
      <c r="A1" t="s">
        <v>116</v>
      </c>
      <c r="B1" t="s">
        <v>137</v>
      </c>
      <c r="C1" t="s">
        <v>32</v>
      </c>
      <c r="D1" t="s">
        <v>138</v>
      </c>
      <c r="E1" t="s">
        <v>139</v>
      </c>
      <c r="I1" s="306" t="s">
        <v>988</v>
      </c>
      <c r="J1" s="306"/>
      <c r="K1" s="306"/>
      <c r="R1" s="1" t="s">
        <v>116</v>
      </c>
      <c r="S1" s="1" t="s">
        <v>137</v>
      </c>
      <c r="T1" s="1" t="s">
        <v>32</v>
      </c>
      <c r="U1" s="1" t="s">
        <v>138</v>
      </c>
      <c r="V1" s="1" t="s">
        <v>139</v>
      </c>
    </row>
    <row r="2" spans="1:22" x14ac:dyDescent="0.3">
      <c r="A2">
        <v>1</v>
      </c>
      <c r="B2" t="s">
        <v>152</v>
      </c>
      <c r="C2" t="s">
        <v>27</v>
      </c>
      <c r="D2" t="s">
        <v>141</v>
      </c>
      <c r="E2">
        <v>1.93</v>
      </c>
      <c r="I2" s="88" t="s">
        <v>977</v>
      </c>
      <c r="J2" t="s">
        <v>986</v>
      </c>
      <c r="K2" t="s">
        <v>987</v>
      </c>
      <c r="M2" s="94" t="s">
        <v>981</v>
      </c>
      <c r="N2" s="23" t="s">
        <v>139</v>
      </c>
      <c r="O2" s="24" t="s">
        <v>116</v>
      </c>
      <c r="R2" s="1">
        <v>45</v>
      </c>
      <c r="S2" s="1" t="s">
        <v>185</v>
      </c>
      <c r="T2" s="1" t="s">
        <v>29</v>
      </c>
      <c r="U2" s="1" t="s">
        <v>141</v>
      </c>
      <c r="V2" s="1">
        <v>4.0599999999999996</v>
      </c>
    </row>
    <row r="3" spans="1:22" x14ac:dyDescent="0.3">
      <c r="A3">
        <v>2</v>
      </c>
      <c r="B3" t="s">
        <v>190</v>
      </c>
      <c r="C3" t="s">
        <v>29</v>
      </c>
      <c r="D3" t="s">
        <v>141</v>
      </c>
      <c r="E3">
        <v>2.02</v>
      </c>
      <c r="I3" s="89" t="s">
        <v>29</v>
      </c>
      <c r="J3" s="91">
        <v>3.3433333333333333</v>
      </c>
      <c r="K3" s="91">
        <v>26.666666666666668</v>
      </c>
      <c r="M3" s="93" t="str">
        <f>I3</f>
        <v>Arizona Diamondbacks</v>
      </c>
      <c r="N3" s="26">
        <f t="shared" ref="N3:O18" si="0">J3</f>
        <v>3.3433333333333333</v>
      </c>
      <c r="O3" s="98">
        <f t="shared" si="0"/>
        <v>26.666666666666668</v>
      </c>
      <c r="R3" s="1">
        <v>50</v>
      </c>
      <c r="S3" s="1" t="s">
        <v>190</v>
      </c>
      <c r="T3" s="1" t="s">
        <v>29</v>
      </c>
      <c r="U3" s="1" t="s">
        <v>141</v>
      </c>
      <c r="V3" s="1">
        <v>4.8899999999999997</v>
      </c>
    </row>
    <row r="4" spans="1:22" x14ac:dyDescent="0.3">
      <c r="A4">
        <v>3</v>
      </c>
      <c r="B4" t="s">
        <v>163</v>
      </c>
      <c r="C4" t="s">
        <v>7</v>
      </c>
      <c r="D4" t="s">
        <v>141</v>
      </c>
      <c r="E4">
        <v>2.16</v>
      </c>
      <c r="I4" s="89" t="s">
        <v>7</v>
      </c>
      <c r="J4" s="91">
        <v>3.14</v>
      </c>
      <c r="K4" s="91">
        <v>18.666666666666668</v>
      </c>
      <c r="M4" s="93" t="str">
        <f t="shared" ref="M4:O33" si="1">I4</f>
        <v>Atlanta Braves</v>
      </c>
      <c r="N4" s="26">
        <f t="shared" si="0"/>
        <v>3.14</v>
      </c>
      <c r="O4" s="98">
        <f t="shared" si="0"/>
        <v>18.666666666666668</v>
      </c>
      <c r="R4" s="1">
        <v>23</v>
      </c>
      <c r="S4" s="1" t="s">
        <v>163</v>
      </c>
      <c r="T4" s="1" t="s">
        <v>7</v>
      </c>
      <c r="U4" s="1" t="s">
        <v>141</v>
      </c>
      <c r="V4" s="1">
        <v>2.75</v>
      </c>
    </row>
    <row r="5" spans="1:22" x14ac:dyDescent="0.3">
      <c r="A5">
        <v>4</v>
      </c>
      <c r="B5" t="s">
        <v>582</v>
      </c>
      <c r="C5" t="s">
        <v>27</v>
      </c>
      <c r="D5" t="s">
        <v>141</v>
      </c>
      <c r="E5">
        <v>2.2999999999999998</v>
      </c>
      <c r="I5" s="89" t="s">
        <v>6</v>
      </c>
      <c r="J5" s="91">
        <v>4.6033333333333326</v>
      </c>
      <c r="K5" s="91">
        <v>55.666666666666664</v>
      </c>
      <c r="M5" s="93" t="str">
        <f t="shared" si="1"/>
        <v>Baltimore Orioles</v>
      </c>
      <c r="N5" s="26">
        <f t="shared" si="0"/>
        <v>4.6033333333333326</v>
      </c>
      <c r="O5" s="98">
        <f t="shared" si="0"/>
        <v>55.666666666666664</v>
      </c>
      <c r="R5" s="1">
        <v>51</v>
      </c>
      <c r="S5" s="1" t="s">
        <v>191</v>
      </c>
      <c r="T5" s="1" t="s">
        <v>7</v>
      </c>
      <c r="U5" s="1" t="s">
        <v>141</v>
      </c>
      <c r="V5" s="1">
        <v>5.16</v>
      </c>
    </row>
    <row r="6" spans="1:22" x14ac:dyDescent="0.3">
      <c r="A6">
        <v>5</v>
      </c>
      <c r="B6" t="s">
        <v>150</v>
      </c>
      <c r="C6" t="s">
        <v>18</v>
      </c>
      <c r="D6" t="s">
        <v>141</v>
      </c>
      <c r="E6">
        <v>2.38</v>
      </c>
      <c r="I6" s="89" t="s">
        <v>12</v>
      </c>
      <c r="J6" s="91">
        <v>3.94</v>
      </c>
      <c r="K6" s="91">
        <v>38</v>
      </c>
      <c r="M6" s="93" t="str">
        <f t="shared" si="1"/>
        <v>Boston Red Sox</v>
      </c>
      <c r="N6" s="26">
        <f t="shared" si="0"/>
        <v>3.94</v>
      </c>
      <c r="O6" s="98">
        <f t="shared" si="0"/>
        <v>38</v>
      </c>
      <c r="R6" s="1">
        <v>48</v>
      </c>
      <c r="S6" s="1" t="s">
        <v>188</v>
      </c>
      <c r="T6" s="1" t="s">
        <v>6</v>
      </c>
      <c r="U6" s="1" t="s">
        <v>141</v>
      </c>
      <c r="V6" s="1">
        <v>4.53</v>
      </c>
    </row>
    <row r="7" spans="1:22" x14ac:dyDescent="0.3">
      <c r="A7">
        <v>6</v>
      </c>
      <c r="B7" t="s">
        <v>147</v>
      </c>
      <c r="C7" t="s">
        <v>15</v>
      </c>
      <c r="D7" t="s">
        <v>141</v>
      </c>
      <c r="E7">
        <v>2.39</v>
      </c>
      <c r="I7" s="89" t="s">
        <v>17</v>
      </c>
      <c r="J7" s="91">
        <v>3.35</v>
      </c>
      <c r="K7" s="91">
        <v>22</v>
      </c>
      <c r="M7" s="93" t="str">
        <f t="shared" si="1"/>
        <v>Chicago Cubs</v>
      </c>
      <c r="N7" s="26">
        <f t="shared" si="0"/>
        <v>3.35</v>
      </c>
      <c r="O7" s="98">
        <f t="shared" si="0"/>
        <v>22</v>
      </c>
      <c r="R7" s="1">
        <v>65</v>
      </c>
      <c r="S7" s="1" t="s">
        <v>205</v>
      </c>
      <c r="T7" s="1" t="s">
        <v>6</v>
      </c>
      <c r="U7" s="1" t="s">
        <v>141</v>
      </c>
      <c r="V7" s="1">
        <v>7.83</v>
      </c>
    </row>
    <row r="8" spans="1:22" x14ac:dyDescent="0.3">
      <c r="A8">
        <v>7</v>
      </c>
      <c r="B8" t="s">
        <v>174</v>
      </c>
      <c r="C8" t="s">
        <v>13</v>
      </c>
      <c r="D8" t="s">
        <v>141</v>
      </c>
      <c r="E8">
        <v>2.59</v>
      </c>
      <c r="I8" s="89" t="s">
        <v>9</v>
      </c>
      <c r="J8" s="91">
        <v>4.5274999999999999</v>
      </c>
      <c r="K8" s="91">
        <v>50.25</v>
      </c>
      <c r="M8" s="93" t="str">
        <f t="shared" si="1"/>
        <v>Chicago White Sox</v>
      </c>
      <c r="N8" s="26">
        <f t="shared" si="0"/>
        <v>4.5274999999999999</v>
      </c>
      <c r="O8" s="98">
        <f t="shared" si="0"/>
        <v>50.25</v>
      </c>
      <c r="R8" s="1">
        <v>66</v>
      </c>
      <c r="S8" s="1" t="s">
        <v>206</v>
      </c>
      <c r="T8" s="1" t="s">
        <v>12</v>
      </c>
      <c r="U8" s="1" t="s">
        <v>141</v>
      </c>
      <c r="V8" s="1">
        <v>8.24</v>
      </c>
    </row>
    <row r="9" spans="1:22" x14ac:dyDescent="0.3">
      <c r="A9">
        <v>8</v>
      </c>
      <c r="B9" t="s">
        <v>166</v>
      </c>
      <c r="C9" t="s">
        <v>23</v>
      </c>
      <c r="D9" t="s">
        <v>141</v>
      </c>
      <c r="E9">
        <v>2.6</v>
      </c>
      <c r="I9" s="89" t="s">
        <v>10</v>
      </c>
      <c r="J9" s="91">
        <v>4.16</v>
      </c>
      <c r="K9" s="91">
        <v>43</v>
      </c>
      <c r="M9" s="93" t="str">
        <f t="shared" si="1"/>
        <v>Cincinnati Reds</v>
      </c>
      <c r="N9" s="26">
        <f t="shared" si="0"/>
        <v>4.16</v>
      </c>
      <c r="O9" s="98">
        <f t="shared" si="0"/>
        <v>43</v>
      </c>
      <c r="R9" s="1">
        <v>68</v>
      </c>
      <c r="S9" s="1" t="s">
        <v>208</v>
      </c>
      <c r="T9" s="1" t="s">
        <v>12</v>
      </c>
      <c r="U9" s="1" t="s">
        <v>141</v>
      </c>
      <c r="V9" s="1">
        <v>8.6999999999999993</v>
      </c>
    </row>
    <row r="10" spans="1:22" x14ac:dyDescent="0.3">
      <c r="A10">
        <v>9</v>
      </c>
      <c r="B10" t="s">
        <v>711</v>
      </c>
      <c r="C10" t="s">
        <v>23</v>
      </c>
      <c r="D10" t="s">
        <v>141</v>
      </c>
      <c r="E10">
        <v>2.62</v>
      </c>
      <c r="I10" s="89" t="s">
        <v>20</v>
      </c>
      <c r="J10" s="91">
        <v>4.415</v>
      </c>
      <c r="K10" s="91">
        <v>49</v>
      </c>
      <c r="M10" s="93" t="str">
        <f t="shared" si="1"/>
        <v>Cleveland Guardians</v>
      </c>
      <c r="N10" s="26">
        <f t="shared" si="0"/>
        <v>4.415</v>
      </c>
      <c r="O10" s="98">
        <f t="shared" si="0"/>
        <v>49</v>
      </c>
      <c r="R10" s="1">
        <v>1</v>
      </c>
      <c r="S10" s="1" t="s">
        <v>140</v>
      </c>
      <c r="T10" s="1" t="s">
        <v>17</v>
      </c>
      <c r="U10" s="1" t="s">
        <v>141</v>
      </c>
      <c r="V10" s="1">
        <v>1.03</v>
      </c>
    </row>
    <row r="11" spans="1:22" x14ac:dyDescent="0.3">
      <c r="A11">
        <v>10</v>
      </c>
      <c r="B11" t="s">
        <v>175</v>
      </c>
      <c r="C11" t="s">
        <v>14</v>
      </c>
      <c r="D11" t="s">
        <v>141</v>
      </c>
      <c r="E11">
        <v>2.81</v>
      </c>
      <c r="I11" s="89" t="s">
        <v>21</v>
      </c>
      <c r="J11" s="91">
        <v>5.18</v>
      </c>
      <c r="K11" s="91">
        <v>59.5</v>
      </c>
      <c r="M11" s="93" t="str">
        <f t="shared" si="1"/>
        <v>Colorado Rockies</v>
      </c>
      <c r="N11" s="26">
        <f t="shared" si="0"/>
        <v>5.18</v>
      </c>
      <c r="O11" s="98">
        <f t="shared" si="0"/>
        <v>59.5</v>
      </c>
      <c r="R11" s="1">
        <v>20</v>
      </c>
      <c r="S11" s="1" t="s">
        <v>160</v>
      </c>
      <c r="T11" s="1" t="s">
        <v>17</v>
      </c>
      <c r="U11" s="1" t="s">
        <v>141</v>
      </c>
      <c r="V11" s="1">
        <v>2.62</v>
      </c>
    </row>
    <row r="12" spans="1:22" x14ac:dyDescent="0.3">
      <c r="A12">
        <v>11</v>
      </c>
      <c r="B12" t="s">
        <v>146</v>
      </c>
      <c r="C12" t="s">
        <v>25</v>
      </c>
      <c r="D12" t="s">
        <v>141</v>
      </c>
      <c r="E12">
        <v>2.84</v>
      </c>
      <c r="I12" s="89" t="s">
        <v>31</v>
      </c>
      <c r="J12" s="91">
        <v>2.96</v>
      </c>
      <c r="K12" s="91">
        <v>13</v>
      </c>
      <c r="M12" s="93" t="str">
        <f t="shared" si="1"/>
        <v>Detroit Tigers</v>
      </c>
      <c r="N12" s="26">
        <f t="shared" si="0"/>
        <v>2.96</v>
      </c>
      <c r="O12" s="98">
        <f t="shared" si="0"/>
        <v>13</v>
      </c>
      <c r="R12" s="1">
        <v>24</v>
      </c>
      <c r="S12" s="1" t="s">
        <v>164</v>
      </c>
      <c r="T12" s="1" t="s">
        <v>9</v>
      </c>
      <c r="U12" s="1" t="s">
        <v>141</v>
      </c>
      <c r="V12" s="1">
        <v>2.76</v>
      </c>
    </row>
    <row r="13" spans="1:22" x14ac:dyDescent="0.3">
      <c r="A13">
        <v>12</v>
      </c>
      <c r="B13" t="s">
        <v>140</v>
      </c>
      <c r="C13" t="s">
        <v>17</v>
      </c>
      <c r="D13" t="s">
        <v>141</v>
      </c>
      <c r="E13">
        <v>2.87</v>
      </c>
      <c r="I13" s="89" t="s">
        <v>25</v>
      </c>
      <c r="J13" s="91">
        <v>3.1166666666666667</v>
      </c>
      <c r="K13" s="91">
        <v>17</v>
      </c>
      <c r="M13" s="93" t="str">
        <f t="shared" si="1"/>
        <v>Houston Astros</v>
      </c>
      <c r="N13" s="26">
        <f t="shared" si="0"/>
        <v>3.1166666666666667</v>
      </c>
      <c r="O13" s="98">
        <f t="shared" si="0"/>
        <v>17</v>
      </c>
      <c r="R13" s="1">
        <v>49</v>
      </c>
      <c r="S13" s="1" t="s">
        <v>189</v>
      </c>
      <c r="T13" s="1" t="s">
        <v>9</v>
      </c>
      <c r="U13" s="1" t="s">
        <v>141</v>
      </c>
      <c r="V13" s="1">
        <v>4.76</v>
      </c>
    </row>
    <row r="14" spans="1:22" x14ac:dyDescent="0.3">
      <c r="A14">
        <v>13</v>
      </c>
      <c r="B14" t="s">
        <v>203</v>
      </c>
      <c r="C14" t="s">
        <v>31</v>
      </c>
      <c r="D14" t="s">
        <v>141</v>
      </c>
      <c r="E14">
        <v>2.96</v>
      </c>
      <c r="I14" s="89" t="s">
        <v>30</v>
      </c>
      <c r="J14" s="91">
        <v>5.26</v>
      </c>
      <c r="K14" s="91">
        <v>63</v>
      </c>
      <c r="M14" s="93" t="str">
        <f t="shared" si="1"/>
        <v>Kansas City Royals</v>
      </c>
      <c r="N14" s="26">
        <f t="shared" si="0"/>
        <v>5.26</v>
      </c>
      <c r="O14" s="98">
        <f t="shared" si="0"/>
        <v>63</v>
      </c>
      <c r="R14" s="1">
        <v>67</v>
      </c>
      <c r="S14" s="1" t="s">
        <v>207</v>
      </c>
      <c r="T14" s="1" t="s">
        <v>9</v>
      </c>
      <c r="U14" s="1" t="s">
        <v>141</v>
      </c>
      <c r="V14" s="1">
        <v>8.6</v>
      </c>
    </row>
    <row r="15" spans="1:22" x14ac:dyDescent="0.3">
      <c r="A15">
        <v>14</v>
      </c>
      <c r="B15" t="s">
        <v>148</v>
      </c>
      <c r="C15" t="s">
        <v>23</v>
      </c>
      <c r="D15" t="s">
        <v>141</v>
      </c>
      <c r="E15">
        <v>2.99</v>
      </c>
      <c r="I15" s="89" t="s">
        <v>22</v>
      </c>
      <c r="J15" s="91">
        <v>3.93</v>
      </c>
      <c r="K15" s="91">
        <v>37</v>
      </c>
      <c r="M15" s="93" t="str">
        <f t="shared" si="1"/>
        <v>Los Angeles Angels</v>
      </c>
      <c r="N15" s="26">
        <f t="shared" si="0"/>
        <v>3.93</v>
      </c>
      <c r="O15" s="98">
        <f t="shared" si="0"/>
        <v>37</v>
      </c>
      <c r="R15" s="1">
        <v>40</v>
      </c>
      <c r="S15" s="1" t="s">
        <v>180</v>
      </c>
      <c r="T15" s="1" t="s">
        <v>10</v>
      </c>
      <c r="U15" s="1" t="s">
        <v>141</v>
      </c>
      <c r="V15" s="1">
        <v>3.77</v>
      </c>
    </row>
    <row r="16" spans="1:22" x14ac:dyDescent="0.3">
      <c r="A16">
        <v>15</v>
      </c>
      <c r="B16" t="s">
        <v>409</v>
      </c>
      <c r="C16" t="s">
        <v>25</v>
      </c>
      <c r="D16" t="s">
        <v>141</v>
      </c>
      <c r="E16">
        <v>3</v>
      </c>
      <c r="I16" s="89" t="s">
        <v>2</v>
      </c>
      <c r="J16" s="91">
        <v>4.22</v>
      </c>
      <c r="K16" s="91">
        <v>41</v>
      </c>
      <c r="M16" s="93" t="str">
        <f t="shared" si="1"/>
        <v>Los Angeles Dodgers</v>
      </c>
      <c r="N16" s="26">
        <f t="shared" si="0"/>
        <v>4.22</v>
      </c>
      <c r="O16" s="98">
        <f t="shared" si="0"/>
        <v>41</v>
      </c>
      <c r="R16" s="1">
        <v>43</v>
      </c>
      <c r="S16" s="1" t="s">
        <v>183</v>
      </c>
      <c r="T16" s="1" t="s">
        <v>10</v>
      </c>
      <c r="U16" s="1" t="s">
        <v>141</v>
      </c>
      <c r="V16" s="1">
        <v>3.83</v>
      </c>
    </row>
    <row r="17" spans="1:22" x14ac:dyDescent="0.3">
      <c r="A17">
        <v>16</v>
      </c>
      <c r="B17" t="s">
        <v>350</v>
      </c>
      <c r="C17" t="s">
        <v>2</v>
      </c>
      <c r="D17" t="s">
        <v>141</v>
      </c>
      <c r="E17">
        <v>3.22</v>
      </c>
      <c r="I17" s="89" t="s">
        <v>28</v>
      </c>
      <c r="J17" s="91">
        <v>3.7450000000000001</v>
      </c>
      <c r="K17" s="91">
        <v>31</v>
      </c>
      <c r="M17" s="93" t="str">
        <f t="shared" si="1"/>
        <v>Miami Marlins</v>
      </c>
      <c r="N17" s="26">
        <f t="shared" si="0"/>
        <v>3.7450000000000001</v>
      </c>
      <c r="O17" s="98">
        <f t="shared" si="0"/>
        <v>31</v>
      </c>
      <c r="R17" s="1">
        <v>9</v>
      </c>
      <c r="S17" s="1" t="s">
        <v>149</v>
      </c>
      <c r="T17" s="1" t="s">
        <v>20</v>
      </c>
      <c r="U17" s="1" t="s">
        <v>141</v>
      </c>
      <c r="V17" s="1">
        <v>1.78</v>
      </c>
    </row>
    <row r="18" spans="1:22" x14ac:dyDescent="0.3">
      <c r="A18">
        <v>17</v>
      </c>
      <c r="B18" t="s">
        <v>157</v>
      </c>
      <c r="C18" t="s">
        <v>0</v>
      </c>
      <c r="D18" t="s">
        <v>141</v>
      </c>
      <c r="E18">
        <v>3.25</v>
      </c>
      <c r="I18" s="89" t="s">
        <v>4</v>
      </c>
      <c r="J18" s="91">
        <v>4.375</v>
      </c>
      <c r="K18" s="91">
        <v>50</v>
      </c>
      <c r="M18" s="93" t="str">
        <f t="shared" si="1"/>
        <v>Milwaukee Brewers</v>
      </c>
      <c r="N18" s="26">
        <f t="shared" si="0"/>
        <v>4.375</v>
      </c>
      <c r="O18" s="98">
        <f t="shared" si="0"/>
        <v>50</v>
      </c>
      <c r="R18" s="1">
        <v>15</v>
      </c>
      <c r="S18" s="1" t="s">
        <v>155</v>
      </c>
      <c r="T18" s="1" t="s">
        <v>20</v>
      </c>
      <c r="U18" s="1" t="s">
        <v>141</v>
      </c>
      <c r="V18" s="1">
        <v>2.41</v>
      </c>
    </row>
    <row r="19" spans="1:22" x14ac:dyDescent="0.3">
      <c r="A19">
        <v>18</v>
      </c>
      <c r="B19" t="s">
        <v>179</v>
      </c>
      <c r="C19" t="s">
        <v>5</v>
      </c>
      <c r="D19" t="s">
        <v>141</v>
      </c>
      <c r="E19">
        <v>3.3</v>
      </c>
      <c r="I19" s="89" t="s">
        <v>27</v>
      </c>
      <c r="J19" s="91">
        <v>2.57</v>
      </c>
      <c r="K19" s="91">
        <v>9.3333333333333339</v>
      </c>
      <c r="M19" s="93" t="str">
        <f t="shared" si="1"/>
        <v>Minnesota Twins</v>
      </c>
      <c r="N19" s="26">
        <f t="shared" si="1"/>
        <v>2.57</v>
      </c>
      <c r="O19" s="98">
        <f t="shared" si="1"/>
        <v>9.3333333333333339</v>
      </c>
      <c r="R19" s="1">
        <v>25</v>
      </c>
      <c r="S19" s="1" t="s">
        <v>165</v>
      </c>
      <c r="T19" s="1" t="s">
        <v>20</v>
      </c>
      <c r="U19" s="1" t="s">
        <v>141</v>
      </c>
      <c r="V19" s="1">
        <v>2.79</v>
      </c>
    </row>
    <row r="20" spans="1:22" x14ac:dyDescent="0.3">
      <c r="A20">
        <v>19</v>
      </c>
      <c r="B20" t="s">
        <v>411</v>
      </c>
      <c r="C20" t="s">
        <v>7</v>
      </c>
      <c r="D20" t="s">
        <v>141</v>
      </c>
      <c r="E20">
        <v>3.37</v>
      </c>
      <c r="I20" s="89" t="s">
        <v>24</v>
      </c>
      <c r="J20" s="91">
        <v>5.36</v>
      </c>
      <c r="K20" s="91">
        <v>67</v>
      </c>
      <c r="M20" s="93" t="str">
        <f t="shared" si="1"/>
        <v>New York Mets</v>
      </c>
      <c r="N20" s="26">
        <f t="shared" si="1"/>
        <v>5.36</v>
      </c>
      <c r="O20" s="98">
        <f t="shared" si="1"/>
        <v>67</v>
      </c>
      <c r="R20" s="1">
        <v>29</v>
      </c>
      <c r="S20" s="1" t="s">
        <v>169</v>
      </c>
      <c r="T20" s="1" t="s">
        <v>21</v>
      </c>
      <c r="U20" s="1" t="s">
        <v>141</v>
      </c>
      <c r="V20" s="1">
        <v>2.96</v>
      </c>
    </row>
    <row r="21" spans="1:22" x14ac:dyDescent="0.3">
      <c r="A21">
        <v>20</v>
      </c>
      <c r="B21" t="s">
        <v>142</v>
      </c>
      <c r="C21" t="s">
        <v>11</v>
      </c>
      <c r="D21" t="s">
        <v>141</v>
      </c>
      <c r="E21">
        <v>3.39</v>
      </c>
      <c r="I21" s="89" t="s">
        <v>11</v>
      </c>
      <c r="J21" s="91">
        <v>4.04</v>
      </c>
      <c r="K21" s="91">
        <v>38.5</v>
      </c>
      <c r="M21" s="93" t="str">
        <f t="shared" si="1"/>
        <v>New York Yankees</v>
      </c>
      <c r="N21" s="26">
        <f t="shared" si="1"/>
        <v>4.04</v>
      </c>
      <c r="O21" s="98">
        <f t="shared" si="1"/>
        <v>38.5</v>
      </c>
      <c r="R21" s="1">
        <v>53</v>
      </c>
      <c r="S21" s="1" t="s">
        <v>193</v>
      </c>
      <c r="T21" s="1" t="s">
        <v>21</v>
      </c>
      <c r="U21" s="1" t="s">
        <v>141</v>
      </c>
      <c r="V21" s="1">
        <v>5.58</v>
      </c>
    </row>
    <row r="22" spans="1:22" x14ac:dyDescent="0.3">
      <c r="A22">
        <v>21</v>
      </c>
      <c r="B22" t="s">
        <v>726</v>
      </c>
      <c r="C22" t="s">
        <v>16</v>
      </c>
      <c r="D22" t="s">
        <v>141</v>
      </c>
      <c r="E22">
        <v>3.4</v>
      </c>
      <c r="I22" s="89" t="s">
        <v>14</v>
      </c>
      <c r="J22" s="91">
        <v>3.3250000000000002</v>
      </c>
      <c r="K22" s="91">
        <v>21.5</v>
      </c>
      <c r="M22" s="93" t="str">
        <f t="shared" si="1"/>
        <v>Philadelphia Phillies</v>
      </c>
      <c r="N22" s="26">
        <f t="shared" si="1"/>
        <v>3.3250000000000002</v>
      </c>
      <c r="O22" s="98">
        <f t="shared" si="1"/>
        <v>21.5</v>
      </c>
      <c r="R22" s="1">
        <v>60</v>
      </c>
      <c r="S22" s="1" t="s">
        <v>200</v>
      </c>
      <c r="T22" s="1" t="s">
        <v>31</v>
      </c>
      <c r="U22" s="1" t="s">
        <v>141</v>
      </c>
      <c r="V22" s="1">
        <v>6.45</v>
      </c>
    </row>
    <row r="23" spans="1:22" x14ac:dyDescent="0.3">
      <c r="A23">
        <v>22</v>
      </c>
      <c r="B23" t="s">
        <v>323</v>
      </c>
      <c r="C23" t="s">
        <v>5</v>
      </c>
      <c r="D23" t="s">
        <v>141</v>
      </c>
      <c r="E23">
        <v>3.48</v>
      </c>
      <c r="I23" s="89" t="s">
        <v>13</v>
      </c>
      <c r="J23" s="91">
        <v>3.8</v>
      </c>
      <c r="K23" s="91">
        <v>36.5</v>
      </c>
      <c r="M23" s="93" t="str">
        <f t="shared" si="1"/>
        <v>Pittsburgh Pirates</v>
      </c>
      <c r="N23" s="26">
        <f t="shared" si="1"/>
        <v>3.8</v>
      </c>
      <c r="O23" s="98">
        <f t="shared" si="1"/>
        <v>36.5</v>
      </c>
      <c r="R23" s="1">
        <v>63</v>
      </c>
      <c r="S23" s="1" t="s">
        <v>203</v>
      </c>
      <c r="T23" s="1" t="s">
        <v>31</v>
      </c>
      <c r="U23" s="1" t="s">
        <v>141</v>
      </c>
      <c r="V23" s="1">
        <v>7.1</v>
      </c>
    </row>
    <row r="24" spans="1:22" x14ac:dyDescent="0.3">
      <c r="A24">
        <v>23</v>
      </c>
      <c r="B24" t="s">
        <v>168</v>
      </c>
      <c r="C24" t="s">
        <v>27</v>
      </c>
      <c r="D24" t="s">
        <v>141</v>
      </c>
      <c r="E24">
        <v>3.48</v>
      </c>
      <c r="I24" s="89" t="s">
        <v>16</v>
      </c>
      <c r="J24" s="91">
        <v>3.67</v>
      </c>
      <c r="K24" s="91">
        <v>30</v>
      </c>
      <c r="M24" s="93" t="str">
        <f t="shared" si="1"/>
        <v>San Diego Padres</v>
      </c>
      <c r="N24" s="26">
        <f t="shared" si="1"/>
        <v>3.67</v>
      </c>
      <c r="O24" s="98">
        <f t="shared" si="1"/>
        <v>30</v>
      </c>
      <c r="R24" s="1">
        <v>5</v>
      </c>
      <c r="S24" s="1" t="s">
        <v>145</v>
      </c>
      <c r="T24" s="1" t="s">
        <v>25</v>
      </c>
      <c r="U24" s="1" t="s">
        <v>141</v>
      </c>
      <c r="V24" s="1">
        <v>1.47</v>
      </c>
    </row>
    <row r="25" spans="1:22" x14ac:dyDescent="0.3">
      <c r="A25">
        <v>24</v>
      </c>
      <c r="B25" t="s">
        <v>171</v>
      </c>
      <c r="C25" t="s">
        <v>5</v>
      </c>
      <c r="D25" t="s">
        <v>141</v>
      </c>
      <c r="E25">
        <v>3.49</v>
      </c>
      <c r="I25" s="89" t="s">
        <v>5</v>
      </c>
      <c r="J25" s="91">
        <v>3.4233333333333333</v>
      </c>
      <c r="K25" s="91">
        <v>21.333333333333332</v>
      </c>
      <c r="M25" s="93" t="str">
        <f t="shared" si="1"/>
        <v>San Francisco Giants</v>
      </c>
      <c r="N25" s="26">
        <f t="shared" si="1"/>
        <v>3.4233333333333333</v>
      </c>
      <c r="O25" s="98">
        <f t="shared" si="1"/>
        <v>21.333333333333332</v>
      </c>
      <c r="R25" s="1">
        <v>6</v>
      </c>
      <c r="S25" s="1" t="s">
        <v>146</v>
      </c>
      <c r="T25" s="1" t="s">
        <v>25</v>
      </c>
      <c r="U25" s="1" t="s">
        <v>141</v>
      </c>
      <c r="V25" s="1">
        <v>1.53</v>
      </c>
    </row>
    <row r="26" spans="1:22" x14ac:dyDescent="0.3">
      <c r="A26">
        <v>25</v>
      </c>
      <c r="B26" t="s">
        <v>145</v>
      </c>
      <c r="C26" t="s">
        <v>25</v>
      </c>
      <c r="D26" t="s">
        <v>141</v>
      </c>
      <c r="E26">
        <v>3.51</v>
      </c>
      <c r="I26" s="89" t="s">
        <v>23</v>
      </c>
      <c r="J26" s="91">
        <v>2.7366666666666668</v>
      </c>
      <c r="K26" s="91">
        <v>10.333333333333334</v>
      </c>
      <c r="M26" s="93" t="str">
        <f t="shared" si="1"/>
        <v>Seattle Mariners</v>
      </c>
      <c r="N26" s="26">
        <f t="shared" si="1"/>
        <v>2.7366666666666668</v>
      </c>
      <c r="O26" s="98">
        <f t="shared" si="1"/>
        <v>10.333333333333334</v>
      </c>
      <c r="R26" s="1">
        <v>47</v>
      </c>
      <c r="S26" s="1" t="s">
        <v>187</v>
      </c>
      <c r="T26" s="1" t="s">
        <v>25</v>
      </c>
      <c r="U26" s="1" t="s">
        <v>141</v>
      </c>
      <c r="V26" s="1">
        <v>4.2699999999999996</v>
      </c>
    </row>
    <row r="27" spans="1:22" x14ac:dyDescent="0.3">
      <c r="A27">
        <v>26</v>
      </c>
      <c r="B27" t="s">
        <v>774</v>
      </c>
      <c r="C27" t="s">
        <v>17</v>
      </c>
      <c r="D27" t="s">
        <v>141</v>
      </c>
      <c r="E27">
        <v>3.53</v>
      </c>
      <c r="I27" s="89" t="s">
        <v>8</v>
      </c>
      <c r="J27" s="91">
        <v>4.3966666666666674</v>
      </c>
      <c r="K27" s="91">
        <v>51</v>
      </c>
      <c r="M27" s="93" t="str">
        <f t="shared" si="1"/>
        <v>St. Louis Cardinals</v>
      </c>
      <c r="N27" s="26">
        <f t="shared" si="1"/>
        <v>4.3966666666666674</v>
      </c>
      <c r="O27" s="98">
        <f t="shared" si="1"/>
        <v>51</v>
      </c>
      <c r="R27" s="1">
        <v>13</v>
      </c>
      <c r="S27" s="1" t="s">
        <v>153</v>
      </c>
      <c r="T27" s="1" t="s">
        <v>30</v>
      </c>
      <c r="U27" s="1" t="s">
        <v>141</v>
      </c>
      <c r="V27" s="1">
        <v>2.3199999999999998</v>
      </c>
    </row>
    <row r="28" spans="1:22" x14ac:dyDescent="0.3">
      <c r="A28">
        <v>27</v>
      </c>
      <c r="B28" t="s">
        <v>185</v>
      </c>
      <c r="C28" t="s">
        <v>29</v>
      </c>
      <c r="D28" t="s">
        <v>141</v>
      </c>
      <c r="E28">
        <v>3.58</v>
      </c>
      <c r="I28" s="89" t="s">
        <v>0</v>
      </c>
      <c r="J28" s="91">
        <v>3.25</v>
      </c>
      <c r="K28" s="91">
        <v>17</v>
      </c>
      <c r="M28" s="93" t="str">
        <f t="shared" si="1"/>
        <v>Tampa Bay Rays</v>
      </c>
      <c r="N28" s="26">
        <f t="shared" si="1"/>
        <v>3.25</v>
      </c>
      <c r="O28" s="98">
        <f t="shared" si="1"/>
        <v>17</v>
      </c>
      <c r="R28" s="1">
        <v>42</v>
      </c>
      <c r="S28" s="1" t="s">
        <v>182</v>
      </c>
      <c r="T28" s="1" t="s">
        <v>30</v>
      </c>
      <c r="U28" s="1" t="s">
        <v>141</v>
      </c>
      <c r="V28" s="1">
        <v>3.78</v>
      </c>
    </row>
    <row r="29" spans="1:22" x14ac:dyDescent="0.3">
      <c r="A29">
        <v>28</v>
      </c>
      <c r="B29" t="s">
        <v>160</v>
      </c>
      <c r="C29" t="s">
        <v>17</v>
      </c>
      <c r="D29" t="s">
        <v>141</v>
      </c>
      <c r="E29">
        <v>3.65</v>
      </c>
      <c r="I29" s="89" t="s">
        <v>18</v>
      </c>
      <c r="J29" s="91">
        <v>3.8733333333333335</v>
      </c>
      <c r="K29" s="91">
        <v>39.333333333333336</v>
      </c>
      <c r="M29" s="93" t="str">
        <f t="shared" si="1"/>
        <v>Texas Rangers</v>
      </c>
      <c r="N29" s="26">
        <f t="shared" si="1"/>
        <v>3.8733333333333335</v>
      </c>
      <c r="O29" s="98">
        <f t="shared" si="1"/>
        <v>39.333333333333336</v>
      </c>
      <c r="R29" s="1">
        <v>46</v>
      </c>
      <c r="S29" s="1" t="s">
        <v>186</v>
      </c>
      <c r="T29" s="1" t="s">
        <v>30</v>
      </c>
      <c r="U29" s="1" t="s">
        <v>141</v>
      </c>
      <c r="V29" s="1">
        <v>4.1100000000000003</v>
      </c>
    </row>
    <row r="30" spans="1:22" x14ac:dyDescent="0.3">
      <c r="A30">
        <v>29</v>
      </c>
      <c r="B30" t="s">
        <v>1239</v>
      </c>
      <c r="C30" t="s">
        <v>15</v>
      </c>
      <c r="D30" t="s">
        <v>141</v>
      </c>
      <c r="E30">
        <v>3.67</v>
      </c>
      <c r="I30" s="89" t="s">
        <v>15</v>
      </c>
      <c r="J30" s="91">
        <v>4.5679999999999996</v>
      </c>
      <c r="K30" s="91">
        <v>47.6</v>
      </c>
      <c r="M30" s="93" t="str">
        <f t="shared" si="1"/>
        <v>Toronto Blue Jays</v>
      </c>
      <c r="N30" s="26">
        <f t="shared" si="1"/>
        <v>4.5679999999999996</v>
      </c>
      <c r="O30" s="98">
        <f t="shared" si="1"/>
        <v>47.6</v>
      </c>
      <c r="R30" s="1">
        <v>16</v>
      </c>
      <c r="S30" s="1" t="s">
        <v>156</v>
      </c>
      <c r="T30" s="1" t="s">
        <v>22</v>
      </c>
      <c r="U30" s="1" t="s">
        <v>141</v>
      </c>
      <c r="V30" s="1">
        <v>2.4500000000000002</v>
      </c>
    </row>
    <row r="31" spans="1:22" x14ac:dyDescent="0.3">
      <c r="A31">
        <v>30</v>
      </c>
      <c r="B31" t="s">
        <v>173</v>
      </c>
      <c r="C31" t="s">
        <v>28</v>
      </c>
      <c r="D31" t="s">
        <v>141</v>
      </c>
      <c r="E31">
        <v>3.72</v>
      </c>
      <c r="I31" s="89" t="s">
        <v>19</v>
      </c>
      <c r="J31" s="91">
        <v>4.41</v>
      </c>
      <c r="K31" s="91">
        <v>51</v>
      </c>
      <c r="M31" s="93" t="str">
        <f t="shared" si="1"/>
        <v>Washington Nationals</v>
      </c>
      <c r="N31" s="26">
        <f t="shared" si="1"/>
        <v>4.41</v>
      </c>
      <c r="O31" s="98">
        <f t="shared" si="1"/>
        <v>51</v>
      </c>
      <c r="R31" s="1">
        <v>36</v>
      </c>
      <c r="S31" s="1" t="s">
        <v>176</v>
      </c>
      <c r="T31" s="1" t="s">
        <v>22</v>
      </c>
      <c r="U31" s="1" t="s">
        <v>141</v>
      </c>
      <c r="V31" s="1">
        <v>3.37</v>
      </c>
    </row>
    <row r="32" spans="1:22" ht="15" thickBot="1" x14ac:dyDescent="0.35">
      <c r="A32">
        <v>31</v>
      </c>
      <c r="B32" t="s">
        <v>189</v>
      </c>
      <c r="C32" t="s">
        <v>9</v>
      </c>
      <c r="D32" t="s">
        <v>141</v>
      </c>
      <c r="E32">
        <v>3.74</v>
      </c>
      <c r="I32" s="89" t="s">
        <v>2197</v>
      </c>
      <c r="J32" s="91"/>
      <c r="K32" s="91"/>
      <c r="M32" s="93" t="str">
        <f t="shared" si="1"/>
        <v>(blank)</v>
      </c>
      <c r="N32" s="26">
        <f t="shared" si="1"/>
        <v>0</v>
      </c>
      <c r="O32" s="98">
        <f t="shared" si="1"/>
        <v>0</v>
      </c>
      <c r="R32" s="1">
        <v>4</v>
      </c>
      <c r="S32" s="1" t="s">
        <v>144</v>
      </c>
      <c r="T32" s="1" t="s">
        <v>2</v>
      </c>
      <c r="U32" s="1" t="s">
        <v>141</v>
      </c>
      <c r="V32" s="1">
        <v>1.45</v>
      </c>
    </row>
    <row r="33" spans="1:22" x14ac:dyDescent="0.3">
      <c r="A33">
        <v>32</v>
      </c>
      <c r="B33" t="s">
        <v>151</v>
      </c>
      <c r="C33" t="s">
        <v>28</v>
      </c>
      <c r="D33" t="s">
        <v>141</v>
      </c>
      <c r="E33">
        <v>3.77</v>
      </c>
      <c r="I33" s="89" t="s">
        <v>978</v>
      </c>
      <c r="J33" s="91">
        <v>3.9120833333333334</v>
      </c>
      <c r="K33" s="91">
        <v>36.5</v>
      </c>
      <c r="M33" s="94" t="str">
        <f t="shared" si="1"/>
        <v>Grand Total</v>
      </c>
      <c r="N33" s="23">
        <f t="shared" si="1"/>
        <v>3.9120833333333334</v>
      </c>
      <c r="O33" s="24">
        <f t="shared" si="1"/>
        <v>36.5</v>
      </c>
      <c r="R33" s="1">
        <v>19</v>
      </c>
      <c r="S33" s="1" t="s">
        <v>159</v>
      </c>
      <c r="T33" s="1" t="s">
        <v>2</v>
      </c>
      <c r="U33" s="1" t="s">
        <v>141</v>
      </c>
      <c r="V33" s="1">
        <v>2.5099999999999998</v>
      </c>
    </row>
    <row r="34" spans="1:22" x14ac:dyDescent="0.3">
      <c r="A34">
        <v>33</v>
      </c>
      <c r="B34" t="s">
        <v>177</v>
      </c>
      <c r="C34" t="s">
        <v>14</v>
      </c>
      <c r="D34" t="s">
        <v>141</v>
      </c>
      <c r="E34">
        <v>3.84</v>
      </c>
      <c r="R34" s="1">
        <v>11</v>
      </c>
      <c r="S34" s="1" t="s">
        <v>151</v>
      </c>
      <c r="T34" s="1" t="s">
        <v>28</v>
      </c>
      <c r="U34" s="1" t="s">
        <v>141</v>
      </c>
      <c r="V34" s="1">
        <v>2.02</v>
      </c>
    </row>
    <row r="35" spans="1:22" x14ac:dyDescent="0.3">
      <c r="A35">
        <v>34</v>
      </c>
      <c r="B35" t="s">
        <v>503</v>
      </c>
      <c r="C35" t="s">
        <v>7</v>
      </c>
      <c r="D35" t="s">
        <v>141</v>
      </c>
      <c r="E35">
        <v>3.89</v>
      </c>
      <c r="R35" s="1">
        <v>33</v>
      </c>
      <c r="S35" s="1" t="s">
        <v>173</v>
      </c>
      <c r="T35" s="1" t="s">
        <v>28</v>
      </c>
      <c r="U35" s="1" t="s">
        <v>141</v>
      </c>
      <c r="V35" s="1">
        <v>3.27</v>
      </c>
    </row>
    <row r="36" spans="1:22" x14ac:dyDescent="0.3">
      <c r="A36">
        <v>35</v>
      </c>
      <c r="B36" t="s">
        <v>149</v>
      </c>
      <c r="C36" t="s">
        <v>20</v>
      </c>
      <c r="D36" t="s">
        <v>141</v>
      </c>
      <c r="E36">
        <v>3.9</v>
      </c>
      <c r="R36" s="1">
        <v>14</v>
      </c>
      <c r="S36" s="1" t="s">
        <v>154</v>
      </c>
      <c r="T36" s="1" t="s">
        <v>4</v>
      </c>
      <c r="U36" s="1" t="s">
        <v>141</v>
      </c>
      <c r="V36" s="1">
        <v>2.37</v>
      </c>
    </row>
    <row r="37" spans="1:22" x14ac:dyDescent="0.3">
      <c r="A37">
        <v>36</v>
      </c>
      <c r="B37" t="s">
        <v>183</v>
      </c>
      <c r="C37" t="s">
        <v>10</v>
      </c>
      <c r="D37" t="s">
        <v>141</v>
      </c>
      <c r="E37">
        <v>3.9</v>
      </c>
      <c r="R37" s="1">
        <v>22</v>
      </c>
      <c r="S37" s="1" t="s">
        <v>162</v>
      </c>
      <c r="T37" s="1" t="s">
        <v>4</v>
      </c>
      <c r="U37" s="1" t="s">
        <v>141</v>
      </c>
      <c r="V37" s="1">
        <v>2.7</v>
      </c>
    </row>
    <row r="38" spans="1:22" x14ac:dyDescent="0.3">
      <c r="A38">
        <v>37</v>
      </c>
      <c r="B38" t="s">
        <v>156</v>
      </c>
      <c r="C38" t="s">
        <v>22</v>
      </c>
      <c r="D38" t="s">
        <v>141</v>
      </c>
      <c r="E38">
        <v>3.93</v>
      </c>
      <c r="R38" s="1">
        <v>31</v>
      </c>
      <c r="S38" s="1" t="s">
        <v>172</v>
      </c>
      <c r="T38" s="1" t="s">
        <v>4</v>
      </c>
      <c r="U38" s="1" t="s">
        <v>141</v>
      </c>
      <c r="V38" s="1">
        <v>3.2</v>
      </c>
    </row>
    <row r="39" spans="1:22" x14ac:dyDescent="0.3">
      <c r="A39">
        <v>38</v>
      </c>
      <c r="B39" t="s">
        <v>208</v>
      </c>
      <c r="C39" t="s">
        <v>12</v>
      </c>
      <c r="D39" t="s">
        <v>141</v>
      </c>
      <c r="E39">
        <v>3.94</v>
      </c>
      <c r="R39" s="1">
        <v>62</v>
      </c>
      <c r="S39" s="1" t="s">
        <v>202</v>
      </c>
      <c r="T39" s="1" t="s">
        <v>4</v>
      </c>
      <c r="U39" s="1" t="s">
        <v>141</v>
      </c>
      <c r="V39" s="1">
        <v>6.95</v>
      </c>
    </row>
    <row r="40" spans="1:22" x14ac:dyDescent="0.3">
      <c r="A40">
        <v>39</v>
      </c>
      <c r="B40" t="s">
        <v>698</v>
      </c>
      <c r="C40" t="s">
        <v>16</v>
      </c>
      <c r="D40" t="s">
        <v>141</v>
      </c>
      <c r="E40">
        <v>3.94</v>
      </c>
      <c r="R40" s="1">
        <v>12</v>
      </c>
      <c r="S40" s="1" t="s">
        <v>152</v>
      </c>
      <c r="T40" s="1" t="s">
        <v>27</v>
      </c>
      <c r="U40" s="1" t="s">
        <v>141</v>
      </c>
      <c r="V40" s="1">
        <v>2.12</v>
      </c>
    </row>
    <row r="41" spans="1:22" x14ac:dyDescent="0.3">
      <c r="A41">
        <v>40</v>
      </c>
      <c r="B41" t="s">
        <v>351</v>
      </c>
      <c r="C41" t="s">
        <v>8</v>
      </c>
      <c r="D41" t="s">
        <v>141</v>
      </c>
      <c r="E41">
        <v>3.94</v>
      </c>
      <c r="R41" s="1">
        <v>28</v>
      </c>
      <c r="S41" s="1" t="s">
        <v>168</v>
      </c>
      <c r="T41" s="1" t="s">
        <v>27</v>
      </c>
      <c r="U41" s="1" t="s">
        <v>141</v>
      </c>
      <c r="V41" s="1">
        <v>2.88</v>
      </c>
    </row>
    <row r="42" spans="1:22" x14ac:dyDescent="0.3">
      <c r="A42">
        <v>41</v>
      </c>
      <c r="B42" t="s">
        <v>950</v>
      </c>
      <c r="C42" t="s">
        <v>13</v>
      </c>
      <c r="D42" t="s">
        <v>141</v>
      </c>
      <c r="E42">
        <v>3.96</v>
      </c>
      <c r="R42" s="1">
        <v>38</v>
      </c>
      <c r="S42" s="1" t="s">
        <v>178</v>
      </c>
      <c r="T42" s="1" t="s">
        <v>24</v>
      </c>
      <c r="U42" s="1" t="s">
        <v>141</v>
      </c>
      <c r="V42" s="1">
        <v>3.65</v>
      </c>
    </row>
    <row r="43" spans="1:22" x14ac:dyDescent="0.3">
      <c r="A43">
        <v>42</v>
      </c>
      <c r="B43" t="s">
        <v>154</v>
      </c>
      <c r="C43" t="s">
        <v>4</v>
      </c>
      <c r="D43" t="s">
        <v>141</v>
      </c>
      <c r="E43">
        <v>4.01</v>
      </c>
      <c r="R43" s="1">
        <v>57</v>
      </c>
      <c r="S43" s="1" t="s">
        <v>197</v>
      </c>
      <c r="T43" s="1" t="s">
        <v>24</v>
      </c>
      <c r="U43" s="1" t="s">
        <v>141</v>
      </c>
      <c r="V43" s="1">
        <v>5.87</v>
      </c>
    </row>
    <row r="44" spans="1:22" x14ac:dyDescent="0.3">
      <c r="A44">
        <v>43</v>
      </c>
      <c r="B44" t="s">
        <v>188</v>
      </c>
      <c r="C44" t="s">
        <v>6</v>
      </c>
      <c r="D44" t="s">
        <v>141</v>
      </c>
      <c r="E44">
        <v>4.0999999999999996</v>
      </c>
      <c r="R44" s="1">
        <v>64</v>
      </c>
      <c r="S44" s="1" t="s">
        <v>204</v>
      </c>
      <c r="T44" s="1" t="s">
        <v>24</v>
      </c>
      <c r="U44" s="1" t="s">
        <v>141</v>
      </c>
      <c r="V44" s="1">
        <v>7.44</v>
      </c>
    </row>
    <row r="45" spans="1:22" x14ac:dyDescent="0.3">
      <c r="A45">
        <v>44</v>
      </c>
      <c r="B45" t="s">
        <v>404</v>
      </c>
      <c r="C45" t="s">
        <v>19</v>
      </c>
      <c r="D45" t="s">
        <v>141</v>
      </c>
      <c r="E45">
        <v>4.0999999999999996</v>
      </c>
      <c r="R45" s="1">
        <v>2</v>
      </c>
      <c r="S45" s="1" t="s">
        <v>142</v>
      </c>
      <c r="T45" s="1" t="s">
        <v>11</v>
      </c>
      <c r="U45" s="1" t="s">
        <v>141</v>
      </c>
      <c r="V45" s="1">
        <v>1.34</v>
      </c>
    </row>
    <row r="46" spans="1:22" x14ac:dyDescent="0.3">
      <c r="A46">
        <v>45</v>
      </c>
      <c r="B46" t="s">
        <v>209</v>
      </c>
      <c r="C46" t="s">
        <v>13</v>
      </c>
      <c r="D46" t="s">
        <v>141</v>
      </c>
      <c r="E46">
        <v>4.17</v>
      </c>
      <c r="R46" s="1">
        <v>61</v>
      </c>
      <c r="S46" s="1" t="s">
        <v>201</v>
      </c>
      <c r="T46" s="1" t="s">
        <v>11</v>
      </c>
      <c r="U46" s="1" t="s">
        <v>141</v>
      </c>
      <c r="V46" s="1">
        <v>6.5</v>
      </c>
    </row>
    <row r="47" spans="1:22" x14ac:dyDescent="0.3">
      <c r="A47">
        <v>46</v>
      </c>
      <c r="B47" t="s">
        <v>164</v>
      </c>
      <c r="C47" t="s">
        <v>9</v>
      </c>
      <c r="D47" t="s">
        <v>141</v>
      </c>
      <c r="E47">
        <v>4.1900000000000004</v>
      </c>
      <c r="R47" s="1">
        <v>27</v>
      </c>
      <c r="S47" s="1" t="s">
        <v>167</v>
      </c>
      <c r="T47" s="1" t="s">
        <v>26</v>
      </c>
      <c r="U47" s="1" t="s">
        <v>141</v>
      </c>
      <c r="V47" s="1">
        <v>2.83</v>
      </c>
    </row>
    <row r="48" spans="1:22" x14ac:dyDescent="0.3">
      <c r="A48">
        <v>47</v>
      </c>
      <c r="B48" t="s">
        <v>195</v>
      </c>
      <c r="C48" t="s">
        <v>19</v>
      </c>
      <c r="D48" t="s">
        <v>141</v>
      </c>
      <c r="E48">
        <v>4.21</v>
      </c>
      <c r="R48" s="1">
        <v>58</v>
      </c>
      <c r="S48" s="1" t="s">
        <v>198</v>
      </c>
      <c r="T48" s="1" t="s">
        <v>26</v>
      </c>
      <c r="U48" s="1" t="s">
        <v>141</v>
      </c>
      <c r="V48" s="1">
        <v>6.2</v>
      </c>
    </row>
    <row r="49" spans="1:22" x14ac:dyDescent="0.3">
      <c r="A49">
        <v>48</v>
      </c>
      <c r="B49" t="s">
        <v>196</v>
      </c>
      <c r="C49" t="s">
        <v>19</v>
      </c>
      <c r="D49" t="s">
        <v>141</v>
      </c>
      <c r="E49">
        <v>4.37</v>
      </c>
      <c r="R49" s="1">
        <v>70</v>
      </c>
      <c r="S49" s="1" t="s">
        <v>210</v>
      </c>
      <c r="T49" s="1" t="s">
        <v>26</v>
      </c>
      <c r="U49" s="1" t="s">
        <v>141</v>
      </c>
      <c r="V49" s="1">
        <v>13.82</v>
      </c>
    </row>
    <row r="50" spans="1:22" x14ac:dyDescent="0.3">
      <c r="A50">
        <v>49</v>
      </c>
      <c r="B50" t="s">
        <v>169</v>
      </c>
      <c r="C50" t="s">
        <v>21</v>
      </c>
      <c r="D50" t="s">
        <v>141</v>
      </c>
      <c r="E50">
        <v>4.4000000000000004</v>
      </c>
      <c r="R50" s="1">
        <v>35</v>
      </c>
      <c r="S50" s="1" t="s">
        <v>175</v>
      </c>
      <c r="T50" s="1" t="s">
        <v>14</v>
      </c>
      <c r="U50" s="1" t="s">
        <v>141</v>
      </c>
      <c r="V50" s="1">
        <v>3.3</v>
      </c>
    </row>
    <row r="51" spans="1:22" x14ac:dyDescent="0.3">
      <c r="A51">
        <v>50</v>
      </c>
      <c r="B51" t="s">
        <v>180</v>
      </c>
      <c r="C51" t="s">
        <v>10</v>
      </c>
      <c r="D51" t="s">
        <v>141</v>
      </c>
      <c r="E51">
        <v>4.42</v>
      </c>
      <c r="R51" s="1">
        <v>37</v>
      </c>
      <c r="S51" s="1" t="s">
        <v>177</v>
      </c>
      <c r="T51" s="1" t="s">
        <v>14</v>
      </c>
      <c r="U51" s="1" t="s">
        <v>141</v>
      </c>
      <c r="V51" s="1">
        <v>3.61</v>
      </c>
    </row>
    <row r="52" spans="1:22" x14ac:dyDescent="0.3">
      <c r="A52">
        <v>51</v>
      </c>
      <c r="B52" t="s">
        <v>747</v>
      </c>
      <c r="C52" t="s">
        <v>29</v>
      </c>
      <c r="D52" t="s">
        <v>141</v>
      </c>
      <c r="E52">
        <v>4.43</v>
      </c>
      <c r="R52" s="1">
        <v>34</v>
      </c>
      <c r="S52" s="1" t="s">
        <v>174</v>
      </c>
      <c r="T52" s="1" t="s">
        <v>13</v>
      </c>
      <c r="U52" s="1" t="s">
        <v>141</v>
      </c>
      <c r="V52" s="1">
        <v>3.29</v>
      </c>
    </row>
    <row r="53" spans="1:22" x14ac:dyDescent="0.3">
      <c r="A53">
        <v>52</v>
      </c>
      <c r="B53" t="s">
        <v>161</v>
      </c>
      <c r="C53" t="s">
        <v>8</v>
      </c>
      <c r="D53" t="s">
        <v>141</v>
      </c>
      <c r="E53">
        <v>4.46</v>
      </c>
      <c r="R53" s="1">
        <v>69</v>
      </c>
      <c r="S53" s="1" t="s">
        <v>209</v>
      </c>
      <c r="T53" s="1" t="s">
        <v>13</v>
      </c>
      <c r="U53" s="1" t="s">
        <v>141</v>
      </c>
      <c r="V53" s="1">
        <v>9.31</v>
      </c>
    </row>
    <row r="54" spans="1:22" x14ac:dyDescent="0.3">
      <c r="A54">
        <v>53</v>
      </c>
      <c r="B54" t="s">
        <v>376</v>
      </c>
      <c r="C54" t="s">
        <v>13</v>
      </c>
      <c r="D54" t="s">
        <v>141</v>
      </c>
      <c r="E54">
        <v>4.4800000000000004</v>
      </c>
      <c r="R54" s="1">
        <v>44</v>
      </c>
      <c r="S54" s="1" t="s">
        <v>184</v>
      </c>
      <c r="T54" s="1" t="s">
        <v>16</v>
      </c>
      <c r="U54" s="1" t="s">
        <v>141</v>
      </c>
      <c r="V54" s="1">
        <v>3.95</v>
      </c>
    </row>
    <row r="55" spans="1:22" x14ac:dyDescent="0.3">
      <c r="A55">
        <v>54</v>
      </c>
      <c r="B55" t="s">
        <v>1240</v>
      </c>
      <c r="C55" t="s">
        <v>18</v>
      </c>
      <c r="D55" t="s">
        <v>141</v>
      </c>
      <c r="E55">
        <v>4.5</v>
      </c>
      <c r="R55" s="1">
        <v>54</v>
      </c>
      <c r="S55" s="1" t="s">
        <v>194</v>
      </c>
      <c r="T55" s="1" t="s">
        <v>16</v>
      </c>
      <c r="U55" s="1" t="s">
        <v>141</v>
      </c>
      <c r="V55" s="1">
        <v>5.69</v>
      </c>
    </row>
    <row r="56" spans="1:22" x14ac:dyDescent="0.3">
      <c r="A56">
        <v>55</v>
      </c>
      <c r="B56" t="s">
        <v>153</v>
      </c>
      <c r="C56" t="s">
        <v>30</v>
      </c>
      <c r="D56" t="s">
        <v>141</v>
      </c>
      <c r="E56">
        <v>4.51</v>
      </c>
      <c r="R56" s="1">
        <v>31</v>
      </c>
      <c r="S56" s="1" t="s">
        <v>171</v>
      </c>
      <c r="T56" s="1" t="s">
        <v>5</v>
      </c>
      <c r="U56" s="1" t="s">
        <v>141</v>
      </c>
      <c r="V56" s="1">
        <v>3.2</v>
      </c>
    </row>
    <row r="57" spans="1:22" x14ac:dyDescent="0.3">
      <c r="A57">
        <v>56</v>
      </c>
      <c r="B57" t="s">
        <v>207</v>
      </c>
      <c r="C57" t="s">
        <v>9</v>
      </c>
      <c r="D57" t="s">
        <v>141</v>
      </c>
      <c r="E57">
        <v>4.63</v>
      </c>
      <c r="R57" s="1">
        <v>39</v>
      </c>
      <c r="S57" s="1" t="s">
        <v>179</v>
      </c>
      <c r="T57" s="1" t="s">
        <v>5</v>
      </c>
      <c r="U57" s="1" t="s">
        <v>141</v>
      </c>
      <c r="V57" s="1">
        <v>3.67</v>
      </c>
    </row>
    <row r="58" spans="1:22" x14ac:dyDescent="0.3">
      <c r="A58">
        <v>57</v>
      </c>
      <c r="B58" t="s">
        <v>3045</v>
      </c>
      <c r="C58" t="s">
        <v>11</v>
      </c>
      <c r="D58" t="s">
        <v>141</v>
      </c>
      <c r="E58">
        <v>4.6900000000000004</v>
      </c>
      <c r="R58" s="1">
        <v>8</v>
      </c>
      <c r="S58" s="1" t="s">
        <v>148</v>
      </c>
      <c r="T58" s="1" t="s">
        <v>23</v>
      </c>
      <c r="U58" s="1" t="s">
        <v>141</v>
      </c>
      <c r="V58" s="1">
        <v>1.66</v>
      </c>
    </row>
    <row r="59" spans="1:22" x14ac:dyDescent="0.3">
      <c r="A59">
        <v>58</v>
      </c>
      <c r="B59" t="s">
        <v>202</v>
      </c>
      <c r="C59" t="s">
        <v>4</v>
      </c>
      <c r="D59" t="s">
        <v>141</v>
      </c>
      <c r="E59">
        <v>4.74</v>
      </c>
      <c r="R59" s="1">
        <v>26</v>
      </c>
      <c r="S59" s="1" t="s">
        <v>166</v>
      </c>
      <c r="T59" s="1" t="s">
        <v>23</v>
      </c>
      <c r="U59" s="1" t="s">
        <v>141</v>
      </c>
      <c r="V59" s="1">
        <v>2.8</v>
      </c>
    </row>
    <row r="60" spans="1:22" x14ac:dyDescent="0.3">
      <c r="A60">
        <v>59</v>
      </c>
      <c r="B60" t="s">
        <v>793</v>
      </c>
      <c r="C60" t="s">
        <v>18</v>
      </c>
      <c r="D60" t="s">
        <v>141</v>
      </c>
      <c r="E60">
        <v>4.74</v>
      </c>
      <c r="R60" s="1">
        <v>52</v>
      </c>
      <c r="S60" s="1" t="s">
        <v>192</v>
      </c>
      <c r="T60" s="1" t="s">
        <v>23</v>
      </c>
      <c r="U60" s="1" t="s">
        <v>141</v>
      </c>
      <c r="V60" s="1">
        <v>5.2</v>
      </c>
    </row>
    <row r="61" spans="1:22" x14ac:dyDescent="0.3">
      <c r="A61">
        <v>60</v>
      </c>
      <c r="B61" t="s">
        <v>205</v>
      </c>
      <c r="C61" t="s">
        <v>6</v>
      </c>
      <c r="D61" t="s">
        <v>141</v>
      </c>
      <c r="E61">
        <v>4.76</v>
      </c>
      <c r="R61" s="1">
        <v>21</v>
      </c>
      <c r="S61" s="1" t="s">
        <v>161</v>
      </c>
      <c r="T61" s="1" t="s">
        <v>8</v>
      </c>
      <c r="U61" s="1" t="s">
        <v>141</v>
      </c>
      <c r="V61" s="1">
        <v>2.66</v>
      </c>
    </row>
    <row r="62" spans="1:22" x14ac:dyDescent="0.3">
      <c r="A62">
        <v>61</v>
      </c>
      <c r="B62" t="s">
        <v>782</v>
      </c>
      <c r="C62" t="s">
        <v>8</v>
      </c>
      <c r="D62" t="s">
        <v>141</v>
      </c>
      <c r="E62">
        <v>4.79</v>
      </c>
      <c r="R62" s="1">
        <v>16</v>
      </c>
      <c r="S62" s="1" t="s">
        <v>157</v>
      </c>
      <c r="T62" s="1" t="s">
        <v>0</v>
      </c>
      <c r="U62" s="1" t="s">
        <v>141</v>
      </c>
      <c r="V62" s="1">
        <v>2.4500000000000002</v>
      </c>
    </row>
    <row r="63" spans="1:22" x14ac:dyDescent="0.3">
      <c r="A63">
        <v>62</v>
      </c>
      <c r="B63" t="s">
        <v>966</v>
      </c>
      <c r="C63" t="s">
        <v>15</v>
      </c>
      <c r="D63" t="s">
        <v>141</v>
      </c>
      <c r="E63">
        <v>4.8499999999999996</v>
      </c>
      <c r="R63" s="1">
        <v>18</v>
      </c>
      <c r="S63" s="1" t="s">
        <v>158</v>
      </c>
      <c r="T63" s="1" t="s">
        <v>0</v>
      </c>
      <c r="U63" s="1" t="s">
        <v>141</v>
      </c>
      <c r="V63" s="1">
        <v>2.4700000000000002</v>
      </c>
    </row>
    <row r="64" spans="1:22" x14ac:dyDescent="0.3">
      <c r="A64">
        <v>63</v>
      </c>
      <c r="B64" t="s">
        <v>714</v>
      </c>
      <c r="C64" t="s">
        <v>20</v>
      </c>
      <c r="D64" t="s">
        <v>141</v>
      </c>
      <c r="E64">
        <v>4.93</v>
      </c>
      <c r="R64" s="1">
        <v>3</v>
      </c>
      <c r="S64" s="1" t="s">
        <v>143</v>
      </c>
      <c r="T64" s="1" t="s">
        <v>18</v>
      </c>
      <c r="U64" s="1" t="s">
        <v>141</v>
      </c>
      <c r="V64" s="1">
        <v>1.44</v>
      </c>
    </row>
    <row r="65" spans="1:22" x14ac:dyDescent="0.3">
      <c r="A65">
        <v>64</v>
      </c>
      <c r="B65" t="s">
        <v>439</v>
      </c>
      <c r="C65" t="s">
        <v>6</v>
      </c>
      <c r="D65" t="s">
        <v>141</v>
      </c>
      <c r="E65">
        <v>4.95</v>
      </c>
      <c r="R65" s="1">
        <v>10</v>
      </c>
      <c r="S65" s="1" t="s">
        <v>150</v>
      </c>
      <c r="T65" s="1" t="s">
        <v>18</v>
      </c>
      <c r="U65" s="1" t="s">
        <v>141</v>
      </c>
      <c r="V65" s="1">
        <v>1.79</v>
      </c>
    </row>
    <row r="66" spans="1:22" x14ac:dyDescent="0.3">
      <c r="A66">
        <v>65</v>
      </c>
      <c r="B66" t="s">
        <v>821</v>
      </c>
      <c r="C66" t="s">
        <v>19</v>
      </c>
      <c r="D66" t="s">
        <v>141</v>
      </c>
      <c r="E66">
        <v>4.96</v>
      </c>
      <c r="R66" s="1">
        <v>40</v>
      </c>
      <c r="S66" s="1" t="s">
        <v>181</v>
      </c>
      <c r="T66" s="1" t="s">
        <v>18</v>
      </c>
      <c r="U66" s="1" t="s">
        <v>141</v>
      </c>
      <c r="V66" s="1">
        <v>3.77</v>
      </c>
    </row>
    <row r="67" spans="1:22" x14ac:dyDescent="0.3">
      <c r="A67">
        <v>66</v>
      </c>
      <c r="B67" t="s">
        <v>144</v>
      </c>
      <c r="C67" t="s">
        <v>2</v>
      </c>
      <c r="D67" t="s">
        <v>141</v>
      </c>
      <c r="E67">
        <v>5.22</v>
      </c>
      <c r="R67" s="1">
        <v>7</v>
      </c>
      <c r="S67" s="1" t="s">
        <v>147</v>
      </c>
      <c r="T67" s="1" t="s">
        <v>15</v>
      </c>
      <c r="U67" s="1" t="s">
        <v>141</v>
      </c>
      <c r="V67" s="1">
        <v>1.62</v>
      </c>
    </row>
    <row r="68" spans="1:22" x14ac:dyDescent="0.3">
      <c r="A68">
        <v>67</v>
      </c>
      <c r="B68" t="s">
        <v>178</v>
      </c>
      <c r="C68" t="s">
        <v>24</v>
      </c>
      <c r="D68" t="s">
        <v>141</v>
      </c>
      <c r="E68">
        <v>5.36</v>
      </c>
      <c r="R68" s="1">
        <v>58</v>
      </c>
      <c r="S68" s="1" t="s">
        <v>199</v>
      </c>
      <c r="T68" s="1" t="s">
        <v>15</v>
      </c>
      <c r="U68" s="1" t="s">
        <v>141</v>
      </c>
      <c r="V68" s="1">
        <v>6.2</v>
      </c>
    </row>
    <row r="69" spans="1:22" x14ac:dyDescent="0.3">
      <c r="A69">
        <v>68</v>
      </c>
      <c r="B69" t="s">
        <v>970</v>
      </c>
      <c r="C69" t="s">
        <v>9</v>
      </c>
      <c r="D69" t="s">
        <v>141</v>
      </c>
      <c r="E69">
        <v>5.55</v>
      </c>
      <c r="R69" s="1">
        <v>30</v>
      </c>
      <c r="S69" s="1" t="s">
        <v>170</v>
      </c>
      <c r="T69" s="1" t="s">
        <v>19</v>
      </c>
      <c r="U69" s="1" t="s">
        <v>141</v>
      </c>
      <c r="V69" s="1">
        <v>3.06</v>
      </c>
    </row>
    <row r="70" spans="1:22" x14ac:dyDescent="0.3">
      <c r="A70">
        <v>69</v>
      </c>
      <c r="B70" t="s">
        <v>724</v>
      </c>
      <c r="C70" t="s">
        <v>15</v>
      </c>
      <c r="D70" t="s">
        <v>141</v>
      </c>
      <c r="E70">
        <v>5.75</v>
      </c>
      <c r="R70" s="1">
        <v>55</v>
      </c>
      <c r="S70" s="1" t="s">
        <v>195</v>
      </c>
      <c r="T70" s="1" t="s">
        <v>19</v>
      </c>
      <c r="U70" s="1" t="s">
        <v>141</v>
      </c>
      <c r="V70" s="1">
        <v>5.75</v>
      </c>
    </row>
    <row r="71" spans="1:22" x14ac:dyDescent="0.3">
      <c r="A71">
        <v>70</v>
      </c>
      <c r="B71" t="s">
        <v>706</v>
      </c>
      <c r="C71" t="s">
        <v>21</v>
      </c>
      <c r="D71" t="s">
        <v>141</v>
      </c>
      <c r="E71">
        <v>5.96</v>
      </c>
      <c r="R71" s="1">
        <v>56</v>
      </c>
      <c r="S71" s="1" t="s">
        <v>196</v>
      </c>
      <c r="T71" s="1" t="s">
        <v>19</v>
      </c>
      <c r="U71" s="1" t="s">
        <v>141</v>
      </c>
      <c r="V71" s="1">
        <v>5.76</v>
      </c>
    </row>
    <row r="72" spans="1:22" x14ac:dyDescent="0.3">
      <c r="A72">
        <v>71</v>
      </c>
      <c r="B72" t="s">
        <v>186</v>
      </c>
      <c r="C72" t="s">
        <v>30</v>
      </c>
      <c r="D72" t="s">
        <v>141</v>
      </c>
      <c r="E72">
        <v>6.01</v>
      </c>
    </row>
    <row r="73" spans="1:22" x14ac:dyDescent="0.3">
      <c r="A73">
        <v>72</v>
      </c>
      <c r="B73" t="s">
        <v>199</v>
      </c>
      <c r="C73" t="s">
        <v>15</v>
      </c>
      <c r="D73" t="s">
        <v>141</v>
      </c>
      <c r="E73">
        <v>6.18</v>
      </c>
    </row>
  </sheetData>
  <autoFilter ref="A1:E73" xr:uid="{F2C22B6B-91A2-413D-B677-DE541A88692E}"/>
  <mergeCells count="1">
    <mergeCell ref="I1:K1"/>
  </mergeCells>
  <conditionalFormatting sqref="O3:O32">
    <cfRule type="colorScale" priority="1">
      <colorScale>
        <cfvo type="min"/>
        <cfvo type="percentile" val="50"/>
        <cfvo type="max"/>
        <color rgb="FF63BE7B"/>
        <color rgb="FFFCFCFF"/>
        <color rgb="FFF8696B"/>
      </colorScale>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4ADA-7A50-4D84-B25F-18E312C1F8F4}">
  <sheetPr codeName="Sheet3">
    <tabColor rgb="FF7030A0"/>
  </sheetPr>
  <dimension ref="A1:O1133"/>
  <sheetViews>
    <sheetView topLeftCell="A14" workbookViewId="0">
      <selection activeCell="A28" sqref="A28"/>
    </sheetView>
  </sheetViews>
  <sheetFormatPr defaultRowHeight="14.4" x14ac:dyDescent="0.3"/>
  <cols>
    <col min="1" max="1" width="37.33203125" bestFit="1" customWidth="1"/>
    <col min="2" max="2" width="6" bestFit="1" customWidth="1"/>
    <col min="3" max="4" width="5" bestFit="1" customWidth="1"/>
    <col min="5" max="5" width="13.88671875" bestFit="1" customWidth="1"/>
    <col min="6" max="6" width="20.109375" bestFit="1" customWidth="1"/>
    <col min="11" max="11" width="19.88671875" bestFit="1" customWidth="1"/>
    <col min="12" max="12" width="0" hidden="1" customWidth="1"/>
    <col min="13" max="13" width="13.5546875" bestFit="1" customWidth="1"/>
    <col min="15" max="15" width="12.77734375" bestFit="1" customWidth="1"/>
  </cols>
  <sheetData>
    <row r="1" spans="1:1" x14ac:dyDescent="0.3">
      <c r="A1" t="s">
        <v>1249</v>
      </c>
    </row>
    <row r="3" spans="1:1" x14ac:dyDescent="0.3">
      <c r="A3" t="s">
        <v>1250</v>
      </c>
    </row>
    <row r="4" spans="1:1" x14ac:dyDescent="0.3">
      <c r="A4" t="s">
        <v>1251</v>
      </c>
    </row>
    <row r="5" spans="1:1" x14ac:dyDescent="0.3">
      <c r="A5" t="s">
        <v>1252</v>
      </c>
    </row>
    <row r="6" spans="1:1" x14ac:dyDescent="0.3">
      <c r="A6" t="s">
        <v>1253</v>
      </c>
    </row>
    <row r="7" spans="1:1" x14ac:dyDescent="0.3">
      <c r="A7" t="s">
        <v>1254</v>
      </c>
    </row>
    <row r="8" spans="1:1" x14ac:dyDescent="0.3">
      <c r="A8" t="s">
        <v>1255</v>
      </c>
    </row>
    <row r="9" spans="1:1" x14ac:dyDescent="0.3">
      <c r="A9" t="s">
        <v>1256</v>
      </c>
    </row>
    <row r="10" spans="1:1" x14ac:dyDescent="0.3">
      <c r="A10" t="s">
        <v>1257</v>
      </c>
    </row>
    <row r="11" spans="1:1" x14ac:dyDescent="0.3">
      <c r="A11" t="s">
        <v>1258</v>
      </c>
    </row>
    <row r="12" spans="1:1" x14ac:dyDescent="0.3">
      <c r="A12" t="s">
        <v>1259</v>
      </c>
    </row>
    <row r="13" spans="1:1" x14ac:dyDescent="0.3">
      <c r="A13" t="s">
        <v>1260</v>
      </c>
    </row>
    <row r="14" spans="1:1" x14ac:dyDescent="0.3">
      <c r="A14" t="s">
        <v>1261</v>
      </c>
    </row>
    <row r="15" spans="1:1" x14ac:dyDescent="0.3">
      <c r="A15" t="s">
        <v>1262</v>
      </c>
    </row>
    <row r="16" spans="1:1" x14ac:dyDescent="0.3">
      <c r="A16" t="s">
        <v>1263</v>
      </c>
    </row>
    <row r="17" spans="1:1" x14ac:dyDescent="0.3">
      <c r="A17" t="s">
        <v>1264</v>
      </c>
    </row>
    <row r="18" spans="1:1" x14ac:dyDescent="0.3">
      <c r="A18" t="s">
        <v>1265</v>
      </c>
    </row>
    <row r="19" spans="1:1" x14ac:dyDescent="0.3">
      <c r="A19" t="s">
        <v>1266</v>
      </c>
    </row>
    <row r="20" spans="1:1" x14ac:dyDescent="0.3">
      <c r="A20" t="s">
        <v>1267</v>
      </c>
    </row>
    <row r="21" spans="1:1" x14ac:dyDescent="0.3">
      <c r="A21" t="s">
        <v>1268</v>
      </c>
    </row>
    <row r="22" spans="1:1" x14ac:dyDescent="0.3">
      <c r="A22" t="s">
        <v>1269</v>
      </c>
    </row>
    <row r="23" spans="1:1" x14ac:dyDescent="0.3">
      <c r="A23" t="s">
        <v>1270</v>
      </c>
    </row>
    <row r="24" spans="1:1" x14ac:dyDescent="0.3">
      <c r="A24" t="s">
        <v>1271</v>
      </c>
    </row>
    <row r="25" spans="1:1" x14ac:dyDescent="0.3">
      <c r="A25" t="s">
        <v>1272</v>
      </c>
    </row>
    <row r="26" spans="1:1" x14ac:dyDescent="0.3">
      <c r="A26" t="s">
        <v>1273</v>
      </c>
    </row>
    <row r="27" spans="1:1" x14ac:dyDescent="0.3">
      <c r="A27" t="s">
        <v>1274</v>
      </c>
    </row>
    <row r="28" spans="1:1" x14ac:dyDescent="0.3">
      <c r="A28" t="s">
        <v>1275</v>
      </c>
    </row>
    <row r="29" spans="1:1" x14ac:dyDescent="0.3">
      <c r="A29" t="s">
        <v>1276</v>
      </c>
    </row>
    <row r="30" spans="1:1" x14ac:dyDescent="0.3">
      <c r="A30" t="s">
        <v>1277</v>
      </c>
    </row>
    <row r="31" spans="1:1" x14ac:dyDescent="0.3">
      <c r="A31" t="s">
        <v>1278</v>
      </c>
    </row>
    <row r="32" spans="1:1" x14ac:dyDescent="0.3">
      <c r="A32" t="s">
        <v>1279</v>
      </c>
    </row>
    <row r="33" spans="1:1" x14ac:dyDescent="0.3">
      <c r="A33" t="s">
        <v>1280</v>
      </c>
    </row>
    <row r="34" spans="1:1" x14ac:dyDescent="0.3">
      <c r="A34" t="s">
        <v>1281</v>
      </c>
    </row>
    <row r="35" spans="1:1" x14ac:dyDescent="0.3">
      <c r="A35" t="s">
        <v>1282</v>
      </c>
    </row>
    <row r="36" spans="1:1" x14ac:dyDescent="0.3">
      <c r="A36" t="s">
        <v>1283</v>
      </c>
    </row>
    <row r="37" spans="1:1" x14ac:dyDescent="0.3">
      <c r="A37" t="s">
        <v>1284</v>
      </c>
    </row>
    <row r="39" spans="1:1" x14ac:dyDescent="0.3">
      <c r="A39" t="s">
        <v>1285</v>
      </c>
    </row>
    <row r="40" spans="1:1" x14ac:dyDescent="0.3">
      <c r="A40" t="s">
        <v>1286</v>
      </c>
    </row>
    <row r="41" spans="1:1" x14ac:dyDescent="0.3">
      <c r="A41" t="s">
        <v>1287</v>
      </c>
    </row>
    <row r="42" spans="1:1" x14ac:dyDescent="0.3">
      <c r="A42" t="s">
        <v>1288</v>
      </c>
    </row>
    <row r="43" spans="1:1" x14ac:dyDescent="0.3">
      <c r="A43" t="s">
        <v>1289</v>
      </c>
    </row>
    <row r="44" spans="1:1" x14ac:dyDescent="0.3">
      <c r="A44" t="s">
        <v>2213</v>
      </c>
    </row>
    <row r="46" spans="1:1" x14ac:dyDescent="0.3">
      <c r="A46" t="s">
        <v>2214</v>
      </c>
    </row>
    <row r="48" spans="1:1" x14ac:dyDescent="0.3">
      <c r="A48" t="s">
        <v>1290</v>
      </c>
    </row>
    <row r="49" spans="1:1" x14ac:dyDescent="0.3">
      <c r="A49" t="s">
        <v>2215</v>
      </c>
    </row>
    <row r="51" spans="1:1" x14ac:dyDescent="0.3">
      <c r="A51" t="s">
        <v>1291</v>
      </c>
    </row>
    <row r="52" spans="1:1" x14ac:dyDescent="0.3">
      <c r="A52" t="s">
        <v>1760</v>
      </c>
    </row>
    <row r="53" spans="1:1" x14ac:dyDescent="0.3">
      <c r="A53" t="s">
        <v>1761</v>
      </c>
    </row>
    <row r="54" spans="1:1" x14ac:dyDescent="0.3">
      <c r="A54" t="s">
        <v>1859</v>
      </c>
    </row>
    <row r="55" spans="1:1" x14ac:dyDescent="0.3">
      <c r="A55" t="s">
        <v>2216</v>
      </c>
    </row>
    <row r="56" spans="1:1" x14ac:dyDescent="0.3">
      <c r="A56" t="s">
        <v>2217</v>
      </c>
    </row>
    <row r="57" spans="1:1" x14ac:dyDescent="0.3">
      <c r="A57" t="s">
        <v>1860</v>
      </c>
    </row>
    <row r="58" spans="1:1" x14ac:dyDescent="0.3">
      <c r="A58" t="s">
        <v>1572</v>
      </c>
    </row>
    <row r="59" spans="1:1" x14ac:dyDescent="0.3">
      <c r="A59" t="s">
        <v>1762</v>
      </c>
    </row>
    <row r="60" spans="1:1" x14ac:dyDescent="0.3">
      <c r="A60" t="s">
        <v>2218</v>
      </c>
    </row>
    <row r="61" spans="1:1" x14ac:dyDescent="0.3">
      <c r="A61" t="s">
        <v>1763</v>
      </c>
    </row>
    <row r="62" spans="1:1" x14ac:dyDescent="0.3">
      <c r="A62" t="s">
        <v>1764</v>
      </c>
    </row>
    <row r="63" spans="1:1" x14ac:dyDescent="0.3">
      <c r="A63" t="s">
        <v>1861</v>
      </c>
    </row>
    <row r="64" spans="1:1" x14ac:dyDescent="0.3">
      <c r="A64" t="s">
        <v>2219</v>
      </c>
    </row>
    <row r="65" spans="1:1" x14ac:dyDescent="0.3">
      <c r="A65" t="s">
        <v>1765</v>
      </c>
    </row>
    <row r="66" spans="1:1" x14ac:dyDescent="0.3">
      <c r="A66" t="s">
        <v>1862</v>
      </c>
    </row>
    <row r="67" spans="1:1" x14ac:dyDescent="0.3">
      <c r="A67" t="s">
        <v>2220</v>
      </c>
    </row>
    <row r="68" spans="1:1" x14ac:dyDescent="0.3">
      <c r="A68" t="s">
        <v>1766</v>
      </c>
    </row>
    <row r="69" spans="1:1" x14ac:dyDescent="0.3">
      <c r="A69" t="s">
        <v>2221</v>
      </c>
    </row>
    <row r="70" spans="1:1" x14ac:dyDescent="0.3">
      <c r="A70" t="s">
        <v>2222</v>
      </c>
    </row>
    <row r="71" spans="1:1" x14ac:dyDescent="0.3">
      <c r="A71" t="s">
        <v>2223</v>
      </c>
    </row>
    <row r="72" spans="1:1" x14ac:dyDescent="0.3">
      <c r="A72" t="s">
        <v>2224</v>
      </c>
    </row>
    <row r="73" spans="1:1" x14ac:dyDescent="0.3">
      <c r="A73" t="s">
        <v>1863</v>
      </c>
    </row>
    <row r="74" spans="1:1" x14ac:dyDescent="0.3">
      <c r="A74" t="s">
        <v>1767</v>
      </c>
    </row>
    <row r="75" spans="1:1" x14ac:dyDescent="0.3">
      <c r="A75" t="s">
        <v>1292</v>
      </c>
    </row>
    <row r="76" spans="1:1" x14ac:dyDescent="0.3">
      <c r="A76" t="s">
        <v>1768</v>
      </c>
    </row>
    <row r="77" spans="1:1" x14ac:dyDescent="0.3">
      <c r="A77" t="s">
        <v>1293</v>
      </c>
    </row>
    <row r="78" spans="1:1" x14ac:dyDescent="0.3">
      <c r="A78" t="s">
        <v>1573</v>
      </c>
    </row>
    <row r="79" spans="1:1" x14ac:dyDescent="0.3">
      <c r="A79" t="s">
        <v>2225</v>
      </c>
    </row>
    <row r="80" spans="1:1" x14ac:dyDescent="0.3">
      <c r="A80" t="s">
        <v>2226</v>
      </c>
    </row>
    <row r="81" spans="1:1" x14ac:dyDescent="0.3">
      <c r="A81" t="s">
        <v>2227</v>
      </c>
    </row>
    <row r="82" spans="1:1" x14ac:dyDescent="0.3">
      <c r="A82" t="s">
        <v>1294</v>
      </c>
    </row>
    <row r="83" spans="1:1" x14ac:dyDescent="0.3">
      <c r="A83" t="s">
        <v>2215</v>
      </c>
    </row>
    <row r="85" spans="1:1" x14ac:dyDescent="0.3">
      <c r="A85" t="s">
        <v>1295</v>
      </c>
    </row>
    <row r="86" spans="1:1" x14ac:dyDescent="0.3">
      <c r="A86" t="s">
        <v>1296</v>
      </c>
    </row>
    <row r="87" spans="1:1" x14ac:dyDescent="0.3">
      <c r="A87" t="s">
        <v>1297</v>
      </c>
    </row>
    <row r="88" spans="1:1" x14ac:dyDescent="0.3">
      <c r="A88" t="s">
        <v>1298</v>
      </c>
    </row>
    <row r="89" spans="1:1" x14ac:dyDescent="0.3">
      <c r="A89" t="s">
        <v>1867</v>
      </c>
    </row>
    <row r="90" spans="1:1" x14ac:dyDescent="0.3">
      <c r="A90" t="s">
        <v>1866</v>
      </c>
    </row>
    <row r="91" spans="1:1" x14ac:dyDescent="0.3">
      <c r="A91" t="s">
        <v>1871</v>
      </c>
    </row>
    <row r="92" spans="1:1" x14ac:dyDescent="0.3">
      <c r="A92" t="s">
        <v>1874</v>
      </c>
    </row>
    <row r="93" spans="1:1" x14ac:dyDescent="0.3">
      <c r="A93" t="s">
        <v>1869</v>
      </c>
    </row>
    <row r="94" spans="1:1" x14ac:dyDescent="0.3">
      <c r="A94" t="s">
        <v>1868</v>
      </c>
    </row>
    <row r="95" spans="1:1" x14ac:dyDescent="0.3">
      <c r="A95" t="s">
        <v>1876</v>
      </c>
    </row>
    <row r="96" spans="1:1" x14ac:dyDescent="0.3">
      <c r="A96" t="s">
        <v>1875</v>
      </c>
    </row>
    <row r="97" spans="1:15" x14ac:dyDescent="0.3">
      <c r="A97" t="s">
        <v>1864</v>
      </c>
    </row>
    <row r="98" spans="1:15" x14ac:dyDescent="0.3">
      <c r="A98" t="s">
        <v>1870</v>
      </c>
    </row>
    <row r="99" spans="1:15" x14ac:dyDescent="0.3">
      <c r="A99" t="s">
        <v>1865</v>
      </c>
    </row>
    <row r="100" spans="1:15" x14ac:dyDescent="0.3">
      <c r="A100" t="s">
        <v>1873</v>
      </c>
    </row>
    <row r="101" spans="1:15" x14ac:dyDescent="0.3">
      <c r="A101" t="s">
        <v>1872</v>
      </c>
    </row>
    <row r="102" spans="1:15" x14ac:dyDescent="0.3">
      <c r="A102" t="s">
        <v>1878</v>
      </c>
    </row>
    <row r="103" spans="1:15" x14ac:dyDescent="0.3">
      <c r="A103" t="s">
        <v>1877</v>
      </c>
    </row>
    <row r="104" spans="1:15" x14ac:dyDescent="0.3">
      <c r="A104" t="s">
        <v>2228</v>
      </c>
    </row>
    <row r="105" spans="1:15" x14ac:dyDescent="0.3">
      <c r="A105" t="s">
        <v>1299</v>
      </c>
    </row>
    <row r="107" spans="1:15" x14ac:dyDescent="0.3">
      <c r="A107" t="s">
        <v>1300</v>
      </c>
      <c r="M107" s="149" t="s">
        <v>1485</v>
      </c>
      <c r="O107" t="str">
        <f>LEFT(M107,LEN(M107)-1)</f>
        <v>Diamondback</v>
      </c>
    </row>
    <row r="108" spans="1:15" x14ac:dyDescent="0.3">
      <c r="A108" t="s">
        <v>2229</v>
      </c>
      <c r="M108" s="149" t="s">
        <v>1490</v>
      </c>
    </row>
    <row r="109" spans="1:15" x14ac:dyDescent="0.3">
      <c r="A109" t="s">
        <v>1299</v>
      </c>
      <c r="M109" s="149" t="s">
        <v>1511</v>
      </c>
    </row>
    <row r="110" spans="1:15" x14ac:dyDescent="0.3">
      <c r="M110" s="149" t="s">
        <v>1509</v>
      </c>
    </row>
    <row r="111" spans="1:15" x14ac:dyDescent="0.3">
      <c r="A111" t="s">
        <v>1301</v>
      </c>
      <c r="M111" s="149" t="s">
        <v>1480</v>
      </c>
    </row>
    <row r="112" spans="1:15" x14ac:dyDescent="0.3">
      <c r="M112" s="149" t="s">
        <v>1509</v>
      </c>
    </row>
    <row r="113" spans="1:13" x14ac:dyDescent="0.3">
      <c r="A113" t="s">
        <v>1299</v>
      </c>
      <c r="M113" s="149" t="s">
        <v>1514</v>
      </c>
    </row>
    <row r="114" spans="1:13" x14ac:dyDescent="0.3">
      <c r="M114" s="149" t="s">
        <v>1504</v>
      </c>
    </row>
    <row r="115" spans="1:13" x14ac:dyDescent="0.3">
      <c r="A115" t="s">
        <v>2230</v>
      </c>
      <c r="M115" s="149" t="s">
        <v>1518</v>
      </c>
    </row>
    <row r="116" spans="1:13" x14ac:dyDescent="0.3">
      <c r="M116" s="149" t="s">
        <v>1513</v>
      </c>
    </row>
    <row r="117" spans="1:13" x14ac:dyDescent="0.3">
      <c r="A117" t="s">
        <v>27</v>
      </c>
      <c r="M117" s="149" t="s">
        <v>1488</v>
      </c>
    </row>
    <row r="118" spans="1:13" x14ac:dyDescent="0.3">
      <c r="A118" t="s">
        <v>11</v>
      </c>
      <c r="M118" s="149" t="s">
        <v>1516</v>
      </c>
    </row>
    <row r="119" spans="1:13" x14ac:dyDescent="0.3">
      <c r="A119" t="s">
        <v>1299</v>
      </c>
      <c r="M119" s="149" t="s">
        <v>1506</v>
      </c>
    </row>
    <row r="120" spans="1:13" x14ac:dyDescent="0.3">
      <c r="M120" s="149" t="s">
        <v>1484</v>
      </c>
    </row>
    <row r="121" spans="1:13" ht="15" thickBot="1" x14ac:dyDescent="0.35">
      <c r="A121" t="s">
        <v>2231</v>
      </c>
      <c r="M121" s="149" t="s">
        <v>1512</v>
      </c>
    </row>
    <row r="122" spans="1:13" x14ac:dyDescent="0.3">
      <c r="A122" s="181"/>
      <c r="B122" s="182"/>
      <c r="C122" s="182"/>
      <c r="D122" s="182"/>
      <c r="E122" s="182"/>
      <c r="F122" s="183"/>
      <c r="M122" s="149" t="s">
        <v>1503</v>
      </c>
    </row>
    <row r="123" spans="1:13" x14ac:dyDescent="0.3">
      <c r="A123" s="17" t="s">
        <v>1312</v>
      </c>
      <c r="B123" s="184" t="s">
        <v>1303</v>
      </c>
      <c r="C123" s="184" t="s">
        <v>81</v>
      </c>
      <c r="D123" s="184" t="s">
        <v>82</v>
      </c>
      <c r="E123" s="184" t="s">
        <v>1304</v>
      </c>
      <c r="F123" s="185" t="s">
        <v>1305</v>
      </c>
      <c r="M123" s="149" t="s">
        <v>1505</v>
      </c>
    </row>
    <row r="124" spans="1:13" x14ac:dyDescent="0.3">
      <c r="A124" s="17" t="s">
        <v>2232</v>
      </c>
      <c r="B124" s="184">
        <v>0.14299999999999999</v>
      </c>
      <c r="C124" s="184">
        <v>1</v>
      </c>
      <c r="D124" s="184">
        <v>1</v>
      </c>
      <c r="E124" s="184" t="s">
        <v>2233</v>
      </c>
      <c r="F124" s="185" t="s">
        <v>2234</v>
      </c>
      <c r="M124" s="149" t="s">
        <v>1498</v>
      </c>
    </row>
    <row r="125" spans="1:13" x14ac:dyDescent="0.3">
      <c r="A125" s="17" t="s">
        <v>1896</v>
      </c>
      <c r="B125" s="184">
        <v>0.22700000000000001</v>
      </c>
      <c r="C125" s="184">
        <v>2</v>
      </c>
      <c r="D125" s="184">
        <v>6</v>
      </c>
      <c r="E125" s="184" t="s">
        <v>2235</v>
      </c>
      <c r="F125" s="185" t="s">
        <v>2236</v>
      </c>
      <c r="M125" s="149" t="s">
        <v>1492</v>
      </c>
    </row>
    <row r="126" spans="1:13" x14ac:dyDescent="0.3">
      <c r="A126" s="17" t="s">
        <v>2237</v>
      </c>
      <c r="B126" s="184">
        <v>0.25</v>
      </c>
      <c r="C126" s="184">
        <v>2</v>
      </c>
      <c r="D126" s="184">
        <v>5</v>
      </c>
      <c r="E126" s="184" t="s">
        <v>2238</v>
      </c>
      <c r="F126" s="185" t="s">
        <v>2239</v>
      </c>
      <c r="M126" s="149" t="s">
        <v>1519</v>
      </c>
    </row>
    <row r="127" spans="1:13" x14ac:dyDescent="0.3">
      <c r="A127" s="17" t="s">
        <v>2240</v>
      </c>
      <c r="B127" s="184">
        <v>0.255</v>
      </c>
      <c r="C127" s="184">
        <v>1</v>
      </c>
      <c r="D127" s="184">
        <v>9</v>
      </c>
      <c r="E127" s="184" t="s">
        <v>2241</v>
      </c>
      <c r="F127" s="185" t="s">
        <v>2242</v>
      </c>
      <c r="M127" s="149" t="s">
        <v>1501</v>
      </c>
    </row>
    <row r="128" spans="1:13" x14ac:dyDescent="0.3">
      <c r="A128" s="17" t="s">
        <v>2243</v>
      </c>
      <c r="B128" s="184">
        <v>0.23699999999999999</v>
      </c>
      <c r="C128" s="184">
        <v>0</v>
      </c>
      <c r="D128" s="184">
        <v>6</v>
      </c>
      <c r="E128" s="184" t="s">
        <v>2244</v>
      </c>
      <c r="F128" s="185" t="s">
        <v>2245</v>
      </c>
      <c r="M128" s="149" t="s">
        <v>1515</v>
      </c>
    </row>
    <row r="129" spans="1:13" x14ac:dyDescent="0.3">
      <c r="A129" s="17" t="s">
        <v>2246</v>
      </c>
      <c r="B129" s="184">
        <v>0.34100000000000003</v>
      </c>
      <c r="C129" s="184">
        <v>0</v>
      </c>
      <c r="D129" s="184">
        <v>3</v>
      </c>
      <c r="E129" s="184" t="s">
        <v>1429</v>
      </c>
      <c r="F129" s="185" t="s">
        <v>2247</v>
      </c>
      <c r="M129" s="149" t="s">
        <v>1494</v>
      </c>
    </row>
    <row r="130" spans="1:13" x14ac:dyDescent="0.3">
      <c r="A130" s="17" t="s">
        <v>2248</v>
      </c>
      <c r="B130" s="184">
        <v>0.105</v>
      </c>
      <c r="C130" s="184">
        <v>1</v>
      </c>
      <c r="D130" s="184">
        <v>1</v>
      </c>
      <c r="E130" s="184" t="s">
        <v>2249</v>
      </c>
      <c r="F130" s="185" t="s">
        <v>2250</v>
      </c>
      <c r="M130" s="149" t="s">
        <v>1507</v>
      </c>
    </row>
    <row r="131" spans="1:13" ht="15" thickBot="1" x14ac:dyDescent="0.35">
      <c r="A131" s="18" t="s">
        <v>2251</v>
      </c>
      <c r="B131" s="186">
        <v>0.36399999999999999</v>
      </c>
      <c r="C131" s="186">
        <v>0</v>
      </c>
      <c r="D131" s="186">
        <v>3</v>
      </c>
      <c r="E131" s="186" t="s">
        <v>2252</v>
      </c>
      <c r="F131" s="187" t="s">
        <v>2253</v>
      </c>
      <c r="M131" s="149" t="s">
        <v>1502</v>
      </c>
    </row>
    <row r="132" spans="1:13" ht="15" thickBot="1" x14ac:dyDescent="0.35">
      <c r="A132" t="s">
        <v>1313</v>
      </c>
      <c r="B132">
        <v>0.26400000000000001</v>
      </c>
      <c r="C132">
        <v>3</v>
      </c>
      <c r="D132">
        <v>7</v>
      </c>
      <c r="E132" t="s">
        <v>1993</v>
      </c>
      <c r="F132" t="s">
        <v>2254</v>
      </c>
      <c r="M132" s="149" t="s">
        <v>1500</v>
      </c>
    </row>
    <row r="133" spans="1:13" ht="15" thickBot="1" x14ac:dyDescent="0.35">
      <c r="A133" s="188" t="s">
        <v>1314</v>
      </c>
      <c r="B133" s="189" t="s">
        <v>998</v>
      </c>
      <c r="C133" s="189" t="s">
        <v>1309</v>
      </c>
      <c r="D133" s="189" t="s">
        <v>1310</v>
      </c>
      <c r="E133" s="189" t="s">
        <v>1304</v>
      </c>
      <c r="F133" s="190" t="s">
        <v>1305</v>
      </c>
      <c r="M133" s="149" t="s">
        <v>1499</v>
      </c>
    </row>
    <row r="134" spans="1:13" ht="15" thickBot="1" x14ac:dyDescent="0.35">
      <c r="A134" t="s">
        <v>2255</v>
      </c>
      <c r="B134">
        <v>4.1100000000000003</v>
      </c>
      <c r="C134">
        <v>10.6</v>
      </c>
      <c r="D134">
        <v>2.9</v>
      </c>
      <c r="E134" t="s">
        <v>2256</v>
      </c>
      <c r="F134" t="s">
        <v>2257</v>
      </c>
      <c r="M134" s="149" t="s">
        <v>1481</v>
      </c>
    </row>
    <row r="135" spans="1:13" x14ac:dyDescent="0.3">
      <c r="A135" s="181" t="s">
        <v>1315</v>
      </c>
      <c r="B135" s="182"/>
      <c r="C135" s="182"/>
      <c r="D135" s="182"/>
      <c r="E135" s="182"/>
      <c r="F135" s="183"/>
      <c r="M135" s="149" t="s">
        <v>1496</v>
      </c>
    </row>
    <row r="136" spans="1:13" x14ac:dyDescent="0.3">
      <c r="A136" s="17" t="s">
        <v>1388</v>
      </c>
      <c r="B136" s="184" t="s">
        <v>1303</v>
      </c>
      <c r="C136" s="184" t="s">
        <v>81</v>
      </c>
      <c r="D136" s="184" t="s">
        <v>82</v>
      </c>
      <c r="E136" s="184" t="s">
        <v>1304</v>
      </c>
      <c r="F136" s="185" t="s">
        <v>1305</v>
      </c>
      <c r="M136" s="149" t="s">
        <v>1517</v>
      </c>
    </row>
    <row r="137" spans="1:13" x14ac:dyDescent="0.3">
      <c r="A137" s="17" t="s">
        <v>2258</v>
      </c>
      <c r="B137" s="184">
        <v>0.26200000000000001</v>
      </c>
      <c r="C137" s="184">
        <v>1</v>
      </c>
      <c r="D137" s="184">
        <v>4</v>
      </c>
      <c r="E137" s="184" t="s">
        <v>2259</v>
      </c>
      <c r="F137" s="185" t="s">
        <v>2260</v>
      </c>
    </row>
    <row r="138" spans="1:13" x14ac:dyDescent="0.3">
      <c r="A138" s="17" t="s">
        <v>1897</v>
      </c>
      <c r="B138" s="184">
        <v>0.30199999999999999</v>
      </c>
      <c r="C138" s="184">
        <v>5</v>
      </c>
      <c r="D138" s="184">
        <v>8</v>
      </c>
      <c r="E138" s="184" t="s">
        <v>1898</v>
      </c>
      <c r="F138" s="185" t="s">
        <v>2261</v>
      </c>
    </row>
    <row r="139" spans="1:13" x14ac:dyDescent="0.3">
      <c r="A139" s="17" t="s">
        <v>1389</v>
      </c>
      <c r="B139" s="184">
        <v>0.314</v>
      </c>
      <c r="C139" s="184">
        <v>4</v>
      </c>
      <c r="D139" s="184">
        <v>9</v>
      </c>
      <c r="E139" s="184" t="s">
        <v>2262</v>
      </c>
      <c r="F139" s="185" t="s">
        <v>2263</v>
      </c>
    </row>
    <row r="140" spans="1:13" x14ac:dyDescent="0.3">
      <c r="A140" s="17" t="s">
        <v>1899</v>
      </c>
      <c r="B140" s="184">
        <v>0.26900000000000002</v>
      </c>
      <c r="C140" s="184">
        <v>4</v>
      </c>
      <c r="D140" s="184">
        <v>11</v>
      </c>
      <c r="E140" s="184" t="s">
        <v>2264</v>
      </c>
      <c r="F140" s="185" t="s">
        <v>2265</v>
      </c>
    </row>
    <row r="141" spans="1:13" x14ac:dyDescent="0.3">
      <c r="A141" s="17" t="s">
        <v>1901</v>
      </c>
      <c r="B141" s="184">
        <v>0.28299999999999997</v>
      </c>
      <c r="C141" s="184">
        <v>2</v>
      </c>
      <c r="D141" s="184">
        <v>6</v>
      </c>
      <c r="E141" s="184" t="s">
        <v>2266</v>
      </c>
      <c r="F141" s="185" t="s">
        <v>2267</v>
      </c>
    </row>
    <row r="142" spans="1:13" x14ac:dyDescent="0.3">
      <c r="A142" s="17" t="s">
        <v>1902</v>
      </c>
      <c r="B142" s="184">
        <v>0.222</v>
      </c>
      <c r="C142" s="184">
        <v>4</v>
      </c>
      <c r="D142" s="184">
        <v>11</v>
      </c>
      <c r="E142" s="184" t="s">
        <v>1992</v>
      </c>
      <c r="F142" s="185" t="s">
        <v>2268</v>
      </c>
    </row>
    <row r="143" spans="1:13" x14ac:dyDescent="0.3">
      <c r="A143" s="17" t="s">
        <v>1903</v>
      </c>
      <c r="B143" s="184">
        <v>0.26100000000000001</v>
      </c>
      <c r="C143" s="184">
        <v>0</v>
      </c>
      <c r="D143" s="184">
        <v>5</v>
      </c>
      <c r="E143" s="184" t="s">
        <v>2269</v>
      </c>
      <c r="F143" s="185" t="s">
        <v>2270</v>
      </c>
    </row>
    <row r="144" spans="1:13" ht="15" thickBot="1" x14ac:dyDescent="0.35">
      <c r="A144" s="18" t="s">
        <v>2271</v>
      </c>
      <c r="B144" s="186">
        <v>0.15</v>
      </c>
      <c r="C144" s="186">
        <v>2</v>
      </c>
      <c r="D144" s="186">
        <v>4</v>
      </c>
      <c r="E144" s="186" t="s">
        <v>2272</v>
      </c>
      <c r="F144" s="187" t="s">
        <v>2273</v>
      </c>
    </row>
    <row r="145" spans="1:6" ht="15" thickBot="1" x14ac:dyDescent="0.35">
      <c r="A145" t="s">
        <v>2274</v>
      </c>
      <c r="B145">
        <v>0.186</v>
      </c>
      <c r="C145">
        <v>1</v>
      </c>
      <c r="D145">
        <v>1</v>
      </c>
      <c r="E145" t="s">
        <v>2275</v>
      </c>
      <c r="F145" t="s">
        <v>2276</v>
      </c>
    </row>
    <row r="146" spans="1:6" ht="15" thickBot="1" x14ac:dyDescent="0.35">
      <c r="A146" s="188" t="s">
        <v>1391</v>
      </c>
      <c r="B146" s="189" t="s">
        <v>998</v>
      </c>
      <c r="C146" s="189" t="s">
        <v>1309</v>
      </c>
      <c r="D146" s="189" t="s">
        <v>1310</v>
      </c>
      <c r="E146" s="189" t="s">
        <v>1304</v>
      </c>
      <c r="F146" s="190" t="s">
        <v>1305</v>
      </c>
    </row>
    <row r="147" spans="1:6" x14ac:dyDescent="0.3">
      <c r="A147" t="s">
        <v>2277</v>
      </c>
      <c r="B147">
        <v>3.86</v>
      </c>
      <c r="C147">
        <v>12.2</v>
      </c>
      <c r="D147">
        <v>3.2</v>
      </c>
      <c r="E147" t="s">
        <v>2278</v>
      </c>
      <c r="F147" t="s">
        <v>2279</v>
      </c>
    </row>
    <row r="148" spans="1:6" x14ac:dyDescent="0.3">
      <c r="A148" t="s">
        <v>1392</v>
      </c>
    </row>
    <row r="149" spans="1:6" x14ac:dyDescent="0.3">
      <c r="A149" t="s">
        <v>1316</v>
      </c>
    </row>
    <row r="151" spans="1:6" x14ac:dyDescent="0.3">
      <c r="A151" t="s">
        <v>2280</v>
      </c>
    </row>
    <row r="152" spans="1:6" x14ac:dyDescent="0.3">
      <c r="A152" t="s">
        <v>2281</v>
      </c>
    </row>
    <row r="153" spans="1:6" x14ac:dyDescent="0.3">
      <c r="A153" t="s">
        <v>107</v>
      </c>
    </row>
    <row r="155" spans="1:6" x14ac:dyDescent="0.3">
      <c r="A155" t="s">
        <v>2282</v>
      </c>
    </row>
    <row r="156" spans="1:6" x14ac:dyDescent="0.3">
      <c r="A156" t="s">
        <v>2283</v>
      </c>
    </row>
    <row r="157" spans="1:6" x14ac:dyDescent="0.3">
      <c r="A157" t="s">
        <v>1317</v>
      </c>
    </row>
    <row r="159" spans="1:6" x14ac:dyDescent="0.3">
      <c r="A159" t="s">
        <v>2284</v>
      </c>
    </row>
    <row r="160" spans="1:6" x14ac:dyDescent="0.3">
      <c r="A160" t="s">
        <v>2285</v>
      </c>
    </row>
    <row r="161" spans="1:1" x14ac:dyDescent="0.3">
      <c r="A161" t="s">
        <v>1318</v>
      </c>
    </row>
    <row r="163" spans="1:1" x14ac:dyDescent="0.3">
      <c r="A163" t="s">
        <v>1904</v>
      </c>
    </row>
    <row r="164" spans="1:1" x14ac:dyDescent="0.3">
      <c r="A164" t="s">
        <v>1779</v>
      </c>
    </row>
    <row r="165" spans="1:1" x14ac:dyDescent="0.3">
      <c r="A165" t="s">
        <v>1319</v>
      </c>
    </row>
    <row r="166" spans="1:1" x14ac:dyDescent="0.3">
      <c r="A166" t="s">
        <v>2286</v>
      </c>
    </row>
    <row r="167" spans="1:1" x14ac:dyDescent="0.3">
      <c r="A167" t="s">
        <v>1299</v>
      </c>
    </row>
    <row r="169" spans="1:1" x14ac:dyDescent="0.3">
      <c r="A169" t="s">
        <v>1300</v>
      </c>
    </row>
    <row r="170" spans="1:1" x14ac:dyDescent="0.3">
      <c r="A170" t="s">
        <v>1891</v>
      </c>
    </row>
    <row r="171" spans="1:1" x14ac:dyDescent="0.3">
      <c r="A171" t="s">
        <v>1299</v>
      </c>
    </row>
    <row r="173" spans="1:1" x14ac:dyDescent="0.3">
      <c r="A173" t="s">
        <v>1301</v>
      </c>
    </row>
    <row r="175" spans="1:1" x14ac:dyDescent="0.3">
      <c r="A175" t="s">
        <v>1299</v>
      </c>
    </row>
    <row r="177" spans="1:6" x14ac:dyDescent="0.3">
      <c r="A177" t="s">
        <v>2287</v>
      </c>
    </row>
    <row r="179" spans="1:6" x14ac:dyDescent="0.3">
      <c r="A179" t="s">
        <v>5</v>
      </c>
    </row>
    <row r="180" spans="1:6" x14ac:dyDescent="0.3">
      <c r="A180" t="s">
        <v>31</v>
      </c>
    </row>
    <row r="181" spans="1:6" x14ac:dyDescent="0.3">
      <c r="A181" t="s">
        <v>1299</v>
      </c>
    </row>
    <row r="183" spans="1:6" ht="15" thickBot="1" x14ac:dyDescent="0.35">
      <c r="A183" t="s">
        <v>2288</v>
      </c>
    </row>
    <row r="184" spans="1:6" x14ac:dyDescent="0.3">
      <c r="A184" s="181"/>
      <c r="B184" s="182"/>
      <c r="C184" s="182"/>
      <c r="D184" s="182"/>
      <c r="E184" s="182"/>
      <c r="F184" s="183"/>
    </row>
    <row r="185" spans="1:6" x14ac:dyDescent="0.3">
      <c r="A185" s="17" t="s">
        <v>1345</v>
      </c>
      <c r="B185" s="184" t="s">
        <v>1303</v>
      </c>
      <c r="C185" s="184" t="s">
        <v>81</v>
      </c>
      <c r="D185" s="184" t="s">
        <v>82</v>
      </c>
      <c r="E185" s="184" t="s">
        <v>1304</v>
      </c>
      <c r="F185" s="185" t="s">
        <v>1305</v>
      </c>
    </row>
    <row r="186" spans="1:6" x14ac:dyDescent="0.3">
      <c r="A186" s="17" t="s">
        <v>2289</v>
      </c>
      <c r="B186" s="184">
        <v>0.24199999999999999</v>
      </c>
      <c r="C186" s="184">
        <v>1</v>
      </c>
      <c r="D186" s="184">
        <v>3</v>
      </c>
      <c r="E186" s="184" t="s">
        <v>1787</v>
      </c>
      <c r="F186" s="185" t="s">
        <v>2290</v>
      </c>
    </row>
    <row r="187" spans="1:6" x14ac:dyDescent="0.3">
      <c r="A187" s="17" t="s">
        <v>2291</v>
      </c>
      <c r="B187" s="184">
        <v>0.36499999999999999</v>
      </c>
      <c r="C187" s="184">
        <v>3</v>
      </c>
      <c r="D187" s="184">
        <v>6</v>
      </c>
      <c r="E187" s="184" t="s">
        <v>2292</v>
      </c>
      <c r="F187" s="185" t="s">
        <v>2293</v>
      </c>
    </row>
    <row r="188" spans="1:6" x14ac:dyDescent="0.3">
      <c r="A188" s="17" t="s">
        <v>1892</v>
      </c>
      <c r="B188" s="184">
        <v>0.255</v>
      </c>
      <c r="C188" s="184">
        <v>2</v>
      </c>
      <c r="D188" s="184">
        <v>5</v>
      </c>
      <c r="E188" s="184" t="s">
        <v>1916</v>
      </c>
      <c r="F188" s="185" t="s">
        <v>2294</v>
      </c>
    </row>
    <row r="189" spans="1:6" x14ac:dyDescent="0.3">
      <c r="A189" s="17" t="s">
        <v>1831</v>
      </c>
      <c r="B189" s="184">
        <v>0.34100000000000003</v>
      </c>
      <c r="C189" s="184">
        <v>4</v>
      </c>
      <c r="D189" s="184">
        <v>13</v>
      </c>
      <c r="E189" s="184" t="s">
        <v>2295</v>
      </c>
      <c r="F189" s="185" t="s">
        <v>2296</v>
      </c>
    </row>
    <row r="190" spans="1:6" x14ac:dyDescent="0.3">
      <c r="A190" s="17" t="s">
        <v>2297</v>
      </c>
      <c r="B190" s="184">
        <v>0.25</v>
      </c>
      <c r="C190" s="184">
        <v>0</v>
      </c>
      <c r="D190" s="184">
        <v>1</v>
      </c>
      <c r="E190" s="184" t="s">
        <v>2298</v>
      </c>
      <c r="F190" s="185" t="s">
        <v>2299</v>
      </c>
    </row>
    <row r="191" spans="1:6" x14ac:dyDescent="0.3">
      <c r="A191" s="17" t="s">
        <v>2300</v>
      </c>
      <c r="B191" s="184">
        <v>0.27</v>
      </c>
      <c r="C191" s="184">
        <v>2</v>
      </c>
      <c r="D191" s="184">
        <v>6</v>
      </c>
      <c r="E191" s="184" t="s">
        <v>2301</v>
      </c>
      <c r="F191" s="185" t="s">
        <v>1881</v>
      </c>
    </row>
    <row r="192" spans="1:6" x14ac:dyDescent="0.3">
      <c r="A192" s="17" t="s">
        <v>1893</v>
      </c>
      <c r="B192" s="184">
        <v>0.186</v>
      </c>
      <c r="C192" s="184">
        <v>2</v>
      </c>
      <c r="D192" s="184">
        <v>6</v>
      </c>
      <c r="E192" s="184" t="s">
        <v>1585</v>
      </c>
      <c r="F192" s="185" t="s">
        <v>2302</v>
      </c>
    </row>
    <row r="193" spans="1:6" ht="15" thickBot="1" x14ac:dyDescent="0.35">
      <c r="A193" s="18" t="s">
        <v>1832</v>
      </c>
      <c r="B193" s="186">
        <v>0.375</v>
      </c>
      <c r="C193" s="186">
        <v>0</v>
      </c>
      <c r="D193" s="186">
        <v>0</v>
      </c>
      <c r="E193" s="186" t="s">
        <v>2303</v>
      </c>
      <c r="F193" s="187" t="s">
        <v>2304</v>
      </c>
    </row>
    <row r="194" spans="1:6" ht="15" thickBot="1" x14ac:dyDescent="0.35">
      <c r="A194" t="s">
        <v>2305</v>
      </c>
      <c r="B194">
        <v>0.19400000000000001</v>
      </c>
      <c r="C194">
        <v>2</v>
      </c>
      <c r="D194">
        <v>4</v>
      </c>
      <c r="E194" t="s">
        <v>2306</v>
      </c>
      <c r="F194" t="s">
        <v>2307</v>
      </c>
    </row>
    <row r="195" spans="1:6" ht="15" thickBot="1" x14ac:dyDescent="0.35">
      <c r="A195" s="188" t="s">
        <v>1347</v>
      </c>
      <c r="B195" s="189" t="s">
        <v>998</v>
      </c>
      <c r="C195" s="189" t="s">
        <v>1309</v>
      </c>
      <c r="D195" s="189" t="s">
        <v>1310</v>
      </c>
      <c r="E195" s="189" t="s">
        <v>1304</v>
      </c>
      <c r="F195" s="190" t="s">
        <v>1305</v>
      </c>
    </row>
    <row r="196" spans="1:6" ht="15" thickBot="1" x14ac:dyDescent="0.35">
      <c r="A196" t="s">
        <v>2308</v>
      </c>
      <c r="B196">
        <v>1.42</v>
      </c>
      <c r="C196">
        <v>7.6</v>
      </c>
      <c r="D196">
        <v>0</v>
      </c>
      <c r="E196" t="s">
        <v>2309</v>
      </c>
      <c r="F196" t="s">
        <v>2310</v>
      </c>
    </row>
    <row r="197" spans="1:6" x14ac:dyDescent="0.3">
      <c r="A197" s="181" t="s">
        <v>1348</v>
      </c>
      <c r="B197" s="182"/>
      <c r="C197" s="182"/>
      <c r="D197" s="182"/>
      <c r="E197" s="182"/>
      <c r="F197" s="183"/>
    </row>
    <row r="198" spans="1:6" x14ac:dyDescent="0.3">
      <c r="A198" s="17" t="s">
        <v>1808</v>
      </c>
      <c r="B198" s="184" t="s">
        <v>1303</v>
      </c>
      <c r="C198" s="184" t="s">
        <v>81</v>
      </c>
      <c r="D198" s="184" t="s">
        <v>82</v>
      </c>
      <c r="E198" s="184" t="s">
        <v>1304</v>
      </c>
      <c r="F198" s="185" t="s">
        <v>1305</v>
      </c>
    </row>
    <row r="199" spans="1:6" x14ac:dyDescent="0.3">
      <c r="A199" s="17" t="s">
        <v>2311</v>
      </c>
      <c r="B199" s="184">
        <v>0.19500000000000001</v>
      </c>
      <c r="C199" s="184">
        <v>3</v>
      </c>
      <c r="D199" s="184">
        <v>9</v>
      </c>
      <c r="E199" s="184" t="s">
        <v>1782</v>
      </c>
      <c r="F199" s="185" t="s">
        <v>2312</v>
      </c>
    </row>
    <row r="200" spans="1:6" x14ac:dyDescent="0.3">
      <c r="A200" s="17" t="s">
        <v>2313</v>
      </c>
      <c r="B200" s="184">
        <v>0.23200000000000001</v>
      </c>
      <c r="C200" s="184">
        <v>1</v>
      </c>
      <c r="D200" s="184">
        <v>4</v>
      </c>
      <c r="E200" s="184" t="s">
        <v>1934</v>
      </c>
      <c r="F200" s="185" t="s">
        <v>2314</v>
      </c>
    </row>
    <row r="201" spans="1:6" x14ac:dyDescent="0.3">
      <c r="A201" s="17" t="s">
        <v>2315</v>
      </c>
      <c r="B201" s="184">
        <v>0.184</v>
      </c>
      <c r="C201" s="184">
        <v>0</v>
      </c>
      <c r="D201" s="184">
        <v>5</v>
      </c>
      <c r="E201" s="184" t="s">
        <v>1907</v>
      </c>
      <c r="F201" s="185" t="s">
        <v>2316</v>
      </c>
    </row>
    <row r="202" spans="1:6" x14ac:dyDescent="0.3">
      <c r="A202" s="17" t="s">
        <v>2317</v>
      </c>
      <c r="B202" s="184">
        <v>0.21199999999999999</v>
      </c>
      <c r="C202" s="184">
        <v>2</v>
      </c>
      <c r="D202" s="184">
        <v>3</v>
      </c>
      <c r="E202" s="184" t="s">
        <v>2318</v>
      </c>
      <c r="F202" s="185" t="s">
        <v>2319</v>
      </c>
    </row>
    <row r="203" spans="1:6" x14ac:dyDescent="0.3">
      <c r="A203" s="17" t="s">
        <v>2320</v>
      </c>
      <c r="B203" s="184">
        <v>0.214</v>
      </c>
      <c r="C203" s="184">
        <v>1</v>
      </c>
      <c r="D203" s="184">
        <v>8</v>
      </c>
      <c r="E203" s="184" t="s">
        <v>2321</v>
      </c>
      <c r="F203" s="185" t="s">
        <v>2322</v>
      </c>
    </row>
    <row r="204" spans="1:6" x14ac:dyDescent="0.3">
      <c r="A204" s="17" t="s">
        <v>2323</v>
      </c>
      <c r="B204" s="184">
        <v>0.25</v>
      </c>
      <c r="C204" s="184">
        <v>0</v>
      </c>
      <c r="D204" s="184">
        <v>0</v>
      </c>
      <c r="E204" s="184" t="s">
        <v>2233</v>
      </c>
      <c r="F204" s="185" t="s">
        <v>1880</v>
      </c>
    </row>
    <row r="205" spans="1:6" x14ac:dyDescent="0.3">
      <c r="A205" s="17" t="s">
        <v>2324</v>
      </c>
      <c r="B205" s="184">
        <v>0.185</v>
      </c>
      <c r="C205" s="184">
        <v>0</v>
      </c>
      <c r="D205" s="184">
        <v>2</v>
      </c>
      <c r="E205" s="184" t="s">
        <v>2303</v>
      </c>
      <c r="F205" s="185" t="s">
        <v>2325</v>
      </c>
    </row>
    <row r="206" spans="1:6" ht="15" thickBot="1" x14ac:dyDescent="0.35">
      <c r="A206" s="18" t="s">
        <v>2326</v>
      </c>
      <c r="B206" s="186">
        <v>0.19400000000000001</v>
      </c>
      <c r="C206" s="186">
        <v>0</v>
      </c>
      <c r="D206" s="186">
        <v>3</v>
      </c>
      <c r="E206" s="186" t="s">
        <v>2327</v>
      </c>
      <c r="F206" s="187" t="s">
        <v>2328</v>
      </c>
    </row>
    <row r="207" spans="1:6" ht="15" thickBot="1" x14ac:dyDescent="0.35">
      <c r="A207" t="s">
        <v>2329</v>
      </c>
      <c r="B207">
        <v>0.23400000000000001</v>
      </c>
      <c r="C207">
        <v>1</v>
      </c>
      <c r="D207">
        <v>4</v>
      </c>
      <c r="E207" t="s">
        <v>2330</v>
      </c>
      <c r="F207" t="s">
        <v>2331</v>
      </c>
    </row>
    <row r="208" spans="1:6" ht="15" thickBot="1" x14ac:dyDescent="0.35">
      <c r="A208" s="188" t="s">
        <v>1810</v>
      </c>
      <c r="B208" s="189" t="s">
        <v>998</v>
      </c>
      <c r="C208" s="189" t="s">
        <v>1309</v>
      </c>
      <c r="D208" s="189" t="s">
        <v>1310</v>
      </c>
      <c r="E208" s="189" t="s">
        <v>1304</v>
      </c>
      <c r="F208" s="190" t="s">
        <v>1305</v>
      </c>
    </row>
    <row r="209" spans="1:6" x14ac:dyDescent="0.3">
      <c r="A209" t="s">
        <v>2332</v>
      </c>
      <c r="B209">
        <v>13.5</v>
      </c>
      <c r="C209">
        <v>13.5</v>
      </c>
      <c r="D209">
        <v>4.5</v>
      </c>
      <c r="E209" t="s">
        <v>2333</v>
      </c>
      <c r="F209" t="s">
        <v>2334</v>
      </c>
    </row>
    <row r="210" spans="1:6" x14ac:dyDescent="0.3">
      <c r="A210" t="s">
        <v>1811</v>
      </c>
    </row>
    <row r="211" spans="1:6" x14ac:dyDescent="0.3">
      <c r="A211" t="s">
        <v>1316</v>
      </c>
    </row>
    <row r="213" spans="1:6" x14ac:dyDescent="0.3">
      <c r="A213" t="s">
        <v>2335</v>
      </c>
    </row>
    <row r="214" spans="1:6" x14ac:dyDescent="0.3">
      <c r="A214" t="s">
        <v>2336</v>
      </c>
    </row>
    <row r="215" spans="1:6" x14ac:dyDescent="0.3">
      <c r="A215" t="s">
        <v>107</v>
      </c>
    </row>
    <row r="217" spans="1:6" x14ac:dyDescent="0.3">
      <c r="A217" t="s">
        <v>1894</v>
      </c>
    </row>
    <row r="218" spans="1:6" x14ac:dyDescent="0.3">
      <c r="A218" t="s">
        <v>2337</v>
      </c>
    </row>
    <row r="219" spans="1:6" x14ac:dyDescent="0.3">
      <c r="A219" t="s">
        <v>1317</v>
      </c>
    </row>
    <row r="221" spans="1:6" x14ac:dyDescent="0.3">
      <c r="A221" t="s">
        <v>1923</v>
      </c>
    </row>
    <row r="222" spans="1:6" x14ac:dyDescent="0.3">
      <c r="A222" t="s">
        <v>1924</v>
      </c>
    </row>
    <row r="223" spans="1:6" x14ac:dyDescent="0.3">
      <c r="A223" t="s">
        <v>1318</v>
      </c>
    </row>
    <row r="225" spans="1:1" x14ac:dyDescent="0.3">
      <c r="A225" t="s">
        <v>1895</v>
      </c>
    </row>
    <row r="226" spans="1:1" x14ac:dyDescent="0.3">
      <c r="A226" t="s">
        <v>1822</v>
      </c>
    </row>
    <row r="227" spans="1:1" x14ac:dyDescent="0.3">
      <c r="A227" t="s">
        <v>1319</v>
      </c>
    </row>
    <row r="228" spans="1:1" x14ac:dyDescent="0.3">
      <c r="A228" t="s">
        <v>1946</v>
      </c>
    </row>
    <row r="229" spans="1:1" x14ac:dyDescent="0.3">
      <c r="A229" t="s">
        <v>1299</v>
      </c>
    </row>
    <row r="231" spans="1:1" x14ac:dyDescent="0.3">
      <c r="A231" t="s">
        <v>1300</v>
      </c>
    </row>
    <row r="232" spans="1:1" x14ac:dyDescent="0.3">
      <c r="A232" t="s">
        <v>2338</v>
      </c>
    </row>
    <row r="233" spans="1:1" x14ac:dyDescent="0.3">
      <c r="A233" t="s">
        <v>1299</v>
      </c>
    </row>
    <row r="235" spans="1:1" x14ac:dyDescent="0.3">
      <c r="A235" t="s">
        <v>1301</v>
      </c>
    </row>
    <row r="237" spans="1:1" x14ac:dyDescent="0.3">
      <c r="A237" t="s">
        <v>1299</v>
      </c>
    </row>
    <row r="239" spans="1:1" x14ac:dyDescent="0.3">
      <c r="A239" t="s">
        <v>2339</v>
      </c>
    </row>
    <row r="241" spans="1:6" x14ac:dyDescent="0.3">
      <c r="A241" t="s">
        <v>6</v>
      </c>
    </row>
    <row r="242" spans="1:6" x14ac:dyDescent="0.3">
      <c r="A242" t="s">
        <v>9</v>
      </c>
    </row>
    <row r="243" spans="1:6" x14ac:dyDescent="0.3">
      <c r="A243" t="s">
        <v>1299</v>
      </c>
    </row>
    <row r="245" spans="1:6" ht="15" thickBot="1" x14ac:dyDescent="0.35">
      <c r="A245" t="s">
        <v>2340</v>
      </c>
    </row>
    <row r="246" spans="1:6" x14ac:dyDescent="0.3">
      <c r="A246" s="181"/>
      <c r="B246" s="182"/>
      <c r="C246" s="182"/>
      <c r="D246" s="182"/>
      <c r="E246" s="182"/>
      <c r="F246" s="183"/>
    </row>
    <row r="247" spans="1:6" x14ac:dyDescent="0.3">
      <c r="A247" s="17" t="s">
        <v>1393</v>
      </c>
      <c r="B247" s="184" t="s">
        <v>1303</v>
      </c>
      <c r="C247" s="184" t="s">
        <v>81</v>
      </c>
      <c r="D247" s="184" t="s">
        <v>82</v>
      </c>
      <c r="E247" s="184" t="s">
        <v>1304</v>
      </c>
      <c r="F247" s="185" t="s">
        <v>1305</v>
      </c>
    </row>
    <row r="248" spans="1:6" x14ac:dyDescent="0.3">
      <c r="A248" s="17" t="s">
        <v>1947</v>
      </c>
      <c r="B248" s="184">
        <v>0.218</v>
      </c>
      <c r="C248" s="184">
        <v>2</v>
      </c>
      <c r="D248" s="184">
        <v>11</v>
      </c>
      <c r="E248" s="184" t="s">
        <v>2341</v>
      </c>
      <c r="F248" s="185" t="s">
        <v>2342</v>
      </c>
    </row>
    <row r="249" spans="1:6" x14ac:dyDescent="0.3">
      <c r="A249" s="17" t="s">
        <v>2343</v>
      </c>
      <c r="B249" s="184">
        <v>0.35099999999999998</v>
      </c>
      <c r="C249" s="184">
        <v>4</v>
      </c>
      <c r="D249" s="184">
        <v>13</v>
      </c>
      <c r="E249" s="184" t="s">
        <v>2344</v>
      </c>
      <c r="F249" s="185" t="s">
        <v>2345</v>
      </c>
    </row>
    <row r="250" spans="1:6" x14ac:dyDescent="0.3">
      <c r="A250" s="17" t="s">
        <v>1575</v>
      </c>
      <c r="B250" s="184">
        <v>0.23400000000000001</v>
      </c>
      <c r="C250" s="184">
        <v>6</v>
      </c>
      <c r="D250" s="184">
        <v>19</v>
      </c>
      <c r="E250" s="184" t="s">
        <v>2346</v>
      </c>
      <c r="F250" s="185" t="s">
        <v>2347</v>
      </c>
    </row>
    <row r="251" spans="1:6" x14ac:dyDescent="0.3">
      <c r="A251" s="17" t="s">
        <v>2348</v>
      </c>
      <c r="B251" s="184">
        <v>0.189</v>
      </c>
      <c r="C251" s="184">
        <v>1</v>
      </c>
      <c r="D251" s="184">
        <v>5</v>
      </c>
      <c r="E251" s="184" t="s">
        <v>1799</v>
      </c>
      <c r="F251" s="185" t="s">
        <v>2349</v>
      </c>
    </row>
    <row r="252" spans="1:6" x14ac:dyDescent="0.3">
      <c r="A252" s="17" t="s">
        <v>2350</v>
      </c>
      <c r="B252" s="184">
        <v>0.34499999999999997</v>
      </c>
      <c r="C252" s="184">
        <v>3</v>
      </c>
      <c r="D252" s="184">
        <v>6</v>
      </c>
      <c r="E252" s="184" t="s">
        <v>2008</v>
      </c>
      <c r="F252" s="185" t="s">
        <v>2351</v>
      </c>
    </row>
    <row r="253" spans="1:6" x14ac:dyDescent="0.3">
      <c r="A253" s="17" t="s">
        <v>2352</v>
      </c>
      <c r="B253" s="184">
        <v>0.25600000000000001</v>
      </c>
      <c r="C253" s="184">
        <v>1</v>
      </c>
      <c r="D253" s="184">
        <v>5</v>
      </c>
      <c r="E253" s="184" t="s">
        <v>2353</v>
      </c>
      <c r="F253" s="185" t="s">
        <v>2354</v>
      </c>
    </row>
    <row r="254" spans="1:6" x14ac:dyDescent="0.3">
      <c r="A254" s="17" t="s">
        <v>2355</v>
      </c>
      <c r="B254" s="184">
        <v>0.25</v>
      </c>
      <c r="C254" s="184">
        <v>1</v>
      </c>
      <c r="D254" s="184">
        <v>4</v>
      </c>
      <c r="E254" s="184" t="s">
        <v>1952</v>
      </c>
      <c r="F254" s="185" t="s">
        <v>2356</v>
      </c>
    </row>
    <row r="255" spans="1:6" ht="15" thickBot="1" x14ac:dyDescent="0.35">
      <c r="A255" s="18" t="s">
        <v>2357</v>
      </c>
      <c r="B255" s="186">
        <v>9.0999999999999998E-2</v>
      </c>
      <c r="C255" s="186">
        <v>0</v>
      </c>
      <c r="D255" s="186">
        <v>1</v>
      </c>
      <c r="E255" s="186" t="s">
        <v>1942</v>
      </c>
      <c r="F255" s="187" t="s">
        <v>2358</v>
      </c>
    </row>
    <row r="256" spans="1:6" ht="15" thickBot="1" x14ac:dyDescent="0.35">
      <c r="A256" t="s">
        <v>2359</v>
      </c>
      <c r="B256">
        <v>0.35</v>
      </c>
      <c r="C256">
        <v>3</v>
      </c>
      <c r="D256">
        <v>11</v>
      </c>
      <c r="E256" t="s">
        <v>1950</v>
      </c>
      <c r="F256" t="s">
        <v>2360</v>
      </c>
    </row>
    <row r="257" spans="1:6" ht="15" thickBot="1" x14ac:dyDescent="0.35">
      <c r="A257" s="188" t="s">
        <v>1394</v>
      </c>
      <c r="B257" s="189" t="s">
        <v>998</v>
      </c>
      <c r="C257" s="189" t="s">
        <v>1309</v>
      </c>
      <c r="D257" s="189" t="s">
        <v>1310</v>
      </c>
      <c r="E257" s="189" t="s">
        <v>1304</v>
      </c>
      <c r="F257" s="190" t="s">
        <v>1305</v>
      </c>
    </row>
    <row r="258" spans="1:6" ht="15" thickBot="1" x14ac:dyDescent="0.35">
      <c r="A258" t="s">
        <v>2361</v>
      </c>
      <c r="B258">
        <v>4.18</v>
      </c>
      <c r="C258">
        <v>4.9000000000000004</v>
      </c>
      <c r="D258">
        <v>2.2999999999999998</v>
      </c>
      <c r="E258" t="s">
        <v>2362</v>
      </c>
      <c r="F258" t="s">
        <v>2363</v>
      </c>
    </row>
    <row r="259" spans="1:6" x14ac:dyDescent="0.3">
      <c r="A259" s="181" t="s">
        <v>1395</v>
      </c>
      <c r="B259" s="182"/>
      <c r="C259" s="182"/>
      <c r="D259" s="182"/>
      <c r="E259" s="182"/>
      <c r="F259" s="183"/>
    </row>
    <row r="260" spans="1:6" x14ac:dyDescent="0.3">
      <c r="A260" s="17" t="s">
        <v>1380</v>
      </c>
      <c r="B260" s="184" t="s">
        <v>1303</v>
      </c>
      <c r="C260" s="184" t="s">
        <v>81</v>
      </c>
      <c r="D260" s="184" t="s">
        <v>82</v>
      </c>
      <c r="E260" s="184" t="s">
        <v>1304</v>
      </c>
      <c r="F260" s="185" t="s">
        <v>1305</v>
      </c>
    </row>
    <row r="261" spans="1:6" x14ac:dyDescent="0.3">
      <c r="A261" s="17" t="s">
        <v>1780</v>
      </c>
      <c r="B261" s="184">
        <v>0.27600000000000002</v>
      </c>
      <c r="C261" s="184">
        <v>0</v>
      </c>
      <c r="D261" s="184">
        <v>4</v>
      </c>
      <c r="E261" s="184" t="s">
        <v>2364</v>
      </c>
      <c r="F261" s="185" t="s">
        <v>2365</v>
      </c>
    </row>
    <row r="262" spans="1:6" x14ac:dyDescent="0.3">
      <c r="A262" s="17" t="s">
        <v>1381</v>
      </c>
      <c r="B262" s="184">
        <v>0.28999999999999998</v>
      </c>
      <c r="C262" s="184">
        <v>5</v>
      </c>
      <c r="D262" s="184">
        <v>11</v>
      </c>
      <c r="E262" s="184" t="s">
        <v>1775</v>
      </c>
      <c r="F262" s="185" t="s">
        <v>2366</v>
      </c>
    </row>
    <row r="263" spans="1:6" x14ac:dyDescent="0.3">
      <c r="A263" s="17" t="s">
        <v>1781</v>
      </c>
      <c r="B263" s="184">
        <v>0.27500000000000002</v>
      </c>
      <c r="C263" s="184">
        <v>0</v>
      </c>
      <c r="D263" s="184">
        <v>10</v>
      </c>
      <c r="E263" s="184" t="s">
        <v>2367</v>
      </c>
      <c r="F263" s="185" t="s">
        <v>2368</v>
      </c>
    </row>
    <row r="264" spans="1:6" x14ac:dyDescent="0.3">
      <c r="A264" s="17" t="s">
        <v>1953</v>
      </c>
      <c r="B264" s="184">
        <v>0.185</v>
      </c>
      <c r="C264" s="184">
        <v>0</v>
      </c>
      <c r="D264" s="184">
        <v>4</v>
      </c>
      <c r="E264" s="184" t="s">
        <v>1789</v>
      </c>
      <c r="F264" s="185" t="s">
        <v>2369</v>
      </c>
    </row>
    <row r="265" spans="1:6" x14ac:dyDescent="0.3">
      <c r="A265" s="17" t="s">
        <v>2370</v>
      </c>
      <c r="B265" s="184">
        <v>0.29799999999999999</v>
      </c>
      <c r="C265" s="184">
        <v>1</v>
      </c>
      <c r="D265" s="184">
        <v>6</v>
      </c>
      <c r="E265" s="184" t="s">
        <v>1795</v>
      </c>
      <c r="F265" s="185" t="s">
        <v>2371</v>
      </c>
    </row>
    <row r="266" spans="1:6" x14ac:dyDescent="0.3">
      <c r="A266" s="17" t="s">
        <v>2372</v>
      </c>
      <c r="B266" s="184">
        <v>0.35299999999999998</v>
      </c>
      <c r="C266" s="184">
        <v>3</v>
      </c>
      <c r="D266" s="184">
        <v>6</v>
      </c>
      <c r="E266" s="184" t="s">
        <v>2373</v>
      </c>
      <c r="F266" s="185" t="s">
        <v>2374</v>
      </c>
    </row>
    <row r="267" spans="1:6" x14ac:dyDescent="0.3">
      <c r="A267" s="17" t="s">
        <v>2375</v>
      </c>
      <c r="B267" s="184">
        <v>0.25</v>
      </c>
      <c r="C267" s="184">
        <v>1</v>
      </c>
      <c r="D267" s="184">
        <v>5</v>
      </c>
      <c r="E267" s="184" t="s">
        <v>2376</v>
      </c>
      <c r="F267" s="185" t="s">
        <v>2377</v>
      </c>
    </row>
    <row r="268" spans="1:6" ht="15" thickBot="1" x14ac:dyDescent="0.35">
      <c r="A268" s="18" t="s">
        <v>2378</v>
      </c>
      <c r="B268" s="186">
        <v>0.16700000000000001</v>
      </c>
      <c r="C268" s="186">
        <v>1</v>
      </c>
      <c r="D268" s="186">
        <v>1</v>
      </c>
      <c r="E268" s="186" t="s">
        <v>1385</v>
      </c>
      <c r="F268" s="187" t="s">
        <v>2379</v>
      </c>
    </row>
    <row r="269" spans="1:6" ht="15" thickBot="1" x14ac:dyDescent="0.35">
      <c r="A269" t="s">
        <v>1783</v>
      </c>
      <c r="B269">
        <v>0.20399999999999999</v>
      </c>
      <c r="C269">
        <v>0</v>
      </c>
      <c r="D269">
        <v>4</v>
      </c>
      <c r="E269" t="s">
        <v>2252</v>
      </c>
      <c r="F269" t="s">
        <v>2380</v>
      </c>
    </row>
    <row r="270" spans="1:6" ht="15" thickBot="1" x14ac:dyDescent="0.35">
      <c r="A270" s="188" t="s">
        <v>1382</v>
      </c>
      <c r="B270" s="189" t="s">
        <v>998</v>
      </c>
      <c r="C270" s="189" t="s">
        <v>1309</v>
      </c>
      <c r="D270" s="189" t="s">
        <v>1310</v>
      </c>
      <c r="E270" s="189" t="s">
        <v>1304</v>
      </c>
      <c r="F270" s="190" t="s">
        <v>1305</v>
      </c>
    </row>
    <row r="271" spans="1:6" x14ac:dyDescent="0.3">
      <c r="A271" t="s">
        <v>2381</v>
      </c>
      <c r="B271">
        <v>6.32</v>
      </c>
      <c r="C271">
        <v>8</v>
      </c>
      <c r="D271">
        <v>5.7</v>
      </c>
      <c r="E271" t="s">
        <v>2382</v>
      </c>
      <c r="F271" t="s">
        <v>2383</v>
      </c>
    </row>
    <row r="272" spans="1:6" x14ac:dyDescent="0.3">
      <c r="A272" t="s">
        <v>1383</v>
      </c>
    </row>
    <row r="273" spans="1:1" x14ac:dyDescent="0.3">
      <c r="A273" t="s">
        <v>1316</v>
      </c>
    </row>
    <row r="275" spans="1:1" x14ac:dyDescent="0.3">
      <c r="A275" t="s">
        <v>2384</v>
      </c>
    </row>
    <row r="276" spans="1:1" x14ac:dyDescent="0.3">
      <c r="A276" t="s">
        <v>2385</v>
      </c>
    </row>
    <row r="277" spans="1:1" x14ac:dyDescent="0.3">
      <c r="A277" t="s">
        <v>107</v>
      </c>
    </row>
    <row r="279" spans="1:1" x14ac:dyDescent="0.3">
      <c r="A279" t="s">
        <v>2386</v>
      </c>
    </row>
    <row r="280" spans="1:1" x14ac:dyDescent="0.3">
      <c r="A280" t="s">
        <v>2387</v>
      </c>
    </row>
    <row r="281" spans="1:1" x14ac:dyDescent="0.3">
      <c r="A281" t="s">
        <v>1317</v>
      </c>
    </row>
    <row r="283" spans="1:1" x14ac:dyDescent="0.3">
      <c r="A283" t="s">
        <v>2388</v>
      </c>
    </row>
    <row r="284" spans="1:1" x14ac:dyDescent="0.3">
      <c r="A284" t="s">
        <v>2389</v>
      </c>
    </row>
    <row r="285" spans="1:1" x14ac:dyDescent="0.3">
      <c r="A285" t="s">
        <v>1318</v>
      </c>
    </row>
    <row r="287" spans="1:1" x14ac:dyDescent="0.3">
      <c r="A287" t="s">
        <v>1955</v>
      </c>
    </row>
    <row r="288" spans="1:1" x14ac:dyDescent="0.3">
      <c r="A288" t="s">
        <v>1956</v>
      </c>
    </row>
    <row r="289" spans="1:1" x14ac:dyDescent="0.3">
      <c r="A289" t="s">
        <v>1319</v>
      </c>
    </row>
    <row r="290" spans="1:1" x14ac:dyDescent="0.3">
      <c r="A290" t="s">
        <v>2390</v>
      </c>
    </row>
    <row r="291" spans="1:1" x14ac:dyDescent="0.3">
      <c r="A291" t="s">
        <v>1299</v>
      </c>
    </row>
    <row r="293" spans="1:1" x14ac:dyDescent="0.3">
      <c r="A293" t="s">
        <v>1300</v>
      </c>
    </row>
    <row r="294" spans="1:1" x14ac:dyDescent="0.3">
      <c r="A294" t="s">
        <v>1974</v>
      </c>
    </row>
    <row r="295" spans="1:1" x14ac:dyDescent="0.3">
      <c r="A295" t="s">
        <v>1299</v>
      </c>
    </row>
    <row r="297" spans="1:1" x14ac:dyDescent="0.3">
      <c r="A297" t="s">
        <v>1301</v>
      </c>
    </row>
    <row r="299" spans="1:1" x14ac:dyDescent="0.3">
      <c r="A299" t="s">
        <v>1299</v>
      </c>
    </row>
    <row r="301" spans="1:1" x14ac:dyDescent="0.3">
      <c r="A301" t="s">
        <v>2391</v>
      </c>
    </row>
    <row r="303" spans="1:1" x14ac:dyDescent="0.3">
      <c r="A303" t="s">
        <v>13</v>
      </c>
    </row>
    <row r="304" spans="1:1" x14ac:dyDescent="0.3">
      <c r="A304" t="s">
        <v>8</v>
      </c>
    </row>
    <row r="305" spans="1:6" x14ac:dyDescent="0.3">
      <c r="A305" t="s">
        <v>1299</v>
      </c>
    </row>
    <row r="307" spans="1:6" ht="15" thickBot="1" x14ac:dyDescent="0.35">
      <c r="A307" t="s">
        <v>2392</v>
      </c>
    </row>
    <row r="308" spans="1:6" x14ac:dyDescent="0.3">
      <c r="A308" s="181"/>
      <c r="B308" s="182"/>
      <c r="C308" s="182"/>
      <c r="D308" s="182"/>
      <c r="E308" s="182"/>
      <c r="F308" s="183"/>
    </row>
    <row r="309" spans="1:6" x14ac:dyDescent="0.3">
      <c r="A309" s="17" t="s">
        <v>1384</v>
      </c>
      <c r="B309" s="184" t="s">
        <v>1303</v>
      </c>
      <c r="C309" s="184" t="s">
        <v>81</v>
      </c>
      <c r="D309" s="184" t="s">
        <v>82</v>
      </c>
      <c r="E309" s="184" t="s">
        <v>1304</v>
      </c>
      <c r="F309" s="185" t="s">
        <v>1305</v>
      </c>
    </row>
    <row r="310" spans="1:6" x14ac:dyDescent="0.3">
      <c r="A310" s="17" t="s">
        <v>2393</v>
      </c>
      <c r="B310" s="184">
        <v>0.182</v>
      </c>
      <c r="C310" s="184">
        <v>1</v>
      </c>
      <c r="D310" s="184">
        <v>4</v>
      </c>
      <c r="E310" s="184" t="s">
        <v>2394</v>
      </c>
      <c r="F310" s="185" t="s">
        <v>2395</v>
      </c>
    </row>
    <row r="311" spans="1:6" x14ac:dyDescent="0.3">
      <c r="A311" s="17" t="s">
        <v>1769</v>
      </c>
      <c r="B311" s="184">
        <v>0.32200000000000001</v>
      </c>
      <c r="C311" s="184">
        <v>5</v>
      </c>
      <c r="D311" s="184">
        <v>14</v>
      </c>
      <c r="E311" s="184" t="s">
        <v>2396</v>
      </c>
      <c r="F311" s="185" t="s">
        <v>2397</v>
      </c>
    </row>
    <row r="312" spans="1:6" x14ac:dyDescent="0.3">
      <c r="A312" s="17" t="s">
        <v>1770</v>
      </c>
      <c r="B312" s="184">
        <v>0.31</v>
      </c>
      <c r="C312" s="184">
        <v>2</v>
      </c>
      <c r="D312" s="184">
        <v>6</v>
      </c>
      <c r="E312" s="184" t="s">
        <v>2398</v>
      </c>
      <c r="F312" s="185" t="s">
        <v>2399</v>
      </c>
    </row>
    <row r="313" spans="1:6" x14ac:dyDescent="0.3">
      <c r="A313" s="17" t="s">
        <v>2400</v>
      </c>
      <c r="B313" s="184">
        <v>0.23100000000000001</v>
      </c>
      <c r="C313" s="184">
        <v>2</v>
      </c>
      <c r="D313" s="184">
        <v>6</v>
      </c>
      <c r="E313" s="184" t="s">
        <v>1952</v>
      </c>
      <c r="F313" s="185" t="s">
        <v>2401</v>
      </c>
    </row>
    <row r="314" spans="1:6" x14ac:dyDescent="0.3">
      <c r="A314" s="17" t="s">
        <v>2402</v>
      </c>
      <c r="B314" s="184">
        <v>0.35499999999999998</v>
      </c>
      <c r="C314" s="184">
        <v>1</v>
      </c>
      <c r="D314" s="184">
        <v>4</v>
      </c>
      <c r="E314" s="184" t="s">
        <v>2403</v>
      </c>
      <c r="F314" s="185" t="s">
        <v>2404</v>
      </c>
    </row>
    <row r="315" spans="1:6" x14ac:dyDescent="0.3">
      <c r="A315" s="17" t="s">
        <v>2405</v>
      </c>
      <c r="B315" s="184">
        <v>0.34399999999999997</v>
      </c>
      <c r="C315" s="184">
        <v>1</v>
      </c>
      <c r="D315" s="184">
        <v>4</v>
      </c>
      <c r="E315" s="184" t="s">
        <v>1988</v>
      </c>
      <c r="F315" s="185" t="s">
        <v>2406</v>
      </c>
    </row>
    <row r="316" spans="1:6" x14ac:dyDescent="0.3">
      <c r="A316" s="17" t="s">
        <v>2407</v>
      </c>
      <c r="B316" s="184">
        <v>6.7000000000000004E-2</v>
      </c>
      <c r="C316" s="184">
        <v>0</v>
      </c>
      <c r="D316" s="184">
        <v>0</v>
      </c>
      <c r="E316" s="184" t="s">
        <v>1580</v>
      </c>
      <c r="F316" s="185" t="s">
        <v>2408</v>
      </c>
    </row>
    <row r="317" spans="1:6" ht="15" thickBot="1" x14ac:dyDescent="0.35">
      <c r="A317" s="18" t="s">
        <v>2409</v>
      </c>
      <c r="B317" s="186">
        <v>0.217</v>
      </c>
      <c r="C317" s="186">
        <v>2</v>
      </c>
      <c r="D317" s="186">
        <v>6</v>
      </c>
      <c r="E317" s="186" t="s">
        <v>2410</v>
      </c>
      <c r="F317" s="187" t="s">
        <v>2411</v>
      </c>
    </row>
    <row r="318" spans="1:6" ht="15" thickBot="1" x14ac:dyDescent="0.35">
      <c r="A318" t="s">
        <v>2412</v>
      </c>
      <c r="B318">
        <v>0.25900000000000001</v>
      </c>
      <c r="C318">
        <v>1</v>
      </c>
      <c r="D318">
        <v>2</v>
      </c>
      <c r="E318" t="s">
        <v>1337</v>
      </c>
      <c r="F318" t="s">
        <v>2413</v>
      </c>
    </row>
    <row r="319" spans="1:6" ht="15" thickBot="1" x14ac:dyDescent="0.35">
      <c r="A319" s="188" t="s">
        <v>1386</v>
      </c>
      <c r="B319" s="189" t="s">
        <v>998</v>
      </c>
      <c r="C319" s="189" t="s">
        <v>1309</v>
      </c>
      <c r="D319" s="189" t="s">
        <v>1310</v>
      </c>
      <c r="E319" s="189" t="s">
        <v>1304</v>
      </c>
      <c r="F319" s="190" t="s">
        <v>1305</v>
      </c>
    </row>
    <row r="320" spans="1:6" ht="15" thickBot="1" x14ac:dyDescent="0.35">
      <c r="A320" t="s">
        <v>2414</v>
      </c>
      <c r="B320">
        <v>6</v>
      </c>
      <c r="C320">
        <v>6.6</v>
      </c>
      <c r="D320">
        <v>4.8</v>
      </c>
      <c r="E320" t="s">
        <v>2415</v>
      </c>
      <c r="F320" t="s">
        <v>2416</v>
      </c>
    </row>
    <row r="321" spans="1:6" x14ac:dyDescent="0.3">
      <c r="A321" s="181" t="s">
        <v>1387</v>
      </c>
      <c r="B321" s="182"/>
      <c r="C321" s="182"/>
      <c r="D321" s="182"/>
      <c r="E321" s="182"/>
      <c r="F321" s="183"/>
    </row>
    <row r="322" spans="1:6" x14ac:dyDescent="0.3">
      <c r="A322" s="17" t="s">
        <v>1396</v>
      </c>
      <c r="B322" s="184" t="s">
        <v>1303</v>
      </c>
      <c r="C322" s="184" t="s">
        <v>81</v>
      </c>
      <c r="D322" s="184" t="s">
        <v>82</v>
      </c>
      <c r="E322" s="184" t="s">
        <v>1304</v>
      </c>
      <c r="F322" s="185" t="s">
        <v>1305</v>
      </c>
    </row>
    <row r="323" spans="1:6" x14ac:dyDescent="0.3">
      <c r="A323" s="17" t="s">
        <v>2417</v>
      </c>
      <c r="B323" s="184">
        <v>0.27300000000000002</v>
      </c>
      <c r="C323" s="184">
        <v>2</v>
      </c>
      <c r="D323" s="184">
        <v>5</v>
      </c>
      <c r="E323" s="184" t="s">
        <v>1342</v>
      </c>
      <c r="F323" s="185" t="s">
        <v>2418</v>
      </c>
    </row>
    <row r="324" spans="1:6" x14ac:dyDescent="0.3">
      <c r="A324" s="17" t="s">
        <v>2419</v>
      </c>
      <c r="B324" s="184">
        <v>0.29299999999999998</v>
      </c>
      <c r="C324" s="184">
        <v>1</v>
      </c>
      <c r="D324" s="184">
        <v>4</v>
      </c>
      <c r="E324" s="184" t="s">
        <v>2420</v>
      </c>
      <c r="F324" s="185" t="s">
        <v>2421</v>
      </c>
    </row>
    <row r="325" spans="1:6" x14ac:dyDescent="0.3">
      <c r="A325" s="17" t="s">
        <v>2422</v>
      </c>
      <c r="B325" s="184">
        <v>0.32700000000000001</v>
      </c>
      <c r="C325" s="184">
        <v>1</v>
      </c>
      <c r="D325" s="184">
        <v>8</v>
      </c>
      <c r="E325" s="184" t="s">
        <v>2423</v>
      </c>
      <c r="F325" s="185" t="s">
        <v>2424</v>
      </c>
    </row>
    <row r="326" spans="1:6" x14ac:dyDescent="0.3">
      <c r="A326" s="17" t="s">
        <v>1978</v>
      </c>
      <c r="B326" s="184">
        <v>0.32800000000000001</v>
      </c>
      <c r="C326" s="184">
        <v>2</v>
      </c>
      <c r="D326" s="184">
        <v>13</v>
      </c>
      <c r="E326" s="184" t="s">
        <v>2425</v>
      </c>
      <c r="F326" s="185" t="s">
        <v>2426</v>
      </c>
    </row>
    <row r="327" spans="1:6" x14ac:dyDescent="0.3">
      <c r="A327" s="17" t="s">
        <v>2427</v>
      </c>
      <c r="B327" s="184">
        <v>0.32600000000000001</v>
      </c>
      <c r="C327" s="184">
        <v>4</v>
      </c>
      <c r="D327" s="184">
        <v>13</v>
      </c>
      <c r="E327" s="184" t="s">
        <v>1979</v>
      </c>
      <c r="F327" s="185" t="s">
        <v>2428</v>
      </c>
    </row>
    <row r="328" spans="1:6" x14ac:dyDescent="0.3">
      <c r="A328" s="17" t="s">
        <v>2429</v>
      </c>
      <c r="B328" s="184">
        <v>0.27300000000000002</v>
      </c>
      <c r="C328" s="184">
        <v>2</v>
      </c>
      <c r="D328" s="184">
        <v>8</v>
      </c>
      <c r="E328" s="184" t="s">
        <v>2013</v>
      </c>
      <c r="F328" s="185" t="s">
        <v>2430</v>
      </c>
    </row>
    <row r="329" spans="1:6" x14ac:dyDescent="0.3">
      <c r="A329" s="17" t="s">
        <v>2431</v>
      </c>
      <c r="B329" s="184">
        <v>0.2</v>
      </c>
      <c r="C329" s="184">
        <v>0</v>
      </c>
      <c r="D329" s="184">
        <v>0</v>
      </c>
      <c r="E329" s="184" t="s">
        <v>2432</v>
      </c>
      <c r="F329" s="185" t="s">
        <v>2433</v>
      </c>
    </row>
    <row r="330" spans="1:6" ht="15" thickBot="1" x14ac:dyDescent="0.35">
      <c r="A330" s="18" t="s">
        <v>2434</v>
      </c>
      <c r="B330" s="186">
        <v>0.25</v>
      </c>
      <c r="C330" s="186">
        <v>1</v>
      </c>
      <c r="D330" s="186">
        <v>1</v>
      </c>
      <c r="E330" s="186" t="s">
        <v>1778</v>
      </c>
      <c r="F330" s="187" t="s">
        <v>2435</v>
      </c>
    </row>
    <row r="331" spans="1:6" ht="15" thickBot="1" x14ac:dyDescent="0.35">
      <c r="A331" t="s">
        <v>2436</v>
      </c>
      <c r="B331">
        <v>8.3000000000000004E-2</v>
      </c>
      <c r="C331">
        <v>0</v>
      </c>
      <c r="D331">
        <v>0</v>
      </c>
      <c r="E331" t="s">
        <v>1346</v>
      </c>
      <c r="F331" t="s">
        <v>2437</v>
      </c>
    </row>
    <row r="332" spans="1:6" ht="15" thickBot="1" x14ac:dyDescent="0.35">
      <c r="A332" s="188" t="s">
        <v>1397</v>
      </c>
      <c r="B332" s="189" t="s">
        <v>998</v>
      </c>
      <c r="C332" s="189" t="s">
        <v>1309</v>
      </c>
      <c r="D332" s="189" t="s">
        <v>1310</v>
      </c>
      <c r="E332" s="189" t="s">
        <v>1304</v>
      </c>
      <c r="F332" s="190" t="s">
        <v>1305</v>
      </c>
    </row>
    <row r="333" spans="1:6" x14ac:dyDescent="0.3">
      <c r="A333" t="s">
        <v>2438</v>
      </c>
      <c r="B333">
        <v>6.48</v>
      </c>
      <c r="C333">
        <v>9.1999999999999993</v>
      </c>
      <c r="D333">
        <v>4.3</v>
      </c>
      <c r="E333" t="s">
        <v>2439</v>
      </c>
      <c r="F333" t="s">
        <v>2440</v>
      </c>
    </row>
    <row r="334" spans="1:6" x14ac:dyDescent="0.3">
      <c r="A334" t="s">
        <v>1398</v>
      </c>
    </row>
    <row r="335" spans="1:6" x14ac:dyDescent="0.3">
      <c r="A335" t="s">
        <v>1316</v>
      </c>
    </row>
    <row r="337" spans="1:1" x14ac:dyDescent="0.3">
      <c r="A337" t="s">
        <v>2441</v>
      </c>
    </row>
    <row r="338" spans="1:1" x14ac:dyDescent="0.3">
      <c r="A338" t="s">
        <v>2442</v>
      </c>
    </row>
    <row r="339" spans="1:1" x14ac:dyDescent="0.3">
      <c r="A339" t="s">
        <v>107</v>
      </c>
    </row>
    <row r="341" spans="1:1" x14ac:dyDescent="0.3">
      <c r="A341" t="s">
        <v>2443</v>
      </c>
    </row>
    <row r="342" spans="1:1" x14ac:dyDescent="0.3">
      <c r="A342" t="s">
        <v>2444</v>
      </c>
    </row>
    <row r="343" spans="1:1" x14ac:dyDescent="0.3">
      <c r="A343" t="s">
        <v>1317</v>
      </c>
    </row>
    <row r="345" spans="1:1" x14ac:dyDescent="0.3">
      <c r="A345" t="s">
        <v>1785</v>
      </c>
    </row>
    <row r="346" spans="1:1" x14ac:dyDescent="0.3">
      <c r="A346" t="s">
        <v>1829</v>
      </c>
    </row>
    <row r="347" spans="1:1" x14ac:dyDescent="0.3">
      <c r="A347" t="s">
        <v>1318</v>
      </c>
    </row>
    <row r="349" spans="1:1" x14ac:dyDescent="0.3">
      <c r="A349" t="s">
        <v>1771</v>
      </c>
    </row>
    <row r="350" spans="1:1" x14ac:dyDescent="0.3">
      <c r="A350" t="s">
        <v>1980</v>
      </c>
    </row>
    <row r="351" spans="1:1" x14ac:dyDescent="0.3">
      <c r="A351" t="s">
        <v>1319</v>
      </c>
    </row>
    <row r="352" spans="1:1" x14ac:dyDescent="0.3">
      <c r="A352" t="s">
        <v>2445</v>
      </c>
    </row>
    <row r="353" spans="1:1" x14ac:dyDescent="0.3">
      <c r="A353" t="s">
        <v>1299</v>
      </c>
    </row>
    <row r="355" spans="1:1" x14ac:dyDescent="0.3">
      <c r="A355" t="s">
        <v>1300</v>
      </c>
    </row>
    <row r="356" spans="1:1" x14ac:dyDescent="0.3">
      <c r="A356" t="s">
        <v>2446</v>
      </c>
    </row>
    <row r="357" spans="1:1" x14ac:dyDescent="0.3">
      <c r="A357" t="s">
        <v>1299</v>
      </c>
    </row>
    <row r="359" spans="1:1" x14ac:dyDescent="0.3">
      <c r="A359" t="s">
        <v>1301</v>
      </c>
    </row>
    <row r="361" spans="1:1" x14ac:dyDescent="0.3">
      <c r="A361" t="s">
        <v>1299</v>
      </c>
    </row>
    <row r="363" spans="1:1" x14ac:dyDescent="0.3">
      <c r="A363" t="s">
        <v>2447</v>
      </c>
    </row>
    <row r="365" spans="1:1" x14ac:dyDescent="0.3">
      <c r="A365" t="s">
        <v>0</v>
      </c>
    </row>
    <row r="366" spans="1:1" x14ac:dyDescent="0.3">
      <c r="A366" t="s">
        <v>15</v>
      </c>
    </row>
    <row r="367" spans="1:1" x14ac:dyDescent="0.3">
      <c r="A367" t="s">
        <v>1299</v>
      </c>
    </row>
    <row r="369" spans="1:6" ht="15" thickBot="1" x14ac:dyDescent="0.35">
      <c r="A369" t="s">
        <v>2448</v>
      </c>
    </row>
    <row r="370" spans="1:6" x14ac:dyDescent="0.3">
      <c r="A370" s="181"/>
      <c r="B370" s="182"/>
      <c r="C370" s="182"/>
      <c r="D370" s="182"/>
      <c r="E370" s="182"/>
      <c r="F370" s="183"/>
    </row>
    <row r="371" spans="1:6" x14ac:dyDescent="0.3">
      <c r="A371" s="17" t="s">
        <v>1360</v>
      </c>
      <c r="B371" s="184" t="s">
        <v>1303</v>
      </c>
      <c r="C371" s="184" t="s">
        <v>81</v>
      </c>
      <c r="D371" s="184" t="s">
        <v>82</v>
      </c>
      <c r="E371" s="184" t="s">
        <v>1304</v>
      </c>
      <c r="F371" s="185" t="s">
        <v>1305</v>
      </c>
    </row>
    <row r="372" spans="1:6" x14ac:dyDescent="0.3">
      <c r="A372" s="17" t="s">
        <v>1915</v>
      </c>
      <c r="B372" s="184">
        <v>0.22900000000000001</v>
      </c>
      <c r="C372" s="184">
        <v>4</v>
      </c>
      <c r="D372" s="184">
        <v>9</v>
      </c>
      <c r="E372" s="184" t="s">
        <v>1900</v>
      </c>
      <c r="F372" s="185" t="s">
        <v>2449</v>
      </c>
    </row>
    <row r="373" spans="1:6" x14ac:dyDescent="0.3">
      <c r="A373" s="17" t="s">
        <v>2450</v>
      </c>
      <c r="B373" s="184">
        <v>0.33900000000000002</v>
      </c>
      <c r="C373" s="184">
        <v>4</v>
      </c>
      <c r="D373" s="184">
        <v>12</v>
      </c>
      <c r="E373" s="184" t="s">
        <v>2451</v>
      </c>
      <c r="F373" s="185" t="s">
        <v>2452</v>
      </c>
    </row>
    <row r="374" spans="1:6" x14ac:dyDescent="0.3">
      <c r="A374" s="17" t="s">
        <v>2453</v>
      </c>
      <c r="B374" s="184">
        <v>0.255</v>
      </c>
      <c r="C374" s="184">
        <v>3</v>
      </c>
      <c r="D374" s="184">
        <v>10</v>
      </c>
      <c r="E374" s="184" t="s">
        <v>2454</v>
      </c>
      <c r="F374" s="185" t="s">
        <v>2455</v>
      </c>
    </row>
    <row r="375" spans="1:6" x14ac:dyDescent="0.3">
      <c r="A375" s="17" t="s">
        <v>2456</v>
      </c>
      <c r="B375" s="184">
        <v>0.29299999999999998</v>
      </c>
      <c r="C375" s="184">
        <v>3</v>
      </c>
      <c r="D375" s="184">
        <v>17</v>
      </c>
      <c r="E375" s="184" t="s">
        <v>2457</v>
      </c>
      <c r="F375" s="185" t="s">
        <v>2458</v>
      </c>
    </row>
    <row r="376" spans="1:6" x14ac:dyDescent="0.3">
      <c r="A376" s="17" t="s">
        <v>2459</v>
      </c>
      <c r="B376" s="184">
        <v>0.314</v>
      </c>
      <c r="C376" s="184">
        <v>3</v>
      </c>
      <c r="D376" s="184">
        <v>7</v>
      </c>
      <c r="E376" s="184" t="s">
        <v>2420</v>
      </c>
      <c r="F376" s="185" t="s">
        <v>2460</v>
      </c>
    </row>
    <row r="377" spans="1:6" x14ac:dyDescent="0.3">
      <c r="A377" s="17" t="s">
        <v>2461</v>
      </c>
      <c r="B377" s="184">
        <v>0.28599999999999998</v>
      </c>
      <c r="C377" s="184">
        <v>1</v>
      </c>
      <c r="D377" s="184">
        <v>3</v>
      </c>
      <c r="E377" s="184" t="s">
        <v>2462</v>
      </c>
      <c r="F377" s="185" t="s">
        <v>2463</v>
      </c>
    </row>
    <row r="378" spans="1:6" x14ac:dyDescent="0.3">
      <c r="A378" s="17" t="s">
        <v>1917</v>
      </c>
      <c r="B378" s="184">
        <v>0.21099999999999999</v>
      </c>
      <c r="C378" s="184">
        <v>2</v>
      </c>
      <c r="D378" s="184">
        <v>4</v>
      </c>
      <c r="E378" s="184" t="s">
        <v>1931</v>
      </c>
      <c r="F378" s="185" t="s">
        <v>2260</v>
      </c>
    </row>
    <row r="379" spans="1:6" ht="15" thickBot="1" x14ac:dyDescent="0.35">
      <c r="A379" s="18" t="s">
        <v>2464</v>
      </c>
      <c r="B379" s="186">
        <v>0.16700000000000001</v>
      </c>
      <c r="C379" s="186">
        <v>0</v>
      </c>
      <c r="D379" s="186">
        <v>3</v>
      </c>
      <c r="E379" s="186" t="s">
        <v>2465</v>
      </c>
      <c r="F379" s="187" t="s">
        <v>2466</v>
      </c>
    </row>
    <row r="380" spans="1:6" ht="15" thickBot="1" x14ac:dyDescent="0.35">
      <c r="A380" t="s">
        <v>2467</v>
      </c>
      <c r="B380">
        <v>0.3</v>
      </c>
      <c r="C380">
        <v>0</v>
      </c>
      <c r="D380">
        <v>2</v>
      </c>
      <c r="E380" t="s">
        <v>1328</v>
      </c>
      <c r="F380" t="s">
        <v>2468</v>
      </c>
    </row>
    <row r="381" spans="1:6" ht="15" thickBot="1" x14ac:dyDescent="0.35">
      <c r="A381" s="188" t="s">
        <v>1361</v>
      </c>
      <c r="B381" s="189" t="s">
        <v>998</v>
      </c>
      <c r="C381" s="189" t="s">
        <v>1309</v>
      </c>
      <c r="D381" s="189" t="s">
        <v>1310</v>
      </c>
      <c r="E381" s="189" t="s">
        <v>1304</v>
      </c>
      <c r="F381" s="190" t="s">
        <v>1305</v>
      </c>
    </row>
    <row r="382" spans="1:6" ht="15" thickBot="1" x14ac:dyDescent="0.35">
      <c r="A382" t="s">
        <v>2469</v>
      </c>
      <c r="B382">
        <v>4.1500000000000004</v>
      </c>
      <c r="C382">
        <v>6.2</v>
      </c>
      <c r="D382">
        <v>2.1</v>
      </c>
      <c r="E382" t="s">
        <v>2470</v>
      </c>
      <c r="F382" t="s">
        <v>2471</v>
      </c>
    </row>
    <row r="383" spans="1:6" x14ac:dyDescent="0.3">
      <c r="A383" s="181" t="s">
        <v>1362</v>
      </c>
      <c r="B383" s="182"/>
      <c r="C383" s="182"/>
      <c r="D383" s="182"/>
      <c r="E383" s="182"/>
      <c r="F383" s="183"/>
    </row>
    <row r="384" spans="1:6" x14ac:dyDescent="0.3">
      <c r="A384" s="17" t="s">
        <v>1812</v>
      </c>
      <c r="B384" s="184" t="s">
        <v>1303</v>
      </c>
      <c r="C384" s="184" t="s">
        <v>81</v>
      </c>
      <c r="D384" s="184" t="s">
        <v>82</v>
      </c>
      <c r="E384" s="184" t="s">
        <v>1304</v>
      </c>
      <c r="F384" s="185" t="s">
        <v>1305</v>
      </c>
    </row>
    <row r="385" spans="1:6" x14ac:dyDescent="0.3">
      <c r="A385" s="17" t="s">
        <v>1813</v>
      </c>
      <c r="B385" s="184">
        <v>0.254</v>
      </c>
      <c r="C385" s="184">
        <v>3</v>
      </c>
      <c r="D385" s="184">
        <v>8</v>
      </c>
      <c r="E385" s="184" t="s">
        <v>1918</v>
      </c>
      <c r="F385" s="185" t="s">
        <v>2472</v>
      </c>
    </row>
    <row r="386" spans="1:6" x14ac:dyDescent="0.3">
      <c r="A386" s="17" t="s">
        <v>1814</v>
      </c>
      <c r="B386" s="184">
        <v>0.36799999999999999</v>
      </c>
      <c r="C386" s="184">
        <v>4</v>
      </c>
      <c r="D386" s="184">
        <v>11</v>
      </c>
      <c r="E386" s="184" t="s">
        <v>2473</v>
      </c>
      <c r="F386" s="185" t="s">
        <v>2474</v>
      </c>
    </row>
    <row r="387" spans="1:6" x14ac:dyDescent="0.3">
      <c r="A387" s="17" t="s">
        <v>1815</v>
      </c>
      <c r="B387" s="184">
        <v>0.39</v>
      </c>
      <c r="C387" s="184">
        <v>2</v>
      </c>
      <c r="D387" s="184">
        <v>7</v>
      </c>
      <c r="E387" s="184" t="s">
        <v>1816</v>
      </c>
      <c r="F387" s="185" t="s">
        <v>2475</v>
      </c>
    </row>
    <row r="388" spans="1:6" x14ac:dyDescent="0.3">
      <c r="A388" s="17" t="s">
        <v>1919</v>
      </c>
      <c r="B388" s="184">
        <v>0.26400000000000001</v>
      </c>
      <c r="C388" s="184">
        <v>1</v>
      </c>
      <c r="D388" s="184">
        <v>4</v>
      </c>
      <c r="E388" s="184" t="s">
        <v>2476</v>
      </c>
      <c r="F388" s="185" t="s">
        <v>2477</v>
      </c>
    </row>
    <row r="389" spans="1:6" x14ac:dyDescent="0.3">
      <c r="A389" s="17" t="s">
        <v>1920</v>
      </c>
      <c r="B389" s="184">
        <v>0.45300000000000001</v>
      </c>
      <c r="C389" s="184">
        <v>3</v>
      </c>
      <c r="D389" s="184">
        <v>15</v>
      </c>
      <c r="E389" s="184" t="s">
        <v>2478</v>
      </c>
      <c r="F389" s="185" t="s">
        <v>2479</v>
      </c>
    </row>
    <row r="390" spans="1:6" x14ac:dyDescent="0.3">
      <c r="A390" s="17" t="s">
        <v>2480</v>
      </c>
      <c r="B390" s="184">
        <v>0.26500000000000001</v>
      </c>
      <c r="C390" s="184">
        <v>1</v>
      </c>
      <c r="D390" s="184">
        <v>9</v>
      </c>
      <c r="E390" s="184" t="s">
        <v>1995</v>
      </c>
      <c r="F390" s="185" t="s">
        <v>2481</v>
      </c>
    </row>
    <row r="391" spans="1:6" x14ac:dyDescent="0.3">
      <c r="A391" s="17" t="s">
        <v>2482</v>
      </c>
      <c r="B391" s="184">
        <v>0.25</v>
      </c>
      <c r="C391" s="184">
        <v>0</v>
      </c>
      <c r="D391" s="184">
        <v>6</v>
      </c>
      <c r="E391" s="184" t="s">
        <v>2013</v>
      </c>
      <c r="F391" s="185" t="s">
        <v>2483</v>
      </c>
    </row>
    <row r="392" spans="1:6" ht="15" thickBot="1" x14ac:dyDescent="0.35">
      <c r="A392" s="18" t="s">
        <v>1818</v>
      </c>
      <c r="B392" s="186">
        <v>0.107</v>
      </c>
      <c r="C392" s="186">
        <v>0</v>
      </c>
      <c r="D392" s="186">
        <v>4</v>
      </c>
      <c r="E392" s="186" t="s">
        <v>2484</v>
      </c>
      <c r="F392" s="187" t="s">
        <v>2485</v>
      </c>
    </row>
    <row r="393" spans="1:6" ht="15" thickBot="1" x14ac:dyDescent="0.35">
      <c r="A393" t="s">
        <v>1819</v>
      </c>
      <c r="B393">
        <v>0.33300000000000002</v>
      </c>
      <c r="C393">
        <v>1</v>
      </c>
      <c r="D393">
        <v>6</v>
      </c>
      <c r="E393" t="s">
        <v>1921</v>
      </c>
      <c r="F393" t="s">
        <v>1922</v>
      </c>
    </row>
    <row r="394" spans="1:6" ht="15" thickBot="1" x14ac:dyDescent="0.35">
      <c r="A394" s="188" t="s">
        <v>1820</v>
      </c>
      <c r="B394" s="189" t="s">
        <v>998</v>
      </c>
      <c r="C394" s="189" t="s">
        <v>1309</v>
      </c>
      <c r="D394" s="189" t="s">
        <v>1310</v>
      </c>
      <c r="E394" s="189" t="s">
        <v>1304</v>
      </c>
      <c r="F394" s="190" t="s">
        <v>1305</v>
      </c>
    </row>
    <row r="395" spans="1:6" x14ac:dyDescent="0.3">
      <c r="A395" t="s">
        <v>2486</v>
      </c>
      <c r="B395">
        <v>4.7</v>
      </c>
      <c r="C395">
        <v>10</v>
      </c>
      <c r="D395">
        <v>1.8</v>
      </c>
      <c r="E395" t="s">
        <v>2487</v>
      </c>
      <c r="F395" t="s">
        <v>2488</v>
      </c>
    </row>
    <row r="396" spans="1:6" x14ac:dyDescent="0.3">
      <c r="A396" t="s">
        <v>1821</v>
      </c>
    </row>
    <row r="397" spans="1:6" x14ac:dyDescent="0.3">
      <c r="A397" t="s">
        <v>1316</v>
      </c>
    </row>
    <row r="399" spans="1:6" x14ac:dyDescent="0.3">
      <c r="A399" t="s">
        <v>2489</v>
      </c>
    </row>
    <row r="400" spans="1:6" x14ac:dyDescent="0.3">
      <c r="A400" t="s">
        <v>2490</v>
      </c>
    </row>
    <row r="401" spans="1:1" x14ac:dyDescent="0.3">
      <c r="A401" t="s">
        <v>107</v>
      </c>
    </row>
    <row r="403" spans="1:1" x14ac:dyDescent="0.3">
      <c r="A403" t="s">
        <v>2491</v>
      </c>
    </row>
    <row r="404" spans="1:1" x14ac:dyDescent="0.3">
      <c r="A404" t="s">
        <v>2492</v>
      </c>
    </row>
    <row r="405" spans="1:1" x14ac:dyDescent="0.3">
      <c r="A405" t="s">
        <v>1317</v>
      </c>
    </row>
    <row r="407" spans="1:1" x14ac:dyDescent="0.3">
      <c r="A407" t="s">
        <v>2493</v>
      </c>
    </row>
    <row r="408" spans="1:1" x14ac:dyDescent="0.3">
      <c r="A408" t="s">
        <v>2494</v>
      </c>
    </row>
    <row r="409" spans="1:1" x14ac:dyDescent="0.3">
      <c r="A409" t="s">
        <v>1318</v>
      </c>
    </row>
    <row r="411" spans="1:1" x14ac:dyDescent="0.3">
      <c r="A411" t="s">
        <v>1363</v>
      </c>
    </row>
    <row r="412" spans="1:1" x14ac:dyDescent="0.3">
      <c r="A412" t="s">
        <v>2495</v>
      </c>
    </row>
    <row r="413" spans="1:1" x14ac:dyDescent="0.3">
      <c r="A413" t="s">
        <v>1319</v>
      </c>
    </row>
    <row r="414" spans="1:1" x14ac:dyDescent="0.3">
      <c r="A414" t="s">
        <v>2496</v>
      </c>
    </row>
    <row r="415" spans="1:1" x14ac:dyDescent="0.3">
      <c r="A415" t="s">
        <v>1299</v>
      </c>
    </row>
    <row r="417" spans="1:6" x14ac:dyDescent="0.3">
      <c r="A417" t="s">
        <v>1300</v>
      </c>
    </row>
    <row r="418" spans="1:6" x14ac:dyDescent="0.3">
      <c r="A418" t="s">
        <v>2497</v>
      </c>
    </row>
    <row r="419" spans="1:6" x14ac:dyDescent="0.3">
      <c r="A419" t="s">
        <v>1299</v>
      </c>
    </row>
    <row r="421" spans="1:6" x14ac:dyDescent="0.3">
      <c r="A421" t="s">
        <v>1301</v>
      </c>
    </row>
    <row r="423" spans="1:6" x14ac:dyDescent="0.3">
      <c r="A423" t="s">
        <v>1299</v>
      </c>
    </row>
    <row r="425" spans="1:6" x14ac:dyDescent="0.3">
      <c r="A425" t="s">
        <v>2498</v>
      </c>
    </row>
    <row r="427" spans="1:6" x14ac:dyDescent="0.3">
      <c r="A427" t="s">
        <v>20</v>
      </c>
    </row>
    <row r="428" spans="1:6" x14ac:dyDescent="0.3">
      <c r="A428" t="s">
        <v>19</v>
      </c>
    </row>
    <row r="429" spans="1:6" x14ac:dyDescent="0.3">
      <c r="A429" t="s">
        <v>1299</v>
      </c>
    </row>
    <row r="431" spans="1:6" ht="15" thickBot="1" x14ac:dyDescent="0.35">
      <c r="A431" t="s">
        <v>2499</v>
      </c>
    </row>
    <row r="432" spans="1:6" x14ac:dyDescent="0.3">
      <c r="A432" s="181"/>
      <c r="B432" s="182"/>
      <c r="C432" s="182"/>
      <c r="D432" s="182"/>
      <c r="E432" s="182"/>
      <c r="F432" s="183"/>
    </row>
    <row r="433" spans="1:6" x14ac:dyDescent="0.3">
      <c r="A433" s="17" t="s">
        <v>1374</v>
      </c>
      <c r="B433" s="184" t="s">
        <v>1303</v>
      </c>
      <c r="C433" s="184" t="s">
        <v>81</v>
      </c>
      <c r="D433" s="184" t="s">
        <v>82</v>
      </c>
      <c r="E433" s="184" t="s">
        <v>1304</v>
      </c>
      <c r="F433" s="185" t="s">
        <v>1305</v>
      </c>
    </row>
    <row r="434" spans="1:6" x14ac:dyDescent="0.3">
      <c r="A434" s="17" t="s">
        <v>1375</v>
      </c>
      <c r="B434" s="184">
        <v>0.246</v>
      </c>
      <c r="C434" s="184">
        <v>0</v>
      </c>
      <c r="D434" s="184">
        <v>8</v>
      </c>
      <c r="E434" s="184" t="s">
        <v>2500</v>
      </c>
      <c r="F434" s="185" t="s">
        <v>2501</v>
      </c>
    </row>
    <row r="435" spans="1:6" x14ac:dyDescent="0.3">
      <c r="A435" s="17" t="s">
        <v>1376</v>
      </c>
      <c r="B435" s="184">
        <v>0.222</v>
      </c>
      <c r="C435" s="184">
        <v>1</v>
      </c>
      <c r="D435" s="184">
        <v>4</v>
      </c>
      <c r="E435" s="184" t="s">
        <v>1906</v>
      </c>
      <c r="F435" s="185" t="s">
        <v>2502</v>
      </c>
    </row>
    <row r="436" spans="1:6" x14ac:dyDescent="0.3">
      <c r="A436" s="17" t="s">
        <v>1377</v>
      </c>
      <c r="B436" s="184">
        <v>0.31</v>
      </c>
      <c r="C436" s="184">
        <v>1</v>
      </c>
      <c r="D436" s="184">
        <v>9</v>
      </c>
      <c r="E436" s="184" t="s">
        <v>2503</v>
      </c>
      <c r="F436" s="185" t="s">
        <v>2504</v>
      </c>
    </row>
    <row r="437" spans="1:6" x14ac:dyDescent="0.3">
      <c r="A437" s="17" t="s">
        <v>2505</v>
      </c>
      <c r="B437" s="184">
        <v>0.17299999999999999</v>
      </c>
      <c r="C437" s="184">
        <v>2</v>
      </c>
      <c r="D437" s="184">
        <v>9</v>
      </c>
      <c r="E437" s="184" t="s">
        <v>1790</v>
      </c>
      <c r="F437" s="185" t="s">
        <v>2506</v>
      </c>
    </row>
    <row r="438" spans="1:6" x14ac:dyDescent="0.3">
      <c r="A438" s="17" t="s">
        <v>2507</v>
      </c>
      <c r="B438" s="184">
        <v>0.16700000000000001</v>
      </c>
      <c r="C438" s="184">
        <v>1</v>
      </c>
      <c r="D438" s="184">
        <v>6</v>
      </c>
      <c r="E438" s="184" t="s">
        <v>1791</v>
      </c>
      <c r="F438" s="185" t="s">
        <v>2508</v>
      </c>
    </row>
    <row r="439" spans="1:6" x14ac:dyDescent="0.3">
      <c r="A439" s="17" t="s">
        <v>2509</v>
      </c>
      <c r="B439" s="184">
        <v>0.30499999999999999</v>
      </c>
      <c r="C439" s="184">
        <v>1</v>
      </c>
      <c r="D439" s="184">
        <v>5</v>
      </c>
      <c r="E439" s="184" t="s">
        <v>2510</v>
      </c>
      <c r="F439" s="185" t="s">
        <v>2511</v>
      </c>
    </row>
    <row r="440" spans="1:6" x14ac:dyDescent="0.3">
      <c r="A440" s="17" t="s">
        <v>1574</v>
      </c>
      <c r="B440" s="184">
        <v>0.28100000000000003</v>
      </c>
      <c r="C440" s="184">
        <v>0</v>
      </c>
      <c r="D440" s="184">
        <v>7</v>
      </c>
      <c r="E440" s="184" t="s">
        <v>1429</v>
      </c>
      <c r="F440" s="185" t="s">
        <v>2512</v>
      </c>
    </row>
    <row r="441" spans="1:6" ht="15" thickBot="1" x14ac:dyDescent="0.35">
      <c r="A441" s="18" t="s">
        <v>2513</v>
      </c>
      <c r="B441" s="186">
        <v>0.31900000000000001</v>
      </c>
      <c r="C441" s="186">
        <v>0</v>
      </c>
      <c r="D441" s="186">
        <v>6</v>
      </c>
      <c r="E441" s="186" t="s">
        <v>1908</v>
      </c>
      <c r="F441" s="187" t="s">
        <v>2514</v>
      </c>
    </row>
    <row r="442" spans="1:6" ht="15" thickBot="1" x14ac:dyDescent="0.35">
      <c r="A442" t="s">
        <v>2515</v>
      </c>
      <c r="B442">
        <v>0.14299999999999999</v>
      </c>
      <c r="C442">
        <v>0</v>
      </c>
      <c r="D442">
        <v>2</v>
      </c>
      <c r="E442" t="s">
        <v>2516</v>
      </c>
      <c r="F442" t="s">
        <v>2517</v>
      </c>
    </row>
    <row r="443" spans="1:6" ht="15" thickBot="1" x14ac:dyDescent="0.35">
      <c r="A443" s="188" t="s">
        <v>1378</v>
      </c>
      <c r="B443" s="189" t="s">
        <v>998</v>
      </c>
      <c r="C443" s="189" t="s">
        <v>1309</v>
      </c>
      <c r="D443" s="189" t="s">
        <v>1310</v>
      </c>
      <c r="E443" s="189" t="s">
        <v>1304</v>
      </c>
      <c r="F443" s="190" t="s">
        <v>1305</v>
      </c>
    </row>
    <row r="444" spans="1:6" ht="15" thickBot="1" x14ac:dyDescent="0.35">
      <c r="A444" t="s">
        <v>2518</v>
      </c>
      <c r="B444">
        <v>6.92</v>
      </c>
      <c r="C444">
        <v>5.5</v>
      </c>
      <c r="D444">
        <v>1.4</v>
      </c>
      <c r="E444" t="s">
        <v>2519</v>
      </c>
      <c r="F444" t="s">
        <v>2520</v>
      </c>
    </row>
    <row r="445" spans="1:6" x14ac:dyDescent="0.3">
      <c r="A445" s="181" t="s">
        <v>1379</v>
      </c>
      <c r="B445" s="182"/>
      <c r="C445" s="182"/>
      <c r="D445" s="182"/>
      <c r="E445" s="182"/>
      <c r="F445" s="183"/>
    </row>
    <row r="446" spans="1:6" x14ac:dyDescent="0.3">
      <c r="A446" s="17" t="s">
        <v>1414</v>
      </c>
      <c r="B446" s="184" t="s">
        <v>1303</v>
      </c>
      <c r="C446" s="184" t="s">
        <v>81</v>
      </c>
      <c r="D446" s="184" t="s">
        <v>82</v>
      </c>
      <c r="E446" s="184" t="s">
        <v>1304</v>
      </c>
      <c r="F446" s="185" t="s">
        <v>1305</v>
      </c>
    </row>
    <row r="447" spans="1:6" x14ac:dyDescent="0.3">
      <c r="A447" s="17" t="s">
        <v>1415</v>
      </c>
      <c r="B447" s="184">
        <v>0.20799999999999999</v>
      </c>
      <c r="C447" s="184">
        <v>1</v>
      </c>
      <c r="D447" s="184">
        <v>9</v>
      </c>
      <c r="E447" s="184" t="s">
        <v>2521</v>
      </c>
      <c r="F447" s="185" t="s">
        <v>2522</v>
      </c>
    </row>
    <row r="448" spans="1:6" x14ac:dyDescent="0.3">
      <c r="A448" s="17" t="s">
        <v>1909</v>
      </c>
      <c r="B448" s="184">
        <v>0.245</v>
      </c>
      <c r="C448" s="184">
        <v>0</v>
      </c>
      <c r="D448" s="184">
        <v>4</v>
      </c>
      <c r="E448" s="184" t="s">
        <v>2233</v>
      </c>
      <c r="F448" s="185" t="s">
        <v>2523</v>
      </c>
    </row>
    <row r="449" spans="1:6" x14ac:dyDescent="0.3">
      <c r="A449" s="17" t="s">
        <v>1910</v>
      </c>
      <c r="B449" s="184">
        <v>0.224</v>
      </c>
      <c r="C449" s="184">
        <v>0</v>
      </c>
      <c r="D449" s="184">
        <v>3</v>
      </c>
      <c r="E449" s="184" t="s">
        <v>2524</v>
      </c>
      <c r="F449" s="185" t="s">
        <v>2525</v>
      </c>
    </row>
    <row r="450" spans="1:6" x14ac:dyDescent="0.3">
      <c r="A450" s="17" t="s">
        <v>1911</v>
      </c>
      <c r="B450" s="184">
        <v>0.24199999999999999</v>
      </c>
      <c r="C450" s="184">
        <v>2</v>
      </c>
      <c r="D450" s="184">
        <v>7</v>
      </c>
      <c r="E450" s="184" t="s">
        <v>1931</v>
      </c>
      <c r="F450" s="185" t="s">
        <v>2526</v>
      </c>
    </row>
    <row r="451" spans="1:6" x14ac:dyDescent="0.3">
      <c r="A451" s="17" t="s">
        <v>1912</v>
      </c>
      <c r="B451" s="184">
        <v>0.25700000000000001</v>
      </c>
      <c r="C451" s="184">
        <v>1</v>
      </c>
      <c r="D451" s="184">
        <v>4</v>
      </c>
      <c r="E451" s="184" t="s">
        <v>2527</v>
      </c>
      <c r="F451" s="185" t="s">
        <v>2528</v>
      </c>
    </row>
    <row r="452" spans="1:6" x14ac:dyDescent="0.3">
      <c r="A452" s="17" t="s">
        <v>1913</v>
      </c>
      <c r="B452" s="184">
        <v>0.26500000000000001</v>
      </c>
      <c r="C452" s="184">
        <v>1</v>
      </c>
      <c r="D452" s="184">
        <v>5</v>
      </c>
      <c r="E452" s="184" t="s">
        <v>2529</v>
      </c>
      <c r="F452" s="185" t="s">
        <v>2530</v>
      </c>
    </row>
    <row r="453" spans="1:6" x14ac:dyDescent="0.3">
      <c r="A453" s="17" t="s">
        <v>1796</v>
      </c>
      <c r="B453" s="184">
        <v>0.31</v>
      </c>
      <c r="C453" s="184">
        <v>0</v>
      </c>
      <c r="D453" s="184">
        <v>5</v>
      </c>
      <c r="E453" s="184" t="s">
        <v>2432</v>
      </c>
      <c r="F453" s="185" t="s">
        <v>2531</v>
      </c>
    </row>
    <row r="454" spans="1:6" ht="15" thickBot="1" x14ac:dyDescent="0.35">
      <c r="A454" s="18" t="s">
        <v>1797</v>
      </c>
      <c r="B454" s="186">
        <v>0.20799999999999999</v>
      </c>
      <c r="C454" s="186">
        <v>0</v>
      </c>
      <c r="D454" s="186">
        <v>5</v>
      </c>
      <c r="E454" s="186" t="s">
        <v>2462</v>
      </c>
      <c r="F454" s="187" t="s">
        <v>2532</v>
      </c>
    </row>
    <row r="455" spans="1:6" ht="15" thickBot="1" x14ac:dyDescent="0.35">
      <c r="A455" t="s">
        <v>1798</v>
      </c>
      <c r="B455">
        <v>0.29799999999999999</v>
      </c>
      <c r="C455">
        <v>0</v>
      </c>
      <c r="D455">
        <v>4</v>
      </c>
      <c r="E455" t="s">
        <v>1809</v>
      </c>
      <c r="F455" t="s">
        <v>2533</v>
      </c>
    </row>
    <row r="456" spans="1:6" ht="15" thickBot="1" x14ac:dyDescent="0.35">
      <c r="A456" s="188" t="s">
        <v>1416</v>
      </c>
      <c r="B456" s="189" t="s">
        <v>998</v>
      </c>
      <c r="C456" s="189" t="s">
        <v>1309</v>
      </c>
      <c r="D456" s="189" t="s">
        <v>1310</v>
      </c>
      <c r="E456" s="189" t="s">
        <v>1304</v>
      </c>
      <c r="F456" s="190" t="s">
        <v>1305</v>
      </c>
    </row>
    <row r="457" spans="1:6" x14ac:dyDescent="0.3">
      <c r="A457" t="s">
        <v>2534</v>
      </c>
      <c r="B457">
        <v>8.59</v>
      </c>
      <c r="C457">
        <v>5.5</v>
      </c>
      <c r="D457">
        <v>4.9000000000000004</v>
      </c>
      <c r="E457" t="s">
        <v>2535</v>
      </c>
      <c r="F457" t="s">
        <v>2536</v>
      </c>
    </row>
    <row r="458" spans="1:6" x14ac:dyDescent="0.3">
      <c r="A458" t="s">
        <v>1417</v>
      </c>
    </row>
    <row r="459" spans="1:6" x14ac:dyDescent="0.3">
      <c r="A459" t="s">
        <v>1316</v>
      </c>
    </row>
    <row r="461" spans="1:6" x14ac:dyDescent="0.3">
      <c r="A461" t="s">
        <v>2537</v>
      </c>
    </row>
    <row r="462" spans="1:6" x14ac:dyDescent="0.3">
      <c r="A462" t="s">
        <v>2538</v>
      </c>
    </row>
    <row r="463" spans="1:6" x14ac:dyDescent="0.3">
      <c r="A463" t="s">
        <v>107</v>
      </c>
    </row>
    <row r="465" spans="1:1" x14ac:dyDescent="0.3">
      <c r="A465" t="s">
        <v>2539</v>
      </c>
    </row>
    <row r="466" spans="1:1" x14ac:dyDescent="0.3">
      <c r="A466" t="s">
        <v>2540</v>
      </c>
    </row>
    <row r="467" spans="1:1" x14ac:dyDescent="0.3">
      <c r="A467" t="s">
        <v>1317</v>
      </c>
    </row>
    <row r="469" spans="1:1" x14ac:dyDescent="0.3">
      <c r="A469" t="s">
        <v>2541</v>
      </c>
    </row>
    <row r="470" spans="1:1" x14ac:dyDescent="0.3">
      <c r="A470" t="s">
        <v>2542</v>
      </c>
    </row>
    <row r="471" spans="1:1" x14ac:dyDescent="0.3">
      <c r="A471" t="s">
        <v>1318</v>
      </c>
    </row>
    <row r="473" spans="1:1" x14ac:dyDescent="0.3">
      <c r="A473" t="s">
        <v>1914</v>
      </c>
    </row>
    <row r="474" spans="1:1" x14ac:dyDescent="0.3">
      <c r="A474" t="s">
        <v>1586</v>
      </c>
    </row>
    <row r="475" spans="1:1" x14ac:dyDescent="0.3">
      <c r="A475" t="s">
        <v>1319</v>
      </c>
    </row>
    <row r="476" spans="1:1" x14ac:dyDescent="0.3">
      <c r="A476" t="s">
        <v>2543</v>
      </c>
    </row>
    <row r="477" spans="1:1" x14ac:dyDescent="0.3">
      <c r="A477" t="s">
        <v>1299</v>
      </c>
    </row>
    <row r="479" spans="1:1" x14ac:dyDescent="0.3">
      <c r="A479" t="s">
        <v>1300</v>
      </c>
    </row>
    <row r="480" spans="1:1" x14ac:dyDescent="0.3">
      <c r="A480" t="s">
        <v>2544</v>
      </c>
    </row>
    <row r="481" spans="1:6" x14ac:dyDescent="0.3">
      <c r="A481" t="s">
        <v>1299</v>
      </c>
    </row>
    <row r="483" spans="1:6" x14ac:dyDescent="0.3">
      <c r="A483" t="s">
        <v>1301</v>
      </c>
    </row>
    <row r="485" spans="1:6" x14ac:dyDescent="0.3">
      <c r="A485" t="s">
        <v>1299</v>
      </c>
    </row>
    <row r="487" spans="1:6" x14ac:dyDescent="0.3">
      <c r="A487" t="s">
        <v>2545</v>
      </c>
    </row>
    <row r="489" spans="1:6" x14ac:dyDescent="0.3">
      <c r="A489" t="s">
        <v>4</v>
      </c>
    </row>
    <row r="490" spans="1:6" x14ac:dyDescent="0.3">
      <c r="A490" t="s">
        <v>16</v>
      </c>
    </row>
    <row r="491" spans="1:6" x14ac:dyDescent="0.3">
      <c r="A491" t="s">
        <v>1299</v>
      </c>
    </row>
    <row r="493" spans="1:6" ht="15" thickBot="1" x14ac:dyDescent="0.35">
      <c r="A493" t="s">
        <v>2546</v>
      </c>
    </row>
    <row r="494" spans="1:6" x14ac:dyDescent="0.3">
      <c r="A494" s="181"/>
      <c r="B494" s="182"/>
      <c r="C494" s="182"/>
      <c r="D494" s="182"/>
      <c r="E494" s="182"/>
      <c r="F494" s="183"/>
    </row>
    <row r="495" spans="1:6" x14ac:dyDescent="0.3">
      <c r="A495" s="17" t="s">
        <v>1399</v>
      </c>
      <c r="B495" s="184" t="s">
        <v>1303</v>
      </c>
      <c r="C495" s="184" t="s">
        <v>81</v>
      </c>
      <c r="D495" s="184" t="s">
        <v>82</v>
      </c>
      <c r="E495" s="184" t="s">
        <v>1304</v>
      </c>
      <c r="F495" s="185" t="s">
        <v>1305</v>
      </c>
    </row>
    <row r="496" spans="1:6" x14ac:dyDescent="0.3">
      <c r="A496" s="17" t="s">
        <v>1587</v>
      </c>
      <c r="B496" s="184">
        <v>0.24199999999999999</v>
      </c>
      <c r="C496" s="184">
        <v>2</v>
      </c>
      <c r="D496" s="184">
        <v>5</v>
      </c>
      <c r="E496" s="184" t="s">
        <v>2547</v>
      </c>
      <c r="F496" s="185" t="s">
        <v>2548</v>
      </c>
    </row>
    <row r="497" spans="1:6" x14ac:dyDescent="0.3">
      <c r="A497" s="17" t="s">
        <v>2549</v>
      </c>
      <c r="B497" s="184">
        <v>0.3</v>
      </c>
      <c r="C497" s="184">
        <v>0</v>
      </c>
      <c r="D497" s="184">
        <v>9</v>
      </c>
      <c r="E497" s="184" t="s">
        <v>2353</v>
      </c>
      <c r="F497" s="185" t="s">
        <v>2550</v>
      </c>
    </row>
    <row r="498" spans="1:6" x14ac:dyDescent="0.3">
      <c r="A498" s="17" t="s">
        <v>2551</v>
      </c>
      <c r="B498" s="184">
        <v>0.27300000000000002</v>
      </c>
      <c r="C498" s="184">
        <v>3</v>
      </c>
      <c r="D498" s="184">
        <v>9</v>
      </c>
      <c r="E498" s="184" t="s">
        <v>2552</v>
      </c>
      <c r="F498" s="185" t="s">
        <v>1989</v>
      </c>
    </row>
    <row r="499" spans="1:6" x14ac:dyDescent="0.3">
      <c r="A499" s="17" t="s">
        <v>2553</v>
      </c>
      <c r="B499" s="184">
        <v>0.23899999999999999</v>
      </c>
      <c r="C499" s="184">
        <v>5</v>
      </c>
      <c r="D499" s="184">
        <v>12</v>
      </c>
      <c r="E499" s="184" t="s">
        <v>2554</v>
      </c>
      <c r="F499" s="185" t="s">
        <v>2555</v>
      </c>
    </row>
    <row r="500" spans="1:6" x14ac:dyDescent="0.3">
      <c r="A500" s="17" t="s">
        <v>2556</v>
      </c>
      <c r="B500" s="184">
        <v>0.28599999999999998</v>
      </c>
      <c r="C500" s="184">
        <v>3</v>
      </c>
      <c r="D500" s="184">
        <v>13</v>
      </c>
      <c r="E500" s="184" t="s">
        <v>2557</v>
      </c>
      <c r="F500" s="185" t="s">
        <v>2558</v>
      </c>
    </row>
    <row r="501" spans="1:6" x14ac:dyDescent="0.3">
      <c r="A501" s="17" t="s">
        <v>2559</v>
      </c>
      <c r="B501" s="184">
        <v>0.26100000000000001</v>
      </c>
      <c r="C501" s="184">
        <v>3</v>
      </c>
      <c r="D501" s="184">
        <v>6</v>
      </c>
      <c r="E501" s="184" t="s">
        <v>2560</v>
      </c>
      <c r="F501" s="185" t="s">
        <v>2561</v>
      </c>
    </row>
    <row r="502" spans="1:6" x14ac:dyDescent="0.3">
      <c r="A502" s="17" t="s">
        <v>2562</v>
      </c>
      <c r="B502" s="184">
        <v>0.438</v>
      </c>
      <c r="C502" s="184">
        <v>0</v>
      </c>
      <c r="D502" s="184">
        <v>1</v>
      </c>
      <c r="E502" s="184" t="s">
        <v>1323</v>
      </c>
      <c r="F502" s="185" t="s">
        <v>2563</v>
      </c>
    </row>
    <row r="503" spans="1:6" ht="15" thickBot="1" x14ac:dyDescent="0.35">
      <c r="A503" s="18" t="s">
        <v>2564</v>
      </c>
      <c r="B503" s="186">
        <v>0.27500000000000002</v>
      </c>
      <c r="C503" s="186">
        <v>1</v>
      </c>
      <c r="D503" s="186">
        <v>5</v>
      </c>
      <c r="E503" s="186" t="s">
        <v>2565</v>
      </c>
      <c r="F503" s="187" t="s">
        <v>2566</v>
      </c>
    </row>
    <row r="504" spans="1:6" ht="15" thickBot="1" x14ac:dyDescent="0.35">
      <c r="A504" t="s">
        <v>2567</v>
      </c>
      <c r="B504">
        <v>0.2</v>
      </c>
      <c r="C504">
        <v>1</v>
      </c>
      <c r="D504">
        <v>4</v>
      </c>
      <c r="E504" t="s">
        <v>1993</v>
      </c>
      <c r="F504" t="s">
        <v>2568</v>
      </c>
    </row>
    <row r="505" spans="1:6" ht="15" thickBot="1" x14ac:dyDescent="0.35">
      <c r="A505" s="188" t="s">
        <v>1400</v>
      </c>
      <c r="B505" s="189" t="s">
        <v>998</v>
      </c>
      <c r="C505" s="189" t="s">
        <v>1309</v>
      </c>
      <c r="D505" s="189" t="s">
        <v>1310</v>
      </c>
      <c r="E505" s="189" t="s">
        <v>1304</v>
      </c>
      <c r="F505" s="190" t="s">
        <v>1305</v>
      </c>
    </row>
    <row r="506" spans="1:6" ht="15" thickBot="1" x14ac:dyDescent="0.35">
      <c r="A506" t="s">
        <v>2569</v>
      </c>
      <c r="B506">
        <v>3.18</v>
      </c>
      <c r="C506">
        <v>10.1</v>
      </c>
      <c r="D506">
        <v>3.7</v>
      </c>
      <c r="E506" t="s">
        <v>2570</v>
      </c>
      <c r="F506" t="s">
        <v>2571</v>
      </c>
    </row>
    <row r="507" spans="1:6" x14ac:dyDescent="0.3">
      <c r="A507" s="181" t="s">
        <v>1401</v>
      </c>
      <c r="B507" s="182"/>
      <c r="C507" s="182"/>
      <c r="D507" s="182"/>
      <c r="E507" s="182"/>
      <c r="F507" s="183"/>
    </row>
    <row r="508" spans="1:6" x14ac:dyDescent="0.3">
      <c r="A508" s="17" t="s">
        <v>1402</v>
      </c>
      <c r="B508" s="184" t="s">
        <v>1303</v>
      </c>
      <c r="C508" s="184" t="s">
        <v>81</v>
      </c>
      <c r="D508" s="184" t="s">
        <v>82</v>
      </c>
      <c r="E508" s="184" t="s">
        <v>1304</v>
      </c>
      <c r="F508" s="185" t="s">
        <v>1305</v>
      </c>
    </row>
    <row r="509" spans="1:6" x14ac:dyDescent="0.3">
      <c r="A509" s="17" t="s">
        <v>2572</v>
      </c>
      <c r="B509" s="184">
        <v>0.23699999999999999</v>
      </c>
      <c r="C509" s="184">
        <v>4</v>
      </c>
      <c r="D509" s="184">
        <v>5</v>
      </c>
      <c r="E509" s="184" t="s">
        <v>1951</v>
      </c>
      <c r="F509" s="185" t="s">
        <v>2573</v>
      </c>
    </row>
    <row r="510" spans="1:6" x14ac:dyDescent="0.3">
      <c r="A510" s="17" t="s">
        <v>1403</v>
      </c>
      <c r="B510" s="184">
        <v>0.254</v>
      </c>
      <c r="C510" s="184">
        <v>1</v>
      </c>
      <c r="D510" s="184">
        <v>7</v>
      </c>
      <c r="E510" s="184" t="s">
        <v>1948</v>
      </c>
      <c r="F510" s="185" t="s">
        <v>2574</v>
      </c>
    </row>
    <row r="511" spans="1:6" x14ac:dyDescent="0.3">
      <c r="A511" s="17" t="s">
        <v>1404</v>
      </c>
      <c r="B511" s="184">
        <v>0.182</v>
      </c>
      <c r="C511" s="184">
        <v>3</v>
      </c>
      <c r="D511" s="184">
        <v>7</v>
      </c>
      <c r="E511" s="184" t="s">
        <v>2575</v>
      </c>
      <c r="F511" s="185" t="s">
        <v>2576</v>
      </c>
    </row>
    <row r="512" spans="1:6" x14ac:dyDescent="0.3">
      <c r="A512" s="17" t="s">
        <v>2577</v>
      </c>
      <c r="B512" s="184">
        <v>0.36099999999999999</v>
      </c>
      <c r="C512" s="184">
        <v>4</v>
      </c>
      <c r="D512" s="184">
        <v>10</v>
      </c>
      <c r="E512" s="184" t="s">
        <v>1981</v>
      </c>
      <c r="F512" s="185" t="s">
        <v>2578</v>
      </c>
    </row>
    <row r="513" spans="1:6" x14ac:dyDescent="0.3">
      <c r="A513" s="17" t="s">
        <v>2579</v>
      </c>
      <c r="B513" s="184">
        <v>0.33300000000000002</v>
      </c>
      <c r="C513" s="184">
        <v>2</v>
      </c>
      <c r="D513" s="184">
        <v>12</v>
      </c>
      <c r="E513" s="184" t="s">
        <v>2580</v>
      </c>
      <c r="F513" s="185" t="s">
        <v>2581</v>
      </c>
    </row>
    <row r="514" spans="1:6" x14ac:dyDescent="0.3">
      <c r="A514" s="17" t="s">
        <v>2582</v>
      </c>
      <c r="B514" s="184">
        <v>0.24</v>
      </c>
      <c r="C514" s="184">
        <v>3</v>
      </c>
      <c r="D514" s="184">
        <v>8</v>
      </c>
      <c r="E514" s="184" t="s">
        <v>2583</v>
      </c>
      <c r="F514" s="185" t="s">
        <v>2584</v>
      </c>
    </row>
    <row r="515" spans="1:6" x14ac:dyDescent="0.3">
      <c r="A515" s="17" t="s">
        <v>2585</v>
      </c>
      <c r="B515" s="184">
        <v>0.17199999999999999</v>
      </c>
      <c r="C515" s="184">
        <v>1</v>
      </c>
      <c r="D515" s="184">
        <v>6</v>
      </c>
      <c r="E515" s="184" t="s">
        <v>1782</v>
      </c>
      <c r="F515" s="185" t="s">
        <v>2586</v>
      </c>
    </row>
    <row r="516" spans="1:6" ht="15" thickBot="1" x14ac:dyDescent="0.35">
      <c r="A516" s="18" t="s">
        <v>2587</v>
      </c>
      <c r="B516" s="186">
        <v>0.121</v>
      </c>
      <c r="C516" s="186">
        <v>0</v>
      </c>
      <c r="D516" s="186">
        <v>2</v>
      </c>
      <c r="E516" s="186" t="s">
        <v>1802</v>
      </c>
      <c r="F516" s="187" t="s">
        <v>2588</v>
      </c>
    </row>
    <row r="517" spans="1:6" ht="15" thickBot="1" x14ac:dyDescent="0.35">
      <c r="A517" t="s">
        <v>1996</v>
      </c>
      <c r="B517">
        <v>0.25</v>
      </c>
      <c r="C517">
        <v>0</v>
      </c>
      <c r="D517">
        <v>1</v>
      </c>
      <c r="E517" t="s">
        <v>1333</v>
      </c>
      <c r="F517" t="s">
        <v>2589</v>
      </c>
    </row>
    <row r="518" spans="1:6" ht="15" thickBot="1" x14ac:dyDescent="0.35">
      <c r="A518" s="188" t="s">
        <v>1405</v>
      </c>
      <c r="B518" s="189" t="s">
        <v>998</v>
      </c>
      <c r="C518" s="189" t="s">
        <v>1309</v>
      </c>
      <c r="D518" s="189" t="s">
        <v>1310</v>
      </c>
      <c r="E518" s="189" t="s">
        <v>1304</v>
      </c>
      <c r="F518" s="190" t="s">
        <v>1305</v>
      </c>
    </row>
    <row r="519" spans="1:6" x14ac:dyDescent="0.3">
      <c r="A519" t="s">
        <v>2590</v>
      </c>
      <c r="B519">
        <v>2.7</v>
      </c>
      <c r="C519">
        <v>9.1999999999999993</v>
      </c>
      <c r="D519">
        <v>2.7</v>
      </c>
      <c r="E519" t="s">
        <v>2591</v>
      </c>
      <c r="F519" t="s">
        <v>2592</v>
      </c>
    </row>
    <row r="520" spans="1:6" x14ac:dyDescent="0.3">
      <c r="A520" t="s">
        <v>1406</v>
      </c>
    </row>
    <row r="521" spans="1:6" x14ac:dyDescent="0.3">
      <c r="A521" t="s">
        <v>1316</v>
      </c>
    </row>
    <row r="523" spans="1:6" x14ac:dyDescent="0.3">
      <c r="A523" t="s">
        <v>2593</v>
      </c>
    </row>
    <row r="524" spans="1:6" x14ac:dyDescent="0.3">
      <c r="A524" t="s">
        <v>2594</v>
      </c>
    </row>
    <row r="525" spans="1:6" x14ac:dyDescent="0.3">
      <c r="A525" t="s">
        <v>107</v>
      </c>
    </row>
    <row r="527" spans="1:6" x14ac:dyDescent="0.3">
      <c r="A527" t="s">
        <v>2595</v>
      </c>
    </row>
    <row r="528" spans="1:6" x14ac:dyDescent="0.3">
      <c r="A528" t="s">
        <v>2596</v>
      </c>
    </row>
    <row r="529" spans="1:1" x14ac:dyDescent="0.3">
      <c r="A529" t="s">
        <v>1317</v>
      </c>
    </row>
    <row r="531" spans="1:1" x14ac:dyDescent="0.3">
      <c r="A531" t="s">
        <v>2597</v>
      </c>
    </row>
    <row r="532" spans="1:1" x14ac:dyDescent="0.3">
      <c r="A532" t="s">
        <v>2598</v>
      </c>
    </row>
    <row r="533" spans="1:1" x14ac:dyDescent="0.3">
      <c r="A533" t="s">
        <v>1318</v>
      </c>
    </row>
    <row r="535" spans="1:1" x14ac:dyDescent="0.3">
      <c r="A535" t="s">
        <v>1997</v>
      </c>
    </row>
    <row r="536" spans="1:1" x14ac:dyDescent="0.3">
      <c r="A536" t="s">
        <v>2599</v>
      </c>
    </row>
    <row r="537" spans="1:1" x14ac:dyDescent="0.3">
      <c r="A537" t="s">
        <v>1319</v>
      </c>
    </row>
    <row r="538" spans="1:1" x14ac:dyDescent="0.3">
      <c r="A538" t="s">
        <v>2600</v>
      </c>
    </row>
    <row r="539" spans="1:1" x14ac:dyDescent="0.3">
      <c r="A539" t="s">
        <v>1299</v>
      </c>
    </row>
    <row r="541" spans="1:1" x14ac:dyDescent="0.3">
      <c r="A541" t="s">
        <v>1300</v>
      </c>
    </row>
    <row r="542" spans="1:1" x14ac:dyDescent="0.3">
      <c r="A542" t="s">
        <v>2601</v>
      </c>
    </row>
    <row r="543" spans="1:1" x14ac:dyDescent="0.3">
      <c r="A543" t="s">
        <v>1299</v>
      </c>
    </row>
    <row r="545" spans="1:6" x14ac:dyDescent="0.3">
      <c r="A545" t="s">
        <v>1301</v>
      </c>
    </row>
    <row r="547" spans="1:6" x14ac:dyDescent="0.3">
      <c r="A547" t="s">
        <v>1299</v>
      </c>
    </row>
    <row r="549" spans="1:6" x14ac:dyDescent="0.3">
      <c r="A549" t="s">
        <v>2602</v>
      </c>
    </row>
    <row r="551" spans="1:6" x14ac:dyDescent="0.3">
      <c r="A551" t="s">
        <v>24</v>
      </c>
    </row>
    <row r="552" spans="1:6" x14ac:dyDescent="0.3">
      <c r="A552" t="s">
        <v>26</v>
      </c>
    </row>
    <row r="553" spans="1:6" x14ac:dyDescent="0.3">
      <c r="A553" t="s">
        <v>1299</v>
      </c>
    </row>
    <row r="555" spans="1:6" ht="15" thickBot="1" x14ac:dyDescent="0.35">
      <c r="A555" t="s">
        <v>2603</v>
      </c>
    </row>
    <row r="556" spans="1:6" x14ac:dyDescent="0.3">
      <c r="A556" s="181"/>
      <c r="B556" s="182"/>
      <c r="C556" s="182"/>
      <c r="D556" s="182"/>
      <c r="E556" s="182"/>
      <c r="F556" s="183"/>
    </row>
    <row r="557" spans="1:6" x14ac:dyDescent="0.3">
      <c r="A557" s="17" t="s">
        <v>1352</v>
      </c>
      <c r="B557" s="184" t="s">
        <v>1303</v>
      </c>
      <c r="C557" s="184" t="s">
        <v>81</v>
      </c>
      <c r="D557" s="184" t="s">
        <v>82</v>
      </c>
      <c r="E557" s="184" t="s">
        <v>1304</v>
      </c>
      <c r="F557" s="185" t="s">
        <v>1305</v>
      </c>
    </row>
    <row r="558" spans="1:6" x14ac:dyDescent="0.3">
      <c r="A558" s="17" t="s">
        <v>1353</v>
      </c>
      <c r="B558" s="184">
        <v>0.28899999999999998</v>
      </c>
      <c r="C558" s="184">
        <v>0</v>
      </c>
      <c r="D558" s="184">
        <v>8</v>
      </c>
      <c r="E558" s="184" t="s">
        <v>2604</v>
      </c>
      <c r="F558" s="185" t="s">
        <v>2605</v>
      </c>
    </row>
    <row r="559" spans="1:6" x14ac:dyDescent="0.3">
      <c r="A559" s="17" t="s">
        <v>1773</v>
      </c>
      <c r="B559" s="184">
        <v>0.27700000000000002</v>
      </c>
      <c r="C559" s="184">
        <v>1</v>
      </c>
      <c r="D559" s="184">
        <v>5</v>
      </c>
      <c r="E559" s="184" t="s">
        <v>2606</v>
      </c>
      <c r="F559" s="185" t="s">
        <v>2607</v>
      </c>
    </row>
    <row r="560" spans="1:6" x14ac:dyDescent="0.3">
      <c r="A560" s="17" t="s">
        <v>1774</v>
      </c>
      <c r="B560" s="184">
        <v>0.245</v>
      </c>
      <c r="C560" s="184">
        <v>3</v>
      </c>
      <c r="D560" s="184">
        <v>15</v>
      </c>
      <c r="E560" s="184" t="s">
        <v>2608</v>
      </c>
      <c r="F560" s="185" t="s">
        <v>2609</v>
      </c>
    </row>
    <row r="561" spans="1:6" x14ac:dyDescent="0.3">
      <c r="A561" s="17" t="s">
        <v>1578</v>
      </c>
      <c r="B561" s="184">
        <v>0.26800000000000002</v>
      </c>
      <c r="C561" s="184">
        <v>7</v>
      </c>
      <c r="D561" s="184">
        <v>13</v>
      </c>
      <c r="E561" s="184" t="s">
        <v>1949</v>
      </c>
      <c r="F561" s="185" t="s">
        <v>2610</v>
      </c>
    </row>
    <row r="562" spans="1:6" x14ac:dyDescent="0.3">
      <c r="A562" s="17" t="s">
        <v>2611</v>
      </c>
      <c r="B562" s="184">
        <v>0.21199999999999999</v>
      </c>
      <c r="C562" s="184">
        <v>0</v>
      </c>
      <c r="D562" s="184">
        <v>5</v>
      </c>
      <c r="E562" s="184" t="s">
        <v>1907</v>
      </c>
      <c r="F562" s="185" t="s">
        <v>2612</v>
      </c>
    </row>
    <row r="563" spans="1:6" x14ac:dyDescent="0.3">
      <c r="A563" s="17" t="s">
        <v>2613</v>
      </c>
      <c r="B563" s="184">
        <v>0.20399999999999999</v>
      </c>
      <c r="C563" s="184">
        <v>2</v>
      </c>
      <c r="D563" s="184">
        <v>5</v>
      </c>
      <c r="E563" s="184" t="s">
        <v>2529</v>
      </c>
      <c r="F563" s="185" t="s">
        <v>2614</v>
      </c>
    </row>
    <row r="564" spans="1:6" x14ac:dyDescent="0.3">
      <c r="A564" s="17" t="s">
        <v>2615</v>
      </c>
      <c r="B564" s="184">
        <v>0.182</v>
      </c>
      <c r="C564" s="184">
        <v>0</v>
      </c>
      <c r="D564" s="184">
        <v>3</v>
      </c>
      <c r="E564" s="184" t="s">
        <v>1801</v>
      </c>
      <c r="F564" s="185" t="s">
        <v>2616</v>
      </c>
    </row>
    <row r="565" spans="1:6" ht="15" thickBot="1" x14ac:dyDescent="0.35">
      <c r="A565" s="18" t="s">
        <v>2617</v>
      </c>
      <c r="B565" s="186">
        <v>0.24</v>
      </c>
      <c r="C565" s="186">
        <v>0</v>
      </c>
      <c r="D565" s="186">
        <v>1</v>
      </c>
      <c r="E565" s="186" t="s">
        <v>1385</v>
      </c>
      <c r="F565" s="187" t="s">
        <v>2618</v>
      </c>
    </row>
    <row r="566" spans="1:6" ht="15" thickBot="1" x14ac:dyDescent="0.35">
      <c r="A566" t="s">
        <v>2619</v>
      </c>
      <c r="B566">
        <v>9.0999999999999998E-2</v>
      </c>
      <c r="C566">
        <v>0</v>
      </c>
      <c r="D566">
        <v>1</v>
      </c>
      <c r="E566" t="s">
        <v>1390</v>
      </c>
      <c r="F566" t="s">
        <v>2620</v>
      </c>
    </row>
    <row r="567" spans="1:6" ht="15" thickBot="1" x14ac:dyDescent="0.35">
      <c r="A567" s="188" t="s">
        <v>1354</v>
      </c>
      <c r="B567" s="189" t="s">
        <v>998</v>
      </c>
      <c r="C567" s="189" t="s">
        <v>1309</v>
      </c>
      <c r="D567" s="189" t="s">
        <v>1310</v>
      </c>
      <c r="E567" s="189" t="s">
        <v>1304</v>
      </c>
      <c r="F567" s="190" t="s">
        <v>1305</v>
      </c>
    </row>
    <row r="568" spans="1:6" ht="15" thickBot="1" x14ac:dyDescent="0.35">
      <c r="A568" t="s">
        <v>2621</v>
      </c>
      <c r="B568">
        <v>8.56</v>
      </c>
      <c r="C568">
        <v>5.3</v>
      </c>
      <c r="D568">
        <v>5.3</v>
      </c>
      <c r="E568" t="s">
        <v>2622</v>
      </c>
      <c r="F568" t="s">
        <v>2623</v>
      </c>
    </row>
    <row r="569" spans="1:6" x14ac:dyDescent="0.3">
      <c r="A569" s="181" t="s">
        <v>1355</v>
      </c>
      <c r="B569" s="182"/>
      <c r="C569" s="182"/>
      <c r="D569" s="182"/>
      <c r="E569" s="182"/>
      <c r="F569" s="183"/>
    </row>
    <row r="570" spans="1:6" x14ac:dyDescent="0.3">
      <c r="A570" s="17" t="s">
        <v>1356</v>
      </c>
      <c r="B570" s="184" t="s">
        <v>1303</v>
      </c>
      <c r="C570" s="184" t="s">
        <v>81</v>
      </c>
      <c r="D570" s="184" t="s">
        <v>82</v>
      </c>
      <c r="E570" s="184" t="s">
        <v>1304</v>
      </c>
      <c r="F570" s="185" t="s">
        <v>1305</v>
      </c>
    </row>
    <row r="571" spans="1:6" x14ac:dyDescent="0.3">
      <c r="A571" s="17" t="s">
        <v>1982</v>
      </c>
      <c r="B571" s="184">
        <v>0.192</v>
      </c>
      <c r="C571" s="184">
        <v>0</v>
      </c>
      <c r="D571" s="184">
        <v>5</v>
      </c>
      <c r="E571" s="184" t="s">
        <v>2394</v>
      </c>
      <c r="F571" s="185" t="s">
        <v>2624</v>
      </c>
    </row>
    <row r="572" spans="1:6" x14ac:dyDescent="0.3">
      <c r="A572" s="17" t="s">
        <v>2625</v>
      </c>
      <c r="B572" s="184">
        <v>0.217</v>
      </c>
      <c r="C572" s="184">
        <v>1</v>
      </c>
      <c r="D572" s="184">
        <v>7</v>
      </c>
      <c r="E572" s="184" t="s">
        <v>1802</v>
      </c>
      <c r="F572" s="185" t="s">
        <v>2626</v>
      </c>
    </row>
    <row r="573" spans="1:6" x14ac:dyDescent="0.3">
      <c r="A573" s="17" t="s">
        <v>1983</v>
      </c>
      <c r="B573" s="184">
        <v>0.31</v>
      </c>
      <c r="C573" s="184">
        <v>4</v>
      </c>
      <c r="D573" s="184">
        <v>11</v>
      </c>
      <c r="E573" s="184" t="s">
        <v>2272</v>
      </c>
      <c r="F573" s="185" t="s">
        <v>2627</v>
      </c>
    </row>
    <row r="574" spans="1:6" x14ac:dyDescent="0.3">
      <c r="A574" s="17" t="s">
        <v>1984</v>
      </c>
      <c r="B574" s="184">
        <v>0.23499999999999999</v>
      </c>
      <c r="C574" s="184">
        <v>2</v>
      </c>
      <c r="D574" s="184">
        <v>4</v>
      </c>
      <c r="E574" s="184" t="s">
        <v>2003</v>
      </c>
      <c r="F574" s="185" t="s">
        <v>2628</v>
      </c>
    </row>
    <row r="575" spans="1:6" x14ac:dyDescent="0.3">
      <c r="A575" s="17" t="s">
        <v>2629</v>
      </c>
      <c r="B575" s="184">
        <v>0.184</v>
      </c>
      <c r="C575" s="184">
        <v>1</v>
      </c>
      <c r="D575" s="184">
        <v>3</v>
      </c>
      <c r="E575" s="184" t="s">
        <v>2630</v>
      </c>
      <c r="F575" s="185" t="s">
        <v>2631</v>
      </c>
    </row>
    <row r="576" spans="1:6" x14ac:dyDescent="0.3">
      <c r="A576" s="17" t="s">
        <v>2632</v>
      </c>
      <c r="B576" s="184">
        <v>0.25600000000000001</v>
      </c>
      <c r="C576" s="184">
        <v>1</v>
      </c>
      <c r="D576" s="184">
        <v>4</v>
      </c>
      <c r="E576" s="184" t="s">
        <v>1986</v>
      </c>
      <c r="F576" s="185" t="s">
        <v>2633</v>
      </c>
    </row>
    <row r="577" spans="1:6" x14ac:dyDescent="0.3">
      <c r="A577" s="17" t="s">
        <v>1985</v>
      </c>
      <c r="B577" s="184">
        <v>0.25</v>
      </c>
      <c r="C577" s="184">
        <v>0</v>
      </c>
      <c r="D577" s="184">
        <v>3</v>
      </c>
      <c r="E577" s="184" t="s">
        <v>1357</v>
      </c>
      <c r="F577" s="185" t="s">
        <v>2634</v>
      </c>
    </row>
    <row r="578" spans="1:6" ht="15" thickBot="1" x14ac:dyDescent="0.35">
      <c r="A578" s="18" t="s">
        <v>2635</v>
      </c>
      <c r="B578" s="186">
        <v>0.6</v>
      </c>
      <c r="C578" s="186">
        <v>1</v>
      </c>
      <c r="D578" s="186">
        <v>2</v>
      </c>
      <c r="E578" s="186" t="s">
        <v>1328</v>
      </c>
      <c r="F578" s="187" t="s">
        <v>2636</v>
      </c>
    </row>
    <row r="579" spans="1:6" ht="15" thickBot="1" x14ac:dyDescent="0.35">
      <c r="A579" t="s">
        <v>1987</v>
      </c>
      <c r="B579">
        <v>0.32600000000000001</v>
      </c>
      <c r="C579">
        <v>0</v>
      </c>
      <c r="D579">
        <v>7</v>
      </c>
      <c r="E579" t="s">
        <v>1988</v>
      </c>
      <c r="F579" t="s">
        <v>2637</v>
      </c>
    </row>
    <row r="580" spans="1:6" ht="15" thickBot="1" x14ac:dyDescent="0.35">
      <c r="A580" s="188" t="s">
        <v>1358</v>
      </c>
      <c r="B580" s="189" t="s">
        <v>998</v>
      </c>
      <c r="C580" s="189" t="s">
        <v>1309</v>
      </c>
      <c r="D580" s="189" t="s">
        <v>1310</v>
      </c>
      <c r="E580" s="189" t="s">
        <v>1304</v>
      </c>
      <c r="F580" s="190" t="s">
        <v>1305</v>
      </c>
    </row>
    <row r="581" spans="1:6" x14ac:dyDescent="0.3">
      <c r="A581" t="s">
        <v>2638</v>
      </c>
      <c r="B581">
        <v>11.37</v>
      </c>
      <c r="C581">
        <v>7.1</v>
      </c>
      <c r="D581">
        <v>6.4</v>
      </c>
      <c r="E581" t="s">
        <v>2639</v>
      </c>
      <c r="F581" t="s">
        <v>2640</v>
      </c>
    </row>
    <row r="582" spans="1:6" x14ac:dyDescent="0.3">
      <c r="A582" t="s">
        <v>1359</v>
      </c>
    </row>
    <row r="583" spans="1:6" x14ac:dyDescent="0.3">
      <c r="A583" t="s">
        <v>1316</v>
      </c>
    </row>
    <row r="585" spans="1:6" x14ac:dyDescent="0.3">
      <c r="A585" t="s">
        <v>2641</v>
      </c>
    </row>
    <row r="586" spans="1:6" x14ac:dyDescent="0.3">
      <c r="A586" t="s">
        <v>2642</v>
      </c>
    </row>
    <row r="587" spans="1:6" x14ac:dyDescent="0.3">
      <c r="A587" t="s">
        <v>107</v>
      </c>
    </row>
    <row r="589" spans="1:6" x14ac:dyDescent="0.3">
      <c r="A589" t="s">
        <v>2643</v>
      </c>
    </row>
    <row r="590" spans="1:6" x14ac:dyDescent="0.3">
      <c r="A590" t="s">
        <v>2644</v>
      </c>
    </row>
    <row r="591" spans="1:6" x14ac:dyDescent="0.3">
      <c r="A591" t="s">
        <v>1317</v>
      </c>
    </row>
    <row r="593" spans="1:1" x14ac:dyDescent="0.3">
      <c r="A593" t="s">
        <v>2645</v>
      </c>
    </row>
    <row r="594" spans="1:1" x14ac:dyDescent="0.3">
      <c r="A594" t="s">
        <v>2542</v>
      </c>
    </row>
    <row r="595" spans="1:1" x14ac:dyDescent="0.3">
      <c r="A595" t="s">
        <v>1318</v>
      </c>
    </row>
    <row r="597" spans="1:1" x14ac:dyDescent="0.3">
      <c r="A597" t="s">
        <v>2646</v>
      </c>
    </row>
    <row r="598" spans="1:1" x14ac:dyDescent="0.3">
      <c r="A598" t="s">
        <v>2647</v>
      </c>
    </row>
    <row r="599" spans="1:1" x14ac:dyDescent="0.3">
      <c r="A599" t="s">
        <v>1319</v>
      </c>
    </row>
    <row r="600" spans="1:1" x14ac:dyDescent="0.3">
      <c r="A600" t="s">
        <v>2648</v>
      </c>
    </row>
    <row r="601" spans="1:1" x14ac:dyDescent="0.3">
      <c r="A601" t="s">
        <v>1299</v>
      </c>
    </row>
    <row r="603" spans="1:1" x14ac:dyDescent="0.3">
      <c r="A603" t="s">
        <v>1300</v>
      </c>
    </row>
    <row r="604" spans="1:1" x14ac:dyDescent="0.3">
      <c r="A604" t="s">
        <v>2649</v>
      </c>
    </row>
    <row r="605" spans="1:1" x14ac:dyDescent="0.3">
      <c r="A605" t="s">
        <v>1299</v>
      </c>
    </row>
    <row r="607" spans="1:1" x14ac:dyDescent="0.3">
      <c r="A607" t="s">
        <v>1301</v>
      </c>
    </row>
    <row r="609" spans="1:6" x14ac:dyDescent="0.3">
      <c r="A609" t="s">
        <v>1299</v>
      </c>
    </row>
    <row r="611" spans="1:6" x14ac:dyDescent="0.3">
      <c r="A611" t="s">
        <v>2650</v>
      </c>
    </row>
    <row r="613" spans="1:6" x14ac:dyDescent="0.3">
      <c r="A613" t="s">
        <v>14</v>
      </c>
    </row>
    <row r="614" spans="1:6" x14ac:dyDescent="0.3">
      <c r="A614" t="s">
        <v>10</v>
      </c>
    </row>
    <row r="615" spans="1:6" x14ac:dyDescent="0.3">
      <c r="A615" t="s">
        <v>1299</v>
      </c>
    </row>
    <row r="617" spans="1:6" ht="15" thickBot="1" x14ac:dyDescent="0.35">
      <c r="A617" t="s">
        <v>1975</v>
      </c>
    </row>
    <row r="618" spans="1:6" x14ac:dyDescent="0.3">
      <c r="A618" s="181"/>
      <c r="B618" s="182"/>
      <c r="C618" s="182"/>
      <c r="D618" s="182"/>
      <c r="E618" s="182"/>
      <c r="F618" s="183"/>
    </row>
    <row r="619" spans="1:6" x14ac:dyDescent="0.3">
      <c r="A619" s="17" t="s">
        <v>1336</v>
      </c>
      <c r="B619" s="184" t="s">
        <v>1303</v>
      </c>
      <c r="C619" s="184" t="s">
        <v>81</v>
      </c>
      <c r="D619" s="184" t="s">
        <v>82</v>
      </c>
      <c r="E619" s="184" t="s">
        <v>1304</v>
      </c>
      <c r="F619" s="185" t="s">
        <v>1305</v>
      </c>
    </row>
    <row r="620" spans="1:6" x14ac:dyDescent="0.3">
      <c r="A620" s="17" t="s">
        <v>1576</v>
      </c>
      <c r="B620" s="184">
        <v>0.375</v>
      </c>
      <c r="C620" s="184">
        <v>0</v>
      </c>
      <c r="D620" s="184">
        <v>4</v>
      </c>
      <c r="E620" s="184" t="s">
        <v>2651</v>
      </c>
      <c r="F620" s="185" t="s">
        <v>2652</v>
      </c>
    </row>
    <row r="621" spans="1:6" x14ac:dyDescent="0.3">
      <c r="A621" s="17" t="s">
        <v>1577</v>
      </c>
      <c r="B621" s="184">
        <v>0.308</v>
      </c>
      <c r="C621" s="184">
        <v>0</v>
      </c>
      <c r="D621" s="184">
        <v>3</v>
      </c>
      <c r="E621" s="184" t="s">
        <v>2653</v>
      </c>
      <c r="F621" s="185" t="s">
        <v>2654</v>
      </c>
    </row>
    <row r="622" spans="1:6" x14ac:dyDescent="0.3">
      <c r="A622" s="17" t="s">
        <v>1792</v>
      </c>
      <c r="B622" s="184">
        <v>0.21099999999999999</v>
      </c>
      <c r="C622" s="184">
        <v>4</v>
      </c>
      <c r="D622" s="184">
        <v>8</v>
      </c>
      <c r="E622" s="184" t="s">
        <v>2655</v>
      </c>
      <c r="F622" s="185" t="s">
        <v>2656</v>
      </c>
    </row>
    <row r="623" spans="1:6" x14ac:dyDescent="0.3">
      <c r="A623" s="17" t="s">
        <v>1793</v>
      </c>
      <c r="B623" s="184">
        <v>0.28599999999999998</v>
      </c>
      <c r="C623" s="184">
        <v>0</v>
      </c>
      <c r="D623" s="184">
        <v>8</v>
      </c>
      <c r="E623" s="184" t="s">
        <v>2476</v>
      </c>
      <c r="F623" s="185" t="s">
        <v>2657</v>
      </c>
    </row>
    <row r="624" spans="1:6" x14ac:dyDescent="0.3">
      <c r="A624" s="17" t="s">
        <v>1879</v>
      </c>
      <c r="B624" s="184">
        <v>0.33300000000000002</v>
      </c>
      <c r="C624" s="184">
        <v>2</v>
      </c>
      <c r="D624" s="184">
        <v>9</v>
      </c>
      <c r="E624" s="184" t="s">
        <v>2658</v>
      </c>
      <c r="F624" s="185" t="s">
        <v>2659</v>
      </c>
    </row>
    <row r="625" spans="1:6" x14ac:dyDescent="0.3">
      <c r="A625" s="17" t="s">
        <v>2660</v>
      </c>
      <c r="B625" s="184">
        <v>0.33300000000000002</v>
      </c>
      <c r="C625" s="184">
        <v>3</v>
      </c>
      <c r="D625" s="184">
        <v>13</v>
      </c>
      <c r="E625" s="184" t="s">
        <v>2661</v>
      </c>
      <c r="F625" s="185" t="s">
        <v>2662</v>
      </c>
    </row>
    <row r="626" spans="1:6" x14ac:dyDescent="0.3">
      <c r="A626" s="17" t="s">
        <v>2663</v>
      </c>
      <c r="B626" s="184">
        <v>0.182</v>
      </c>
      <c r="C626" s="184">
        <v>1</v>
      </c>
      <c r="D626" s="184">
        <v>2</v>
      </c>
      <c r="E626" s="184" t="s">
        <v>2272</v>
      </c>
      <c r="F626" s="185" t="s">
        <v>2664</v>
      </c>
    </row>
    <row r="627" spans="1:6" ht="15" thickBot="1" x14ac:dyDescent="0.35">
      <c r="A627" s="18" t="s">
        <v>2665</v>
      </c>
      <c r="B627" s="186">
        <v>0.34399999999999997</v>
      </c>
      <c r="C627" s="186">
        <v>2</v>
      </c>
      <c r="D627" s="186">
        <v>5</v>
      </c>
      <c r="E627" s="186" t="s">
        <v>1826</v>
      </c>
      <c r="F627" s="187" t="s">
        <v>2666</v>
      </c>
    </row>
    <row r="628" spans="1:6" ht="15" thickBot="1" x14ac:dyDescent="0.35">
      <c r="A628" t="s">
        <v>2667</v>
      </c>
      <c r="B628">
        <v>0.154</v>
      </c>
      <c r="C628">
        <v>0</v>
      </c>
      <c r="D628">
        <v>0</v>
      </c>
      <c r="E628" t="s">
        <v>1385</v>
      </c>
      <c r="F628" t="s">
        <v>2668</v>
      </c>
    </row>
    <row r="629" spans="1:6" ht="15" thickBot="1" x14ac:dyDescent="0.35">
      <c r="A629" s="188" t="s">
        <v>1338</v>
      </c>
      <c r="B629" s="189" t="s">
        <v>998</v>
      </c>
      <c r="C629" s="189" t="s">
        <v>1309</v>
      </c>
      <c r="D629" s="189" t="s">
        <v>1310</v>
      </c>
      <c r="E629" s="189" t="s">
        <v>1304</v>
      </c>
      <c r="F629" s="190" t="s">
        <v>1305</v>
      </c>
    </row>
    <row r="630" spans="1:6" ht="15" thickBot="1" x14ac:dyDescent="0.35">
      <c r="A630" t="s">
        <v>2669</v>
      </c>
      <c r="B630">
        <v>2.13</v>
      </c>
      <c r="C630">
        <v>11.4</v>
      </c>
      <c r="D630">
        <v>3.5</v>
      </c>
      <c r="E630" t="s">
        <v>2670</v>
      </c>
      <c r="F630" t="s">
        <v>2671</v>
      </c>
    </row>
    <row r="631" spans="1:6" x14ac:dyDescent="0.3">
      <c r="A631" s="181" t="s">
        <v>1339</v>
      </c>
      <c r="B631" s="182"/>
      <c r="C631" s="182"/>
      <c r="D631" s="182"/>
      <c r="E631" s="182"/>
      <c r="F631" s="183"/>
    </row>
    <row r="632" spans="1:6" x14ac:dyDescent="0.3">
      <c r="A632" s="17" t="s">
        <v>1331</v>
      </c>
      <c r="B632" s="184" t="s">
        <v>1303</v>
      </c>
      <c r="C632" s="184" t="s">
        <v>81</v>
      </c>
      <c r="D632" s="184" t="s">
        <v>82</v>
      </c>
      <c r="E632" s="184" t="s">
        <v>1304</v>
      </c>
      <c r="F632" s="185" t="s">
        <v>1305</v>
      </c>
    </row>
    <row r="633" spans="1:6" x14ac:dyDescent="0.3">
      <c r="A633" s="17" t="s">
        <v>1332</v>
      </c>
      <c r="B633" s="184">
        <v>0.32700000000000001</v>
      </c>
      <c r="C633" s="184">
        <v>1</v>
      </c>
      <c r="D633" s="184">
        <v>6</v>
      </c>
      <c r="E633" s="184" t="s">
        <v>2264</v>
      </c>
      <c r="F633" s="185" t="s">
        <v>2672</v>
      </c>
    </row>
    <row r="634" spans="1:6" x14ac:dyDescent="0.3">
      <c r="A634" s="17" t="s">
        <v>2673</v>
      </c>
      <c r="B634" s="184">
        <v>0.29799999999999999</v>
      </c>
      <c r="C634" s="184">
        <v>2</v>
      </c>
      <c r="D634" s="184">
        <v>6</v>
      </c>
      <c r="E634" s="184" t="s">
        <v>2560</v>
      </c>
      <c r="F634" s="185" t="s">
        <v>2674</v>
      </c>
    </row>
    <row r="635" spans="1:6" x14ac:dyDescent="0.3">
      <c r="A635" s="17" t="s">
        <v>2675</v>
      </c>
      <c r="B635" s="184">
        <v>0.25</v>
      </c>
      <c r="C635" s="184">
        <v>1</v>
      </c>
      <c r="D635" s="184">
        <v>4</v>
      </c>
      <c r="E635" s="184" t="s">
        <v>1942</v>
      </c>
      <c r="F635" s="185" t="s">
        <v>2676</v>
      </c>
    </row>
    <row r="636" spans="1:6" x14ac:dyDescent="0.3">
      <c r="A636" s="17" t="s">
        <v>2677</v>
      </c>
      <c r="B636" s="184">
        <v>0.29399999999999998</v>
      </c>
      <c r="C636" s="184">
        <v>0</v>
      </c>
      <c r="D636" s="184">
        <v>8</v>
      </c>
      <c r="E636" s="184" t="s">
        <v>2678</v>
      </c>
      <c r="F636" s="185" t="s">
        <v>2679</v>
      </c>
    </row>
    <row r="637" spans="1:6" x14ac:dyDescent="0.3">
      <c r="A637" s="17" t="s">
        <v>2680</v>
      </c>
      <c r="B637" s="184">
        <v>0.26900000000000002</v>
      </c>
      <c r="C637" s="184">
        <v>2</v>
      </c>
      <c r="D637" s="184">
        <v>9</v>
      </c>
      <c r="E637" s="184" t="s">
        <v>1954</v>
      </c>
      <c r="F637" s="185" t="s">
        <v>2681</v>
      </c>
    </row>
    <row r="638" spans="1:6" x14ac:dyDescent="0.3">
      <c r="A638" s="17" t="s">
        <v>2682</v>
      </c>
      <c r="B638" s="184">
        <v>8.3000000000000004E-2</v>
      </c>
      <c r="C638" s="184">
        <v>0</v>
      </c>
      <c r="D638" s="184">
        <v>1</v>
      </c>
      <c r="E638" s="184" t="s">
        <v>2683</v>
      </c>
      <c r="F638" s="185" t="s">
        <v>2684</v>
      </c>
    </row>
    <row r="639" spans="1:6" x14ac:dyDescent="0.3">
      <c r="A639" s="17" t="s">
        <v>2685</v>
      </c>
      <c r="B639" s="184">
        <v>0.32700000000000001</v>
      </c>
      <c r="C639" s="184">
        <v>2</v>
      </c>
      <c r="D639" s="184">
        <v>5</v>
      </c>
      <c r="E639" s="184" t="s">
        <v>2554</v>
      </c>
      <c r="F639" s="185" t="s">
        <v>2686</v>
      </c>
    </row>
    <row r="640" spans="1:6" ht="15" thickBot="1" x14ac:dyDescent="0.35">
      <c r="A640" s="18" t="s">
        <v>2687</v>
      </c>
      <c r="B640" s="186">
        <v>0.22900000000000001</v>
      </c>
      <c r="C640" s="186">
        <v>1</v>
      </c>
      <c r="D640" s="186">
        <v>7</v>
      </c>
      <c r="E640" s="186" t="s">
        <v>1357</v>
      </c>
      <c r="F640" s="187" t="s">
        <v>2688</v>
      </c>
    </row>
    <row r="641" spans="1:6" ht="15" thickBot="1" x14ac:dyDescent="0.35">
      <c r="A641" t="s">
        <v>2689</v>
      </c>
      <c r="B641">
        <v>0.16700000000000001</v>
      </c>
      <c r="C641">
        <v>0</v>
      </c>
      <c r="D641">
        <v>0</v>
      </c>
      <c r="E641" t="s">
        <v>1803</v>
      </c>
      <c r="F641" t="s">
        <v>2690</v>
      </c>
    </row>
    <row r="642" spans="1:6" ht="15" thickBot="1" x14ac:dyDescent="0.35">
      <c r="A642" s="188" t="s">
        <v>1334</v>
      </c>
      <c r="B642" s="189" t="s">
        <v>998</v>
      </c>
      <c r="C642" s="189" t="s">
        <v>1309</v>
      </c>
      <c r="D642" s="189" t="s">
        <v>1310</v>
      </c>
      <c r="E642" s="189" t="s">
        <v>1304</v>
      </c>
      <c r="F642" s="190" t="s">
        <v>1305</v>
      </c>
    </row>
    <row r="643" spans="1:6" x14ac:dyDescent="0.3">
      <c r="A643" t="s">
        <v>2691</v>
      </c>
      <c r="B643">
        <v>1.42</v>
      </c>
      <c r="C643">
        <v>8.1</v>
      </c>
      <c r="D643">
        <v>3.8</v>
      </c>
      <c r="E643" t="s">
        <v>2692</v>
      </c>
      <c r="F643" t="s">
        <v>2693</v>
      </c>
    </row>
    <row r="644" spans="1:6" x14ac:dyDescent="0.3">
      <c r="A644" t="s">
        <v>1335</v>
      </c>
    </row>
    <row r="645" spans="1:6" x14ac:dyDescent="0.3">
      <c r="A645" t="s">
        <v>1316</v>
      </c>
    </row>
    <row r="647" spans="1:6" x14ac:dyDescent="0.3">
      <c r="A647" t="s">
        <v>2694</v>
      </c>
    </row>
    <row r="648" spans="1:6" x14ac:dyDescent="0.3">
      <c r="A648" t="s">
        <v>2695</v>
      </c>
    </row>
    <row r="649" spans="1:6" x14ac:dyDescent="0.3">
      <c r="A649" t="s">
        <v>107</v>
      </c>
    </row>
    <row r="651" spans="1:6" x14ac:dyDescent="0.3">
      <c r="A651" t="s">
        <v>2696</v>
      </c>
    </row>
    <row r="652" spans="1:6" x14ac:dyDescent="0.3">
      <c r="A652" t="s">
        <v>2697</v>
      </c>
    </row>
    <row r="653" spans="1:6" x14ac:dyDescent="0.3">
      <c r="A653" t="s">
        <v>1317</v>
      </c>
    </row>
    <row r="655" spans="1:6" x14ac:dyDescent="0.3">
      <c r="A655" t="s">
        <v>2698</v>
      </c>
    </row>
    <row r="656" spans="1:6" x14ac:dyDescent="0.3">
      <c r="A656" t="s">
        <v>2699</v>
      </c>
    </row>
    <row r="657" spans="1:1" x14ac:dyDescent="0.3">
      <c r="A657" t="s">
        <v>1318</v>
      </c>
    </row>
    <row r="659" spans="1:1" x14ac:dyDescent="0.3">
      <c r="A659" t="s">
        <v>2700</v>
      </c>
    </row>
    <row r="660" spans="1:1" x14ac:dyDescent="0.3">
      <c r="A660" t="s">
        <v>1882</v>
      </c>
    </row>
    <row r="661" spans="1:1" x14ac:dyDescent="0.3">
      <c r="A661" t="s">
        <v>1319</v>
      </c>
    </row>
    <row r="662" spans="1:1" x14ac:dyDescent="0.3">
      <c r="A662" t="s">
        <v>2701</v>
      </c>
    </row>
    <row r="663" spans="1:1" x14ac:dyDescent="0.3">
      <c r="A663" t="s">
        <v>1299</v>
      </c>
    </row>
    <row r="665" spans="1:1" x14ac:dyDescent="0.3">
      <c r="A665" t="s">
        <v>1300</v>
      </c>
    </row>
    <row r="666" spans="1:1" x14ac:dyDescent="0.3">
      <c r="A666" t="s">
        <v>2702</v>
      </c>
    </row>
    <row r="667" spans="1:1" x14ac:dyDescent="0.3">
      <c r="A667" t="s">
        <v>1299</v>
      </c>
    </row>
    <row r="669" spans="1:1" x14ac:dyDescent="0.3">
      <c r="A669" t="s">
        <v>1301</v>
      </c>
    </row>
    <row r="671" spans="1:1" x14ac:dyDescent="0.3">
      <c r="A671" t="s">
        <v>1299</v>
      </c>
    </row>
    <row r="673" spans="1:6" x14ac:dyDescent="0.3">
      <c r="A673" t="s">
        <v>2703</v>
      </c>
    </row>
    <row r="675" spans="1:6" x14ac:dyDescent="0.3">
      <c r="A675" t="s">
        <v>22</v>
      </c>
    </row>
    <row r="676" spans="1:6" x14ac:dyDescent="0.3">
      <c r="A676" t="s">
        <v>12</v>
      </c>
    </row>
    <row r="677" spans="1:6" x14ac:dyDescent="0.3">
      <c r="A677" t="s">
        <v>1299</v>
      </c>
    </row>
    <row r="679" spans="1:6" ht="15" thickBot="1" x14ac:dyDescent="0.35">
      <c r="A679" t="s">
        <v>2704</v>
      </c>
    </row>
    <row r="680" spans="1:6" x14ac:dyDescent="0.3">
      <c r="A680" s="181"/>
      <c r="B680" s="182"/>
      <c r="C680" s="182"/>
      <c r="D680" s="182"/>
      <c r="E680" s="182"/>
      <c r="F680" s="183"/>
    </row>
    <row r="681" spans="1:6" x14ac:dyDescent="0.3">
      <c r="A681" s="17" t="s">
        <v>1430</v>
      </c>
      <c r="B681" s="184" t="s">
        <v>1303</v>
      </c>
      <c r="C681" s="184" t="s">
        <v>81</v>
      </c>
      <c r="D681" s="184" t="s">
        <v>82</v>
      </c>
      <c r="E681" s="184" t="s">
        <v>1304</v>
      </c>
      <c r="F681" s="185" t="s">
        <v>1305</v>
      </c>
    </row>
    <row r="682" spans="1:6" x14ac:dyDescent="0.3">
      <c r="A682" s="17" t="s">
        <v>1431</v>
      </c>
      <c r="B682" s="184">
        <v>0.25900000000000001</v>
      </c>
      <c r="C682" s="184">
        <v>2</v>
      </c>
      <c r="D682" s="184">
        <v>6</v>
      </c>
      <c r="E682" s="184" t="s">
        <v>1772</v>
      </c>
      <c r="F682" s="185" t="s">
        <v>2705</v>
      </c>
    </row>
    <row r="683" spans="1:6" x14ac:dyDescent="0.3">
      <c r="A683" s="17" t="s">
        <v>1925</v>
      </c>
      <c r="B683" s="184">
        <v>0.3</v>
      </c>
      <c r="C683" s="184">
        <v>3</v>
      </c>
      <c r="D683" s="184">
        <v>9</v>
      </c>
      <c r="E683" s="184" t="s">
        <v>2706</v>
      </c>
      <c r="F683" s="185" t="s">
        <v>2707</v>
      </c>
    </row>
    <row r="684" spans="1:6" x14ac:dyDescent="0.3">
      <c r="A684" s="17" t="s">
        <v>1926</v>
      </c>
      <c r="B684" s="184">
        <v>0.312</v>
      </c>
      <c r="C684" s="184">
        <v>3</v>
      </c>
      <c r="D684" s="184">
        <v>9</v>
      </c>
      <c r="E684" s="184" t="s">
        <v>1807</v>
      </c>
      <c r="F684" s="185" t="s">
        <v>2708</v>
      </c>
    </row>
    <row r="685" spans="1:6" x14ac:dyDescent="0.3">
      <c r="A685" s="17" t="s">
        <v>1927</v>
      </c>
      <c r="B685" s="184">
        <v>0.28000000000000003</v>
      </c>
      <c r="C685" s="184">
        <v>0</v>
      </c>
      <c r="D685" s="184">
        <v>7</v>
      </c>
      <c r="E685" s="184" t="s">
        <v>1799</v>
      </c>
      <c r="F685" s="185" t="s">
        <v>2709</v>
      </c>
    </row>
    <row r="686" spans="1:6" x14ac:dyDescent="0.3">
      <c r="A686" s="17" t="s">
        <v>1928</v>
      </c>
      <c r="B686" s="184">
        <v>0.28299999999999997</v>
      </c>
      <c r="C686" s="184">
        <v>3</v>
      </c>
      <c r="D686" s="184">
        <v>11</v>
      </c>
      <c r="E686" s="184" t="s">
        <v>2710</v>
      </c>
      <c r="F686" s="185" t="s">
        <v>1929</v>
      </c>
    </row>
    <row r="687" spans="1:6" x14ac:dyDescent="0.3">
      <c r="A687" s="17" t="s">
        <v>2711</v>
      </c>
      <c r="B687" s="184">
        <v>0.34699999999999998</v>
      </c>
      <c r="C687" s="184">
        <v>1</v>
      </c>
      <c r="D687" s="184">
        <v>8</v>
      </c>
      <c r="E687" s="184" t="s">
        <v>1995</v>
      </c>
      <c r="F687" s="185" t="s">
        <v>2712</v>
      </c>
    </row>
    <row r="688" spans="1:6" x14ac:dyDescent="0.3">
      <c r="A688" s="17" t="s">
        <v>1930</v>
      </c>
      <c r="B688" s="184">
        <v>0.182</v>
      </c>
      <c r="C688" s="184">
        <v>1</v>
      </c>
      <c r="D688" s="184">
        <v>3</v>
      </c>
      <c r="E688" s="184" t="s">
        <v>1990</v>
      </c>
      <c r="F688" s="185" t="s">
        <v>2713</v>
      </c>
    </row>
    <row r="689" spans="1:6" ht="15" thickBot="1" x14ac:dyDescent="0.35">
      <c r="A689" s="18" t="s">
        <v>2714</v>
      </c>
      <c r="B689" s="186">
        <v>0</v>
      </c>
      <c r="C689" s="186">
        <v>0</v>
      </c>
      <c r="D689" s="186">
        <v>0</v>
      </c>
      <c r="E689" s="186" t="s">
        <v>2715</v>
      </c>
      <c r="F689" s="187" t="s">
        <v>2716</v>
      </c>
    </row>
    <row r="690" spans="1:6" ht="15" thickBot="1" x14ac:dyDescent="0.35">
      <c r="A690" t="s">
        <v>2717</v>
      </c>
      <c r="B690">
        <v>0</v>
      </c>
      <c r="C690">
        <v>0</v>
      </c>
      <c r="D690">
        <v>0</v>
      </c>
      <c r="E690" t="s">
        <v>1385</v>
      </c>
      <c r="F690" t="s">
        <v>1971</v>
      </c>
    </row>
    <row r="691" spans="1:6" ht="15" thickBot="1" x14ac:dyDescent="0.35">
      <c r="A691" s="188" t="s">
        <v>1432</v>
      </c>
      <c r="B691" s="189" t="s">
        <v>998</v>
      </c>
      <c r="C691" s="189" t="s">
        <v>1309</v>
      </c>
      <c r="D691" s="189" t="s">
        <v>1310</v>
      </c>
      <c r="E691" s="189" t="s">
        <v>1304</v>
      </c>
      <c r="F691" s="190" t="s">
        <v>1305</v>
      </c>
    </row>
    <row r="692" spans="1:6" ht="15" thickBot="1" x14ac:dyDescent="0.35">
      <c r="A692" t="s">
        <v>2718</v>
      </c>
      <c r="B692">
        <v>6.75</v>
      </c>
      <c r="C692">
        <v>6.1</v>
      </c>
      <c r="D692">
        <v>4.9000000000000004</v>
      </c>
      <c r="E692" t="s">
        <v>2719</v>
      </c>
      <c r="F692" t="s">
        <v>2720</v>
      </c>
    </row>
    <row r="693" spans="1:6" x14ac:dyDescent="0.3">
      <c r="A693" s="181" t="s">
        <v>1433</v>
      </c>
      <c r="B693" s="182"/>
      <c r="C693" s="182"/>
      <c r="D693" s="182"/>
      <c r="E693" s="182"/>
      <c r="F693" s="183"/>
    </row>
    <row r="694" spans="1:6" x14ac:dyDescent="0.3">
      <c r="A694" s="17" t="s">
        <v>1364</v>
      </c>
      <c r="B694" s="184" t="s">
        <v>1303</v>
      </c>
      <c r="C694" s="184" t="s">
        <v>81</v>
      </c>
      <c r="D694" s="184" t="s">
        <v>82</v>
      </c>
      <c r="E694" s="184" t="s">
        <v>1304</v>
      </c>
      <c r="F694" s="185" t="s">
        <v>1305</v>
      </c>
    </row>
    <row r="695" spans="1:6" x14ac:dyDescent="0.3">
      <c r="A695" s="17" t="s">
        <v>1805</v>
      </c>
      <c r="B695" s="184">
        <v>0.30499999999999999</v>
      </c>
      <c r="C695" s="184">
        <v>1</v>
      </c>
      <c r="D695" s="184">
        <v>6</v>
      </c>
      <c r="E695" s="184" t="s">
        <v>2721</v>
      </c>
      <c r="F695" s="185" t="s">
        <v>2722</v>
      </c>
    </row>
    <row r="696" spans="1:6" x14ac:dyDescent="0.3">
      <c r="A696" s="17" t="s">
        <v>1933</v>
      </c>
      <c r="B696" s="184">
        <v>0.255</v>
      </c>
      <c r="C696" s="184">
        <v>0</v>
      </c>
      <c r="D696" s="184">
        <v>4</v>
      </c>
      <c r="E696" s="184" t="s">
        <v>2364</v>
      </c>
      <c r="F696" s="185" t="s">
        <v>2723</v>
      </c>
    </row>
    <row r="697" spans="1:6" x14ac:dyDescent="0.3">
      <c r="A697" s="17" t="s">
        <v>1935</v>
      </c>
      <c r="B697" s="184">
        <v>0.2</v>
      </c>
      <c r="C697" s="184">
        <v>1</v>
      </c>
      <c r="D697" s="184">
        <v>6</v>
      </c>
      <c r="E697" s="184" t="s">
        <v>1782</v>
      </c>
      <c r="F697" s="185" t="s">
        <v>2724</v>
      </c>
    </row>
    <row r="698" spans="1:6" x14ac:dyDescent="0.3">
      <c r="A698" s="17" t="s">
        <v>1936</v>
      </c>
      <c r="B698" s="184">
        <v>0.27600000000000002</v>
      </c>
      <c r="C698" s="184">
        <v>7</v>
      </c>
      <c r="D698" s="184">
        <v>15</v>
      </c>
      <c r="E698" s="184" t="s">
        <v>1937</v>
      </c>
      <c r="F698" s="185" t="s">
        <v>2725</v>
      </c>
    </row>
    <row r="699" spans="1:6" x14ac:dyDescent="0.3">
      <c r="A699" s="17" t="s">
        <v>1938</v>
      </c>
      <c r="B699" s="184">
        <v>0.157</v>
      </c>
      <c r="C699" s="184">
        <v>2</v>
      </c>
      <c r="D699" s="184">
        <v>7</v>
      </c>
      <c r="E699" s="184" t="s">
        <v>1990</v>
      </c>
      <c r="F699" s="185" t="s">
        <v>2726</v>
      </c>
    </row>
    <row r="700" spans="1:6" x14ac:dyDescent="0.3">
      <c r="A700" s="17" t="s">
        <v>1939</v>
      </c>
      <c r="B700" s="184">
        <v>0.159</v>
      </c>
      <c r="C700" s="184">
        <v>0</v>
      </c>
      <c r="D700" s="184">
        <v>3</v>
      </c>
      <c r="E700" s="184" t="s">
        <v>1777</v>
      </c>
      <c r="F700" s="185" t="s">
        <v>2727</v>
      </c>
    </row>
    <row r="701" spans="1:6" x14ac:dyDescent="0.3">
      <c r="A701" s="17" t="s">
        <v>1940</v>
      </c>
      <c r="B701" s="184">
        <v>0.13300000000000001</v>
      </c>
      <c r="C701" s="184">
        <v>2</v>
      </c>
      <c r="D701" s="184">
        <v>7</v>
      </c>
      <c r="E701" s="184" t="s">
        <v>1960</v>
      </c>
      <c r="F701" s="185" t="s">
        <v>2728</v>
      </c>
    </row>
    <row r="702" spans="1:6" ht="15" thickBot="1" x14ac:dyDescent="0.35">
      <c r="A702" s="18" t="s">
        <v>1941</v>
      </c>
      <c r="B702" s="186">
        <v>0.17199999999999999</v>
      </c>
      <c r="C702" s="186">
        <v>0</v>
      </c>
      <c r="D702" s="186">
        <v>2</v>
      </c>
      <c r="E702" s="186" t="s">
        <v>1357</v>
      </c>
      <c r="F702" s="187" t="s">
        <v>2729</v>
      </c>
    </row>
    <row r="703" spans="1:6" ht="15" thickBot="1" x14ac:dyDescent="0.35">
      <c r="A703" t="s">
        <v>1943</v>
      </c>
      <c r="B703">
        <v>0.1</v>
      </c>
      <c r="C703">
        <v>1</v>
      </c>
      <c r="D703">
        <v>4</v>
      </c>
      <c r="E703" t="s">
        <v>1328</v>
      </c>
      <c r="F703" t="s">
        <v>2730</v>
      </c>
    </row>
    <row r="704" spans="1:6" ht="15" thickBot="1" x14ac:dyDescent="0.35">
      <c r="A704" s="188" t="s">
        <v>1365</v>
      </c>
      <c r="B704" s="189" t="s">
        <v>998</v>
      </c>
      <c r="C704" s="189" t="s">
        <v>1309</v>
      </c>
      <c r="D704" s="189" t="s">
        <v>1310</v>
      </c>
      <c r="E704" s="189" t="s">
        <v>1304</v>
      </c>
      <c r="F704" s="190" t="s">
        <v>1305</v>
      </c>
    </row>
    <row r="705" spans="1:6" x14ac:dyDescent="0.3">
      <c r="A705" t="s">
        <v>2731</v>
      </c>
      <c r="B705">
        <v>4.5</v>
      </c>
      <c r="C705">
        <v>10.3</v>
      </c>
      <c r="D705">
        <v>5.0999999999999996</v>
      </c>
      <c r="E705" t="s">
        <v>2732</v>
      </c>
      <c r="F705" t="s">
        <v>2733</v>
      </c>
    </row>
    <row r="706" spans="1:6" x14ac:dyDescent="0.3">
      <c r="A706" t="s">
        <v>1366</v>
      </c>
    </row>
    <row r="707" spans="1:6" x14ac:dyDescent="0.3">
      <c r="A707" t="s">
        <v>1316</v>
      </c>
    </row>
    <row r="709" spans="1:6" x14ac:dyDescent="0.3">
      <c r="A709" t="s">
        <v>2734</v>
      </c>
    </row>
    <row r="710" spans="1:6" x14ac:dyDescent="0.3">
      <c r="A710" t="s">
        <v>2735</v>
      </c>
    </row>
    <row r="711" spans="1:6" x14ac:dyDescent="0.3">
      <c r="A711" t="s">
        <v>107</v>
      </c>
    </row>
    <row r="713" spans="1:6" x14ac:dyDescent="0.3">
      <c r="A713" t="s">
        <v>2736</v>
      </c>
    </row>
    <row r="714" spans="1:6" x14ac:dyDescent="0.3">
      <c r="A714" t="s">
        <v>1944</v>
      </c>
    </row>
    <row r="715" spans="1:6" x14ac:dyDescent="0.3">
      <c r="A715" t="s">
        <v>1317</v>
      </c>
    </row>
    <row r="717" spans="1:6" x14ac:dyDescent="0.3">
      <c r="A717" t="s">
        <v>2737</v>
      </c>
    </row>
    <row r="718" spans="1:6" x14ac:dyDescent="0.3">
      <c r="A718" t="s">
        <v>2738</v>
      </c>
    </row>
    <row r="719" spans="1:6" x14ac:dyDescent="0.3">
      <c r="A719" t="s">
        <v>1318</v>
      </c>
    </row>
    <row r="721" spans="1:1" x14ac:dyDescent="0.3">
      <c r="A721" t="s">
        <v>1800</v>
      </c>
    </row>
    <row r="722" spans="1:1" x14ac:dyDescent="0.3">
      <c r="A722" t="s">
        <v>1945</v>
      </c>
    </row>
    <row r="723" spans="1:1" x14ac:dyDescent="0.3">
      <c r="A723" t="s">
        <v>1319</v>
      </c>
    </row>
    <row r="724" spans="1:1" x14ac:dyDescent="0.3">
      <c r="A724" t="s">
        <v>2739</v>
      </c>
    </row>
    <row r="725" spans="1:1" x14ac:dyDescent="0.3">
      <c r="A725" t="s">
        <v>1299</v>
      </c>
    </row>
    <row r="727" spans="1:1" x14ac:dyDescent="0.3">
      <c r="A727" t="s">
        <v>1300</v>
      </c>
    </row>
    <row r="728" spans="1:1" x14ac:dyDescent="0.3">
      <c r="A728" t="s">
        <v>2740</v>
      </c>
    </row>
    <row r="729" spans="1:1" x14ac:dyDescent="0.3">
      <c r="A729" t="s">
        <v>1299</v>
      </c>
    </row>
    <row r="731" spans="1:1" x14ac:dyDescent="0.3">
      <c r="A731" t="s">
        <v>1301</v>
      </c>
    </row>
    <row r="733" spans="1:1" x14ac:dyDescent="0.3">
      <c r="A733" t="s">
        <v>1299</v>
      </c>
    </row>
    <row r="735" spans="1:1" x14ac:dyDescent="0.3">
      <c r="A735" t="s">
        <v>2741</v>
      </c>
    </row>
    <row r="737" spans="1:6" x14ac:dyDescent="0.3">
      <c r="A737" t="s">
        <v>29</v>
      </c>
    </row>
    <row r="738" spans="1:6" x14ac:dyDescent="0.3">
      <c r="A738" t="s">
        <v>28</v>
      </c>
    </row>
    <row r="739" spans="1:6" x14ac:dyDescent="0.3">
      <c r="A739" t="s">
        <v>1299</v>
      </c>
    </row>
    <row r="741" spans="1:6" ht="15" thickBot="1" x14ac:dyDescent="0.35">
      <c r="A741" t="s">
        <v>2742</v>
      </c>
    </row>
    <row r="742" spans="1:6" x14ac:dyDescent="0.3">
      <c r="A742" s="181"/>
      <c r="B742" s="182"/>
      <c r="C742" s="182"/>
      <c r="D742" s="182"/>
      <c r="E742" s="182"/>
      <c r="F742" s="183"/>
    </row>
    <row r="743" spans="1:6" x14ac:dyDescent="0.3">
      <c r="A743" s="17" t="s">
        <v>1425</v>
      </c>
      <c r="B743" s="184" t="s">
        <v>1303</v>
      </c>
      <c r="C743" s="184" t="s">
        <v>81</v>
      </c>
      <c r="D743" s="184" t="s">
        <v>82</v>
      </c>
      <c r="E743" s="184" t="s">
        <v>1304</v>
      </c>
      <c r="F743" s="185" t="s">
        <v>1305</v>
      </c>
    </row>
    <row r="744" spans="1:6" x14ac:dyDescent="0.3">
      <c r="A744" s="17" t="s">
        <v>1883</v>
      </c>
      <c r="B744" s="184">
        <v>0.218</v>
      </c>
      <c r="C744" s="184">
        <v>1</v>
      </c>
      <c r="D744" s="184">
        <v>2</v>
      </c>
      <c r="E744" s="184" t="s">
        <v>2743</v>
      </c>
      <c r="F744" s="185" t="s">
        <v>2744</v>
      </c>
    </row>
    <row r="745" spans="1:6" x14ac:dyDescent="0.3">
      <c r="A745" s="17" t="s">
        <v>2745</v>
      </c>
      <c r="B745" s="184">
        <v>0.39</v>
      </c>
      <c r="C745" s="184">
        <v>0</v>
      </c>
      <c r="D745" s="184">
        <v>6</v>
      </c>
      <c r="E745" s="184" t="s">
        <v>2015</v>
      </c>
      <c r="F745" s="185" t="s">
        <v>2746</v>
      </c>
    </row>
    <row r="746" spans="1:6" x14ac:dyDescent="0.3">
      <c r="A746" s="17" t="s">
        <v>1884</v>
      </c>
      <c r="B746" s="184">
        <v>0.25</v>
      </c>
      <c r="C746" s="184">
        <v>1</v>
      </c>
      <c r="D746" s="184">
        <v>8</v>
      </c>
      <c r="E746" s="184" t="s">
        <v>2747</v>
      </c>
      <c r="F746" s="185" t="s">
        <v>2748</v>
      </c>
    </row>
    <row r="747" spans="1:6" x14ac:dyDescent="0.3">
      <c r="A747" s="17" t="s">
        <v>1426</v>
      </c>
      <c r="B747" s="184">
        <v>0.17299999999999999</v>
      </c>
      <c r="C747" s="184">
        <v>2</v>
      </c>
      <c r="D747" s="184">
        <v>8</v>
      </c>
      <c r="E747" s="184" t="s">
        <v>2432</v>
      </c>
      <c r="F747" s="185" t="s">
        <v>2749</v>
      </c>
    </row>
    <row r="748" spans="1:6" x14ac:dyDescent="0.3">
      <c r="A748" s="17" t="s">
        <v>2750</v>
      </c>
      <c r="B748" s="184">
        <v>0.28599999999999998</v>
      </c>
      <c r="C748" s="184">
        <v>2</v>
      </c>
      <c r="D748" s="184">
        <v>2</v>
      </c>
      <c r="E748" s="184" t="s">
        <v>2751</v>
      </c>
      <c r="F748" s="185" t="s">
        <v>2752</v>
      </c>
    </row>
    <row r="749" spans="1:6" x14ac:dyDescent="0.3">
      <c r="A749" s="17" t="s">
        <v>2753</v>
      </c>
      <c r="B749" s="184">
        <v>0.27300000000000002</v>
      </c>
      <c r="C749" s="184">
        <v>3</v>
      </c>
      <c r="D749" s="184">
        <v>6</v>
      </c>
      <c r="E749" s="184" t="s">
        <v>1958</v>
      </c>
      <c r="F749" s="185" t="s">
        <v>2754</v>
      </c>
    </row>
    <row r="750" spans="1:6" x14ac:dyDescent="0.3">
      <c r="A750" s="17" t="s">
        <v>1885</v>
      </c>
      <c r="B750" s="184">
        <v>0.36699999999999999</v>
      </c>
      <c r="C750" s="184">
        <v>0</v>
      </c>
      <c r="D750" s="184">
        <v>4</v>
      </c>
      <c r="E750" s="184" t="s">
        <v>2755</v>
      </c>
      <c r="F750" s="185" t="s">
        <v>2245</v>
      </c>
    </row>
    <row r="751" spans="1:6" ht="15" thickBot="1" x14ac:dyDescent="0.35">
      <c r="A751" s="18" t="s">
        <v>1886</v>
      </c>
      <c r="B751" s="186">
        <v>0.23100000000000001</v>
      </c>
      <c r="C751" s="186">
        <v>0</v>
      </c>
      <c r="D751" s="186">
        <v>5</v>
      </c>
      <c r="E751" s="186" t="s">
        <v>1803</v>
      </c>
      <c r="F751" s="187" t="s">
        <v>2756</v>
      </c>
    </row>
    <row r="752" spans="1:6" ht="15" thickBot="1" x14ac:dyDescent="0.35">
      <c r="A752" t="s">
        <v>2757</v>
      </c>
      <c r="B752">
        <v>0.186</v>
      </c>
      <c r="C752">
        <v>0</v>
      </c>
      <c r="D752">
        <v>2</v>
      </c>
      <c r="E752" t="s">
        <v>2758</v>
      </c>
      <c r="F752" t="s">
        <v>2759</v>
      </c>
    </row>
    <row r="753" spans="1:6" ht="15" thickBot="1" x14ac:dyDescent="0.35">
      <c r="A753" s="188" t="s">
        <v>1427</v>
      </c>
      <c r="B753" s="189" t="s">
        <v>998</v>
      </c>
      <c r="C753" s="189" t="s">
        <v>1309</v>
      </c>
      <c r="D753" s="189" t="s">
        <v>1310</v>
      </c>
      <c r="E753" s="189" t="s">
        <v>1304</v>
      </c>
      <c r="F753" s="190" t="s">
        <v>1305</v>
      </c>
    </row>
    <row r="754" spans="1:6" ht="15" thickBot="1" x14ac:dyDescent="0.35">
      <c r="A754" t="s">
        <v>2760</v>
      </c>
      <c r="B754">
        <v>3.71</v>
      </c>
      <c r="C754">
        <v>5.3</v>
      </c>
      <c r="D754">
        <v>2.6</v>
      </c>
      <c r="E754" t="s">
        <v>2761</v>
      </c>
      <c r="F754" t="s">
        <v>2762</v>
      </c>
    </row>
    <row r="755" spans="1:6" x14ac:dyDescent="0.3">
      <c r="A755" s="181" t="s">
        <v>1428</v>
      </c>
      <c r="B755" s="182"/>
      <c r="C755" s="182"/>
      <c r="D755" s="182"/>
      <c r="E755" s="182"/>
      <c r="F755" s="183"/>
    </row>
    <row r="756" spans="1:6" x14ac:dyDescent="0.3">
      <c r="A756" s="17" t="s">
        <v>1349</v>
      </c>
      <c r="B756" s="184" t="s">
        <v>1303</v>
      </c>
      <c r="C756" s="184" t="s">
        <v>81</v>
      </c>
      <c r="D756" s="184" t="s">
        <v>82</v>
      </c>
      <c r="E756" s="184" t="s">
        <v>1304</v>
      </c>
      <c r="F756" s="185" t="s">
        <v>1305</v>
      </c>
    </row>
    <row r="757" spans="1:6" x14ac:dyDescent="0.3">
      <c r="A757" s="17" t="s">
        <v>2763</v>
      </c>
      <c r="B757" s="184">
        <v>0.23100000000000001</v>
      </c>
      <c r="C757" s="184">
        <v>2</v>
      </c>
      <c r="D757" s="184">
        <v>4</v>
      </c>
      <c r="E757" s="184" t="s">
        <v>1994</v>
      </c>
      <c r="F757" s="185" t="s">
        <v>2764</v>
      </c>
    </row>
    <row r="758" spans="1:6" x14ac:dyDescent="0.3">
      <c r="A758" s="17" t="s">
        <v>2765</v>
      </c>
      <c r="B758" s="184">
        <v>0.255</v>
      </c>
      <c r="C758" s="184">
        <v>1</v>
      </c>
      <c r="D758" s="184">
        <v>4</v>
      </c>
      <c r="E758" s="184" t="s">
        <v>2766</v>
      </c>
      <c r="F758" s="185" t="s">
        <v>2767</v>
      </c>
    </row>
    <row r="759" spans="1:6" x14ac:dyDescent="0.3">
      <c r="A759" s="17" t="s">
        <v>2768</v>
      </c>
      <c r="B759" s="184">
        <v>0.34</v>
      </c>
      <c r="C759" s="184">
        <v>3</v>
      </c>
      <c r="D759" s="184">
        <v>9</v>
      </c>
      <c r="E759" s="184" t="s">
        <v>2769</v>
      </c>
      <c r="F759" s="185" t="s">
        <v>2770</v>
      </c>
    </row>
    <row r="760" spans="1:6" x14ac:dyDescent="0.3">
      <c r="A760" s="17" t="s">
        <v>2771</v>
      </c>
      <c r="B760" s="184">
        <v>0.30199999999999999</v>
      </c>
      <c r="C760" s="184">
        <v>1</v>
      </c>
      <c r="D760" s="184">
        <v>7</v>
      </c>
      <c r="E760" s="184" t="s">
        <v>1776</v>
      </c>
      <c r="F760" s="185" t="s">
        <v>2772</v>
      </c>
    </row>
    <row r="761" spans="1:6" x14ac:dyDescent="0.3">
      <c r="A761" s="17" t="s">
        <v>2773</v>
      </c>
      <c r="B761" s="184">
        <v>0.17100000000000001</v>
      </c>
      <c r="C761" s="184">
        <v>1</v>
      </c>
      <c r="D761" s="184">
        <v>1</v>
      </c>
      <c r="E761" s="184" t="s">
        <v>2014</v>
      </c>
      <c r="F761" s="185" t="s">
        <v>2774</v>
      </c>
    </row>
    <row r="762" spans="1:6" x14ac:dyDescent="0.3">
      <c r="A762" s="17" t="s">
        <v>2775</v>
      </c>
      <c r="B762" s="184">
        <v>9.5000000000000001E-2</v>
      </c>
      <c r="C762" s="184">
        <v>0</v>
      </c>
      <c r="D762" s="184">
        <v>0</v>
      </c>
      <c r="E762" s="184" t="s">
        <v>1337</v>
      </c>
      <c r="F762" s="185" t="s">
        <v>2776</v>
      </c>
    </row>
    <row r="763" spans="1:6" x14ac:dyDescent="0.3">
      <c r="A763" s="17" t="s">
        <v>1887</v>
      </c>
      <c r="B763" s="184">
        <v>0.17599999999999999</v>
      </c>
      <c r="C763" s="184">
        <v>0</v>
      </c>
      <c r="D763" s="184">
        <v>1</v>
      </c>
      <c r="E763" s="184" t="s">
        <v>1791</v>
      </c>
      <c r="F763" s="185" t="s">
        <v>2777</v>
      </c>
    </row>
    <row r="764" spans="1:6" ht="15" thickBot="1" x14ac:dyDescent="0.35">
      <c r="A764" s="18" t="s">
        <v>2778</v>
      </c>
      <c r="B764" s="186">
        <v>0.17899999999999999</v>
      </c>
      <c r="C764" s="186">
        <v>1</v>
      </c>
      <c r="D764" s="186">
        <v>3</v>
      </c>
      <c r="E764" s="186" t="s">
        <v>1782</v>
      </c>
      <c r="F764" s="187" t="s">
        <v>2779</v>
      </c>
    </row>
    <row r="765" spans="1:6" ht="15" thickBot="1" x14ac:dyDescent="0.35">
      <c r="A765" t="s">
        <v>1888</v>
      </c>
      <c r="B765">
        <v>0.16700000000000001</v>
      </c>
      <c r="C765">
        <v>1</v>
      </c>
      <c r="D765">
        <v>2</v>
      </c>
      <c r="E765" t="s">
        <v>1346</v>
      </c>
      <c r="F765" t="s">
        <v>2780</v>
      </c>
    </row>
    <row r="766" spans="1:6" ht="15" thickBot="1" x14ac:dyDescent="0.35">
      <c r="A766" s="188" t="s">
        <v>1350</v>
      </c>
      <c r="B766" s="189" t="s">
        <v>998</v>
      </c>
      <c r="C766" s="189" t="s">
        <v>1309</v>
      </c>
      <c r="D766" s="189" t="s">
        <v>1310</v>
      </c>
      <c r="E766" s="189" t="s">
        <v>1304</v>
      </c>
      <c r="F766" s="190" t="s">
        <v>1305</v>
      </c>
    </row>
    <row r="767" spans="1:6" x14ac:dyDescent="0.3">
      <c r="A767" t="s">
        <v>2781</v>
      </c>
      <c r="B767">
        <v>3.38</v>
      </c>
      <c r="C767">
        <v>8.8000000000000007</v>
      </c>
      <c r="D767">
        <v>1.4</v>
      </c>
      <c r="E767" t="s">
        <v>2782</v>
      </c>
      <c r="F767" t="s">
        <v>2783</v>
      </c>
    </row>
    <row r="768" spans="1:6" x14ac:dyDescent="0.3">
      <c r="A768" t="s">
        <v>1351</v>
      </c>
    </row>
    <row r="769" spans="1:1" x14ac:dyDescent="0.3">
      <c r="A769" t="s">
        <v>1316</v>
      </c>
    </row>
    <row r="771" spans="1:1" x14ac:dyDescent="0.3">
      <c r="A771" t="s">
        <v>2784</v>
      </c>
    </row>
    <row r="772" spans="1:1" x14ac:dyDescent="0.3">
      <c r="A772" t="s">
        <v>2785</v>
      </c>
    </row>
    <row r="773" spans="1:1" x14ac:dyDescent="0.3">
      <c r="A773" t="s">
        <v>107</v>
      </c>
    </row>
    <row r="775" spans="1:1" x14ac:dyDescent="0.3">
      <c r="A775" t="s">
        <v>2786</v>
      </c>
    </row>
    <row r="776" spans="1:1" x14ac:dyDescent="0.3">
      <c r="A776" t="s">
        <v>2787</v>
      </c>
    </row>
    <row r="777" spans="1:1" x14ac:dyDescent="0.3">
      <c r="A777" t="s">
        <v>1317</v>
      </c>
    </row>
    <row r="779" spans="1:1" x14ac:dyDescent="0.3">
      <c r="A779" t="s">
        <v>2788</v>
      </c>
    </row>
    <row r="780" spans="1:1" x14ac:dyDescent="0.3">
      <c r="A780" t="s">
        <v>2789</v>
      </c>
    </row>
    <row r="781" spans="1:1" x14ac:dyDescent="0.3">
      <c r="A781" t="s">
        <v>1318</v>
      </c>
    </row>
    <row r="783" spans="1:1" x14ac:dyDescent="0.3">
      <c r="A783" t="s">
        <v>1889</v>
      </c>
    </row>
    <row r="784" spans="1:1" x14ac:dyDescent="0.3">
      <c r="A784" t="s">
        <v>1890</v>
      </c>
    </row>
    <row r="785" spans="1:1" x14ac:dyDescent="0.3">
      <c r="A785" t="s">
        <v>1319</v>
      </c>
    </row>
    <row r="786" spans="1:1" x14ac:dyDescent="0.3">
      <c r="A786" t="s">
        <v>2790</v>
      </c>
    </row>
    <row r="787" spans="1:1" x14ac:dyDescent="0.3">
      <c r="A787" t="s">
        <v>1299</v>
      </c>
    </row>
    <row r="789" spans="1:1" x14ac:dyDescent="0.3">
      <c r="A789" t="s">
        <v>1300</v>
      </c>
    </row>
    <row r="790" spans="1:1" x14ac:dyDescent="0.3">
      <c r="A790" t="s">
        <v>1967</v>
      </c>
    </row>
    <row r="791" spans="1:1" x14ac:dyDescent="0.3">
      <c r="A791" t="s">
        <v>1299</v>
      </c>
    </row>
    <row r="793" spans="1:1" x14ac:dyDescent="0.3">
      <c r="A793" t="s">
        <v>1301</v>
      </c>
    </row>
    <row r="795" spans="1:1" x14ac:dyDescent="0.3">
      <c r="A795" t="s">
        <v>1299</v>
      </c>
    </row>
    <row r="797" spans="1:1" x14ac:dyDescent="0.3">
      <c r="A797" t="s">
        <v>2791</v>
      </c>
    </row>
    <row r="799" spans="1:1" x14ac:dyDescent="0.3">
      <c r="A799" t="s">
        <v>7</v>
      </c>
    </row>
    <row r="800" spans="1:1" x14ac:dyDescent="0.3">
      <c r="A800" t="s">
        <v>30</v>
      </c>
    </row>
    <row r="801" spans="1:6" x14ac:dyDescent="0.3">
      <c r="A801" t="s">
        <v>1299</v>
      </c>
    </row>
    <row r="803" spans="1:6" ht="15" thickBot="1" x14ac:dyDescent="0.35">
      <c r="A803" t="s">
        <v>2792</v>
      </c>
    </row>
    <row r="804" spans="1:6" x14ac:dyDescent="0.3">
      <c r="A804" s="181"/>
      <c r="B804" s="182"/>
      <c r="C804" s="182"/>
      <c r="D804" s="182"/>
      <c r="E804" s="182"/>
      <c r="F804" s="183"/>
    </row>
    <row r="805" spans="1:6" x14ac:dyDescent="0.3">
      <c r="A805" s="17" t="s">
        <v>1407</v>
      </c>
      <c r="B805" s="184" t="s">
        <v>1303</v>
      </c>
      <c r="C805" s="184" t="s">
        <v>81</v>
      </c>
      <c r="D805" s="184" t="s">
        <v>82</v>
      </c>
      <c r="E805" s="184" t="s">
        <v>1304</v>
      </c>
      <c r="F805" s="185" t="s">
        <v>1305</v>
      </c>
    </row>
    <row r="806" spans="1:6" x14ac:dyDescent="0.3">
      <c r="A806" s="17" t="s">
        <v>1408</v>
      </c>
      <c r="B806" s="184">
        <v>0.36499999999999999</v>
      </c>
      <c r="C806" s="184">
        <v>3</v>
      </c>
      <c r="D806" s="184">
        <v>11</v>
      </c>
      <c r="E806" s="184" t="s">
        <v>2793</v>
      </c>
      <c r="F806" s="185" t="s">
        <v>2794</v>
      </c>
    </row>
    <row r="807" spans="1:6" x14ac:dyDescent="0.3">
      <c r="A807" s="17" t="s">
        <v>1409</v>
      </c>
      <c r="B807" s="184">
        <v>0.317</v>
      </c>
      <c r="C807" s="184">
        <v>5</v>
      </c>
      <c r="D807" s="184">
        <v>15</v>
      </c>
      <c r="E807" s="184" t="s">
        <v>1968</v>
      </c>
      <c r="F807" s="185" t="s">
        <v>2795</v>
      </c>
    </row>
    <row r="808" spans="1:6" x14ac:dyDescent="0.3">
      <c r="A808" s="17" t="s">
        <v>1410</v>
      </c>
      <c r="B808" s="184">
        <v>0.316</v>
      </c>
      <c r="C808" s="184">
        <v>3</v>
      </c>
      <c r="D808" s="184">
        <v>8</v>
      </c>
      <c r="E808" s="184" t="s">
        <v>2575</v>
      </c>
      <c r="F808" s="185" t="s">
        <v>2796</v>
      </c>
    </row>
    <row r="809" spans="1:6" x14ac:dyDescent="0.3">
      <c r="A809" s="17" t="s">
        <v>1579</v>
      </c>
      <c r="B809" s="184">
        <v>0.308</v>
      </c>
      <c r="C809" s="184">
        <v>3</v>
      </c>
      <c r="D809" s="184">
        <v>13</v>
      </c>
      <c r="E809" s="184" t="s">
        <v>1582</v>
      </c>
      <c r="F809" s="185" t="s">
        <v>2797</v>
      </c>
    </row>
    <row r="810" spans="1:6" x14ac:dyDescent="0.3">
      <c r="A810" s="17" t="s">
        <v>2798</v>
      </c>
      <c r="B810" s="184">
        <v>0.246</v>
      </c>
      <c r="C810" s="184">
        <v>2</v>
      </c>
      <c r="D810" s="184">
        <v>10</v>
      </c>
      <c r="E810" s="184" t="s">
        <v>2799</v>
      </c>
      <c r="F810" s="185" t="s">
        <v>2800</v>
      </c>
    </row>
    <row r="811" spans="1:6" x14ac:dyDescent="0.3">
      <c r="A811" s="17" t="s">
        <v>2801</v>
      </c>
      <c r="B811" s="184">
        <v>0.33300000000000002</v>
      </c>
      <c r="C811" s="184">
        <v>0</v>
      </c>
      <c r="D811" s="184">
        <v>1</v>
      </c>
      <c r="E811" s="184" t="s">
        <v>1969</v>
      </c>
      <c r="F811" s="185" t="s">
        <v>2802</v>
      </c>
    </row>
    <row r="812" spans="1:6" x14ac:dyDescent="0.3">
      <c r="A812" s="17" t="s">
        <v>2803</v>
      </c>
      <c r="B812" s="184">
        <v>7.4999999999999997E-2</v>
      </c>
      <c r="C812" s="184">
        <v>2</v>
      </c>
      <c r="D812" s="184">
        <v>2</v>
      </c>
      <c r="E812" s="184" t="s">
        <v>2233</v>
      </c>
      <c r="F812" s="185" t="s">
        <v>2804</v>
      </c>
    </row>
    <row r="813" spans="1:6" ht="15" thickBot="1" x14ac:dyDescent="0.35">
      <c r="A813" s="18" t="s">
        <v>1970</v>
      </c>
      <c r="B813" s="186">
        <v>0.21099999999999999</v>
      </c>
      <c r="C813" s="186">
        <v>0</v>
      </c>
      <c r="D813" s="186">
        <v>1</v>
      </c>
      <c r="E813" s="186" t="s">
        <v>1385</v>
      </c>
      <c r="F813" s="187" t="s">
        <v>2805</v>
      </c>
    </row>
    <row r="814" spans="1:6" ht="15" thickBot="1" x14ac:dyDescent="0.35">
      <c r="A814" t="s">
        <v>2806</v>
      </c>
      <c r="B814">
        <v>0.111</v>
      </c>
      <c r="C814">
        <v>0</v>
      </c>
      <c r="D814">
        <v>0</v>
      </c>
      <c r="E814" t="s">
        <v>1346</v>
      </c>
      <c r="F814" t="s">
        <v>2807</v>
      </c>
    </row>
    <row r="815" spans="1:6" ht="15" thickBot="1" x14ac:dyDescent="0.35">
      <c r="A815" s="188" t="s">
        <v>1411</v>
      </c>
      <c r="B815" s="189" t="s">
        <v>998</v>
      </c>
      <c r="C815" s="189" t="s">
        <v>1309</v>
      </c>
      <c r="D815" s="189" t="s">
        <v>1310</v>
      </c>
      <c r="E815" s="189" t="s">
        <v>1304</v>
      </c>
      <c r="F815" s="190" t="s">
        <v>1305</v>
      </c>
    </row>
    <row r="816" spans="1:6" ht="15" thickBot="1" x14ac:dyDescent="0.35">
      <c r="A816" t="s">
        <v>2808</v>
      </c>
      <c r="B816">
        <v>1.53</v>
      </c>
      <c r="C816">
        <v>8.6999999999999993</v>
      </c>
      <c r="D816">
        <v>3.1</v>
      </c>
      <c r="E816" t="s">
        <v>2809</v>
      </c>
      <c r="F816" t="s">
        <v>2810</v>
      </c>
    </row>
    <row r="817" spans="1:6" x14ac:dyDescent="0.3">
      <c r="A817" s="181" t="s">
        <v>1412</v>
      </c>
      <c r="B817" s="182"/>
      <c r="C817" s="182"/>
      <c r="D817" s="182"/>
      <c r="E817" s="182"/>
      <c r="F817" s="183"/>
    </row>
    <row r="818" spans="1:6" x14ac:dyDescent="0.3">
      <c r="A818" s="17" t="s">
        <v>1340</v>
      </c>
      <c r="B818" s="184" t="s">
        <v>1303</v>
      </c>
      <c r="C818" s="184" t="s">
        <v>81</v>
      </c>
      <c r="D818" s="184" t="s">
        <v>82</v>
      </c>
      <c r="E818" s="184" t="s">
        <v>1304</v>
      </c>
      <c r="F818" s="185" t="s">
        <v>1305</v>
      </c>
    </row>
    <row r="819" spans="1:6" x14ac:dyDescent="0.3">
      <c r="A819" s="17" t="s">
        <v>2811</v>
      </c>
      <c r="B819" s="184">
        <v>0.29799999999999999</v>
      </c>
      <c r="C819" s="184">
        <v>2</v>
      </c>
      <c r="D819" s="184">
        <v>6</v>
      </c>
      <c r="E819" s="184" t="s">
        <v>1588</v>
      </c>
      <c r="F819" s="185" t="s">
        <v>2812</v>
      </c>
    </row>
    <row r="820" spans="1:6" x14ac:dyDescent="0.3">
      <c r="A820" s="17" t="s">
        <v>2813</v>
      </c>
      <c r="B820" s="184">
        <v>0.18</v>
      </c>
      <c r="C820" s="184">
        <v>1</v>
      </c>
      <c r="D820" s="184">
        <v>6</v>
      </c>
      <c r="E820" s="184" t="s">
        <v>1973</v>
      </c>
      <c r="F820" s="185" t="s">
        <v>2814</v>
      </c>
    </row>
    <row r="821" spans="1:6" x14ac:dyDescent="0.3">
      <c r="A821" s="17" t="s">
        <v>2815</v>
      </c>
      <c r="B821" s="184">
        <v>0.26500000000000001</v>
      </c>
      <c r="C821" s="184">
        <v>2</v>
      </c>
      <c r="D821" s="184">
        <v>4</v>
      </c>
      <c r="E821" s="184" t="s">
        <v>1972</v>
      </c>
      <c r="F821" s="185" t="s">
        <v>2816</v>
      </c>
    </row>
    <row r="822" spans="1:6" x14ac:dyDescent="0.3">
      <c r="A822" s="17" t="s">
        <v>1341</v>
      </c>
      <c r="B822" s="184">
        <v>0.23200000000000001</v>
      </c>
      <c r="C822" s="184">
        <v>2</v>
      </c>
      <c r="D822" s="184">
        <v>7</v>
      </c>
      <c r="E822" s="184" t="s">
        <v>2817</v>
      </c>
      <c r="F822" s="185" t="s">
        <v>2818</v>
      </c>
    </row>
    <row r="823" spans="1:6" x14ac:dyDescent="0.3">
      <c r="A823" s="17" t="s">
        <v>1824</v>
      </c>
      <c r="B823" s="184">
        <v>0.23100000000000001</v>
      </c>
      <c r="C823" s="184">
        <v>0</v>
      </c>
      <c r="D823" s="184">
        <v>3</v>
      </c>
      <c r="E823" s="184" t="s">
        <v>1801</v>
      </c>
      <c r="F823" s="185" t="s">
        <v>2819</v>
      </c>
    </row>
    <row r="824" spans="1:6" x14ac:dyDescent="0.3">
      <c r="A824" s="17" t="s">
        <v>2820</v>
      </c>
      <c r="B824" s="184">
        <v>0.11600000000000001</v>
      </c>
      <c r="C824" s="184">
        <v>0</v>
      </c>
      <c r="D824" s="184">
        <v>4</v>
      </c>
      <c r="E824" s="184" t="s">
        <v>1942</v>
      </c>
      <c r="F824" s="185" t="s">
        <v>2821</v>
      </c>
    </row>
    <row r="825" spans="1:6" x14ac:dyDescent="0.3">
      <c r="A825" s="17" t="s">
        <v>2822</v>
      </c>
      <c r="B825" s="184">
        <v>0.16700000000000001</v>
      </c>
      <c r="C825" s="184">
        <v>1</v>
      </c>
      <c r="D825" s="184">
        <v>2</v>
      </c>
      <c r="E825" s="184" t="s">
        <v>1803</v>
      </c>
      <c r="F825" s="185" t="s">
        <v>2823</v>
      </c>
    </row>
    <row r="826" spans="1:6" ht="15" thickBot="1" x14ac:dyDescent="0.35">
      <c r="A826" s="18" t="s">
        <v>2824</v>
      </c>
      <c r="B826" s="186">
        <v>0.2</v>
      </c>
      <c r="C826" s="186">
        <v>0</v>
      </c>
      <c r="D826" s="186">
        <v>4</v>
      </c>
      <c r="E826" s="186" t="s">
        <v>1826</v>
      </c>
      <c r="F826" s="187" t="s">
        <v>2825</v>
      </c>
    </row>
    <row r="827" spans="1:6" ht="15" thickBot="1" x14ac:dyDescent="0.35">
      <c r="A827" t="s">
        <v>2826</v>
      </c>
      <c r="B827">
        <v>0.115</v>
      </c>
      <c r="C827">
        <v>0</v>
      </c>
      <c r="D827">
        <v>1</v>
      </c>
      <c r="E827" t="s">
        <v>1323</v>
      </c>
      <c r="F827" t="s">
        <v>2827</v>
      </c>
    </row>
    <row r="828" spans="1:6" ht="15" thickBot="1" x14ac:dyDescent="0.35">
      <c r="A828" s="188" t="s">
        <v>1343</v>
      </c>
      <c r="B828" s="189" t="s">
        <v>998</v>
      </c>
      <c r="C828" s="189" t="s">
        <v>1309</v>
      </c>
      <c r="D828" s="189" t="s">
        <v>1310</v>
      </c>
      <c r="E828" s="189" t="s">
        <v>1304</v>
      </c>
      <c r="F828" s="190" t="s">
        <v>1305</v>
      </c>
    </row>
    <row r="829" spans="1:6" x14ac:dyDescent="0.3">
      <c r="A829" t="s">
        <v>2828</v>
      </c>
      <c r="B829">
        <v>3.94</v>
      </c>
      <c r="C829">
        <v>9</v>
      </c>
      <c r="D829">
        <v>1.1000000000000001</v>
      </c>
      <c r="E829" t="s">
        <v>2829</v>
      </c>
      <c r="F829" t="s">
        <v>2830</v>
      </c>
    </row>
    <row r="830" spans="1:6" x14ac:dyDescent="0.3">
      <c r="A830" t="s">
        <v>1344</v>
      </c>
    </row>
    <row r="831" spans="1:6" x14ac:dyDescent="0.3">
      <c r="A831" t="s">
        <v>1316</v>
      </c>
    </row>
    <row r="833" spans="1:1" x14ac:dyDescent="0.3">
      <c r="A833" t="s">
        <v>2831</v>
      </c>
    </row>
    <row r="834" spans="1:1" x14ac:dyDescent="0.3">
      <c r="A834" t="s">
        <v>2832</v>
      </c>
    </row>
    <row r="835" spans="1:1" x14ac:dyDescent="0.3">
      <c r="A835" t="s">
        <v>107</v>
      </c>
    </row>
    <row r="837" spans="1:1" x14ac:dyDescent="0.3">
      <c r="A837" t="s">
        <v>2833</v>
      </c>
    </row>
    <row r="838" spans="1:1" x14ac:dyDescent="0.3">
      <c r="A838" t="s">
        <v>2834</v>
      </c>
    </row>
    <row r="839" spans="1:1" x14ac:dyDescent="0.3">
      <c r="A839" t="s">
        <v>1317</v>
      </c>
    </row>
    <row r="841" spans="1:1" x14ac:dyDescent="0.3">
      <c r="A841" t="s">
        <v>2018</v>
      </c>
    </row>
    <row r="842" spans="1:1" x14ac:dyDescent="0.3">
      <c r="A842" t="s">
        <v>2019</v>
      </c>
    </row>
    <row r="843" spans="1:1" x14ac:dyDescent="0.3">
      <c r="A843" t="s">
        <v>1318</v>
      </c>
    </row>
    <row r="845" spans="1:1" x14ac:dyDescent="0.3">
      <c r="A845" t="s">
        <v>1413</v>
      </c>
    </row>
    <row r="846" spans="1:1" x14ac:dyDescent="0.3">
      <c r="A846" t="s">
        <v>2835</v>
      </c>
    </row>
    <row r="847" spans="1:1" x14ac:dyDescent="0.3">
      <c r="A847" t="s">
        <v>1319</v>
      </c>
    </row>
    <row r="848" spans="1:1" x14ac:dyDescent="0.3">
      <c r="A848" t="s">
        <v>2836</v>
      </c>
    </row>
    <row r="849" spans="1:11" x14ac:dyDescent="0.3">
      <c r="A849" t="s">
        <v>1299</v>
      </c>
    </row>
    <row r="851" spans="1:11" x14ac:dyDescent="0.3">
      <c r="A851" t="s">
        <v>1300</v>
      </c>
    </row>
    <row r="852" spans="1:11" x14ac:dyDescent="0.3">
      <c r="A852" t="s">
        <v>2837</v>
      </c>
    </row>
    <row r="853" spans="1:11" x14ac:dyDescent="0.3">
      <c r="A853" t="s">
        <v>1299</v>
      </c>
    </row>
    <row r="855" spans="1:11" x14ac:dyDescent="0.3">
      <c r="A855" t="s">
        <v>1301</v>
      </c>
    </row>
    <row r="857" spans="1:11" x14ac:dyDescent="0.3">
      <c r="A857" t="s">
        <v>1299</v>
      </c>
    </row>
    <row r="859" spans="1:11" x14ac:dyDescent="0.3">
      <c r="A859" t="s">
        <v>2838</v>
      </c>
    </row>
    <row r="861" spans="1:11" x14ac:dyDescent="0.3">
      <c r="A861" t="s">
        <v>18</v>
      </c>
    </row>
    <row r="862" spans="1:11" x14ac:dyDescent="0.3">
      <c r="A862" t="s">
        <v>25</v>
      </c>
    </row>
    <row r="863" spans="1:11" x14ac:dyDescent="0.3">
      <c r="A863" t="s">
        <v>1299</v>
      </c>
    </row>
    <row r="864" spans="1:11" x14ac:dyDescent="0.3">
      <c r="K864" t="str">
        <f ca="1">OFFSET(_xlfn.XLOOKUP(MainPage!W13,Lineups!A:A,Lineups!A:A,"HELP",0,),1,0)</f>
        <v xml:space="preserve">Toggle navigation </v>
      </c>
    </row>
    <row r="865" spans="1:6" ht="15" thickBot="1" x14ac:dyDescent="0.35">
      <c r="A865" t="s">
        <v>2839</v>
      </c>
    </row>
    <row r="866" spans="1:6" x14ac:dyDescent="0.3">
      <c r="A866" s="181"/>
      <c r="B866" s="182"/>
      <c r="C866" s="182"/>
      <c r="D866" s="182"/>
      <c r="E866" s="182"/>
      <c r="F866" s="183"/>
    </row>
    <row r="867" spans="1:6" x14ac:dyDescent="0.3">
      <c r="A867" s="17" t="s">
        <v>1320</v>
      </c>
      <c r="B867" s="184" t="s">
        <v>1303</v>
      </c>
      <c r="C867" s="184" t="s">
        <v>81</v>
      </c>
      <c r="D867" s="184" t="s">
        <v>82</v>
      </c>
      <c r="E867" s="184" t="s">
        <v>1304</v>
      </c>
      <c r="F867" s="185" t="s">
        <v>1305</v>
      </c>
    </row>
    <row r="868" spans="1:6" x14ac:dyDescent="0.3">
      <c r="A868" s="17" t="s">
        <v>1321</v>
      </c>
      <c r="B868" s="184">
        <v>0.23699999999999999</v>
      </c>
      <c r="C868" s="184">
        <v>1</v>
      </c>
      <c r="D868" s="184">
        <v>8</v>
      </c>
      <c r="E868" s="184" t="s">
        <v>2840</v>
      </c>
      <c r="F868" s="185" t="s">
        <v>2477</v>
      </c>
    </row>
    <row r="869" spans="1:6" x14ac:dyDescent="0.3">
      <c r="A869" s="17" t="s">
        <v>1827</v>
      </c>
      <c r="B869" s="184">
        <v>0.154</v>
      </c>
      <c r="C869" s="184">
        <v>0</v>
      </c>
      <c r="D869" s="184">
        <v>0</v>
      </c>
      <c r="E869" s="184" t="s">
        <v>1777</v>
      </c>
      <c r="F869" s="185" t="s">
        <v>2841</v>
      </c>
    </row>
    <row r="870" spans="1:6" x14ac:dyDescent="0.3">
      <c r="A870" s="17" t="s">
        <v>1322</v>
      </c>
      <c r="B870" s="184">
        <v>0.27600000000000002</v>
      </c>
      <c r="C870" s="184">
        <v>2</v>
      </c>
      <c r="D870" s="184">
        <v>13</v>
      </c>
      <c r="E870" s="184" t="s">
        <v>1905</v>
      </c>
      <c r="F870" s="185" t="s">
        <v>2842</v>
      </c>
    </row>
    <row r="871" spans="1:6" x14ac:dyDescent="0.3">
      <c r="A871" s="17" t="s">
        <v>1581</v>
      </c>
      <c r="B871" s="184">
        <v>0.218</v>
      </c>
      <c r="C871" s="184">
        <v>3</v>
      </c>
      <c r="D871" s="184">
        <v>14</v>
      </c>
      <c r="E871" s="184" t="s">
        <v>1900</v>
      </c>
      <c r="F871" s="185" t="s">
        <v>2843</v>
      </c>
    </row>
    <row r="872" spans="1:6" x14ac:dyDescent="0.3">
      <c r="A872" s="17" t="s">
        <v>1828</v>
      </c>
      <c r="B872" s="184">
        <v>0.27500000000000002</v>
      </c>
      <c r="C872" s="184">
        <v>2</v>
      </c>
      <c r="D872" s="184">
        <v>6</v>
      </c>
      <c r="E872" s="184" t="s">
        <v>1916</v>
      </c>
      <c r="F872" s="185" t="s">
        <v>2844</v>
      </c>
    </row>
    <row r="873" spans="1:6" x14ac:dyDescent="0.3">
      <c r="A873" s="17" t="s">
        <v>1957</v>
      </c>
      <c r="B873" s="184">
        <v>0.27</v>
      </c>
      <c r="C873" s="184">
        <v>2</v>
      </c>
      <c r="D873" s="184">
        <v>6</v>
      </c>
      <c r="E873" s="184" t="s">
        <v>2845</v>
      </c>
      <c r="F873" s="185" t="s">
        <v>2846</v>
      </c>
    </row>
    <row r="874" spans="1:6" x14ac:dyDescent="0.3">
      <c r="A874" s="17" t="s">
        <v>2847</v>
      </c>
      <c r="B874" s="184">
        <v>0.13500000000000001</v>
      </c>
      <c r="C874" s="184">
        <v>1</v>
      </c>
      <c r="D874" s="184">
        <v>5</v>
      </c>
      <c r="E874" s="184" t="s">
        <v>2848</v>
      </c>
      <c r="F874" s="185" t="s">
        <v>2849</v>
      </c>
    </row>
    <row r="875" spans="1:6" ht="15" thickBot="1" x14ac:dyDescent="0.35">
      <c r="A875" s="18" t="s">
        <v>1959</v>
      </c>
      <c r="B875" s="186">
        <v>0.38900000000000001</v>
      </c>
      <c r="C875" s="186">
        <v>0</v>
      </c>
      <c r="D875" s="186">
        <v>4</v>
      </c>
      <c r="E875" s="186" t="s">
        <v>1960</v>
      </c>
      <c r="F875" s="187" t="s">
        <v>2850</v>
      </c>
    </row>
    <row r="876" spans="1:6" ht="15" thickBot="1" x14ac:dyDescent="0.35">
      <c r="A876" t="s">
        <v>1961</v>
      </c>
      <c r="B876">
        <v>9.0999999999999998E-2</v>
      </c>
      <c r="C876">
        <v>0</v>
      </c>
      <c r="D876">
        <v>0</v>
      </c>
      <c r="E876" t="s">
        <v>2851</v>
      </c>
      <c r="F876" t="s">
        <v>2852</v>
      </c>
    </row>
    <row r="877" spans="1:6" ht="15" thickBot="1" x14ac:dyDescent="0.35">
      <c r="A877" s="188" t="s">
        <v>1324</v>
      </c>
      <c r="B877" s="189" t="s">
        <v>998</v>
      </c>
      <c r="C877" s="189" t="s">
        <v>1309</v>
      </c>
      <c r="D877" s="189" t="s">
        <v>1310</v>
      </c>
      <c r="E877" s="189" t="s">
        <v>1304</v>
      </c>
      <c r="F877" s="190" t="s">
        <v>1305</v>
      </c>
    </row>
    <row r="878" spans="1:6" ht="15" thickBot="1" x14ac:dyDescent="0.35">
      <c r="A878" t="s">
        <v>2853</v>
      </c>
      <c r="B878">
        <v>3.21</v>
      </c>
      <c r="C878">
        <v>8.4</v>
      </c>
      <c r="D878">
        <v>3.9</v>
      </c>
      <c r="E878" t="s">
        <v>2854</v>
      </c>
      <c r="F878" t="s">
        <v>2855</v>
      </c>
    </row>
    <row r="879" spans="1:6" x14ac:dyDescent="0.3">
      <c r="A879" s="181" t="s">
        <v>1325</v>
      </c>
      <c r="B879" s="182"/>
      <c r="C879" s="182"/>
      <c r="D879" s="182"/>
      <c r="E879" s="182"/>
      <c r="F879" s="183"/>
    </row>
    <row r="880" spans="1:6" x14ac:dyDescent="0.3">
      <c r="A880" s="17" t="s">
        <v>1302</v>
      </c>
      <c r="B880" s="184" t="s">
        <v>1303</v>
      </c>
      <c r="C880" s="184" t="s">
        <v>81</v>
      </c>
      <c r="D880" s="184" t="s">
        <v>82</v>
      </c>
      <c r="E880" s="184" t="s">
        <v>1304</v>
      </c>
      <c r="F880" s="185" t="s">
        <v>1305</v>
      </c>
    </row>
    <row r="881" spans="1:6" x14ac:dyDescent="0.3">
      <c r="A881" s="17" t="s">
        <v>2856</v>
      </c>
      <c r="B881" s="184">
        <v>0.35599999999999998</v>
      </c>
      <c r="C881" s="184">
        <v>0</v>
      </c>
      <c r="D881" s="184">
        <v>2</v>
      </c>
      <c r="E881" s="184" t="s">
        <v>2857</v>
      </c>
      <c r="F881" s="185" t="s">
        <v>2858</v>
      </c>
    </row>
    <row r="882" spans="1:6" x14ac:dyDescent="0.3">
      <c r="A882" s="17" t="s">
        <v>1306</v>
      </c>
      <c r="B882" s="184">
        <v>0.20300000000000001</v>
      </c>
      <c r="C882" s="184">
        <v>2</v>
      </c>
      <c r="D882" s="184">
        <v>6</v>
      </c>
      <c r="E882" s="184" t="s">
        <v>1964</v>
      </c>
      <c r="F882" s="185" t="s">
        <v>2859</v>
      </c>
    </row>
    <row r="883" spans="1:6" x14ac:dyDescent="0.3">
      <c r="A883" s="17" t="s">
        <v>2860</v>
      </c>
      <c r="B883" s="184">
        <v>0.29199999999999998</v>
      </c>
      <c r="C883" s="184">
        <v>4</v>
      </c>
      <c r="D883" s="184">
        <v>20</v>
      </c>
      <c r="E883" s="184" t="s">
        <v>2861</v>
      </c>
      <c r="F883" s="185" t="s">
        <v>2862</v>
      </c>
    </row>
    <row r="884" spans="1:6" x14ac:dyDescent="0.3">
      <c r="A884" s="17" t="s">
        <v>1307</v>
      </c>
      <c r="B884" s="184">
        <v>0.254</v>
      </c>
      <c r="C884" s="184">
        <v>0</v>
      </c>
      <c r="D884" s="184">
        <v>5</v>
      </c>
      <c r="E884" s="184" t="s">
        <v>1995</v>
      </c>
      <c r="F884" s="185" t="s">
        <v>2863</v>
      </c>
    </row>
    <row r="885" spans="1:6" x14ac:dyDescent="0.3">
      <c r="A885" s="17" t="s">
        <v>1962</v>
      </c>
      <c r="B885" s="184">
        <v>0.314</v>
      </c>
      <c r="C885" s="184">
        <v>4</v>
      </c>
      <c r="D885" s="184">
        <v>13</v>
      </c>
      <c r="E885" s="184" t="s">
        <v>1963</v>
      </c>
      <c r="F885" s="185" t="s">
        <v>2864</v>
      </c>
    </row>
    <row r="886" spans="1:6" x14ac:dyDescent="0.3">
      <c r="A886" s="17" t="s">
        <v>2865</v>
      </c>
      <c r="B886" s="184">
        <v>0.222</v>
      </c>
      <c r="C886" s="184">
        <v>2</v>
      </c>
      <c r="D886" s="184">
        <v>9</v>
      </c>
      <c r="E886" s="184" t="s">
        <v>2866</v>
      </c>
      <c r="F886" s="185" t="s">
        <v>2867</v>
      </c>
    </row>
    <row r="887" spans="1:6" x14ac:dyDescent="0.3">
      <c r="A887" s="17" t="s">
        <v>2868</v>
      </c>
      <c r="B887" s="184">
        <v>0.28899999999999998</v>
      </c>
      <c r="C887" s="184">
        <v>1</v>
      </c>
      <c r="D887" s="184">
        <v>2</v>
      </c>
      <c r="E887" s="184" t="s">
        <v>1825</v>
      </c>
      <c r="F887" s="185" t="s">
        <v>2869</v>
      </c>
    </row>
    <row r="888" spans="1:6" ht="15" thickBot="1" x14ac:dyDescent="0.35">
      <c r="A888" s="18" t="s">
        <v>2870</v>
      </c>
      <c r="B888" s="186">
        <v>0.222</v>
      </c>
      <c r="C888" s="186">
        <v>0</v>
      </c>
      <c r="D888" s="186">
        <v>2</v>
      </c>
      <c r="E888" s="186" t="s">
        <v>2303</v>
      </c>
      <c r="F888" s="187" t="s">
        <v>2871</v>
      </c>
    </row>
    <row r="889" spans="1:6" ht="15" thickBot="1" x14ac:dyDescent="0.35">
      <c r="A889" t="s">
        <v>2872</v>
      </c>
      <c r="B889">
        <v>0.17399999999999999</v>
      </c>
      <c r="C889">
        <v>0</v>
      </c>
      <c r="D889">
        <v>0</v>
      </c>
      <c r="E889" t="s">
        <v>1346</v>
      </c>
      <c r="F889" t="s">
        <v>2873</v>
      </c>
    </row>
    <row r="890" spans="1:6" ht="15" thickBot="1" x14ac:dyDescent="0.35">
      <c r="A890" s="188" t="s">
        <v>1308</v>
      </c>
      <c r="B890" s="189" t="s">
        <v>998</v>
      </c>
      <c r="C890" s="189" t="s">
        <v>1309</v>
      </c>
      <c r="D890" s="189" t="s">
        <v>1310</v>
      </c>
      <c r="E890" s="189" t="s">
        <v>1304</v>
      </c>
      <c r="F890" s="190" t="s">
        <v>1305</v>
      </c>
    </row>
    <row r="891" spans="1:6" x14ac:dyDescent="0.3">
      <c r="A891" t="s">
        <v>2874</v>
      </c>
      <c r="B891">
        <v>1.93</v>
      </c>
      <c r="C891">
        <v>8.1999999999999993</v>
      </c>
      <c r="D891">
        <v>2.9</v>
      </c>
      <c r="E891" t="s">
        <v>2875</v>
      </c>
      <c r="F891" t="s">
        <v>2876</v>
      </c>
    </row>
    <row r="892" spans="1:6" x14ac:dyDescent="0.3">
      <c r="A892" t="s">
        <v>1311</v>
      </c>
    </row>
    <row r="893" spans="1:6" x14ac:dyDescent="0.3">
      <c r="A893" t="s">
        <v>1316</v>
      </c>
    </row>
    <row r="895" spans="1:6" x14ac:dyDescent="0.3">
      <c r="A895" t="s">
        <v>2877</v>
      </c>
    </row>
    <row r="896" spans="1:6" x14ac:dyDescent="0.3">
      <c r="A896" t="s">
        <v>2878</v>
      </c>
    </row>
    <row r="897" spans="1:1" x14ac:dyDescent="0.3">
      <c r="A897" t="s">
        <v>107</v>
      </c>
    </row>
    <row r="899" spans="1:1" x14ac:dyDescent="0.3">
      <c r="A899" t="s">
        <v>2879</v>
      </c>
    </row>
    <row r="900" spans="1:1" x14ac:dyDescent="0.3">
      <c r="A900" t="s">
        <v>2880</v>
      </c>
    </row>
    <row r="901" spans="1:1" x14ac:dyDescent="0.3">
      <c r="A901" t="s">
        <v>1317</v>
      </c>
    </row>
    <row r="903" spans="1:1" x14ac:dyDescent="0.3">
      <c r="A903" t="s">
        <v>2881</v>
      </c>
    </row>
    <row r="904" spans="1:1" x14ac:dyDescent="0.3">
      <c r="A904" t="s">
        <v>2882</v>
      </c>
    </row>
    <row r="905" spans="1:1" x14ac:dyDescent="0.3">
      <c r="A905" t="s">
        <v>1318</v>
      </c>
    </row>
    <row r="907" spans="1:1" x14ac:dyDescent="0.3">
      <c r="A907" t="s">
        <v>1965</v>
      </c>
    </row>
    <row r="908" spans="1:1" x14ac:dyDescent="0.3">
      <c r="A908" t="s">
        <v>1966</v>
      </c>
    </row>
    <row r="909" spans="1:1" x14ac:dyDescent="0.3">
      <c r="A909" t="s">
        <v>1319</v>
      </c>
    </row>
    <row r="910" spans="1:1" x14ac:dyDescent="0.3">
      <c r="A910" t="s">
        <v>2883</v>
      </c>
    </row>
    <row r="911" spans="1:1" x14ac:dyDescent="0.3">
      <c r="A911" t="s">
        <v>1299</v>
      </c>
    </row>
    <row r="913" spans="1:6" x14ac:dyDescent="0.3">
      <c r="A913" t="s">
        <v>1300</v>
      </c>
    </row>
    <row r="914" spans="1:6" x14ac:dyDescent="0.3">
      <c r="A914" t="s">
        <v>2006</v>
      </c>
    </row>
    <row r="915" spans="1:6" x14ac:dyDescent="0.3">
      <c r="A915" t="s">
        <v>1299</v>
      </c>
    </row>
    <row r="917" spans="1:6" x14ac:dyDescent="0.3">
      <c r="A917" t="s">
        <v>1301</v>
      </c>
    </row>
    <row r="919" spans="1:6" x14ac:dyDescent="0.3">
      <c r="A919" t="s">
        <v>1299</v>
      </c>
    </row>
    <row r="921" spans="1:6" x14ac:dyDescent="0.3">
      <c r="A921" t="s">
        <v>2884</v>
      </c>
    </row>
    <row r="923" spans="1:6" x14ac:dyDescent="0.3">
      <c r="A923" t="s">
        <v>17</v>
      </c>
    </row>
    <row r="924" spans="1:6" x14ac:dyDescent="0.3">
      <c r="A924" t="s">
        <v>2</v>
      </c>
    </row>
    <row r="925" spans="1:6" x14ac:dyDescent="0.3">
      <c r="A925" t="s">
        <v>1299</v>
      </c>
    </row>
    <row r="927" spans="1:6" ht="15" thickBot="1" x14ac:dyDescent="0.35">
      <c r="A927" t="s">
        <v>2741</v>
      </c>
    </row>
    <row r="928" spans="1:6" x14ac:dyDescent="0.3">
      <c r="A928" s="181"/>
      <c r="B928" s="182"/>
      <c r="C928" s="182"/>
      <c r="D928" s="182"/>
      <c r="E928" s="182"/>
      <c r="F928" s="183"/>
    </row>
    <row r="929" spans="1:6" x14ac:dyDescent="0.3">
      <c r="A929" s="17" t="s">
        <v>1326</v>
      </c>
      <c r="B929" s="184" t="s">
        <v>1303</v>
      </c>
      <c r="C929" s="184" t="s">
        <v>81</v>
      </c>
      <c r="D929" s="184" t="s">
        <v>82</v>
      </c>
      <c r="E929" s="184" t="s">
        <v>1304</v>
      </c>
      <c r="F929" s="185" t="s">
        <v>1305</v>
      </c>
    </row>
    <row r="930" spans="1:6" x14ac:dyDescent="0.3">
      <c r="A930" s="17" t="s">
        <v>2007</v>
      </c>
      <c r="B930" s="184">
        <v>0.32100000000000001</v>
      </c>
      <c r="C930" s="184">
        <v>0</v>
      </c>
      <c r="D930" s="184">
        <v>3</v>
      </c>
      <c r="E930" s="184" t="s">
        <v>2885</v>
      </c>
      <c r="F930" s="185" t="s">
        <v>2886</v>
      </c>
    </row>
    <row r="931" spans="1:6" x14ac:dyDescent="0.3">
      <c r="A931" s="17" t="s">
        <v>2009</v>
      </c>
      <c r="B931" s="184">
        <v>0.33300000000000002</v>
      </c>
      <c r="C931" s="184">
        <v>0</v>
      </c>
      <c r="D931" s="184">
        <v>5</v>
      </c>
      <c r="E931" s="184" t="s">
        <v>2010</v>
      </c>
      <c r="F931" s="185" t="s">
        <v>2887</v>
      </c>
    </row>
    <row r="932" spans="1:6" x14ac:dyDescent="0.3">
      <c r="A932" s="17" t="s">
        <v>1327</v>
      </c>
      <c r="B932" s="184">
        <v>0.31900000000000001</v>
      </c>
      <c r="C932" s="184">
        <v>2</v>
      </c>
      <c r="D932" s="184">
        <v>9</v>
      </c>
      <c r="E932" s="184" t="s">
        <v>1806</v>
      </c>
      <c r="F932" s="185" t="s">
        <v>2888</v>
      </c>
    </row>
    <row r="933" spans="1:6" x14ac:dyDescent="0.3">
      <c r="A933" s="17" t="s">
        <v>2011</v>
      </c>
      <c r="B933" s="184">
        <v>0.222</v>
      </c>
      <c r="C933" s="184">
        <v>1</v>
      </c>
      <c r="D933" s="184">
        <v>1</v>
      </c>
      <c r="E933" s="184" t="s">
        <v>1823</v>
      </c>
      <c r="F933" s="185" t="s">
        <v>2889</v>
      </c>
    </row>
    <row r="934" spans="1:6" x14ac:dyDescent="0.3">
      <c r="A934" s="17" t="s">
        <v>2012</v>
      </c>
      <c r="B934" s="184">
        <v>0.245</v>
      </c>
      <c r="C934" s="184">
        <v>2</v>
      </c>
      <c r="D934" s="184">
        <v>9</v>
      </c>
      <c r="E934" s="184" t="s">
        <v>2403</v>
      </c>
      <c r="F934" s="185" t="s">
        <v>2890</v>
      </c>
    </row>
    <row r="935" spans="1:6" x14ac:dyDescent="0.3">
      <c r="A935" s="17" t="s">
        <v>2891</v>
      </c>
      <c r="B935" s="184">
        <v>0.23400000000000001</v>
      </c>
      <c r="C935" s="184">
        <v>1</v>
      </c>
      <c r="D935" s="184">
        <v>9</v>
      </c>
      <c r="E935" s="184" t="s">
        <v>1788</v>
      </c>
      <c r="F935" s="185" t="s">
        <v>2892</v>
      </c>
    </row>
    <row r="936" spans="1:6" x14ac:dyDescent="0.3">
      <c r="A936" s="17" t="s">
        <v>2893</v>
      </c>
      <c r="B936" s="184">
        <v>0.25600000000000001</v>
      </c>
      <c r="C936" s="184">
        <v>0</v>
      </c>
      <c r="D936" s="184">
        <v>9</v>
      </c>
      <c r="E936" s="184" t="s">
        <v>1782</v>
      </c>
      <c r="F936" s="185" t="s">
        <v>2894</v>
      </c>
    </row>
    <row r="937" spans="1:6" ht="15" thickBot="1" x14ac:dyDescent="0.35">
      <c r="A937" s="18" t="s">
        <v>2895</v>
      </c>
      <c r="B937" s="186">
        <v>0.23300000000000001</v>
      </c>
      <c r="C937" s="186">
        <v>5</v>
      </c>
      <c r="D937" s="186">
        <v>8</v>
      </c>
      <c r="E937" s="186" t="s">
        <v>1977</v>
      </c>
      <c r="F937" s="187" t="s">
        <v>2896</v>
      </c>
    </row>
    <row r="938" spans="1:6" ht="15" thickBot="1" x14ac:dyDescent="0.35">
      <c r="A938" t="s">
        <v>2897</v>
      </c>
      <c r="B938">
        <v>0.312</v>
      </c>
      <c r="C938">
        <v>0</v>
      </c>
      <c r="D938">
        <v>0</v>
      </c>
      <c r="E938" t="s">
        <v>1323</v>
      </c>
      <c r="F938" t="s">
        <v>2898</v>
      </c>
    </row>
    <row r="939" spans="1:6" ht="15" thickBot="1" x14ac:dyDescent="0.35">
      <c r="A939" s="188" t="s">
        <v>1329</v>
      </c>
      <c r="B939" s="189" t="s">
        <v>998</v>
      </c>
      <c r="C939" s="189" t="s">
        <v>1309</v>
      </c>
      <c r="D939" s="189" t="s">
        <v>1310</v>
      </c>
      <c r="E939" s="189" t="s">
        <v>1304</v>
      </c>
      <c r="F939" s="190" t="s">
        <v>1305</v>
      </c>
    </row>
    <row r="940" spans="1:6" ht="15" thickBot="1" x14ac:dyDescent="0.35">
      <c r="A940" t="s">
        <v>2899</v>
      </c>
      <c r="B940">
        <v>4.5</v>
      </c>
      <c r="C940">
        <v>10.3</v>
      </c>
      <c r="D940">
        <v>2.6</v>
      </c>
      <c r="E940" t="s">
        <v>2900</v>
      </c>
      <c r="F940" t="s">
        <v>2901</v>
      </c>
    </row>
    <row r="941" spans="1:6" x14ac:dyDescent="0.3">
      <c r="A941" s="181" t="s">
        <v>1330</v>
      </c>
      <c r="B941" s="182"/>
      <c r="C941" s="182"/>
      <c r="D941" s="182"/>
      <c r="E941" s="182"/>
      <c r="F941" s="183"/>
    </row>
    <row r="942" spans="1:6" x14ac:dyDescent="0.3">
      <c r="A942" s="17" t="s">
        <v>1421</v>
      </c>
      <c r="B942" s="184" t="s">
        <v>1303</v>
      </c>
      <c r="C942" s="184" t="s">
        <v>81</v>
      </c>
      <c r="D942" s="184" t="s">
        <v>82</v>
      </c>
      <c r="E942" s="184" t="s">
        <v>1304</v>
      </c>
      <c r="F942" s="185" t="s">
        <v>1305</v>
      </c>
    </row>
    <row r="943" spans="1:6" x14ac:dyDescent="0.3">
      <c r="A943" s="17" t="s">
        <v>1830</v>
      </c>
      <c r="B943" s="184">
        <v>0.23200000000000001</v>
      </c>
      <c r="C943" s="184">
        <v>2</v>
      </c>
      <c r="D943" s="184">
        <v>5</v>
      </c>
      <c r="E943" s="184" t="s">
        <v>1816</v>
      </c>
      <c r="F943" s="185" t="s">
        <v>2902</v>
      </c>
    </row>
    <row r="944" spans="1:6" x14ac:dyDescent="0.3">
      <c r="A944" s="17" t="s">
        <v>1422</v>
      </c>
      <c r="B944" s="184">
        <v>0.32800000000000001</v>
      </c>
      <c r="C944" s="184">
        <v>1</v>
      </c>
      <c r="D944" s="184">
        <v>3</v>
      </c>
      <c r="E944" s="184" t="s">
        <v>2903</v>
      </c>
      <c r="F944" s="185" t="s">
        <v>2904</v>
      </c>
    </row>
    <row r="945" spans="1:6" x14ac:dyDescent="0.3">
      <c r="A945" s="17" t="s">
        <v>2905</v>
      </c>
      <c r="B945" s="184">
        <v>0.224</v>
      </c>
      <c r="C945" s="184">
        <v>6</v>
      </c>
      <c r="D945" s="184">
        <v>14</v>
      </c>
      <c r="E945" s="184" t="s">
        <v>1817</v>
      </c>
      <c r="F945" s="185" t="s">
        <v>2906</v>
      </c>
    </row>
    <row r="946" spans="1:6" x14ac:dyDescent="0.3">
      <c r="A946" s="17" t="s">
        <v>2907</v>
      </c>
      <c r="B946" s="184">
        <v>0.246</v>
      </c>
      <c r="C946" s="184">
        <v>1</v>
      </c>
      <c r="D946" s="184">
        <v>9</v>
      </c>
      <c r="E946" s="184" t="s">
        <v>2476</v>
      </c>
      <c r="F946" s="185" t="s">
        <v>2908</v>
      </c>
    </row>
    <row r="947" spans="1:6" x14ac:dyDescent="0.3">
      <c r="A947" s="17" t="s">
        <v>2909</v>
      </c>
      <c r="B947" s="184">
        <v>0.27900000000000003</v>
      </c>
      <c r="C947" s="184">
        <v>3</v>
      </c>
      <c r="D947" s="184">
        <v>10</v>
      </c>
      <c r="E947" s="184" t="s">
        <v>2910</v>
      </c>
      <c r="F947" s="185" t="s">
        <v>2911</v>
      </c>
    </row>
    <row r="948" spans="1:6" x14ac:dyDescent="0.3">
      <c r="A948" s="17" t="s">
        <v>2016</v>
      </c>
      <c r="B948" s="184">
        <v>0.219</v>
      </c>
      <c r="C948" s="184">
        <v>0</v>
      </c>
      <c r="D948" s="184">
        <v>3</v>
      </c>
      <c r="E948" s="184" t="s">
        <v>2002</v>
      </c>
      <c r="F948" s="185" t="s">
        <v>2912</v>
      </c>
    </row>
    <row r="949" spans="1:6" x14ac:dyDescent="0.3">
      <c r="A949" s="17" t="s">
        <v>2913</v>
      </c>
      <c r="B949" s="184">
        <v>0.19</v>
      </c>
      <c r="C949" s="184">
        <v>3</v>
      </c>
      <c r="D949" s="184">
        <v>5</v>
      </c>
      <c r="E949" s="184" t="s">
        <v>2306</v>
      </c>
      <c r="F949" s="185" t="s">
        <v>2914</v>
      </c>
    </row>
    <row r="950" spans="1:6" ht="15" thickBot="1" x14ac:dyDescent="0.35">
      <c r="A950" s="18" t="s">
        <v>2915</v>
      </c>
      <c r="B950" s="186">
        <v>0.14299999999999999</v>
      </c>
      <c r="C950" s="186">
        <v>0</v>
      </c>
      <c r="D950" s="186">
        <v>0</v>
      </c>
      <c r="E950" s="186" t="s">
        <v>1784</v>
      </c>
      <c r="F950" s="187" t="s">
        <v>2916</v>
      </c>
    </row>
    <row r="951" spans="1:6" ht="15" thickBot="1" x14ac:dyDescent="0.35">
      <c r="A951" t="s">
        <v>2017</v>
      </c>
      <c r="B951">
        <v>0</v>
      </c>
      <c r="C951">
        <v>0</v>
      </c>
      <c r="D951">
        <v>0</v>
      </c>
      <c r="E951" t="s">
        <v>2917</v>
      </c>
      <c r="F951" t="s">
        <v>2918</v>
      </c>
    </row>
    <row r="952" spans="1:6" ht="15" thickBot="1" x14ac:dyDescent="0.35">
      <c r="A952" s="188" t="s">
        <v>1423</v>
      </c>
      <c r="B952" s="189" t="s">
        <v>998</v>
      </c>
      <c r="C952" s="189" t="s">
        <v>1309</v>
      </c>
      <c r="D952" s="189" t="s">
        <v>1310</v>
      </c>
      <c r="E952" s="189" t="s">
        <v>1304</v>
      </c>
      <c r="F952" s="190" t="s">
        <v>1305</v>
      </c>
    </row>
    <row r="953" spans="1:6" x14ac:dyDescent="0.3">
      <c r="A953" t="s">
        <v>2919</v>
      </c>
      <c r="B953">
        <v>9</v>
      </c>
      <c r="C953">
        <v>9.6999999999999993</v>
      </c>
      <c r="D953">
        <v>3.5</v>
      </c>
      <c r="E953" t="s">
        <v>2920</v>
      </c>
      <c r="F953" t="s">
        <v>2921</v>
      </c>
    </row>
    <row r="954" spans="1:6" x14ac:dyDescent="0.3">
      <c r="A954" t="s">
        <v>1424</v>
      </c>
    </row>
    <row r="955" spans="1:6" x14ac:dyDescent="0.3">
      <c r="A955" t="s">
        <v>1316</v>
      </c>
    </row>
    <row r="957" spans="1:6" x14ac:dyDescent="0.3">
      <c r="A957" t="s">
        <v>2922</v>
      </c>
    </row>
    <row r="958" spans="1:6" x14ac:dyDescent="0.3">
      <c r="A958" t="s">
        <v>2923</v>
      </c>
    </row>
    <row r="959" spans="1:6" x14ac:dyDescent="0.3">
      <c r="A959" t="s">
        <v>107</v>
      </c>
    </row>
    <row r="961" spans="1:1" x14ac:dyDescent="0.3">
      <c r="A961" t="s">
        <v>2924</v>
      </c>
    </row>
    <row r="962" spans="1:1" x14ac:dyDescent="0.3">
      <c r="A962" t="s">
        <v>2925</v>
      </c>
    </row>
    <row r="963" spans="1:1" x14ac:dyDescent="0.3">
      <c r="A963" t="s">
        <v>1317</v>
      </c>
    </row>
    <row r="965" spans="1:1" x14ac:dyDescent="0.3">
      <c r="A965" t="s">
        <v>1794</v>
      </c>
    </row>
    <row r="966" spans="1:1" x14ac:dyDescent="0.3">
      <c r="A966" t="s">
        <v>2926</v>
      </c>
    </row>
    <row r="967" spans="1:1" x14ac:dyDescent="0.3">
      <c r="A967" t="s">
        <v>1318</v>
      </c>
    </row>
    <row r="969" spans="1:1" x14ac:dyDescent="0.3">
      <c r="A969" t="s">
        <v>2020</v>
      </c>
    </row>
    <row r="970" spans="1:1" x14ac:dyDescent="0.3">
      <c r="A970" t="s">
        <v>1589</v>
      </c>
    </row>
    <row r="971" spans="1:1" x14ac:dyDescent="0.3">
      <c r="A971" t="s">
        <v>1319</v>
      </c>
    </row>
    <row r="972" spans="1:1" x14ac:dyDescent="0.3">
      <c r="A972" t="s">
        <v>2927</v>
      </c>
    </row>
    <row r="973" spans="1:1" x14ac:dyDescent="0.3">
      <c r="A973" t="s">
        <v>1299</v>
      </c>
    </row>
    <row r="975" spans="1:1" x14ac:dyDescent="0.3">
      <c r="A975" t="s">
        <v>1300</v>
      </c>
    </row>
    <row r="976" spans="1:1" x14ac:dyDescent="0.3">
      <c r="A976" t="s">
        <v>2928</v>
      </c>
    </row>
    <row r="977" spans="1:6" x14ac:dyDescent="0.3">
      <c r="A977" t="s">
        <v>1299</v>
      </c>
    </row>
    <row r="979" spans="1:6" x14ac:dyDescent="0.3">
      <c r="A979" t="s">
        <v>1301</v>
      </c>
    </row>
    <row r="981" spans="1:6" x14ac:dyDescent="0.3">
      <c r="A981" t="s">
        <v>1299</v>
      </c>
    </row>
    <row r="983" spans="1:6" x14ac:dyDescent="0.3">
      <c r="A983" t="s">
        <v>2929</v>
      </c>
    </row>
    <row r="985" spans="1:6" x14ac:dyDescent="0.3">
      <c r="A985" t="s">
        <v>21</v>
      </c>
    </row>
    <row r="986" spans="1:6" x14ac:dyDescent="0.3">
      <c r="A986" t="s">
        <v>23</v>
      </c>
    </row>
    <row r="987" spans="1:6" x14ac:dyDescent="0.3">
      <c r="A987" t="s">
        <v>1299</v>
      </c>
    </row>
    <row r="989" spans="1:6" x14ac:dyDescent="0.3">
      <c r="A989" t="s">
        <v>2839</v>
      </c>
    </row>
    <row r="991" spans="1:6" x14ac:dyDescent="0.3">
      <c r="A991" t="s">
        <v>1418</v>
      </c>
      <c r="B991" t="s">
        <v>1303</v>
      </c>
      <c r="C991" t="s">
        <v>81</v>
      </c>
      <c r="D991" t="s">
        <v>82</v>
      </c>
      <c r="E991" t="s">
        <v>1304</v>
      </c>
      <c r="F991" t="s">
        <v>1305</v>
      </c>
    </row>
    <row r="992" spans="1:6" x14ac:dyDescent="0.3">
      <c r="A992" t="s">
        <v>1583</v>
      </c>
      <c r="B992">
        <v>0.2</v>
      </c>
      <c r="C992">
        <v>2</v>
      </c>
      <c r="D992">
        <v>5</v>
      </c>
      <c r="E992" t="s">
        <v>2301</v>
      </c>
      <c r="F992" t="s">
        <v>2930</v>
      </c>
    </row>
    <row r="993" spans="1:6" x14ac:dyDescent="0.3">
      <c r="A993" t="s">
        <v>1998</v>
      </c>
      <c r="B993">
        <v>0.29799999999999999</v>
      </c>
      <c r="C993">
        <v>1</v>
      </c>
      <c r="D993">
        <v>4</v>
      </c>
      <c r="E993" t="s">
        <v>2931</v>
      </c>
      <c r="F993" t="s">
        <v>2932</v>
      </c>
    </row>
    <row r="994" spans="1:6" x14ac:dyDescent="0.3">
      <c r="A994" t="s">
        <v>1999</v>
      </c>
      <c r="B994">
        <v>0.32</v>
      </c>
      <c r="C994">
        <v>1</v>
      </c>
      <c r="D994">
        <v>4</v>
      </c>
      <c r="E994" t="s">
        <v>2885</v>
      </c>
      <c r="F994" t="s">
        <v>2933</v>
      </c>
    </row>
    <row r="995" spans="1:6" x14ac:dyDescent="0.3">
      <c r="A995" t="s">
        <v>1584</v>
      </c>
      <c r="B995">
        <v>0.25</v>
      </c>
      <c r="C995">
        <v>4</v>
      </c>
      <c r="D995">
        <v>8</v>
      </c>
      <c r="E995" t="s">
        <v>2000</v>
      </c>
      <c r="F995" t="s">
        <v>2934</v>
      </c>
    </row>
    <row r="996" spans="1:6" x14ac:dyDescent="0.3">
      <c r="A996" t="s">
        <v>2935</v>
      </c>
      <c r="B996">
        <v>0.2</v>
      </c>
      <c r="C996">
        <v>3</v>
      </c>
      <c r="D996">
        <v>8</v>
      </c>
      <c r="E996" t="s">
        <v>1932</v>
      </c>
      <c r="F996" t="s">
        <v>2936</v>
      </c>
    </row>
    <row r="997" spans="1:6" x14ac:dyDescent="0.3">
      <c r="A997" t="s">
        <v>2937</v>
      </c>
      <c r="B997">
        <v>0.37</v>
      </c>
      <c r="C997">
        <v>2</v>
      </c>
      <c r="D997">
        <v>8</v>
      </c>
      <c r="E997" t="s">
        <v>1972</v>
      </c>
      <c r="F997" t="s">
        <v>2938</v>
      </c>
    </row>
    <row r="998" spans="1:6" x14ac:dyDescent="0.3">
      <c r="A998" t="s">
        <v>2939</v>
      </c>
      <c r="B998">
        <v>0.33300000000000002</v>
      </c>
      <c r="C998">
        <v>1</v>
      </c>
      <c r="D998">
        <v>5</v>
      </c>
      <c r="E998" t="s">
        <v>1958</v>
      </c>
      <c r="F998" t="s">
        <v>2940</v>
      </c>
    </row>
    <row r="999" spans="1:6" x14ac:dyDescent="0.3">
      <c r="A999" t="s">
        <v>2941</v>
      </c>
      <c r="B999">
        <v>0.26800000000000002</v>
      </c>
      <c r="C999">
        <v>0</v>
      </c>
      <c r="D999">
        <v>5</v>
      </c>
      <c r="E999" t="s">
        <v>1991</v>
      </c>
      <c r="F999" t="s">
        <v>2942</v>
      </c>
    </row>
    <row r="1000" spans="1:6" x14ac:dyDescent="0.3">
      <c r="A1000" t="s">
        <v>2001</v>
      </c>
      <c r="B1000">
        <v>0.188</v>
      </c>
      <c r="C1000">
        <v>0</v>
      </c>
      <c r="D1000">
        <v>4</v>
      </c>
      <c r="E1000" t="s">
        <v>2275</v>
      </c>
      <c r="F1000" t="s">
        <v>2943</v>
      </c>
    </row>
    <row r="1001" spans="1:6" x14ac:dyDescent="0.3">
      <c r="A1001" t="s">
        <v>1419</v>
      </c>
      <c r="B1001" t="s">
        <v>998</v>
      </c>
      <c r="C1001" t="s">
        <v>1309</v>
      </c>
      <c r="D1001" t="s">
        <v>1310</v>
      </c>
      <c r="E1001" t="s">
        <v>1304</v>
      </c>
      <c r="F1001" t="s">
        <v>1305</v>
      </c>
    </row>
    <row r="1002" spans="1:6" x14ac:dyDescent="0.3">
      <c r="A1002" t="s">
        <v>2944</v>
      </c>
      <c r="B1002">
        <v>8.7799999999999994</v>
      </c>
      <c r="C1002">
        <v>10.1</v>
      </c>
      <c r="D1002">
        <v>7.4</v>
      </c>
      <c r="E1002" t="s">
        <v>2945</v>
      </c>
      <c r="F1002" t="s">
        <v>2946</v>
      </c>
    </row>
    <row r="1003" spans="1:6" x14ac:dyDescent="0.3">
      <c r="A1003" t="s">
        <v>1420</v>
      </c>
    </row>
    <row r="1004" spans="1:6" x14ac:dyDescent="0.3">
      <c r="A1004" t="s">
        <v>1367</v>
      </c>
      <c r="B1004" t="s">
        <v>1303</v>
      </c>
      <c r="C1004" t="s">
        <v>81</v>
      </c>
      <c r="D1004" t="s">
        <v>82</v>
      </c>
      <c r="E1004" t="s">
        <v>1304</v>
      </c>
      <c r="F1004" t="s">
        <v>1305</v>
      </c>
    </row>
    <row r="1005" spans="1:6" x14ac:dyDescent="0.3">
      <c r="A1005" t="s">
        <v>1368</v>
      </c>
      <c r="B1005">
        <v>0.254</v>
      </c>
      <c r="C1005">
        <v>2</v>
      </c>
      <c r="D1005">
        <v>9</v>
      </c>
      <c r="E1005" t="s">
        <v>1976</v>
      </c>
      <c r="F1005" t="s">
        <v>2947</v>
      </c>
    </row>
    <row r="1006" spans="1:6" x14ac:dyDescent="0.3">
      <c r="A1006" t="s">
        <v>1369</v>
      </c>
      <c r="B1006">
        <v>0.33900000000000002</v>
      </c>
      <c r="C1006">
        <v>1</v>
      </c>
      <c r="D1006">
        <v>11</v>
      </c>
      <c r="E1006" t="s">
        <v>1789</v>
      </c>
      <c r="F1006" t="s">
        <v>2948</v>
      </c>
    </row>
    <row r="1007" spans="1:6" x14ac:dyDescent="0.3">
      <c r="A1007" t="s">
        <v>1370</v>
      </c>
      <c r="B1007">
        <v>0.29499999999999998</v>
      </c>
      <c r="C1007">
        <v>2</v>
      </c>
      <c r="D1007">
        <v>13</v>
      </c>
      <c r="E1007" t="s">
        <v>2949</v>
      </c>
      <c r="F1007" t="s">
        <v>2950</v>
      </c>
    </row>
    <row r="1008" spans="1:6" x14ac:dyDescent="0.3">
      <c r="A1008" t="s">
        <v>2951</v>
      </c>
      <c r="B1008">
        <v>0.23400000000000001</v>
      </c>
      <c r="C1008">
        <v>1</v>
      </c>
      <c r="D1008">
        <v>9</v>
      </c>
      <c r="E1008" t="s">
        <v>2952</v>
      </c>
      <c r="F1008" t="s">
        <v>2953</v>
      </c>
    </row>
    <row r="1009" spans="1:6" x14ac:dyDescent="0.3">
      <c r="A1009" t="s">
        <v>2954</v>
      </c>
      <c r="B1009">
        <v>0.25</v>
      </c>
      <c r="C1009">
        <v>3</v>
      </c>
      <c r="D1009">
        <v>9</v>
      </c>
      <c r="E1009" t="s">
        <v>2955</v>
      </c>
      <c r="F1009" t="s">
        <v>2956</v>
      </c>
    </row>
    <row r="1010" spans="1:6" x14ac:dyDescent="0.3">
      <c r="A1010" t="s">
        <v>1786</v>
      </c>
      <c r="B1010">
        <v>0.35599999999999998</v>
      </c>
      <c r="C1010">
        <v>4</v>
      </c>
      <c r="D1010">
        <v>7</v>
      </c>
      <c r="E1010" t="s">
        <v>1804</v>
      </c>
      <c r="F1010" t="s">
        <v>2957</v>
      </c>
    </row>
    <row r="1011" spans="1:6" x14ac:dyDescent="0.3">
      <c r="A1011" t="s">
        <v>2958</v>
      </c>
      <c r="B1011">
        <v>7.0999999999999994E-2</v>
      </c>
      <c r="C1011">
        <v>0</v>
      </c>
      <c r="D1011">
        <v>1</v>
      </c>
      <c r="E1011" t="s">
        <v>1803</v>
      </c>
      <c r="F1011" t="s">
        <v>2959</v>
      </c>
    </row>
    <row r="1012" spans="1:6" x14ac:dyDescent="0.3">
      <c r="A1012" t="s">
        <v>2960</v>
      </c>
      <c r="B1012">
        <v>9.8000000000000004E-2</v>
      </c>
      <c r="C1012">
        <v>0</v>
      </c>
      <c r="D1012">
        <v>3</v>
      </c>
      <c r="E1012" t="s">
        <v>1931</v>
      </c>
      <c r="F1012" t="s">
        <v>2961</v>
      </c>
    </row>
    <row r="1013" spans="1:6" x14ac:dyDescent="0.3">
      <c r="A1013" t="s">
        <v>1371</v>
      </c>
      <c r="B1013">
        <v>0.25</v>
      </c>
      <c r="C1013">
        <v>0</v>
      </c>
      <c r="D1013">
        <v>3</v>
      </c>
      <c r="E1013" t="s">
        <v>1787</v>
      </c>
      <c r="F1013" t="s">
        <v>2962</v>
      </c>
    </row>
    <row r="1014" spans="1:6" x14ac:dyDescent="0.3">
      <c r="A1014" t="s">
        <v>1372</v>
      </c>
      <c r="B1014" t="s">
        <v>998</v>
      </c>
      <c r="C1014" t="s">
        <v>1309</v>
      </c>
      <c r="D1014" t="s">
        <v>1310</v>
      </c>
      <c r="E1014" t="s">
        <v>1304</v>
      </c>
      <c r="F1014" t="s">
        <v>1305</v>
      </c>
    </row>
    <row r="1015" spans="1:6" x14ac:dyDescent="0.3">
      <c r="A1015" t="s">
        <v>2963</v>
      </c>
      <c r="B1015">
        <v>3.78</v>
      </c>
      <c r="C1015">
        <v>6.5</v>
      </c>
      <c r="D1015">
        <v>0.5</v>
      </c>
      <c r="E1015" t="s">
        <v>2964</v>
      </c>
      <c r="F1015" t="s">
        <v>2965</v>
      </c>
    </row>
    <row r="1016" spans="1:6" x14ac:dyDescent="0.3">
      <c r="A1016" t="s">
        <v>1373</v>
      </c>
    </row>
    <row r="1017" spans="1:6" x14ac:dyDescent="0.3">
      <c r="A1017" t="s">
        <v>1316</v>
      </c>
    </row>
    <row r="1019" spans="1:6" x14ac:dyDescent="0.3">
      <c r="A1019" t="s">
        <v>2966</v>
      </c>
    </row>
    <row r="1020" spans="1:6" x14ac:dyDescent="0.3">
      <c r="A1020" t="s">
        <v>2967</v>
      </c>
    </row>
    <row r="1021" spans="1:6" x14ac:dyDescent="0.3">
      <c r="A1021" t="s">
        <v>107</v>
      </c>
    </row>
    <row r="1023" spans="1:6" x14ac:dyDescent="0.3">
      <c r="A1023" t="s">
        <v>2968</v>
      </c>
    </row>
    <row r="1024" spans="1:6" x14ac:dyDescent="0.3">
      <c r="A1024" t="s">
        <v>2969</v>
      </c>
    </row>
    <row r="1025" spans="1:1" x14ac:dyDescent="0.3">
      <c r="A1025" t="s">
        <v>1317</v>
      </c>
    </row>
    <row r="1027" spans="1:1" x14ac:dyDescent="0.3">
      <c r="A1027" t="s">
        <v>2970</v>
      </c>
    </row>
    <row r="1028" spans="1:1" x14ac:dyDescent="0.3">
      <c r="A1028" t="s">
        <v>2971</v>
      </c>
    </row>
    <row r="1029" spans="1:1" x14ac:dyDescent="0.3">
      <c r="A1029" t="s">
        <v>1318</v>
      </c>
    </row>
    <row r="1031" spans="1:1" x14ac:dyDescent="0.3">
      <c r="A1031" t="s">
        <v>2004</v>
      </c>
    </row>
    <row r="1032" spans="1:1" x14ac:dyDescent="0.3">
      <c r="A1032" t="s">
        <v>2005</v>
      </c>
    </row>
    <row r="1033" spans="1:1" x14ac:dyDescent="0.3">
      <c r="A1033" t="s">
        <v>1319</v>
      </c>
    </row>
    <row r="1034" spans="1:1" x14ac:dyDescent="0.3">
      <c r="A1034" t="s">
        <v>1434</v>
      </c>
    </row>
    <row r="1035" spans="1:1" x14ac:dyDescent="0.3">
      <c r="A1035" t="s">
        <v>2972</v>
      </c>
    </row>
    <row r="1036" spans="1:1" x14ac:dyDescent="0.3">
      <c r="A1036" t="s">
        <v>1435</v>
      </c>
    </row>
    <row r="1037" spans="1:1" x14ac:dyDescent="0.3">
      <c r="A1037" t="s">
        <v>2973</v>
      </c>
    </row>
    <row r="1038" spans="1:1" x14ac:dyDescent="0.3">
      <c r="A1038" t="s">
        <v>1833</v>
      </c>
    </row>
    <row r="1039" spans="1:1" x14ac:dyDescent="0.3">
      <c r="A1039" t="s">
        <v>2021</v>
      </c>
    </row>
    <row r="1040" spans="1:1" x14ac:dyDescent="0.3">
      <c r="A1040" t="s">
        <v>2974</v>
      </c>
    </row>
    <row r="1042" spans="1:1" x14ac:dyDescent="0.3">
      <c r="A1042" t="s">
        <v>1435</v>
      </c>
    </row>
    <row r="1043" spans="1:1" x14ac:dyDescent="0.3">
      <c r="A1043" t="s">
        <v>2973</v>
      </c>
    </row>
    <row r="1044" spans="1:1" x14ac:dyDescent="0.3">
      <c r="A1044" t="s">
        <v>2975</v>
      </c>
    </row>
    <row r="1045" spans="1:1" x14ac:dyDescent="0.3">
      <c r="A1045" t="s">
        <v>2976</v>
      </c>
    </row>
    <row r="1046" spans="1:1" x14ac:dyDescent="0.3">
      <c r="A1046" t="s">
        <v>2977</v>
      </c>
    </row>
    <row r="1047" spans="1:1" x14ac:dyDescent="0.3">
      <c r="A1047" t="s">
        <v>2978</v>
      </c>
    </row>
    <row r="1048" spans="1:1" x14ac:dyDescent="0.3">
      <c r="A1048" t="s">
        <v>2979</v>
      </c>
    </row>
    <row r="1049" spans="1:1" x14ac:dyDescent="0.3">
      <c r="A1049" t="s">
        <v>2980</v>
      </c>
    </row>
    <row r="1051" spans="1:1" x14ac:dyDescent="0.3">
      <c r="A1051" t="s">
        <v>1833</v>
      </c>
    </row>
    <row r="1052" spans="1:1" x14ac:dyDescent="0.3">
      <c r="A1052" t="s">
        <v>2981</v>
      </c>
    </row>
    <row r="1053" spans="1:1" x14ac:dyDescent="0.3">
      <c r="A1053" t="s">
        <v>2982</v>
      </c>
    </row>
    <row r="1054" spans="1:1" x14ac:dyDescent="0.3">
      <c r="A1054" t="s">
        <v>2983</v>
      </c>
    </row>
    <row r="1055" spans="1:1" x14ac:dyDescent="0.3">
      <c r="A1055" t="s">
        <v>2984</v>
      </c>
    </row>
    <row r="1057" spans="1:1" x14ac:dyDescent="0.3">
      <c r="A1057" t="s">
        <v>2021</v>
      </c>
    </row>
    <row r="1058" spans="1:1" x14ac:dyDescent="0.3">
      <c r="A1058" t="s">
        <v>2985</v>
      </c>
    </row>
    <row r="1059" spans="1:1" x14ac:dyDescent="0.3">
      <c r="A1059" t="s">
        <v>2986</v>
      </c>
    </row>
    <row r="1060" spans="1:1" x14ac:dyDescent="0.3">
      <c r="A1060" t="s">
        <v>2987</v>
      </c>
    </row>
    <row r="1061" spans="1:1" x14ac:dyDescent="0.3">
      <c r="A1061" t="s">
        <v>2988</v>
      </c>
    </row>
    <row r="1063" spans="1:1" x14ac:dyDescent="0.3">
      <c r="A1063" t="s">
        <v>2974</v>
      </c>
    </row>
    <row r="1064" spans="1:1" x14ac:dyDescent="0.3">
      <c r="A1064" t="s">
        <v>1834</v>
      </c>
    </row>
    <row r="1066" spans="1:1" x14ac:dyDescent="0.3">
      <c r="A1066" t="s">
        <v>2989</v>
      </c>
    </row>
    <row r="1068" spans="1:1" x14ac:dyDescent="0.3">
      <c r="A1068" t="s">
        <v>2990</v>
      </c>
    </row>
    <row r="1070" spans="1:1" x14ac:dyDescent="0.3">
      <c r="A1070" t="s">
        <v>2991</v>
      </c>
    </row>
    <row r="1072" spans="1:1" x14ac:dyDescent="0.3">
      <c r="A1072" t="s">
        <v>1436</v>
      </c>
    </row>
    <row r="1073" spans="1:1" x14ac:dyDescent="0.3">
      <c r="A1073" t="s">
        <v>1437</v>
      </c>
    </row>
    <row r="1075" spans="1:1" x14ac:dyDescent="0.3">
      <c r="A1075" t="s">
        <v>1438</v>
      </c>
    </row>
    <row r="1076" spans="1:1" x14ac:dyDescent="0.3">
      <c r="A1076" t="s">
        <v>1439</v>
      </c>
    </row>
    <row r="1077" spans="1:1" x14ac:dyDescent="0.3">
      <c r="A1077" t="s">
        <v>1440</v>
      </c>
    </row>
    <row r="1078" spans="1:1" x14ac:dyDescent="0.3">
      <c r="A1078" t="s">
        <v>1441</v>
      </c>
    </row>
    <row r="1079" spans="1:1" x14ac:dyDescent="0.3">
      <c r="A1079" t="s">
        <v>1442</v>
      </c>
    </row>
    <row r="1080" spans="1:1" x14ac:dyDescent="0.3">
      <c r="A1080" t="s">
        <v>1443</v>
      </c>
    </row>
    <row r="1082" spans="1:1" x14ac:dyDescent="0.3">
      <c r="A1082" t="s">
        <v>1444</v>
      </c>
    </row>
    <row r="1084" spans="1:1" x14ac:dyDescent="0.3">
      <c r="A1084" t="s">
        <v>1445</v>
      </c>
    </row>
    <row r="1085" spans="1:1" x14ac:dyDescent="0.3">
      <c r="A1085" t="s">
        <v>1446</v>
      </c>
    </row>
    <row r="1086" spans="1:1" x14ac:dyDescent="0.3">
      <c r="A1086" t="s">
        <v>1447</v>
      </c>
    </row>
    <row r="1087" spans="1:1" x14ac:dyDescent="0.3">
      <c r="A1087" t="s">
        <v>1448</v>
      </c>
    </row>
    <row r="1089" spans="1:1" x14ac:dyDescent="0.3">
      <c r="A1089" t="s">
        <v>1251</v>
      </c>
    </row>
    <row r="1091" spans="1:1" x14ac:dyDescent="0.3">
      <c r="A1091" t="s">
        <v>1449</v>
      </c>
    </row>
    <row r="1092" spans="1:1" x14ac:dyDescent="0.3">
      <c r="A1092" t="s">
        <v>1450</v>
      </c>
    </row>
    <row r="1093" spans="1:1" x14ac:dyDescent="0.3">
      <c r="A1093" t="s">
        <v>1451</v>
      </c>
    </row>
    <row r="1094" spans="1:1" x14ac:dyDescent="0.3">
      <c r="A1094" t="s">
        <v>1452</v>
      </c>
    </row>
    <row r="1096" spans="1:1" x14ac:dyDescent="0.3">
      <c r="A1096" t="s">
        <v>1254</v>
      </c>
    </row>
    <row r="1098" spans="1:1" x14ac:dyDescent="0.3">
      <c r="A1098" t="s">
        <v>1453</v>
      </c>
    </row>
    <row r="1100" spans="1:1" x14ac:dyDescent="0.3">
      <c r="A1100" t="s">
        <v>1257</v>
      </c>
    </row>
    <row r="1102" spans="1:1" x14ac:dyDescent="0.3">
      <c r="A1102" t="s">
        <v>1454</v>
      </c>
    </row>
    <row r="1103" spans="1:1" x14ac:dyDescent="0.3">
      <c r="A1103" t="s">
        <v>1455</v>
      </c>
    </row>
    <row r="1105" spans="1:1" x14ac:dyDescent="0.3">
      <c r="A1105" t="s">
        <v>1260</v>
      </c>
    </row>
    <row r="1107" spans="1:1" x14ac:dyDescent="0.3">
      <c r="A1107" t="s">
        <v>1456</v>
      </c>
    </row>
    <row r="1108" spans="1:1" x14ac:dyDescent="0.3">
      <c r="A1108" t="s">
        <v>1457</v>
      </c>
    </row>
    <row r="1110" spans="1:1" x14ac:dyDescent="0.3">
      <c r="A1110" t="s">
        <v>1263</v>
      </c>
    </row>
    <row r="1112" spans="1:1" x14ac:dyDescent="0.3">
      <c r="A1112" t="s">
        <v>1458</v>
      </c>
    </row>
    <row r="1113" spans="1:1" x14ac:dyDescent="0.3">
      <c r="A1113" t="s">
        <v>1459</v>
      </c>
    </row>
    <row r="1114" spans="1:1" x14ac:dyDescent="0.3">
      <c r="A1114" t="s">
        <v>1460</v>
      </c>
    </row>
    <row r="1116" spans="1:1" x14ac:dyDescent="0.3">
      <c r="A1116" t="s">
        <v>1461</v>
      </c>
    </row>
    <row r="1118" spans="1:1" x14ac:dyDescent="0.3">
      <c r="A1118" t="s">
        <v>1462</v>
      </c>
    </row>
    <row r="1119" spans="1:1" x14ac:dyDescent="0.3">
      <c r="A1119" t="s">
        <v>1463</v>
      </c>
    </row>
    <row r="1120" spans="1:1" x14ac:dyDescent="0.3">
      <c r="A1120" t="s">
        <v>1464</v>
      </c>
    </row>
    <row r="1121" spans="1:1" x14ac:dyDescent="0.3">
      <c r="A1121" t="s">
        <v>1465</v>
      </c>
    </row>
    <row r="1122" spans="1:1" x14ac:dyDescent="0.3">
      <c r="A1122" t="s">
        <v>1466</v>
      </c>
    </row>
    <row r="1124" spans="1:1" x14ac:dyDescent="0.3">
      <c r="A1124" t="s">
        <v>1467</v>
      </c>
    </row>
    <row r="1126" spans="1:1" x14ac:dyDescent="0.3">
      <c r="A1126" t="s">
        <v>1468</v>
      </c>
    </row>
    <row r="1127" spans="1:1" x14ac:dyDescent="0.3">
      <c r="A1127" t="s">
        <v>1469</v>
      </c>
    </row>
    <row r="1128" spans="1:1" x14ac:dyDescent="0.3">
      <c r="A1128" t="s">
        <v>1470</v>
      </c>
    </row>
    <row r="1129" spans="1:1" x14ac:dyDescent="0.3">
      <c r="A1129" t="s">
        <v>1471</v>
      </c>
    </row>
    <row r="1131" spans="1:1" x14ac:dyDescent="0.3">
      <c r="A1131" t="s">
        <v>1472</v>
      </c>
    </row>
    <row r="1132" spans="1:1" x14ac:dyDescent="0.3">
      <c r="A1132" t="s">
        <v>1473</v>
      </c>
    </row>
    <row r="1133" spans="1:1" x14ac:dyDescent="0.3">
      <c r="A1133" t="s">
        <v>1474</v>
      </c>
    </row>
  </sheetData>
  <autoFilter ref="A4:A37" xr:uid="{DFB44ADA-7A50-4D84-B25F-18E312C1F8F4}"/>
  <conditionalFormatting sqref="A1:A121 A705:A741 A754 A767:A803 A816 A829:A865 A878 A891:A927 A940 A643:A692 A630 A581:A617 A568 A519:A555 A506 A457:A493 A444 A395:A431 A382 A333:A369 A320 A271:A307 A258 A209:A245 A196 A147:A183 A134 A953:A1048576">
    <cfRule type="containsText" dxfId="1007" priority="838" operator="containsText" text="Lineup">
      <formula>NOT(ISERROR(SEARCH("Lineup",A1)))</formula>
    </cfRule>
  </conditionalFormatting>
  <conditionalFormatting sqref="A693:A704">
    <cfRule type="containsText" dxfId="1006" priority="807" operator="containsText" text="Lineup">
      <formula>NOT(ISERROR(SEARCH("Lineup",A693)))</formula>
    </cfRule>
  </conditionalFormatting>
  <conditionalFormatting sqref="A742:A753">
    <cfRule type="containsText" dxfId="1005" priority="776" operator="containsText" text="Lineup">
      <formula>NOT(ISERROR(SEARCH("Lineup",A742)))</formula>
    </cfRule>
  </conditionalFormatting>
  <conditionalFormatting sqref="A755:A766">
    <cfRule type="containsText" dxfId="1004" priority="745" operator="containsText" text="Lineup">
      <formula>NOT(ISERROR(SEARCH("Lineup",A755)))</formula>
    </cfRule>
  </conditionalFormatting>
  <conditionalFormatting sqref="A804:A815">
    <cfRule type="containsText" dxfId="1003" priority="714" operator="containsText" text="Lineup">
      <formula>NOT(ISERROR(SEARCH("Lineup",A804)))</formula>
    </cfRule>
  </conditionalFormatting>
  <conditionalFormatting sqref="A817:A828">
    <cfRule type="containsText" dxfId="1002" priority="683" operator="containsText" text="Lineup">
      <formula>NOT(ISERROR(SEARCH("Lineup",A817)))</formula>
    </cfRule>
  </conditionalFormatting>
  <conditionalFormatting sqref="A866:A877">
    <cfRule type="containsText" dxfId="1001" priority="652" operator="containsText" text="Lineup">
      <formula>NOT(ISERROR(SEARCH("Lineup",A866)))</formula>
    </cfRule>
  </conditionalFormatting>
  <conditionalFormatting sqref="A879:A890">
    <cfRule type="containsText" dxfId="1000" priority="621" operator="containsText" text="Lineup">
      <formula>NOT(ISERROR(SEARCH("Lineup",A879)))</formula>
    </cfRule>
  </conditionalFormatting>
  <conditionalFormatting sqref="A928:A939">
    <cfRule type="containsText" dxfId="999" priority="590" operator="containsText" text="Lineup">
      <formula>NOT(ISERROR(SEARCH("Lineup",A928)))</formula>
    </cfRule>
  </conditionalFormatting>
  <conditionalFormatting sqref="A941:A952">
    <cfRule type="containsText" dxfId="998" priority="559" operator="containsText" text="Lineup">
      <formula>NOT(ISERROR(SEARCH("Lineup",A941)))</formula>
    </cfRule>
  </conditionalFormatting>
  <conditionalFormatting sqref="A631:A642">
    <cfRule type="containsText" dxfId="997" priority="528" operator="containsText" text="Lineup">
      <formula>NOT(ISERROR(SEARCH("Lineup",A631)))</formula>
    </cfRule>
  </conditionalFormatting>
  <conditionalFormatting sqref="A618:A629">
    <cfRule type="containsText" dxfId="996" priority="497" operator="containsText" text="Lineup">
      <formula>NOT(ISERROR(SEARCH("Lineup",A618)))</formula>
    </cfRule>
  </conditionalFormatting>
  <conditionalFormatting sqref="A569:A580">
    <cfRule type="containsText" dxfId="995" priority="466" operator="containsText" text="Lineup">
      <formula>NOT(ISERROR(SEARCH("Lineup",A569)))</formula>
    </cfRule>
  </conditionalFormatting>
  <conditionalFormatting sqref="A556:A567">
    <cfRule type="containsText" dxfId="994" priority="435" operator="containsText" text="Lineup">
      <formula>NOT(ISERROR(SEARCH("Lineup",A556)))</formula>
    </cfRule>
  </conditionalFormatting>
  <conditionalFormatting sqref="A507:A518">
    <cfRule type="containsText" dxfId="993" priority="404" operator="containsText" text="Lineup">
      <formula>NOT(ISERROR(SEARCH("Lineup",A507)))</formula>
    </cfRule>
  </conditionalFormatting>
  <conditionalFormatting sqref="A494:A505">
    <cfRule type="containsText" dxfId="992" priority="373" operator="containsText" text="Lineup">
      <formula>NOT(ISERROR(SEARCH("Lineup",A494)))</formula>
    </cfRule>
  </conditionalFormatting>
  <conditionalFormatting sqref="A445:A456">
    <cfRule type="containsText" dxfId="991" priority="342" operator="containsText" text="Lineup">
      <formula>NOT(ISERROR(SEARCH("Lineup",A445)))</formula>
    </cfRule>
  </conditionalFormatting>
  <conditionalFormatting sqref="A432:A443">
    <cfRule type="containsText" dxfId="990" priority="311" operator="containsText" text="Lineup">
      <formula>NOT(ISERROR(SEARCH("Lineup",A432)))</formula>
    </cfRule>
  </conditionalFormatting>
  <conditionalFormatting sqref="A383:A394">
    <cfRule type="containsText" dxfId="989" priority="280" operator="containsText" text="Lineup">
      <formula>NOT(ISERROR(SEARCH("Lineup",A383)))</formula>
    </cfRule>
  </conditionalFormatting>
  <conditionalFormatting sqref="A370:A381">
    <cfRule type="containsText" dxfId="988" priority="249" operator="containsText" text="Lineup">
      <formula>NOT(ISERROR(SEARCH("Lineup",A370)))</formula>
    </cfRule>
  </conditionalFormatting>
  <conditionalFormatting sqref="A321:A332">
    <cfRule type="containsText" dxfId="987" priority="218" operator="containsText" text="Lineup">
      <formula>NOT(ISERROR(SEARCH("Lineup",A321)))</formula>
    </cfRule>
  </conditionalFormatting>
  <conditionalFormatting sqref="A308:A319">
    <cfRule type="containsText" dxfId="986" priority="187" operator="containsText" text="Lineup">
      <formula>NOT(ISERROR(SEARCH("Lineup",A308)))</formula>
    </cfRule>
  </conditionalFormatting>
  <conditionalFormatting sqref="A259:A270">
    <cfRule type="containsText" dxfId="985" priority="156" operator="containsText" text="Lineup">
      <formula>NOT(ISERROR(SEARCH("Lineup",A259)))</formula>
    </cfRule>
  </conditionalFormatting>
  <conditionalFormatting sqref="A246:A257">
    <cfRule type="containsText" dxfId="984" priority="125" operator="containsText" text="Lineup">
      <formula>NOT(ISERROR(SEARCH("Lineup",A246)))</formula>
    </cfRule>
  </conditionalFormatting>
  <conditionalFormatting sqref="A197:A208">
    <cfRule type="containsText" dxfId="983" priority="94" operator="containsText" text="Lineup">
      <formula>NOT(ISERROR(SEARCH("Lineup",A197)))</formula>
    </cfRule>
  </conditionalFormatting>
  <conditionalFormatting sqref="A184:A195">
    <cfRule type="containsText" dxfId="982" priority="63" operator="containsText" text="Lineup">
      <formula>NOT(ISERROR(SEARCH("Lineup",A184)))</formula>
    </cfRule>
  </conditionalFormatting>
  <conditionalFormatting sqref="A135:A146">
    <cfRule type="containsText" dxfId="981" priority="32" operator="containsText" text="Lineup">
      <formula>NOT(ISERROR(SEARCH("Lineup",A135)))</formula>
    </cfRule>
  </conditionalFormatting>
  <conditionalFormatting sqref="A122:A133">
    <cfRule type="containsText" dxfId="980" priority="1" operator="containsText" text="Lineup">
      <formula>NOT(ISERROR(SEARCH("Lineup",A122)))</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ontainsText" priority="868" operator="containsText" id="{C8EB7A07-AFD8-408B-B8F8-7EA4F3E3120D}">
            <xm:f>NOT(ISERROR(SEARCH($M$107,A1)))</xm:f>
            <xm:f>$M$107</xm:f>
            <x14:dxf>
              <font>
                <b/>
                <i/>
                <color theme="0"/>
              </font>
              <fill>
                <patternFill>
                  <bgColor theme="1"/>
                </patternFill>
              </fill>
            </x14:dxf>
          </x14:cfRule>
          <xm:sqref>A1:A121 A705:A741 A754 A767:A803 A816 A829:A865 A878 A891:A927 A940 A643:A692 A630 A581:A617 A568 A519:A555 A506 A457:A493 A444 A395:A431 A382 A333:A369 A320 A271:A307 A258 A209:A245 A196 A147:A183 A134 A953:A1048576</xm:sqref>
        </x14:conditionalFormatting>
        <x14:conditionalFormatting xmlns:xm="http://schemas.microsoft.com/office/excel/2006/main">
          <x14:cfRule type="containsText" priority="866" operator="containsText" id="{24FDD062-1331-4DC4-8EE1-711C9AD6DCDB}">
            <xm:f>NOT(ISERROR(SEARCH($M$109,A1)))</xm:f>
            <xm:f>$M$109</xm:f>
            <x14:dxf>
              <font>
                <b/>
                <i/>
                <color theme="0"/>
              </font>
              <fill>
                <patternFill>
                  <bgColor theme="1"/>
                </patternFill>
              </fill>
            </x14:dxf>
          </x14:cfRule>
          <x14:cfRule type="containsText" priority="867" operator="containsText" id="{E32CF24D-16E2-4D70-86CE-BEC756769F40}">
            <xm:f>NOT(ISERROR(SEARCH($M$108,A1)))</xm:f>
            <xm:f>$M$108</xm:f>
            <x14:dxf>
              <font>
                <color theme="0"/>
              </font>
              <fill>
                <patternFill>
                  <bgColor theme="1"/>
                </patternFill>
              </fill>
            </x14:dxf>
          </x14:cfRule>
          <xm:sqref>A1:A121 A705:A741 A754 A767:A803 A816 A829:A865 A878 A891:A927 A940 A643:A692 A630 A581:A617 A568 A519:A555 A506 A457:A493 A444 A395:A431 A382 A333:A369 A320 A271:A307 A258 A209:A245 A196 A147:A183 A134 A953:A1048576</xm:sqref>
        </x14:conditionalFormatting>
        <x14:conditionalFormatting xmlns:xm="http://schemas.microsoft.com/office/excel/2006/main">
          <x14:cfRule type="containsText" priority="839" operator="containsText" id="{AE74E783-4A28-43E6-A762-616CE799F2DF}">
            <xm:f>NOT(ISERROR(SEARCH($M$136,A1)))</xm:f>
            <xm:f>$M$136</xm:f>
            <x14:dxf>
              <font>
                <b/>
                <i/>
                <color theme="0"/>
              </font>
              <fill>
                <patternFill>
                  <bgColor theme="1"/>
                </patternFill>
              </fill>
            </x14:dxf>
          </x14:cfRule>
          <x14:cfRule type="containsText" priority="840" operator="containsText" id="{95564550-6F16-4B0D-83CD-FBE569D37FE4}">
            <xm:f>NOT(ISERROR(SEARCH($M$135,A1)))</xm:f>
            <xm:f>$M$135</xm:f>
            <x14:dxf>
              <font>
                <b/>
                <i/>
                <color theme="0"/>
              </font>
              <fill>
                <patternFill>
                  <bgColor theme="1"/>
                </patternFill>
              </fill>
            </x14:dxf>
          </x14:cfRule>
          <x14:cfRule type="containsText" priority="841" operator="containsText" id="{FD095D1C-9DFE-448C-8C05-3EB3B8C7F29C}">
            <xm:f>NOT(ISERROR(SEARCH($M$134,A1)))</xm:f>
            <xm:f>$M$134</xm:f>
            <x14:dxf>
              <font>
                <b/>
                <i/>
                <color theme="0"/>
              </font>
              <fill>
                <patternFill>
                  <bgColor theme="1"/>
                </patternFill>
              </fill>
            </x14:dxf>
          </x14:cfRule>
          <x14:cfRule type="containsText" priority="842" operator="containsText" id="{896EA771-EF1C-4BB0-878C-D526DF84CC69}">
            <xm:f>NOT(ISERROR(SEARCH($M$133,A1)))</xm:f>
            <xm:f>$M$133</xm:f>
            <x14:dxf>
              <font>
                <b/>
                <i/>
                <color theme="0"/>
              </font>
              <fill>
                <patternFill>
                  <bgColor theme="1"/>
                </patternFill>
              </fill>
            </x14:dxf>
          </x14:cfRule>
          <x14:cfRule type="containsText" priority="843" operator="containsText" id="{DB054A91-6F5F-41CE-8E4D-56C7013F9308}">
            <xm:f>NOT(ISERROR(SEARCH($M$132,A1)))</xm:f>
            <xm:f>$M$132</xm:f>
            <x14:dxf>
              <font>
                <b/>
                <i/>
                <color theme="0"/>
              </font>
              <fill>
                <patternFill>
                  <bgColor theme="1"/>
                </patternFill>
              </fill>
            </x14:dxf>
          </x14:cfRule>
          <x14:cfRule type="containsText" priority="844" operator="containsText" id="{A586B08C-F8F2-4FC0-939D-F0B438D34FF1}">
            <xm:f>NOT(ISERROR(SEARCH($M$131,A1)))</xm:f>
            <xm:f>$M$131</xm:f>
            <x14:dxf>
              <font>
                <b/>
                <i/>
                <color theme="0"/>
              </font>
              <fill>
                <patternFill>
                  <bgColor theme="1"/>
                </patternFill>
              </fill>
            </x14:dxf>
          </x14:cfRule>
          <x14:cfRule type="containsText" priority="845" operator="containsText" id="{94B1277A-DE66-410D-900E-21C3FEB2D8D1}">
            <xm:f>NOT(ISERROR(SEARCH($M$130,A1)))</xm:f>
            <xm:f>$M$130</xm:f>
            <x14:dxf>
              <font>
                <b/>
                <i/>
                <color theme="0"/>
              </font>
              <fill>
                <patternFill>
                  <bgColor theme="1"/>
                </patternFill>
              </fill>
            </x14:dxf>
          </x14:cfRule>
          <x14:cfRule type="containsText" priority="846" operator="containsText" id="{93076486-8FA4-4CD2-BF7A-2B7B96B6CE2C}">
            <xm:f>NOT(ISERROR(SEARCH($M$129,A1)))</xm:f>
            <xm:f>$M$129</xm:f>
            <x14:dxf>
              <font>
                <b/>
                <i/>
                <color theme="0"/>
              </font>
              <fill>
                <patternFill>
                  <bgColor theme="1"/>
                </patternFill>
              </fill>
            </x14:dxf>
          </x14:cfRule>
          <x14:cfRule type="containsText" priority="847" operator="containsText" id="{589683CF-C5CD-4606-ABF0-3AA6E3EB5811}">
            <xm:f>NOT(ISERROR(SEARCH($M$128,A1)))</xm:f>
            <xm:f>$M$128</xm:f>
            <x14:dxf>
              <font>
                <b/>
                <i/>
                <color theme="0"/>
              </font>
              <fill>
                <patternFill>
                  <bgColor theme="1"/>
                </patternFill>
              </fill>
            </x14:dxf>
          </x14:cfRule>
          <x14:cfRule type="containsText" priority="848" operator="containsText" id="{5DB58B5E-056B-4261-B39B-1DBD0B93F5C0}">
            <xm:f>NOT(ISERROR(SEARCH($M$127,A1)))</xm:f>
            <xm:f>$M$127</xm:f>
            <x14:dxf>
              <font>
                <b/>
                <i/>
                <color theme="0"/>
              </font>
              <fill>
                <patternFill>
                  <bgColor theme="1"/>
                </patternFill>
              </fill>
            </x14:dxf>
          </x14:cfRule>
          <x14:cfRule type="containsText" priority="849" operator="containsText" id="{9CDCAD91-499F-47EF-BCD0-D699E7076169}">
            <xm:f>NOT(ISERROR(SEARCH($M$126,A1)))</xm:f>
            <xm:f>$M$126</xm:f>
            <x14:dxf>
              <font>
                <b/>
                <i/>
                <color theme="0"/>
              </font>
              <fill>
                <patternFill>
                  <bgColor theme="1"/>
                </patternFill>
              </fill>
            </x14:dxf>
          </x14:cfRule>
          <x14:cfRule type="containsText" priority="850" operator="containsText" id="{501FDE05-051C-4EB4-B676-A7D236DCE829}">
            <xm:f>NOT(ISERROR(SEARCH($M$125,A1)))</xm:f>
            <xm:f>$M$125</xm:f>
            <x14:dxf>
              <font>
                <b/>
                <i/>
                <color theme="0"/>
              </font>
              <fill>
                <patternFill>
                  <bgColor theme="1"/>
                </patternFill>
              </fill>
            </x14:dxf>
          </x14:cfRule>
          <x14:cfRule type="containsText" priority="851" operator="containsText" id="{BC9FD440-B6A0-44AC-9375-64229A93BE68}">
            <xm:f>NOT(ISERROR(SEARCH($M$124,A1)))</xm:f>
            <xm:f>$M$124</xm:f>
            <x14:dxf>
              <font>
                <b/>
                <i/>
                <color theme="0"/>
              </font>
              <fill>
                <patternFill>
                  <bgColor theme="1"/>
                </patternFill>
              </fill>
            </x14:dxf>
          </x14:cfRule>
          <x14:cfRule type="containsText" priority="852" operator="containsText" id="{67E6A2E7-0FC5-4D38-8579-13FD40C0B232}">
            <xm:f>NOT(ISERROR(SEARCH($M$123,A1)))</xm:f>
            <xm:f>$M$123</xm:f>
            <x14:dxf>
              <font>
                <b/>
                <i/>
                <color theme="0"/>
              </font>
              <fill>
                <patternFill>
                  <bgColor theme="1"/>
                </patternFill>
              </fill>
            </x14:dxf>
          </x14:cfRule>
          <x14:cfRule type="containsText" priority="853" operator="containsText" id="{C99C4C32-FA5B-40CA-A2C1-8C549C7D5F27}">
            <xm:f>NOT(ISERROR(SEARCH($M$122,A1)))</xm:f>
            <xm:f>$M$122</xm:f>
            <x14:dxf>
              <font>
                <b/>
                <i/>
                <color theme="0"/>
              </font>
              <fill>
                <patternFill>
                  <bgColor theme="1"/>
                </patternFill>
              </fill>
            </x14:dxf>
          </x14:cfRule>
          <x14:cfRule type="containsText" priority="854" operator="containsText" id="{22092E66-AF6B-4B66-AAA7-80C2A0BEF809}">
            <xm:f>NOT(ISERROR(SEARCH($M$121,A1)))</xm:f>
            <xm:f>$M$121</xm:f>
            <x14:dxf>
              <font>
                <b/>
                <i/>
                <color theme="0"/>
              </font>
              <fill>
                <patternFill>
                  <bgColor theme="1"/>
                </patternFill>
              </fill>
            </x14:dxf>
          </x14:cfRule>
          <x14:cfRule type="containsText" priority="855" operator="containsText" id="{05A67138-CE0C-40FD-936B-3A6B65F27B02}">
            <xm:f>NOT(ISERROR(SEARCH($M$120,A1)))</xm:f>
            <xm:f>$M$120</xm:f>
            <x14:dxf>
              <font>
                <b/>
                <i/>
                <color theme="0"/>
              </font>
              <fill>
                <patternFill>
                  <bgColor theme="1"/>
                </patternFill>
              </fill>
            </x14:dxf>
          </x14:cfRule>
          <x14:cfRule type="containsText" priority="856" operator="containsText" id="{C2FF4435-ADB5-4FFF-9F38-5BBA32A920B3}">
            <xm:f>NOT(ISERROR(SEARCH($M$119,A1)))</xm:f>
            <xm:f>$M$119</xm:f>
            <x14:dxf>
              <font>
                <b/>
                <i/>
                <color theme="0"/>
              </font>
              <fill>
                <patternFill>
                  <bgColor theme="1"/>
                </patternFill>
              </fill>
            </x14:dxf>
          </x14:cfRule>
          <x14:cfRule type="containsText" priority="857" operator="containsText" id="{D3311C18-9BF0-4F96-9B41-1ECB51329962}">
            <xm:f>NOT(ISERROR(SEARCH($M$118,A1)))</xm:f>
            <xm:f>$M$118</xm:f>
            <x14:dxf>
              <font>
                <b/>
                <i/>
                <color theme="0"/>
              </font>
              <fill>
                <patternFill>
                  <bgColor theme="1"/>
                </patternFill>
              </fill>
            </x14:dxf>
          </x14:cfRule>
          <x14:cfRule type="containsText" priority="858" operator="containsText" id="{D13DC13A-F626-4B35-B89B-C8C0B20FA3AF}">
            <xm:f>NOT(ISERROR(SEARCH($M$117,A1)))</xm:f>
            <xm:f>$M$117</xm:f>
            <x14:dxf>
              <font>
                <b/>
                <i/>
                <color theme="0"/>
              </font>
              <fill>
                <patternFill>
                  <bgColor theme="1"/>
                </patternFill>
              </fill>
            </x14:dxf>
          </x14:cfRule>
          <x14:cfRule type="containsText" priority="859" operator="containsText" id="{F6DFDF27-0AF6-466E-9958-78EF6EF258FB}">
            <xm:f>NOT(ISERROR(SEARCH($M$116,A1)))</xm:f>
            <xm:f>$M$116</xm:f>
            <x14:dxf>
              <font>
                <b/>
                <i/>
                <color theme="0"/>
              </font>
              <fill>
                <patternFill>
                  <bgColor theme="1"/>
                </patternFill>
              </fill>
            </x14:dxf>
          </x14:cfRule>
          <x14:cfRule type="containsText" priority="860" operator="containsText" id="{2C08FB8B-84C9-4B1E-9B7C-EB19189A79AC}">
            <xm:f>NOT(ISERROR(SEARCH($M$115,A1)))</xm:f>
            <xm:f>$M$115</xm:f>
            <x14:dxf>
              <font>
                <b/>
                <i/>
                <color theme="0"/>
              </font>
              <fill>
                <patternFill>
                  <bgColor theme="1"/>
                </patternFill>
              </fill>
            </x14:dxf>
          </x14:cfRule>
          <x14:cfRule type="containsText" priority="861" operator="containsText" id="{6E9A79BE-7A42-4929-8458-C4A9A1A33C90}">
            <xm:f>NOT(ISERROR(SEARCH($M$114,A1)))</xm:f>
            <xm:f>$M$114</xm:f>
            <x14:dxf>
              <font>
                <b/>
                <i/>
                <color theme="0"/>
              </font>
              <fill>
                <patternFill>
                  <bgColor theme="1"/>
                </patternFill>
              </fill>
            </x14:dxf>
          </x14:cfRule>
          <x14:cfRule type="containsText" priority="862" operator="containsText" id="{F526ED16-BBDA-4654-AC71-89E6B485F3C8}">
            <xm:f>NOT(ISERROR(SEARCH($M$113,A1)))</xm:f>
            <xm:f>$M$113</xm:f>
            <x14:dxf>
              <font>
                <b/>
                <i/>
                <color theme="0"/>
              </font>
              <fill>
                <patternFill>
                  <bgColor theme="1"/>
                </patternFill>
              </fill>
            </x14:dxf>
          </x14:cfRule>
          <x14:cfRule type="containsText" priority="863" operator="containsText" id="{95F681A8-687D-4C9F-935A-92C48B9D1DFD}">
            <xm:f>NOT(ISERROR(SEARCH($M$112,A1)))</xm:f>
            <xm:f>$M$112</xm:f>
            <x14:dxf>
              <font>
                <b/>
                <i/>
                <color theme="0"/>
              </font>
              <fill>
                <patternFill>
                  <bgColor theme="1"/>
                </patternFill>
              </fill>
            </x14:dxf>
          </x14:cfRule>
          <x14:cfRule type="containsText" priority="864" operator="containsText" id="{73B441FA-C534-4AA1-BFB1-04E615CAC594}">
            <xm:f>NOT(ISERROR(SEARCH($M$111,A1)))</xm:f>
            <xm:f>$M$111</xm:f>
            <x14:dxf>
              <font>
                <b/>
                <i/>
                <color theme="0"/>
              </font>
              <fill>
                <patternFill>
                  <bgColor theme="1"/>
                </patternFill>
              </fill>
            </x14:dxf>
          </x14:cfRule>
          <x14:cfRule type="containsText" priority="865" operator="containsText" id="{D2271A6F-7F97-44C4-BE83-3FED40B40D2D}">
            <xm:f>NOT(ISERROR(SEARCH($M$110,A1)))</xm:f>
            <xm:f>$M$110</xm:f>
            <x14:dxf>
              <font>
                <b/>
                <i/>
                <color theme="0"/>
              </font>
              <fill>
                <patternFill>
                  <bgColor theme="1"/>
                </patternFill>
              </fill>
            </x14:dxf>
          </x14:cfRule>
          <xm:sqref>A1:A121 A705:A741 A754 A767:A803 A816 A829:A865 A878 A891:A927 A940 A643:A692 A630 A581:A617 A568 A519:A555 A506 A457:A493 A444 A395:A431 A382 A333:A369 A320 A271:A307 A258 A209:A245 A196 A147:A183 A134 A953:A1048576</xm:sqref>
        </x14:conditionalFormatting>
        <x14:conditionalFormatting xmlns:xm="http://schemas.microsoft.com/office/excel/2006/main">
          <x14:cfRule type="containsText" priority="837" operator="containsText" id="{23129759-8001-48A6-B0F3-F98D9A3EEBDB}">
            <xm:f>NOT(ISERROR(SEARCH($M$107,A693)))</xm:f>
            <xm:f>$M$107</xm:f>
            <x14:dxf>
              <font>
                <b/>
                <i/>
                <color theme="0"/>
              </font>
              <fill>
                <patternFill>
                  <bgColor theme="1"/>
                </patternFill>
              </fill>
            </x14:dxf>
          </x14:cfRule>
          <xm:sqref>A693:A704</xm:sqref>
        </x14:conditionalFormatting>
        <x14:conditionalFormatting xmlns:xm="http://schemas.microsoft.com/office/excel/2006/main">
          <x14:cfRule type="containsText" priority="835" operator="containsText" id="{0711F86A-E118-45DA-98C7-926DD6A6B72B}">
            <xm:f>NOT(ISERROR(SEARCH($M$109,A693)))</xm:f>
            <xm:f>$M$109</xm:f>
            <x14:dxf>
              <font>
                <b/>
                <i/>
                <color theme="0"/>
              </font>
              <fill>
                <patternFill>
                  <bgColor theme="1"/>
                </patternFill>
              </fill>
            </x14:dxf>
          </x14:cfRule>
          <x14:cfRule type="containsText" priority="836" operator="containsText" id="{7F2E6596-C97C-4D7B-A929-7F141424A650}">
            <xm:f>NOT(ISERROR(SEARCH($M$108,A693)))</xm:f>
            <xm:f>$M$108</xm:f>
            <x14:dxf>
              <font>
                <color theme="0"/>
              </font>
              <fill>
                <patternFill>
                  <bgColor theme="1"/>
                </patternFill>
              </fill>
            </x14:dxf>
          </x14:cfRule>
          <xm:sqref>A693:A704</xm:sqref>
        </x14:conditionalFormatting>
        <x14:conditionalFormatting xmlns:xm="http://schemas.microsoft.com/office/excel/2006/main">
          <x14:cfRule type="containsText" priority="808" operator="containsText" id="{CF461700-5AE3-4848-86B0-99DC3225F664}">
            <xm:f>NOT(ISERROR(SEARCH($M$136,A693)))</xm:f>
            <xm:f>$M$136</xm:f>
            <x14:dxf>
              <font>
                <b/>
                <i/>
                <color theme="0"/>
              </font>
              <fill>
                <patternFill>
                  <bgColor theme="1"/>
                </patternFill>
              </fill>
            </x14:dxf>
          </x14:cfRule>
          <x14:cfRule type="containsText" priority="809" operator="containsText" id="{AAEAA208-E8B5-41CD-A410-D8CE79EB4666}">
            <xm:f>NOT(ISERROR(SEARCH($M$135,A693)))</xm:f>
            <xm:f>$M$135</xm:f>
            <x14:dxf>
              <font>
                <b/>
                <i/>
                <color theme="0"/>
              </font>
              <fill>
                <patternFill>
                  <bgColor theme="1"/>
                </patternFill>
              </fill>
            </x14:dxf>
          </x14:cfRule>
          <x14:cfRule type="containsText" priority="810" operator="containsText" id="{A72E716E-43F5-41D9-933A-A15458921556}">
            <xm:f>NOT(ISERROR(SEARCH($M$134,A693)))</xm:f>
            <xm:f>$M$134</xm:f>
            <x14:dxf>
              <font>
                <b/>
                <i/>
                <color theme="0"/>
              </font>
              <fill>
                <patternFill>
                  <bgColor theme="1"/>
                </patternFill>
              </fill>
            </x14:dxf>
          </x14:cfRule>
          <x14:cfRule type="containsText" priority="811" operator="containsText" id="{A9E3AF67-1938-49B2-80EC-B3E47B4BB468}">
            <xm:f>NOT(ISERROR(SEARCH($M$133,A693)))</xm:f>
            <xm:f>$M$133</xm:f>
            <x14:dxf>
              <font>
                <b/>
                <i/>
                <color theme="0"/>
              </font>
              <fill>
                <patternFill>
                  <bgColor theme="1"/>
                </patternFill>
              </fill>
            </x14:dxf>
          </x14:cfRule>
          <x14:cfRule type="containsText" priority="812" operator="containsText" id="{1BD71A19-D13C-4D22-92C0-BE14813BDC80}">
            <xm:f>NOT(ISERROR(SEARCH($M$132,A693)))</xm:f>
            <xm:f>$M$132</xm:f>
            <x14:dxf>
              <font>
                <b/>
                <i/>
                <color theme="0"/>
              </font>
              <fill>
                <patternFill>
                  <bgColor theme="1"/>
                </patternFill>
              </fill>
            </x14:dxf>
          </x14:cfRule>
          <x14:cfRule type="containsText" priority="813" operator="containsText" id="{D6B6316C-0D21-4C7C-B4E4-45CACFC94E2A}">
            <xm:f>NOT(ISERROR(SEARCH($M$131,A693)))</xm:f>
            <xm:f>$M$131</xm:f>
            <x14:dxf>
              <font>
                <b/>
                <i/>
                <color theme="0"/>
              </font>
              <fill>
                <patternFill>
                  <bgColor theme="1"/>
                </patternFill>
              </fill>
            </x14:dxf>
          </x14:cfRule>
          <x14:cfRule type="containsText" priority="814" operator="containsText" id="{081D23BC-6330-43FB-B400-69B6799E98D3}">
            <xm:f>NOT(ISERROR(SEARCH($M$130,A693)))</xm:f>
            <xm:f>$M$130</xm:f>
            <x14:dxf>
              <font>
                <b/>
                <i/>
                <color theme="0"/>
              </font>
              <fill>
                <patternFill>
                  <bgColor theme="1"/>
                </patternFill>
              </fill>
            </x14:dxf>
          </x14:cfRule>
          <x14:cfRule type="containsText" priority="815" operator="containsText" id="{968578AD-F016-4C64-8EEA-BDD215A34FBE}">
            <xm:f>NOT(ISERROR(SEARCH($M$129,A693)))</xm:f>
            <xm:f>$M$129</xm:f>
            <x14:dxf>
              <font>
                <b/>
                <i/>
                <color theme="0"/>
              </font>
              <fill>
                <patternFill>
                  <bgColor theme="1"/>
                </patternFill>
              </fill>
            </x14:dxf>
          </x14:cfRule>
          <x14:cfRule type="containsText" priority="816" operator="containsText" id="{D44DD97D-2980-432B-B6F8-E5A1A223E3D6}">
            <xm:f>NOT(ISERROR(SEARCH($M$128,A693)))</xm:f>
            <xm:f>$M$128</xm:f>
            <x14:dxf>
              <font>
                <b/>
                <i/>
                <color theme="0"/>
              </font>
              <fill>
                <patternFill>
                  <bgColor theme="1"/>
                </patternFill>
              </fill>
            </x14:dxf>
          </x14:cfRule>
          <x14:cfRule type="containsText" priority="817" operator="containsText" id="{24F33A15-5A7A-4FC3-A75D-0760612BF57B}">
            <xm:f>NOT(ISERROR(SEARCH($M$127,A693)))</xm:f>
            <xm:f>$M$127</xm:f>
            <x14:dxf>
              <font>
                <b/>
                <i/>
                <color theme="0"/>
              </font>
              <fill>
                <patternFill>
                  <bgColor theme="1"/>
                </patternFill>
              </fill>
            </x14:dxf>
          </x14:cfRule>
          <x14:cfRule type="containsText" priority="818" operator="containsText" id="{79EE48F2-D58C-4C60-BB03-2E54BBF61C61}">
            <xm:f>NOT(ISERROR(SEARCH($M$126,A693)))</xm:f>
            <xm:f>$M$126</xm:f>
            <x14:dxf>
              <font>
                <b/>
                <i/>
                <color theme="0"/>
              </font>
              <fill>
                <patternFill>
                  <bgColor theme="1"/>
                </patternFill>
              </fill>
            </x14:dxf>
          </x14:cfRule>
          <x14:cfRule type="containsText" priority="819" operator="containsText" id="{87BDE9D6-3F3F-4880-BA38-BE9D4340AF4F}">
            <xm:f>NOT(ISERROR(SEARCH($M$125,A693)))</xm:f>
            <xm:f>$M$125</xm:f>
            <x14:dxf>
              <font>
                <b/>
                <i/>
                <color theme="0"/>
              </font>
              <fill>
                <patternFill>
                  <bgColor theme="1"/>
                </patternFill>
              </fill>
            </x14:dxf>
          </x14:cfRule>
          <x14:cfRule type="containsText" priority="820" operator="containsText" id="{00527B7F-1719-4153-8674-D8A9F6A1248D}">
            <xm:f>NOT(ISERROR(SEARCH($M$124,A693)))</xm:f>
            <xm:f>$M$124</xm:f>
            <x14:dxf>
              <font>
                <b/>
                <i/>
                <color theme="0"/>
              </font>
              <fill>
                <patternFill>
                  <bgColor theme="1"/>
                </patternFill>
              </fill>
            </x14:dxf>
          </x14:cfRule>
          <x14:cfRule type="containsText" priority="821" operator="containsText" id="{18B09C12-844B-47A1-A51C-AE598C672366}">
            <xm:f>NOT(ISERROR(SEARCH($M$123,A693)))</xm:f>
            <xm:f>$M$123</xm:f>
            <x14:dxf>
              <font>
                <b/>
                <i/>
                <color theme="0"/>
              </font>
              <fill>
                <patternFill>
                  <bgColor theme="1"/>
                </patternFill>
              </fill>
            </x14:dxf>
          </x14:cfRule>
          <x14:cfRule type="containsText" priority="822" operator="containsText" id="{951EF720-F76D-4AD3-8154-9D07893E605A}">
            <xm:f>NOT(ISERROR(SEARCH($M$122,A693)))</xm:f>
            <xm:f>$M$122</xm:f>
            <x14:dxf>
              <font>
                <b/>
                <i/>
                <color theme="0"/>
              </font>
              <fill>
                <patternFill>
                  <bgColor theme="1"/>
                </patternFill>
              </fill>
            </x14:dxf>
          </x14:cfRule>
          <x14:cfRule type="containsText" priority="823" operator="containsText" id="{D91DC314-8BF9-4C8A-8AE3-BC6932EF94BE}">
            <xm:f>NOT(ISERROR(SEARCH($M$121,A693)))</xm:f>
            <xm:f>$M$121</xm:f>
            <x14:dxf>
              <font>
                <b/>
                <i/>
                <color theme="0"/>
              </font>
              <fill>
                <patternFill>
                  <bgColor theme="1"/>
                </patternFill>
              </fill>
            </x14:dxf>
          </x14:cfRule>
          <x14:cfRule type="containsText" priority="824" operator="containsText" id="{9A6C2D11-D8EF-48B4-AC24-1613836E800E}">
            <xm:f>NOT(ISERROR(SEARCH($M$120,A693)))</xm:f>
            <xm:f>$M$120</xm:f>
            <x14:dxf>
              <font>
                <b/>
                <i/>
                <color theme="0"/>
              </font>
              <fill>
                <patternFill>
                  <bgColor theme="1"/>
                </patternFill>
              </fill>
            </x14:dxf>
          </x14:cfRule>
          <x14:cfRule type="containsText" priority="825" operator="containsText" id="{4E745BCD-BF63-4178-8E31-FAC94F1E89C3}">
            <xm:f>NOT(ISERROR(SEARCH($M$119,A693)))</xm:f>
            <xm:f>$M$119</xm:f>
            <x14:dxf>
              <font>
                <b/>
                <i/>
                <color theme="0"/>
              </font>
              <fill>
                <patternFill>
                  <bgColor theme="1"/>
                </patternFill>
              </fill>
            </x14:dxf>
          </x14:cfRule>
          <x14:cfRule type="containsText" priority="826" operator="containsText" id="{888EC868-963E-4347-9564-65DF104C30C4}">
            <xm:f>NOT(ISERROR(SEARCH($M$118,A693)))</xm:f>
            <xm:f>$M$118</xm:f>
            <x14:dxf>
              <font>
                <b/>
                <i/>
                <color theme="0"/>
              </font>
              <fill>
                <patternFill>
                  <bgColor theme="1"/>
                </patternFill>
              </fill>
            </x14:dxf>
          </x14:cfRule>
          <x14:cfRule type="containsText" priority="827" operator="containsText" id="{5C244C3B-7032-4675-A0FE-7012603D9810}">
            <xm:f>NOT(ISERROR(SEARCH($M$117,A693)))</xm:f>
            <xm:f>$M$117</xm:f>
            <x14:dxf>
              <font>
                <b/>
                <i/>
                <color theme="0"/>
              </font>
              <fill>
                <patternFill>
                  <bgColor theme="1"/>
                </patternFill>
              </fill>
            </x14:dxf>
          </x14:cfRule>
          <x14:cfRule type="containsText" priority="828" operator="containsText" id="{EFB4A699-2406-4A46-BAA5-4B826427E443}">
            <xm:f>NOT(ISERROR(SEARCH($M$116,A693)))</xm:f>
            <xm:f>$M$116</xm:f>
            <x14:dxf>
              <font>
                <b/>
                <i/>
                <color theme="0"/>
              </font>
              <fill>
                <patternFill>
                  <bgColor theme="1"/>
                </patternFill>
              </fill>
            </x14:dxf>
          </x14:cfRule>
          <x14:cfRule type="containsText" priority="829" operator="containsText" id="{6B3A00C4-8B9E-4C1C-9016-F31F196ECB9F}">
            <xm:f>NOT(ISERROR(SEARCH($M$115,A693)))</xm:f>
            <xm:f>$M$115</xm:f>
            <x14:dxf>
              <font>
                <b/>
                <i/>
                <color theme="0"/>
              </font>
              <fill>
                <patternFill>
                  <bgColor theme="1"/>
                </patternFill>
              </fill>
            </x14:dxf>
          </x14:cfRule>
          <x14:cfRule type="containsText" priority="830" operator="containsText" id="{906F9535-B5AE-409F-95B8-995CF4B55231}">
            <xm:f>NOT(ISERROR(SEARCH($M$114,A693)))</xm:f>
            <xm:f>$M$114</xm:f>
            <x14:dxf>
              <font>
                <b/>
                <i/>
                <color theme="0"/>
              </font>
              <fill>
                <patternFill>
                  <bgColor theme="1"/>
                </patternFill>
              </fill>
            </x14:dxf>
          </x14:cfRule>
          <x14:cfRule type="containsText" priority="831" operator="containsText" id="{B6A7EDDA-1A8B-4D5F-B464-A0453A575D74}">
            <xm:f>NOT(ISERROR(SEARCH($M$113,A693)))</xm:f>
            <xm:f>$M$113</xm:f>
            <x14:dxf>
              <font>
                <b/>
                <i/>
                <color theme="0"/>
              </font>
              <fill>
                <patternFill>
                  <bgColor theme="1"/>
                </patternFill>
              </fill>
            </x14:dxf>
          </x14:cfRule>
          <x14:cfRule type="containsText" priority="832" operator="containsText" id="{FD36C909-B9F6-4FF3-B2DC-821EC1FF8CE2}">
            <xm:f>NOT(ISERROR(SEARCH($M$112,A693)))</xm:f>
            <xm:f>$M$112</xm:f>
            <x14:dxf>
              <font>
                <b/>
                <i/>
                <color theme="0"/>
              </font>
              <fill>
                <patternFill>
                  <bgColor theme="1"/>
                </patternFill>
              </fill>
            </x14:dxf>
          </x14:cfRule>
          <x14:cfRule type="containsText" priority="833" operator="containsText" id="{C5BFACC4-EBEF-45FD-A778-1D6B02439C10}">
            <xm:f>NOT(ISERROR(SEARCH($M$111,A693)))</xm:f>
            <xm:f>$M$111</xm:f>
            <x14:dxf>
              <font>
                <b/>
                <i/>
                <color theme="0"/>
              </font>
              <fill>
                <patternFill>
                  <bgColor theme="1"/>
                </patternFill>
              </fill>
            </x14:dxf>
          </x14:cfRule>
          <x14:cfRule type="containsText" priority="834" operator="containsText" id="{051D676A-BA51-4E69-BF57-0879E7D73DB7}">
            <xm:f>NOT(ISERROR(SEARCH($M$110,A693)))</xm:f>
            <xm:f>$M$110</xm:f>
            <x14:dxf>
              <font>
                <b/>
                <i/>
                <color theme="0"/>
              </font>
              <fill>
                <patternFill>
                  <bgColor theme="1"/>
                </patternFill>
              </fill>
            </x14:dxf>
          </x14:cfRule>
          <xm:sqref>A693:A704</xm:sqref>
        </x14:conditionalFormatting>
        <x14:conditionalFormatting xmlns:xm="http://schemas.microsoft.com/office/excel/2006/main">
          <x14:cfRule type="containsText" priority="806" operator="containsText" id="{C3295D62-0BA4-42E2-8DD9-99E484E9428F}">
            <xm:f>NOT(ISERROR(SEARCH($M$107,A742)))</xm:f>
            <xm:f>$M$107</xm:f>
            <x14:dxf>
              <font>
                <b/>
                <i/>
                <color theme="0"/>
              </font>
              <fill>
                <patternFill>
                  <bgColor theme="1"/>
                </patternFill>
              </fill>
            </x14:dxf>
          </x14:cfRule>
          <xm:sqref>A742:A753</xm:sqref>
        </x14:conditionalFormatting>
        <x14:conditionalFormatting xmlns:xm="http://schemas.microsoft.com/office/excel/2006/main">
          <x14:cfRule type="containsText" priority="804" operator="containsText" id="{3A617D1F-4769-4D77-81C0-C6DAE6A31673}">
            <xm:f>NOT(ISERROR(SEARCH($M$109,A742)))</xm:f>
            <xm:f>$M$109</xm:f>
            <x14:dxf>
              <font>
                <b/>
                <i/>
                <color theme="0"/>
              </font>
              <fill>
                <patternFill>
                  <bgColor theme="1"/>
                </patternFill>
              </fill>
            </x14:dxf>
          </x14:cfRule>
          <x14:cfRule type="containsText" priority="805" operator="containsText" id="{8201E8FE-5633-40DE-931A-6F9B117DC2E9}">
            <xm:f>NOT(ISERROR(SEARCH($M$108,A742)))</xm:f>
            <xm:f>$M$108</xm:f>
            <x14:dxf>
              <font>
                <color theme="0"/>
              </font>
              <fill>
                <patternFill>
                  <bgColor theme="1"/>
                </patternFill>
              </fill>
            </x14:dxf>
          </x14:cfRule>
          <xm:sqref>A742:A753</xm:sqref>
        </x14:conditionalFormatting>
        <x14:conditionalFormatting xmlns:xm="http://schemas.microsoft.com/office/excel/2006/main">
          <x14:cfRule type="containsText" priority="777" operator="containsText" id="{89B2A11B-A834-4D52-BE85-04309353BD44}">
            <xm:f>NOT(ISERROR(SEARCH($M$136,A742)))</xm:f>
            <xm:f>$M$136</xm:f>
            <x14:dxf>
              <font>
                <b/>
                <i/>
                <color theme="0"/>
              </font>
              <fill>
                <patternFill>
                  <bgColor theme="1"/>
                </patternFill>
              </fill>
            </x14:dxf>
          </x14:cfRule>
          <x14:cfRule type="containsText" priority="778" operator="containsText" id="{200CC434-4DDE-4FA2-9133-446059ACAEA1}">
            <xm:f>NOT(ISERROR(SEARCH($M$135,A742)))</xm:f>
            <xm:f>$M$135</xm:f>
            <x14:dxf>
              <font>
                <b/>
                <i/>
                <color theme="0"/>
              </font>
              <fill>
                <patternFill>
                  <bgColor theme="1"/>
                </patternFill>
              </fill>
            </x14:dxf>
          </x14:cfRule>
          <x14:cfRule type="containsText" priority="779" operator="containsText" id="{563D4461-A3EB-4231-A532-C2F1AFEDF0DB}">
            <xm:f>NOT(ISERROR(SEARCH($M$134,A742)))</xm:f>
            <xm:f>$M$134</xm:f>
            <x14:dxf>
              <font>
                <b/>
                <i/>
                <color theme="0"/>
              </font>
              <fill>
                <patternFill>
                  <bgColor theme="1"/>
                </patternFill>
              </fill>
            </x14:dxf>
          </x14:cfRule>
          <x14:cfRule type="containsText" priority="780" operator="containsText" id="{62E9D5B2-6E5B-4196-9CE7-7E786CD36B03}">
            <xm:f>NOT(ISERROR(SEARCH($M$133,A742)))</xm:f>
            <xm:f>$M$133</xm:f>
            <x14:dxf>
              <font>
                <b/>
                <i/>
                <color theme="0"/>
              </font>
              <fill>
                <patternFill>
                  <bgColor theme="1"/>
                </patternFill>
              </fill>
            </x14:dxf>
          </x14:cfRule>
          <x14:cfRule type="containsText" priority="781" operator="containsText" id="{163C1839-2BF5-4C66-B9D3-98928AE781D8}">
            <xm:f>NOT(ISERROR(SEARCH($M$132,A742)))</xm:f>
            <xm:f>$M$132</xm:f>
            <x14:dxf>
              <font>
                <b/>
                <i/>
                <color theme="0"/>
              </font>
              <fill>
                <patternFill>
                  <bgColor theme="1"/>
                </patternFill>
              </fill>
            </x14:dxf>
          </x14:cfRule>
          <x14:cfRule type="containsText" priority="782" operator="containsText" id="{6D912FDA-51AC-4481-9052-14A4DF496A4B}">
            <xm:f>NOT(ISERROR(SEARCH($M$131,A742)))</xm:f>
            <xm:f>$M$131</xm:f>
            <x14:dxf>
              <font>
                <b/>
                <i/>
                <color theme="0"/>
              </font>
              <fill>
                <patternFill>
                  <bgColor theme="1"/>
                </patternFill>
              </fill>
            </x14:dxf>
          </x14:cfRule>
          <x14:cfRule type="containsText" priority="783" operator="containsText" id="{79755A00-220B-4E3F-84D2-7EF5B1B5212C}">
            <xm:f>NOT(ISERROR(SEARCH($M$130,A742)))</xm:f>
            <xm:f>$M$130</xm:f>
            <x14:dxf>
              <font>
                <b/>
                <i/>
                <color theme="0"/>
              </font>
              <fill>
                <patternFill>
                  <bgColor theme="1"/>
                </patternFill>
              </fill>
            </x14:dxf>
          </x14:cfRule>
          <x14:cfRule type="containsText" priority="784" operator="containsText" id="{776EDBCE-630D-479A-82EF-144C73B1989C}">
            <xm:f>NOT(ISERROR(SEARCH($M$129,A742)))</xm:f>
            <xm:f>$M$129</xm:f>
            <x14:dxf>
              <font>
                <b/>
                <i/>
                <color theme="0"/>
              </font>
              <fill>
                <patternFill>
                  <bgColor theme="1"/>
                </patternFill>
              </fill>
            </x14:dxf>
          </x14:cfRule>
          <x14:cfRule type="containsText" priority="785" operator="containsText" id="{1F7A8EBF-71FD-42ED-ABF0-489092C9A02B}">
            <xm:f>NOT(ISERROR(SEARCH($M$128,A742)))</xm:f>
            <xm:f>$M$128</xm:f>
            <x14:dxf>
              <font>
                <b/>
                <i/>
                <color theme="0"/>
              </font>
              <fill>
                <patternFill>
                  <bgColor theme="1"/>
                </patternFill>
              </fill>
            </x14:dxf>
          </x14:cfRule>
          <x14:cfRule type="containsText" priority="786" operator="containsText" id="{EB19F75F-5668-4C78-BC8C-C491C03AC75B}">
            <xm:f>NOT(ISERROR(SEARCH($M$127,A742)))</xm:f>
            <xm:f>$M$127</xm:f>
            <x14:dxf>
              <font>
                <b/>
                <i/>
                <color theme="0"/>
              </font>
              <fill>
                <patternFill>
                  <bgColor theme="1"/>
                </patternFill>
              </fill>
            </x14:dxf>
          </x14:cfRule>
          <x14:cfRule type="containsText" priority="787" operator="containsText" id="{292A8270-49B5-4A76-8BF0-E2896393F2D3}">
            <xm:f>NOT(ISERROR(SEARCH($M$126,A742)))</xm:f>
            <xm:f>$M$126</xm:f>
            <x14:dxf>
              <font>
                <b/>
                <i/>
                <color theme="0"/>
              </font>
              <fill>
                <patternFill>
                  <bgColor theme="1"/>
                </patternFill>
              </fill>
            </x14:dxf>
          </x14:cfRule>
          <x14:cfRule type="containsText" priority="788" operator="containsText" id="{AF37402C-9DFB-43DC-ABCC-A7ACAB9D2595}">
            <xm:f>NOT(ISERROR(SEARCH($M$125,A742)))</xm:f>
            <xm:f>$M$125</xm:f>
            <x14:dxf>
              <font>
                <b/>
                <i/>
                <color theme="0"/>
              </font>
              <fill>
                <patternFill>
                  <bgColor theme="1"/>
                </patternFill>
              </fill>
            </x14:dxf>
          </x14:cfRule>
          <x14:cfRule type="containsText" priority="789" operator="containsText" id="{83457D4C-71FC-4E65-AF48-6F65969FA865}">
            <xm:f>NOT(ISERROR(SEARCH($M$124,A742)))</xm:f>
            <xm:f>$M$124</xm:f>
            <x14:dxf>
              <font>
                <b/>
                <i/>
                <color theme="0"/>
              </font>
              <fill>
                <patternFill>
                  <bgColor theme="1"/>
                </patternFill>
              </fill>
            </x14:dxf>
          </x14:cfRule>
          <x14:cfRule type="containsText" priority="790" operator="containsText" id="{64B716EF-4DE0-4508-9D9B-16ED8D285EF0}">
            <xm:f>NOT(ISERROR(SEARCH($M$123,A742)))</xm:f>
            <xm:f>$M$123</xm:f>
            <x14:dxf>
              <font>
                <b/>
                <i/>
                <color theme="0"/>
              </font>
              <fill>
                <patternFill>
                  <bgColor theme="1"/>
                </patternFill>
              </fill>
            </x14:dxf>
          </x14:cfRule>
          <x14:cfRule type="containsText" priority="791" operator="containsText" id="{C7935C08-555B-4C42-B0D7-B8856553FD92}">
            <xm:f>NOT(ISERROR(SEARCH($M$122,A742)))</xm:f>
            <xm:f>$M$122</xm:f>
            <x14:dxf>
              <font>
                <b/>
                <i/>
                <color theme="0"/>
              </font>
              <fill>
                <patternFill>
                  <bgColor theme="1"/>
                </patternFill>
              </fill>
            </x14:dxf>
          </x14:cfRule>
          <x14:cfRule type="containsText" priority="792" operator="containsText" id="{41B21C42-4D3B-47C6-BE40-D76EDD1ACD61}">
            <xm:f>NOT(ISERROR(SEARCH($M$121,A742)))</xm:f>
            <xm:f>$M$121</xm:f>
            <x14:dxf>
              <font>
                <b/>
                <i/>
                <color theme="0"/>
              </font>
              <fill>
                <patternFill>
                  <bgColor theme="1"/>
                </patternFill>
              </fill>
            </x14:dxf>
          </x14:cfRule>
          <x14:cfRule type="containsText" priority="793" operator="containsText" id="{90BB9A30-F950-4114-BF63-6627F4DD54FC}">
            <xm:f>NOT(ISERROR(SEARCH($M$120,A742)))</xm:f>
            <xm:f>$M$120</xm:f>
            <x14:dxf>
              <font>
                <b/>
                <i/>
                <color theme="0"/>
              </font>
              <fill>
                <patternFill>
                  <bgColor theme="1"/>
                </patternFill>
              </fill>
            </x14:dxf>
          </x14:cfRule>
          <x14:cfRule type="containsText" priority="794" operator="containsText" id="{0F0FE1DD-CA84-4816-9A33-AB2DEAA8853B}">
            <xm:f>NOT(ISERROR(SEARCH($M$119,A742)))</xm:f>
            <xm:f>$M$119</xm:f>
            <x14:dxf>
              <font>
                <b/>
                <i/>
                <color theme="0"/>
              </font>
              <fill>
                <patternFill>
                  <bgColor theme="1"/>
                </patternFill>
              </fill>
            </x14:dxf>
          </x14:cfRule>
          <x14:cfRule type="containsText" priority="795" operator="containsText" id="{F2A6F497-A975-49B3-8DAE-3D258D951874}">
            <xm:f>NOT(ISERROR(SEARCH($M$118,A742)))</xm:f>
            <xm:f>$M$118</xm:f>
            <x14:dxf>
              <font>
                <b/>
                <i/>
                <color theme="0"/>
              </font>
              <fill>
                <patternFill>
                  <bgColor theme="1"/>
                </patternFill>
              </fill>
            </x14:dxf>
          </x14:cfRule>
          <x14:cfRule type="containsText" priority="796" operator="containsText" id="{071078DC-DBD9-410E-98F1-9B0D5F0832F6}">
            <xm:f>NOT(ISERROR(SEARCH($M$117,A742)))</xm:f>
            <xm:f>$M$117</xm:f>
            <x14:dxf>
              <font>
                <b/>
                <i/>
                <color theme="0"/>
              </font>
              <fill>
                <patternFill>
                  <bgColor theme="1"/>
                </patternFill>
              </fill>
            </x14:dxf>
          </x14:cfRule>
          <x14:cfRule type="containsText" priority="797" operator="containsText" id="{573C7DD0-9477-4B33-8B58-5CEF99029135}">
            <xm:f>NOT(ISERROR(SEARCH($M$116,A742)))</xm:f>
            <xm:f>$M$116</xm:f>
            <x14:dxf>
              <font>
                <b/>
                <i/>
                <color theme="0"/>
              </font>
              <fill>
                <patternFill>
                  <bgColor theme="1"/>
                </patternFill>
              </fill>
            </x14:dxf>
          </x14:cfRule>
          <x14:cfRule type="containsText" priority="798" operator="containsText" id="{A4194035-15EC-464D-9860-5C975F6433B3}">
            <xm:f>NOT(ISERROR(SEARCH($M$115,A742)))</xm:f>
            <xm:f>$M$115</xm:f>
            <x14:dxf>
              <font>
                <b/>
                <i/>
                <color theme="0"/>
              </font>
              <fill>
                <patternFill>
                  <bgColor theme="1"/>
                </patternFill>
              </fill>
            </x14:dxf>
          </x14:cfRule>
          <x14:cfRule type="containsText" priority="799" operator="containsText" id="{4D9E110C-FF2F-434E-9E29-5DD48313F6F7}">
            <xm:f>NOT(ISERROR(SEARCH($M$114,A742)))</xm:f>
            <xm:f>$M$114</xm:f>
            <x14:dxf>
              <font>
                <b/>
                <i/>
                <color theme="0"/>
              </font>
              <fill>
                <patternFill>
                  <bgColor theme="1"/>
                </patternFill>
              </fill>
            </x14:dxf>
          </x14:cfRule>
          <x14:cfRule type="containsText" priority="800" operator="containsText" id="{263229E9-92CF-4AB9-8BA4-C2A0A1D83C51}">
            <xm:f>NOT(ISERROR(SEARCH($M$113,A742)))</xm:f>
            <xm:f>$M$113</xm:f>
            <x14:dxf>
              <font>
                <b/>
                <i/>
                <color theme="0"/>
              </font>
              <fill>
                <patternFill>
                  <bgColor theme="1"/>
                </patternFill>
              </fill>
            </x14:dxf>
          </x14:cfRule>
          <x14:cfRule type="containsText" priority="801" operator="containsText" id="{324BE3C1-0C28-4871-91AF-4134DFAA0296}">
            <xm:f>NOT(ISERROR(SEARCH($M$112,A742)))</xm:f>
            <xm:f>$M$112</xm:f>
            <x14:dxf>
              <font>
                <b/>
                <i/>
                <color theme="0"/>
              </font>
              <fill>
                <patternFill>
                  <bgColor theme="1"/>
                </patternFill>
              </fill>
            </x14:dxf>
          </x14:cfRule>
          <x14:cfRule type="containsText" priority="802" operator="containsText" id="{49D63706-1801-42B9-9D01-EEFD701B238A}">
            <xm:f>NOT(ISERROR(SEARCH($M$111,A742)))</xm:f>
            <xm:f>$M$111</xm:f>
            <x14:dxf>
              <font>
                <b/>
                <i/>
                <color theme="0"/>
              </font>
              <fill>
                <patternFill>
                  <bgColor theme="1"/>
                </patternFill>
              </fill>
            </x14:dxf>
          </x14:cfRule>
          <x14:cfRule type="containsText" priority="803" operator="containsText" id="{C6F7A1F7-CA3F-4673-950B-C389A836C5F7}">
            <xm:f>NOT(ISERROR(SEARCH($M$110,A742)))</xm:f>
            <xm:f>$M$110</xm:f>
            <x14:dxf>
              <font>
                <b/>
                <i/>
                <color theme="0"/>
              </font>
              <fill>
                <patternFill>
                  <bgColor theme="1"/>
                </patternFill>
              </fill>
            </x14:dxf>
          </x14:cfRule>
          <xm:sqref>A742:A753</xm:sqref>
        </x14:conditionalFormatting>
        <x14:conditionalFormatting xmlns:xm="http://schemas.microsoft.com/office/excel/2006/main">
          <x14:cfRule type="containsText" priority="775" operator="containsText" id="{5373AC33-E75E-4FBA-B4F6-C4ABD7249F55}">
            <xm:f>NOT(ISERROR(SEARCH($M$107,A755)))</xm:f>
            <xm:f>$M$107</xm:f>
            <x14:dxf>
              <font>
                <b/>
                <i/>
                <color theme="0"/>
              </font>
              <fill>
                <patternFill>
                  <bgColor theme="1"/>
                </patternFill>
              </fill>
            </x14:dxf>
          </x14:cfRule>
          <xm:sqref>A755:A766</xm:sqref>
        </x14:conditionalFormatting>
        <x14:conditionalFormatting xmlns:xm="http://schemas.microsoft.com/office/excel/2006/main">
          <x14:cfRule type="containsText" priority="773" operator="containsText" id="{2B434531-3126-4DE5-AB5A-2A99F0B8B950}">
            <xm:f>NOT(ISERROR(SEARCH($M$109,A755)))</xm:f>
            <xm:f>$M$109</xm:f>
            <x14:dxf>
              <font>
                <b/>
                <i/>
                <color theme="0"/>
              </font>
              <fill>
                <patternFill>
                  <bgColor theme="1"/>
                </patternFill>
              </fill>
            </x14:dxf>
          </x14:cfRule>
          <x14:cfRule type="containsText" priority="774" operator="containsText" id="{C4794000-6B51-49B3-8BDC-B5B409778D5B}">
            <xm:f>NOT(ISERROR(SEARCH($M$108,A755)))</xm:f>
            <xm:f>$M$108</xm:f>
            <x14:dxf>
              <font>
                <color theme="0"/>
              </font>
              <fill>
                <patternFill>
                  <bgColor theme="1"/>
                </patternFill>
              </fill>
            </x14:dxf>
          </x14:cfRule>
          <xm:sqref>A755:A766</xm:sqref>
        </x14:conditionalFormatting>
        <x14:conditionalFormatting xmlns:xm="http://schemas.microsoft.com/office/excel/2006/main">
          <x14:cfRule type="containsText" priority="746" operator="containsText" id="{05579E51-376F-44DC-B0CA-C22701632FE2}">
            <xm:f>NOT(ISERROR(SEARCH($M$136,A755)))</xm:f>
            <xm:f>$M$136</xm:f>
            <x14:dxf>
              <font>
                <b/>
                <i/>
                <color theme="0"/>
              </font>
              <fill>
                <patternFill>
                  <bgColor theme="1"/>
                </patternFill>
              </fill>
            </x14:dxf>
          </x14:cfRule>
          <x14:cfRule type="containsText" priority="747" operator="containsText" id="{F0C68B7B-4C47-4FC7-AE78-A4BF033A4BDD}">
            <xm:f>NOT(ISERROR(SEARCH($M$135,A755)))</xm:f>
            <xm:f>$M$135</xm:f>
            <x14:dxf>
              <font>
                <b/>
                <i/>
                <color theme="0"/>
              </font>
              <fill>
                <patternFill>
                  <bgColor theme="1"/>
                </patternFill>
              </fill>
            </x14:dxf>
          </x14:cfRule>
          <x14:cfRule type="containsText" priority="748" operator="containsText" id="{348310AF-3A51-4B87-9C89-F70FC099E540}">
            <xm:f>NOT(ISERROR(SEARCH($M$134,A755)))</xm:f>
            <xm:f>$M$134</xm:f>
            <x14:dxf>
              <font>
                <b/>
                <i/>
                <color theme="0"/>
              </font>
              <fill>
                <patternFill>
                  <bgColor theme="1"/>
                </patternFill>
              </fill>
            </x14:dxf>
          </x14:cfRule>
          <x14:cfRule type="containsText" priority="749" operator="containsText" id="{84D035ED-8CD7-456A-B748-B5B4BE88BAB4}">
            <xm:f>NOT(ISERROR(SEARCH($M$133,A755)))</xm:f>
            <xm:f>$M$133</xm:f>
            <x14:dxf>
              <font>
                <b/>
                <i/>
                <color theme="0"/>
              </font>
              <fill>
                <patternFill>
                  <bgColor theme="1"/>
                </patternFill>
              </fill>
            </x14:dxf>
          </x14:cfRule>
          <x14:cfRule type="containsText" priority="750" operator="containsText" id="{2BF582A6-73AF-416E-A439-4D225566B2B9}">
            <xm:f>NOT(ISERROR(SEARCH($M$132,A755)))</xm:f>
            <xm:f>$M$132</xm:f>
            <x14:dxf>
              <font>
                <b/>
                <i/>
                <color theme="0"/>
              </font>
              <fill>
                <patternFill>
                  <bgColor theme="1"/>
                </patternFill>
              </fill>
            </x14:dxf>
          </x14:cfRule>
          <x14:cfRule type="containsText" priority="751" operator="containsText" id="{6B0E60F0-DEF9-4187-AB7B-4045EBA06FB2}">
            <xm:f>NOT(ISERROR(SEARCH($M$131,A755)))</xm:f>
            <xm:f>$M$131</xm:f>
            <x14:dxf>
              <font>
                <b/>
                <i/>
                <color theme="0"/>
              </font>
              <fill>
                <patternFill>
                  <bgColor theme="1"/>
                </patternFill>
              </fill>
            </x14:dxf>
          </x14:cfRule>
          <x14:cfRule type="containsText" priority="752" operator="containsText" id="{1EB7B061-A9F6-405A-BB0A-F14B450101E4}">
            <xm:f>NOT(ISERROR(SEARCH($M$130,A755)))</xm:f>
            <xm:f>$M$130</xm:f>
            <x14:dxf>
              <font>
                <b/>
                <i/>
                <color theme="0"/>
              </font>
              <fill>
                <patternFill>
                  <bgColor theme="1"/>
                </patternFill>
              </fill>
            </x14:dxf>
          </x14:cfRule>
          <x14:cfRule type="containsText" priority="753" operator="containsText" id="{44C66AC4-203F-4910-9F45-E537189F3F0D}">
            <xm:f>NOT(ISERROR(SEARCH($M$129,A755)))</xm:f>
            <xm:f>$M$129</xm:f>
            <x14:dxf>
              <font>
                <b/>
                <i/>
                <color theme="0"/>
              </font>
              <fill>
                <patternFill>
                  <bgColor theme="1"/>
                </patternFill>
              </fill>
            </x14:dxf>
          </x14:cfRule>
          <x14:cfRule type="containsText" priority="754" operator="containsText" id="{723262A8-34CD-44F4-8774-C22925EB4035}">
            <xm:f>NOT(ISERROR(SEARCH($M$128,A755)))</xm:f>
            <xm:f>$M$128</xm:f>
            <x14:dxf>
              <font>
                <b/>
                <i/>
                <color theme="0"/>
              </font>
              <fill>
                <patternFill>
                  <bgColor theme="1"/>
                </patternFill>
              </fill>
            </x14:dxf>
          </x14:cfRule>
          <x14:cfRule type="containsText" priority="755" operator="containsText" id="{A0175886-062E-44FB-AB2D-8B33B34E7E74}">
            <xm:f>NOT(ISERROR(SEARCH($M$127,A755)))</xm:f>
            <xm:f>$M$127</xm:f>
            <x14:dxf>
              <font>
                <b/>
                <i/>
                <color theme="0"/>
              </font>
              <fill>
                <patternFill>
                  <bgColor theme="1"/>
                </patternFill>
              </fill>
            </x14:dxf>
          </x14:cfRule>
          <x14:cfRule type="containsText" priority="756" operator="containsText" id="{24C3ED87-C917-4696-AAB5-75D2809E0D46}">
            <xm:f>NOT(ISERROR(SEARCH($M$126,A755)))</xm:f>
            <xm:f>$M$126</xm:f>
            <x14:dxf>
              <font>
                <b/>
                <i/>
                <color theme="0"/>
              </font>
              <fill>
                <patternFill>
                  <bgColor theme="1"/>
                </patternFill>
              </fill>
            </x14:dxf>
          </x14:cfRule>
          <x14:cfRule type="containsText" priority="757" operator="containsText" id="{E5479EEB-46A0-490A-9AA8-DDA443619E22}">
            <xm:f>NOT(ISERROR(SEARCH($M$125,A755)))</xm:f>
            <xm:f>$M$125</xm:f>
            <x14:dxf>
              <font>
                <b/>
                <i/>
                <color theme="0"/>
              </font>
              <fill>
                <patternFill>
                  <bgColor theme="1"/>
                </patternFill>
              </fill>
            </x14:dxf>
          </x14:cfRule>
          <x14:cfRule type="containsText" priority="758" operator="containsText" id="{5AFE812F-6A74-49D5-AA91-E5E1CB687F26}">
            <xm:f>NOT(ISERROR(SEARCH($M$124,A755)))</xm:f>
            <xm:f>$M$124</xm:f>
            <x14:dxf>
              <font>
                <b/>
                <i/>
                <color theme="0"/>
              </font>
              <fill>
                <patternFill>
                  <bgColor theme="1"/>
                </patternFill>
              </fill>
            </x14:dxf>
          </x14:cfRule>
          <x14:cfRule type="containsText" priority="759" operator="containsText" id="{8B393AC7-A7FD-4FEF-AC71-60E24422FD6E}">
            <xm:f>NOT(ISERROR(SEARCH($M$123,A755)))</xm:f>
            <xm:f>$M$123</xm:f>
            <x14:dxf>
              <font>
                <b/>
                <i/>
                <color theme="0"/>
              </font>
              <fill>
                <patternFill>
                  <bgColor theme="1"/>
                </patternFill>
              </fill>
            </x14:dxf>
          </x14:cfRule>
          <x14:cfRule type="containsText" priority="760" operator="containsText" id="{48E4F622-8F5B-43AE-B833-7667FB49DE0E}">
            <xm:f>NOT(ISERROR(SEARCH($M$122,A755)))</xm:f>
            <xm:f>$M$122</xm:f>
            <x14:dxf>
              <font>
                <b/>
                <i/>
                <color theme="0"/>
              </font>
              <fill>
                <patternFill>
                  <bgColor theme="1"/>
                </patternFill>
              </fill>
            </x14:dxf>
          </x14:cfRule>
          <x14:cfRule type="containsText" priority="761" operator="containsText" id="{7D7C38AA-1AC9-4A74-95C5-6C15416FA4AF}">
            <xm:f>NOT(ISERROR(SEARCH($M$121,A755)))</xm:f>
            <xm:f>$M$121</xm:f>
            <x14:dxf>
              <font>
                <b/>
                <i/>
                <color theme="0"/>
              </font>
              <fill>
                <patternFill>
                  <bgColor theme="1"/>
                </patternFill>
              </fill>
            </x14:dxf>
          </x14:cfRule>
          <x14:cfRule type="containsText" priority="762" operator="containsText" id="{E3287FD6-0F27-4E28-ABB9-42E3AE693F1C}">
            <xm:f>NOT(ISERROR(SEARCH($M$120,A755)))</xm:f>
            <xm:f>$M$120</xm:f>
            <x14:dxf>
              <font>
                <b/>
                <i/>
                <color theme="0"/>
              </font>
              <fill>
                <patternFill>
                  <bgColor theme="1"/>
                </patternFill>
              </fill>
            </x14:dxf>
          </x14:cfRule>
          <x14:cfRule type="containsText" priority="763" operator="containsText" id="{978DC4BA-5127-4A8D-BC6A-77D51C87AFC7}">
            <xm:f>NOT(ISERROR(SEARCH($M$119,A755)))</xm:f>
            <xm:f>$M$119</xm:f>
            <x14:dxf>
              <font>
                <b/>
                <i/>
                <color theme="0"/>
              </font>
              <fill>
                <patternFill>
                  <bgColor theme="1"/>
                </patternFill>
              </fill>
            </x14:dxf>
          </x14:cfRule>
          <x14:cfRule type="containsText" priority="764" operator="containsText" id="{9411AB4F-769E-450D-8F7F-B12829E5DC49}">
            <xm:f>NOT(ISERROR(SEARCH($M$118,A755)))</xm:f>
            <xm:f>$M$118</xm:f>
            <x14:dxf>
              <font>
                <b/>
                <i/>
                <color theme="0"/>
              </font>
              <fill>
                <patternFill>
                  <bgColor theme="1"/>
                </patternFill>
              </fill>
            </x14:dxf>
          </x14:cfRule>
          <x14:cfRule type="containsText" priority="765" operator="containsText" id="{549C013B-9D14-4263-B485-07F206537CD2}">
            <xm:f>NOT(ISERROR(SEARCH($M$117,A755)))</xm:f>
            <xm:f>$M$117</xm:f>
            <x14:dxf>
              <font>
                <b/>
                <i/>
                <color theme="0"/>
              </font>
              <fill>
                <patternFill>
                  <bgColor theme="1"/>
                </patternFill>
              </fill>
            </x14:dxf>
          </x14:cfRule>
          <x14:cfRule type="containsText" priority="766" operator="containsText" id="{8155D199-15CB-4985-9D64-59BA374E4CCD}">
            <xm:f>NOT(ISERROR(SEARCH($M$116,A755)))</xm:f>
            <xm:f>$M$116</xm:f>
            <x14:dxf>
              <font>
                <b/>
                <i/>
                <color theme="0"/>
              </font>
              <fill>
                <patternFill>
                  <bgColor theme="1"/>
                </patternFill>
              </fill>
            </x14:dxf>
          </x14:cfRule>
          <x14:cfRule type="containsText" priority="767" operator="containsText" id="{61913A87-D4DB-4CC3-952E-2136F0396425}">
            <xm:f>NOT(ISERROR(SEARCH($M$115,A755)))</xm:f>
            <xm:f>$M$115</xm:f>
            <x14:dxf>
              <font>
                <b/>
                <i/>
                <color theme="0"/>
              </font>
              <fill>
                <patternFill>
                  <bgColor theme="1"/>
                </patternFill>
              </fill>
            </x14:dxf>
          </x14:cfRule>
          <x14:cfRule type="containsText" priority="768" operator="containsText" id="{E91C2EBB-5277-4D62-8469-1A0DAD9A2BCD}">
            <xm:f>NOT(ISERROR(SEARCH($M$114,A755)))</xm:f>
            <xm:f>$M$114</xm:f>
            <x14:dxf>
              <font>
                <b/>
                <i/>
                <color theme="0"/>
              </font>
              <fill>
                <patternFill>
                  <bgColor theme="1"/>
                </patternFill>
              </fill>
            </x14:dxf>
          </x14:cfRule>
          <x14:cfRule type="containsText" priority="769" operator="containsText" id="{9AAD2BA1-BBA0-420C-ADF5-BF373C33774E}">
            <xm:f>NOT(ISERROR(SEARCH($M$113,A755)))</xm:f>
            <xm:f>$M$113</xm:f>
            <x14:dxf>
              <font>
                <b/>
                <i/>
                <color theme="0"/>
              </font>
              <fill>
                <patternFill>
                  <bgColor theme="1"/>
                </patternFill>
              </fill>
            </x14:dxf>
          </x14:cfRule>
          <x14:cfRule type="containsText" priority="770" operator="containsText" id="{EEE360DE-23A6-40B2-980E-33EEA9764707}">
            <xm:f>NOT(ISERROR(SEARCH($M$112,A755)))</xm:f>
            <xm:f>$M$112</xm:f>
            <x14:dxf>
              <font>
                <b/>
                <i/>
                <color theme="0"/>
              </font>
              <fill>
                <patternFill>
                  <bgColor theme="1"/>
                </patternFill>
              </fill>
            </x14:dxf>
          </x14:cfRule>
          <x14:cfRule type="containsText" priority="771" operator="containsText" id="{E0429382-B104-4186-A9C7-68188A6C1057}">
            <xm:f>NOT(ISERROR(SEARCH($M$111,A755)))</xm:f>
            <xm:f>$M$111</xm:f>
            <x14:dxf>
              <font>
                <b/>
                <i/>
                <color theme="0"/>
              </font>
              <fill>
                <patternFill>
                  <bgColor theme="1"/>
                </patternFill>
              </fill>
            </x14:dxf>
          </x14:cfRule>
          <x14:cfRule type="containsText" priority="772" operator="containsText" id="{D3D473B8-6B4B-4C43-BC63-A63630F8E540}">
            <xm:f>NOT(ISERROR(SEARCH($M$110,A755)))</xm:f>
            <xm:f>$M$110</xm:f>
            <x14:dxf>
              <font>
                <b/>
                <i/>
                <color theme="0"/>
              </font>
              <fill>
                <patternFill>
                  <bgColor theme="1"/>
                </patternFill>
              </fill>
            </x14:dxf>
          </x14:cfRule>
          <xm:sqref>A755:A766</xm:sqref>
        </x14:conditionalFormatting>
        <x14:conditionalFormatting xmlns:xm="http://schemas.microsoft.com/office/excel/2006/main">
          <x14:cfRule type="containsText" priority="744" operator="containsText" id="{59DF35BB-FD41-4E82-A18D-46861589F7DD}">
            <xm:f>NOT(ISERROR(SEARCH($M$107,A804)))</xm:f>
            <xm:f>$M$107</xm:f>
            <x14:dxf>
              <font>
                <b/>
                <i/>
                <color theme="0"/>
              </font>
              <fill>
                <patternFill>
                  <bgColor theme="1"/>
                </patternFill>
              </fill>
            </x14:dxf>
          </x14:cfRule>
          <xm:sqref>A804:A815</xm:sqref>
        </x14:conditionalFormatting>
        <x14:conditionalFormatting xmlns:xm="http://schemas.microsoft.com/office/excel/2006/main">
          <x14:cfRule type="containsText" priority="742" operator="containsText" id="{7264FBAB-1746-401F-BF34-729AAD2B570E}">
            <xm:f>NOT(ISERROR(SEARCH($M$109,A804)))</xm:f>
            <xm:f>$M$109</xm:f>
            <x14:dxf>
              <font>
                <b/>
                <i/>
                <color theme="0"/>
              </font>
              <fill>
                <patternFill>
                  <bgColor theme="1"/>
                </patternFill>
              </fill>
            </x14:dxf>
          </x14:cfRule>
          <x14:cfRule type="containsText" priority="743" operator="containsText" id="{E32C8D8A-D000-4EB2-822A-36DAB9BE1E83}">
            <xm:f>NOT(ISERROR(SEARCH($M$108,A804)))</xm:f>
            <xm:f>$M$108</xm:f>
            <x14:dxf>
              <font>
                <color theme="0"/>
              </font>
              <fill>
                <patternFill>
                  <bgColor theme="1"/>
                </patternFill>
              </fill>
            </x14:dxf>
          </x14:cfRule>
          <xm:sqref>A804:A815</xm:sqref>
        </x14:conditionalFormatting>
        <x14:conditionalFormatting xmlns:xm="http://schemas.microsoft.com/office/excel/2006/main">
          <x14:cfRule type="containsText" priority="715" operator="containsText" id="{72507630-F163-4620-B7FA-B112F19CCEC8}">
            <xm:f>NOT(ISERROR(SEARCH($M$136,A804)))</xm:f>
            <xm:f>$M$136</xm:f>
            <x14:dxf>
              <font>
                <b/>
                <i/>
                <color theme="0"/>
              </font>
              <fill>
                <patternFill>
                  <bgColor theme="1"/>
                </patternFill>
              </fill>
            </x14:dxf>
          </x14:cfRule>
          <x14:cfRule type="containsText" priority="716" operator="containsText" id="{8D32DFCC-F4C2-4242-AC57-16A50F149F2A}">
            <xm:f>NOT(ISERROR(SEARCH($M$135,A804)))</xm:f>
            <xm:f>$M$135</xm:f>
            <x14:dxf>
              <font>
                <b/>
                <i/>
                <color theme="0"/>
              </font>
              <fill>
                <patternFill>
                  <bgColor theme="1"/>
                </patternFill>
              </fill>
            </x14:dxf>
          </x14:cfRule>
          <x14:cfRule type="containsText" priority="717" operator="containsText" id="{53D31C29-ED0C-4C53-BD71-415651BF51C3}">
            <xm:f>NOT(ISERROR(SEARCH($M$134,A804)))</xm:f>
            <xm:f>$M$134</xm:f>
            <x14:dxf>
              <font>
                <b/>
                <i/>
                <color theme="0"/>
              </font>
              <fill>
                <patternFill>
                  <bgColor theme="1"/>
                </patternFill>
              </fill>
            </x14:dxf>
          </x14:cfRule>
          <x14:cfRule type="containsText" priority="718" operator="containsText" id="{7B8B112E-A2CD-4247-B8B3-93CC67A1DB56}">
            <xm:f>NOT(ISERROR(SEARCH($M$133,A804)))</xm:f>
            <xm:f>$M$133</xm:f>
            <x14:dxf>
              <font>
                <b/>
                <i/>
                <color theme="0"/>
              </font>
              <fill>
                <patternFill>
                  <bgColor theme="1"/>
                </patternFill>
              </fill>
            </x14:dxf>
          </x14:cfRule>
          <x14:cfRule type="containsText" priority="719" operator="containsText" id="{2B1CA4F7-BBB8-46F2-A831-D97274574ED7}">
            <xm:f>NOT(ISERROR(SEARCH($M$132,A804)))</xm:f>
            <xm:f>$M$132</xm:f>
            <x14:dxf>
              <font>
                <b/>
                <i/>
                <color theme="0"/>
              </font>
              <fill>
                <patternFill>
                  <bgColor theme="1"/>
                </patternFill>
              </fill>
            </x14:dxf>
          </x14:cfRule>
          <x14:cfRule type="containsText" priority="720" operator="containsText" id="{39C7F0A4-0667-4231-8087-7028ACD9A0A2}">
            <xm:f>NOT(ISERROR(SEARCH($M$131,A804)))</xm:f>
            <xm:f>$M$131</xm:f>
            <x14:dxf>
              <font>
                <b/>
                <i/>
                <color theme="0"/>
              </font>
              <fill>
                <patternFill>
                  <bgColor theme="1"/>
                </patternFill>
              </fill>
            </x14:dxf>
          </x14:cfRule>
          <x14:cfRule type="containsText" priority="721" operator="containsText" id="{DBAA3417-2BAB-4FA5-AE1A-AE38A48B0220}">
            <xm:f>NOT(ISERROR(SEARCH($M$130,A804)))</xm:f>
            <xm:f>$M$130</xm:f>
            <x14:dxf>
              <font>
                <b/>
                <i/>
                <color theme="0"/>
              </font>
              <fill>
                <patternFill>
                  <bgColor theme="1"/>
                </patternFill>
              </fill>
            </x14:dxf>
          </x14:cfRule>
          <x14:cfRule type="containsText" priority="722" operator="containsText" id="{C35FE512-733E-4911-B5E8-BC5E06E4DA93}">
            <xm:f>NOT(ISERROR(SEARCH($M$129,A804)))</xm:f>
            <xm:f>$M$129</xm:f>
            <x14:dxf>
              <font>
                <b/>
                <i/>
                <color theme="0"/>
              </font>
              <fill>
                <patternFill>
                  <bgColor theme="1"/>
                </patternFill>
              </fill>
            </x14:dxf>
          </x14:cfRule>
          <x14:cfRule type="containsText" priority="723" operator="containsText" id="{BF405C05-D02B-45C0-BAEB-8451239BA99A}">
            <xm:f>NOT(ISERROR(SEARCH($M$128,A804)))</xm:f>
            <xm:f>$M$128</xm:f>
            <x14:dxf>
              <font>
                <b/>
                <i/>
                <color theme="0"/>
              </font>
              <fill>
                <patternFill>
                  <bgColor theme="1"/>
                </patternFill>
              </fill>
            </x14:dxf>
          </x14:cfRule>
          <x14:cfRule type="containsText" priority="724" operator="containsText" id="{9128DEB0-95F1-4E2C-AD0A-1829350F05E1}">
            <xm:f>NOT(ISERROR(SEARCH($M$127,A804)))</xm:f>
            <xm:f>$M$127</xm:f>
            <x14:dxf>
              <font>
                <b/>
                <i/>
                <color theme="0"/>
              </font>
              <fill>
                <patternFill>
                  <bgColor theme="1"/>
                </patternFill>
              </fill>
            </x14:dxf>
          </x14:cfRule>
          <x14:cfRule type="containsText" priority="725" operator="containsText" id="{7761DC68-8A12-4732-8107-D6EB501078F6}">
            <xm:f>NOT(ISERROR(SEARCH($M$126,A804)))</xm:f>
            <xm:f>$M$126</xm:f>
            <x14:dxf>
              <font>
                <b/>
                <i/>
                <color theme="0"/>
              </font>
              <fill>
                <patternFill>
                  <bgColor theme="1"/>
                </patternFill>
              </fill>
            </x14:dxf>
          </x14:cfRule>
          <x14:cfRule type="containsText" priority="726" operator="containsText" id="{943188B5-3497-43DD-8B83-6C356D06C676}">
            <xm:f>NOT(ISERROR(SEARCH($M$125,A804)))</xm:f>
            <xm:f>$M$125</xm:f>
            <x14:dxf>
              <font>
                <b/>
                <i/>
                <color theme="0"/>
              </font>
              <fill>
                <patternFill>
                  <bgColor theme="1"/>
                </patternFill>
              </fill>
            </x14:dxf>
          </x14:cfRule>
          <x14:cfRule type="containsText" priority="727" operator="containsText" id="{741D3476-2C51-4438-89EC-6172A06E6CCB}">
            <xm:f>NOT(ISERROR(SEARCH($M$124,A804)))</xm:f>
            <xm:f>$M$124</xm:f>
            <x14:dxf>
              <font>
                <b/>
                <i/>
                <color theme="0"/>
              </font>
              <fill>
                <patternFill>
                  <bgColor theme="1"/>
                </patternFill>
              </fill>
            </x14:dxf>
          </x14:cfRule>
          <x14:cfRule type="containsText" priority="728" operator="containsText" id="{3FE85D74-6068-46E1-A32C-C8336F32E462}">
            <xm:f>NOT(ISERROR(SEARCH($M$123,A804)))</xm:f>
            <xm:f>$M$123</xm:f>
            <x14:dxf>
              <font>
                <b/>
                <i/>
                <color theme="0"/>
              </font>
              <fill>
                <patternFill>
                  <bgColor theme="1"/>
                </patternFill>
              </fill>
            </x14:dxf>
          </x14:cfRule>
          <x14:cfRule type="containsText" priority="729" operator="containsText" id="{44C524B0-E24D-460B-A0C0-E8DC70986116}">
            <xm:f>NOT(ISERROR(SEARCH($M$122,A804)))</xm:f>
            <xm:f>$M$122</xm:f>
            <x14:dxf>
              <font>
                <b/>
                <i/>
                <color theme="0"/>
              </font>
              <fill>
                <patternFill>
                  <bgColor theme="1"/>
                </patternFill>
              </fill>
            </x14:dxf>
          </x14:cfRule>
          <x14:cfRule type="containsText" priority="730" operator="containsText" id="{650D69C2-0166-47D0-9E84-A0B706760D25}">
            <xm:f>NOT(ISERROR(SEARCH($M$121,A804)))</xm:f>
            <xm:f>$M$121</xm:f>
            <x14:dxf>
              <font>
                <b/>
                <i/>
                <color theme="0"/>
              </font>
              <fill>
                <patternFill>
                  <bgColor theme="1"/>
                </patternFill>
              </fill>
            </x14:dxf>
          </x14:cfRule>
          <x14:cfRule type="containsText" priority="731" operator="containsText" id="{AE7C68BD-64B8-4C48-8EEA-12F374558A9A}">
            <xm:f>NOT(ISERROR(SEARCH($M$120,A804)))</xm:f>
            <xm:f>$M$120</xm:f>
            <x14:dxf>
              <font>
                <b/>
                <i/>
                <color theme="0"/>
              </font>
              <fill>
                <patternFill>
                  <bgColor theme="1"/>
                </patternFill>
              </fill>
            </x14:dxf>
          </x14:cfRule>
          <x14:cfRule type="containsText" priority="732" operator="containsText" id="{904A1061-AEF3-4329-88A2-4279A02262DA}">
            <xm:f>NOT(ISERROR(SEARCH($M$119,A804)))</xm:f>
            <xm:f>$M$119</xm:f>
            <x14:dxf>
              <font>
                <b/>
                <i/>
                <color theme="0"/>
              </font>
              <fill>
                <patternFill>
                  <bgColor theme="1"/>
                </patternFill>
              </fill>
            </x14:dxf>
          </x14:cfRule>
          <x14:cfRule type="containsText" priority="733" operator="containsText" id="{C8B3B6BA-61A4-4CF2-BDE1-1ECD33DF15DB}">
            <xm:f>NOT(ISERROR(SEARCH($M$118,A804)))</xm:f>
            <xm:f>$M$118</xm:f>
            <x14:dxf>
              <font>
                <b/>
                <i/>
                <color theme="0"/>
              </font>
              <fill>
                <patternFill>
                  <bgColor theme="1"/>
                </patternFill>
              </fill>
            </x14:dxf>
          </x14:cfRule>
          <x14:cfRule type="containsText" priority="734" operator="containsText" id="{6AA6B562-8C42-4792-A7C4-49158D476D72}">
            <xm:f>NOT(ISERROR(SEARCH($M$117,A804)))</xm:f>
            <xm:f>$M$117</xm:f>
            <x14:dxf>
              <font>
                <b/>
                <i/>
                <color theme="0"/>
              </font>
              <fill>
                <patternFill>
                  <bgColor theme="1"/>
                </patternFill>
              </fill>
            </x14:dxf>
          </x14:cfRule>
          <x14:cfRule type="containsText" priority="735" operator="containsText" id="{F89BC5A9-F741-4FCB-B3E7-FD24756F3274}">
            <xm:f>NOT(ISERROR(SEARCH($M$116,A804)))</xm:f>
            <xm:f>$M$116</xm:f>
            <x14:dxf>
              <font>
                <b/>
                <i/>
                <color theme="0"/>
              </font>
              <fill>
                <patternFill>
                  <bgColor theme="1"/>
                </patternFill>
              </fill>
            </x14:dxf>
          </x14:cfRule>
          <x14:cfRule type="containsText" priority="736" operator="containsText" id="{AF070B27-C6FA-48ED-ABF0-50F7704EFD9E}">
            <xm:f>NOT(ISERROR(SEARCH($M$115,A804)))</xm:f>
            <xm:f>$M$115</xm:f>
            <x14:dxf>
              <font>
                <b/>
                <i/>
                <color theme="0"/>
              </font>
              <fill>
                <patternFill>
                  <bgColor theme="1"/>
                </patternFill>
              </fill>
            </x14:dxf>
          </x14:cfRule>
          <x14:cfRule type="containsText" priority="737" operator="containsText" id="{C6CB8B91-C579-4A7C-BB70-39D0EEC1073A}">
            <xm:f>NOT(ISERROR(SEARCH($M$114,A804)))</xm:f>
            <xm:f>$M$114</xm:f>
            <x14:dxf>
              <font>
                <b/>
                <i/>
                <color theme="0"/>
              </font>
              <fill>
                <patternFill>
                  <bgColor theme="1"/>
                </patternFill>
              </fill>
            </x14:dxf>
          </x14:cfRule>
          <x14:cfRule type="containsText" priority="738" operator="containsText" id="{B0C575AB-7A70-46C5-90A8-AB021EC68AB8}">
            <xm:f>NOT(ISERROR(SEARCH($M$113,A804)))</xm:f>
            <xm:f>$M$113</xm:f>
            <x14:dxf>
              <font>
                <b/>
                <i/>
                <color theme="0"/>
              </font>
              <fill>
                <patternFill>
                  <bgColor theme="1"/>
                </patternFill>
              </fill>
            </x14:dxf>
          </x14:cfRule>
          <x14:cfRule type="containsText" priority="739" operator="containsText" id="{7399E954-2B21-4D98-B830-4D268CB7A346}">
            <xm:f>NOT(ISERROR(SEARCH($M$112,A804)))</xm:f>
            <xm:f>$M$112</xm:f>
            <x14:dxf>
              <font>
                <b/>
                <i/>
                <color theme="0"/>
              </font>
              <fill>
                <patternFill>
                  <bgColor theme="1"/>
                </patternFill>
              </fill>
            </x14:dxf>
          </x14:cfRule>
          <x14:cfRule type="containsText" priority="740" operator="containsText" id="{A8CBE8ED-1499-4EF0-B248-72FEDCC07625}">
            <xm:f>NOT(ISERROR(SEARCH($M$111,A804)))</xm:f>
            <xm:f>$M$111</xm:f>
            <x14:dxf>
              <font>
                <b/>
                <i/>
                <color theme="0"/>
              </font>
              <fill>
                <patternFill>
                  <bgColor theme="1"/>
                </patternFill>
              </fill>
            </x14:dxf>
          </x14:cfRule>
          <x14:cfRule type="containsText" priority="741" operator="containsText" id="{372A6E31-C305-41D5-9F56-4C3F3A206274}">
            <xm:f>NOT(ISERROR(SEARCH($M$110,A804)))</xm:f>
            <xm:f>$M$110</xm:f>
            <x14:dxf>
              <font>
                <b/>
                <i/>
                <color theme="0"/>
              </font>
              <fill>
                <patternFill>
                  <bgColor theme="1"/>
                </patternFill>
              </fill>
            </x14:dxf>
          </x14:cfRule>
          <xm:sqref>A804:A815</xm:sqref>
        </x14:conditionalFormatting>
        <x14:conditionalFormatting xmlns:xm="http://schemas.microsoft.com/office/excel/2006/main">
          <x14:cfRule type="containsText" priority="713" operator="containsText" id="{0942A759-908E-4499-ADBC-7158A9F61C2B}">
            <xm:f>NOT(ISERROR(SEARCH($M$107,A817)))</xm:f>
            <xm:f>$M$107</xm:f>
            <x14:dxf>
              <font>
                <b/>
                <i/>
                <color theme="0"/>
              </font>
              <fill>
                <patternFill>
                  <bgColor theme="1"/>
                </patternFill>
              </fill>
            </x14:dxf>
          </x14:cfRule>
          <xm:sqref>A817:A828</xm:sqref>
        </x14:conditionalFormatting>
        <x14:conditionalFormatting xmlns:xm="http://schemas.microsoft.com/office/excel/2006/main">
          <x14:cfRule type="containsText" priority="711" operator="containsText" id="{DAE084DA-BC82-45BC-80DF-DBB13381902A}">
            <xm:f>NOT(ISERROR(SEARCH($M$109,A817)))</xm:f>
            <xm:f>$M$109</xm:f>
            <x14:dxf>
              <font>
                <b/>
                <i/>
                <color theme="0"/>
              </font>
              <fill>
                <patternFill>
                  <bgColor theme="1"/>
                </patternFill>
              </fill>
            </x14:dxf>
          </x14:cfRule>
          <x14:cfRule type="containsText" priority="712" operator="containsText" id="{EC1491AE-9F30-48BD-8F70-0C8215AA9452}">
            <xm:f>NOT(ISERROR(SEARCH($M$108,A817)))</xm:f>
            <xm:f>$M$108</xm:f>
            <x14:dxf>
              <font>
                <color theme="0"/>
              </font>
              <fill>
                <patternFill>
                  <bgColor theme="1"/>
                </patternFill>
              </fill>
            </x14:dxf>
          </x14:cfRule>
          <xm:sqref>A817:A828</xm:sqref>
        </x14:conditionalFormatting>
        <x14:conditionalFormatting xmlns:xm="http://schemas.microsoft.com/office/excel/2006/main">
          <x14:cfRule type="containsText" priority="684" operator="containsText" id="{9BF98B91-9AA6-45FE-BD02-C71434096597}">
            <xm:f>NOT(ISERROR(SEARCH($M$136,A817)))</xm:f>
            <xm:f>$M$136</xm:f>
            <x14:dxf>
              <font>
                <b/>
                <i/>
                <color theme="0"/>
              </font>
              <fill>
                <patternFill>
                  <bgColor theme="1"/>
                </patternFill>
              </fill>
            </x14:dxf>
          </x14:cfRule>
          <x14:cfRule type="containsText" priority="685" operator="containsText" id="{A1D6D9A7-F0AA-4038-B441-25601463557A}">
            <xm:f>NOT(ISERROR(SEARCH($M$135,A817)))</xm:f>
            <xm:f>$M$135</xm:f>
            <x14:dxf>
              <font>
                <b/>
                <i/>
                <color theme="0"/>
              </font>
              <fill>
                <patternFill>
                  <bgColor theme="1"/>
                </patternFill>
              </fill>
            </x14:dxf>
          </x14:cfRule>
          <x14:cfRule type="containsText" priority="686" operator="containsText" id="{EC2A4716-55F9-4A3D-B701-5C3DBDAAA3F1}">
            <xm:f>NOT(ISERROR(SEARCH($M$134,A817)))</xm:f>
            <xm:f>$M$134</xm:f>
            <x14:dxf>
              <font>
                <b/>
                <i/>
                <color theme="0"/>
              </font>
              <fill>
                <patternFill>
                  <bgColor theme="1"/>
                </patternFill>
              </fill>
            </x14:dxf>
          </x14:cfRule>
          <x14:cfRule type="containsText" priority="687" operator="containsText" id="{52EF9E1C-A377-4406-AE2D-F537894441D3}">
            <xm:f>NOT(ISERROR(SEARCH($M$133,A817)))</xm:f>
            <xm:f>$M$133</xm:f>
            <x14:dxf>
              <font>
                <b/>
                <i/>
                <color theme="0"/>
              </font>
              <fill>
                <patternFill>
                  <bgColor theme="1"/>
                </patternFill>
              </fill>
            </x14:dxf>
          </x14:cfRule>
          <x14:cfRule type="containsText" priority="688" operator="containsText" id="{B447B97B-5997-4AAD-95E2-FFFCF1012E21}">
            <xm:f>NOT(ISERROR(SEARCH($M$132,A817)))</xm:f>
            <xm:f>$M$132</xm:f>
            <x14:dxf>
              <font>
                <b/>
                <i/>
                <color theme="0"/>
              </font>
              <fill>
                <patternFill>
                  <bgColor theme="1"/>
                </patternFill>
              </fill>
            </x14:dxf>
          </x14:cfRule>
          <x14:cfRule type="containsText" priority="689" operator="containsText" id="{3E04300B-2492-4F42-981D-A367E451EDD0}">
            <xm:f>NOT(ISERROR(SEARCH($M$131,A817)))</xm:f>
            <xm:f>$M$131</xm:f>
            <x14:dxf>
              <font>
                <b/>
                <i/>
                <color theme="0"/>
              </font>
              <fill>
                <patternFill>
                  <bgColor theme="1"/>
                </patternFill>
              </fill>
            </x14:dxf>
          </x14:cfRule>
          <x14:cfRule type="containsText" priority="690" operator="containsText" id="{6425E10F-B849-4E56-82A5-2CD563EFA9FF}">
            <xm:f>NOT(ISERROR(SEARCH($M$130,A817)))</xm:f>
            <xm:f>$M$130</xm:f>
            <x14:dxf>
              <font>
                <b/>
                <i/>
                <color theme="0"/>
              </font>
              <fill>
                <patternFill>
                  <bgColor theme="1"/>
                </patternFill>
              </fill>
            </x14:dxf>
          </x14:cfRule>
          <x14:cfRule type="containsText" priority="691" operator="containsText" id="{33C63496-482F-46C6-8E47-79E4C6AAB403}">
            <xm:f>NOT(ISERROR(SEARCH($M$129,A817)))</xm:f>
            <xm:f>$M$129</xm:f>
            <x14:dxf>
              <font>
                <b/>
                <i/>
                <color theme="0"/>
              </font>
              <fill>
                <patternFill>
                  <bgColor theme="1"/>
                </patternFill>
              </fill>
            </x14:dxf>
          </x14:cfRule>
          <x14:cfRule type="containsText" priority="692" operator="containsText" id="{D90501D9-408A-44A3-A3E1-17B1F86E81EF}">
            <xm:f>NOT(ISERROR(SEARCH($M$128,A817)))</xm:f>
            <xm:f>$M$128</xm:f>
            <x14:dxf>
              <font>
                <b/>
                <i/>
                <color theme="0"/>
              </font>
              <fill>
                <patternFill>
                  <bgColor theme="1"/>
                </patternFill>
              </fill>
            </x14:dxf>
          </x14:cfRule>
          <x14:cfRule type="containsText" priority="693" operator="containsText" id="{3DAF4095-C02E-4709-969E-16D9F9E0B4CA}">
            <xm:f>NOT(ISERROR(SEARCH($M$127,A817)))</xm:f>
            <xm:f>$M$127</xm:f>
            <x14:dxf>
              <font>
                <b/>
                <i/>
                <color theme="0"/>
              </font>
              <fill>
                <patternFill>
                  <bgColor theme="1"/>
                </patternFill>
              </fill>
            </x14:dxf>
          </x14:cfRule>
          <x14:cfRule type="containsText" priority="694" operator="containsText" id="{53E03B8B-F191-45D6-9F49-6545D90DCFB1}">
            <xm:f>NOT(ISERROR(SEARCH($M$126,A817)))</xm:f>
            <xm:f>$M$126</xm:f>
            <x14:dxf>
              <font>
                <b/>
                <i/>
                <color theme="0"/>
              </font>
              <fill>
                <patternFill>
                  <bgColor theme="1"/>
                </patternFill>
              </fill>
            </x14:dxf>
          </x14:cfRule>
          <x14:cfRule type="containsText" priority="695" operator="containsText" id="{1218575A-EA0B-4B95-A8C9-F6809195F8A2}">
            <xm:f>NOT(ISERROR(SEARCH($M$125,A817)))</xm:f>
            <xm:f>$M$125</xm:f>
            <x14:dxf>
              <font>
                <b/>
                <i/>
                <color theme="0"/>
              </font>
              <fill>
                <patternFill>
                  <bgColor theme="1"/>
                </patternFill>
              </fill>
            </x14:dxf>
          </x14:cfRule>
          <x14:cfRule type="containsText" priority="696" operator="containsText" id="{FA9206DE-FE89-4333-A042-0048E487D91D}">
            <xm:f>NOT(ISERROR(SEARCH($M$124,A817)))</xm:f>
            <xm:f>$M$124</xm:f>
            <x14:dxf>
              <font>
                <b/>
                <i/>
                <color theme="0"/>
              </font>
              <fill>
                <patternFill>
                  <bgColor theme="1"/>
                </patternFill>
              </fill>
            </x14:dxf>
          </x14:cfRule>
          <x14:cfRule type="containsText" priority="697" operator="containsText" id="{1CBEF4D8-563C-42D3-82D7-0DC0A6D491AE}">
            <xm:f>NOT(ISERROR(SEARCH($M$123,A817)))</xm:f>
            <xm:f>$M$123</xm:f>
            <x14:dxf>
              <font>
                <b/>
                <i/>
                <color theme="0"/>
              </font>
              <fill>
                <patternFill>
                  <bgColor theme="1"/>
                </patternFill>
              </fill>
            </x14:dxf>
          </x14:cfRule>
          <x14:cfRule type="containsText" priority="698" operator="containsText" id="{CCAA9B93-7D61-440A-9E9E-500D324A7B56}">
            <xm:f>NOT(ISERROR(SEARCH($M$122,A817)))</xm:f>
            <xm:f>$M$122</xm:f>
            <x14:dxf>
              <font>
                <b/>
                <i/>
                <color theme="0"/>
              </font>
              <fill>
                <patternFill>
                  <bgColor theme="1"/>
                </patternFill>
              </fill>
            </x14:dxf>
          </x14:cfRule>
          <x14:cfRule type="containsText" priority="699" operator="containsText" id="{3BFC9B05-B14D-4E9E-91F7-9AF03459A1A7}">
            <xm:f>NOT(ISERROR(SEARCH($M$121,A817)))</xm:f>
            <xm:f>$M$121</xm:f>
            <x14:dxf>
              <font>
                <b/>
                <i/>
                <color theme="0"/>
              </font>
              <fill>
                <patternFill>
                  <bgColor theme="1"/>
                </patternFill>
              </fill>
            </x14:dxf>
          </x14:cfRule>
          <x14:cfRule type="containsText" priority="700" operator="containsText" id="{CDBCC617-90C7-4C43-A59D-A58A2425E34D}">
            <xm:f>NOT(ISERROR(SEARCH($M$120,A817)))</xm:f>
            <xm:f>$M$120</xm:f>
            <x14:dxf>
              <font>
                <b/>
                <i/>
                <color theme="0"/>
              </font>
              <fill>
                <patternFill>
                  <bgColor theme="1"/>
                </patternFill>
              </fill>
            </x14:dxf>
          </x14:cfRule>
          <x14:cfRule type="containsText" priority="701" operator="containsText" id="{2C508B65-A28A-4AA5-BB92-DE1E0DF67933}">
            <xm:f>NOT(ISERROR(SEARCH($M$119,A817)))</xm:f>
            <xm:f>$M$119</xm:f>
            <x14:dxf>
              <font>
                <b/>
                <i/>
                <color theme="0"/>
              </font>
              <fill>
                <patternFill>
                  <bgColor theme="1"/>
                </patternFill>
              </fill>
            </x14:dxf>
          </x14:cfRule>
          <x14:cfRule type="containsText" priority="702" operator="containsText" id="{ACC6562F-523E-4C9B-BBB1-7CF89C1748E7}">
            <xm:f>NOT(ISERROR(SEARCH($M$118,A817)))</xm:f>
            <xm:f>$M$118</xm:f>
            <x14:dxf>
              <font>
                <b/>
                <i/>
                <color theme="0"/>
              </font>
              <fill>
                <patternFill>
                  <bgColor theme="1"/>
                </patternFill>
              </fill>
            </x14:dxf>
          </x14:cfRule>
          <x14:cfRule type="containsText" priority="703" operator="containsText" id="{621E4B8D-14E6-45F3-BE4D-C2EAE4C4C6AE}">
            <xm:f>NOT(ISERROR(SEARCH($M$117,A817)))</xm:f>
            <xm:f>$M$117</xm:f>
            <x14:dxf>
              <font>
                <b/>
                <i/>
                <color theme="0"/>
              </font>
              <fill>
                <patternFill>
                  <bgColor theme="1"/>
                </patternFill>
              </fill>
            </x14:dxf>
          </x14:cfRule>
          <x14:cfRule type="containsText" priority="704" operator="containsText" id="{C3F228D0-BDA1-4737-8EF0-E33D968B87FE}">
            <xm:f>NOT(ISERROR(SEARCH($M$116,A817)))</xm:f>
            <xm:f>$M$116</xm:f>
            <x14:dxf>
              <font>
                <b/>
                <i/>
                <color theme="0"/>
              </font>
              <fill>
                <patternFill>
                  <bgColor theme="1"/>
                </patternFill>
              </fill>
            </x14:dxf>
          </x14:cfRule>
          <x14:cfRule type="containsText" priority="705" operator="containsText" id="{402E2397-C7AD-44EC-9C3E-FE91927D48B4}">
            <xm:f>NOT(ISERROR(SEARCH($M$115,A817)))</xm:f>
            <xm:f>$M$115</xm:f>
            <x14:dxf>
              <font>
                <b/>
                <i/>
                <color theme="0"/>
              </font>
              <fill>
                <patternFill>
                  <bgColor theme="1"/>
                </patternFill>
              </fill>
            </x14:dxf>
          </x14:cfRule>
          <x14:cfRule type="containsText" priority="706" operator="containsText" id="{5D488E50-CD02-4119-86C6-7B97445B2D51}">
            <xm:f>NOT(ISERROR(SEARCH($M$114,A817)))</xm:f>
            <xm:f>$M$114</xm:f>
            <x14:dxf>
              <font>
                <b/>
                <i/>
                <color theme="0"/>
              </font>
              <fill>
                <patternFill>
                  <bgColor theme="1"/>
                </patternFill>
              </fill>
            </x14:dxf>
          </x14:cfRule>
          <x14:cfRule type="containsText" priority="707" operator="containsText" id="{FC28157D-E9CC-4C5A-B423-E160AE7E4DD9}">
            <xm:f>NOT(ISERROR(SEARCH($M$113,A817)))</xm:f>
            <xm:f>$M$113</xm:f>
            <x14:dxf>
              <font>
                <b/>
                <i/>
                <color theme="0"/>
              </font>
              <fill>
                <patternFill>
                  <bgColor theme="1"/>
                </patternFill>
              </fill>
            </x14:dxf>
          </x14:cfRule>
          <x14:cfRule type="containsText" priority="708" operator="containsText" id="{A7610F40-4B79-4470-802A-F054939EC078}">
            <xm:f>NOT(ISERROR(SEARCH($M$112,A817)))</xm:f>
            <xm:f>$M$112</xm:f>
            <x14:dxf>
              <font>
                <b/>
                <i/>
                <color theme="0"/>
              </font>
              <fill>
                <patternFill>
                  <bgColor theme="1"/>
                </patternFill>
              </fill>
            </x14:dxf>
          </x14:cfRule>
          <x14:cfRule type="containsText" priority="709" operator="containsText" id="{5790B543-08D5-466A-8121-3B14F7CC8E5E}">
            <xm:f>NOT(ISERROR(SEARCH($M$111,A817)))</xm:f>
            <xm:f>$M$111</xm:f>
            <x14:dxf>
              <font>
                <b/>
                <i/>
                <color theme="0"/>
              </font>
              <fill>
                <patternFill>
                  <bgColor theme="1"/>
                </patternFill>
              </fill>
            </x14:dxf>
          </x14:cfRule>
          <x14:cfRule type="containsText" priority="710" operator="containsText" id="{6E50593B-196E-4BE9-83CB-D340AAE02589}">
            <xm:f>NOT(ISERROR(SEARCH($M$110,A817)))</xm:f>
            <xm:f>$M$110</xm:f>
            <x14:dxf>
              <font>
                <b/>
                <i/>
                <color theme="0"/>
              </font>
              <fill>
                <patternFill>
                  <bgColor theme="1"/>
                </patternFill>
              </fill>
            </x14:dxf>
          </x14:cfRule>
          <xm:sqref>A817:A828</xm:sqref>
        </x14:conditionalFormatting>
        <x14:conditionalFormatting xmlns:xm="http://schemas.microsoft.com/office/excel/2006/main">
          <x14:cfRule type="containsText" priority="682" operator="containsText" id="{2A879006-8D66-4012-A8A1-49CAB21F4EC9}">
            <xm:f>NOT(ISERROR(SEARCH($M$107,A866)))</xm:f>
            <xm:f>$M$107</xm:f>
            <x14:dxf>
              <font>
                <b/>
                <i/>
                <color theme="0"/>
              </font>
              <fill>
                <patternFill>
                  <bgColor theme="1"/>
                </patternFill>
              </fill>
            </x14:dxf>
          </x14:cfRule>
          <xm:sqref>A866:A877</xm:sqref>
        </x14:conditionalFormatting>
        <x14:conditionalFormatting xmlns:xm="http://schemas.microsoft.com/office/excel/2006/main">
          <x14:cfRule type="containsText" priority="680" operator="containsText" id="{D7F1E7A6-AF18-46F1-8B0A-6189FD9C1E3E}">
            <xm:f>NOT(ISERROR(SEARCH($M$109,A866)))</xm:f>
            <xm:f>$M$109</xm:f>
            <x14:dxf>
              <font>
                <b/>
                <i/>
                <color theme="0"/>
              </font>
              <fill>
                <patternFill>
                  <bgColor theme="1"/>
                </patternFill>
              </fill>
            </x14:dxf>
          </x14:cfRule>
          <x14:cfRule type="containsText" priority="681" operator="containsText" id="{45AEA6E4-0FF3-4063-8DCD-93A5BA32316D}">
            <xm:f>NOT(ISERROR(SEARCH($M$108,A866)))</xm:f>
            <xm:f>$M$108</xm:f>
            <x14:dxf>
              <font>
                <color theme="0"/>
              </font>
              <fill>
                <patternFill>
                  <bgColor theme="1"/>
                </patternFill>
              </fill>
            </x14:dxf>
          </x14:cfRule>
          <xm:sqref>A866:A877</xm:sqref>
        </x14:conditionalFormatting>
        <x14:conditionalFormatting xmlns:xm="http://schemas.microsoft.com/office/excel/2006/main">
          <x14:cfRule type="containsText" priority="653" operator="containsText" id="{4371FE7B-5523-4046-BEB7-00C775D85B3B}">
            <xm:f>NOT(ISERROR(SEARCH($M$136,A866)))</xm:f>
            <xm:f>$M$136</xm:f>
            <x14:dxf>
              <font>
                <b/>
                <i/>
                <color theme="0"/>
              </font>
              <fill>
                <patternFill>
                  <bgColor theme="1"/>
                </patternFill>
              </fill>
            </x14:dxf>
          </x14:cfRule>
          <x14:cfRule type="containsText" priority="654" operator="containsText" id="{0057110C-F8ED-4D55-AA9B-E4B26ECFDA53}">
            <xm:f>NOT(ISERROR(SEARCH($M$135,A866)))</xm:f>
            <xm:f>$M$135</xm:f>
            <x14:dxf>
              <font>
                <b/>
                <i/>
                <color theme="0"/>
              </font>
              <fill>
                <patternFill>
                  <bgColor theme="1"/>
                </patternFill>
              </fill>
            </x14:dxf>
          </x14:cfRule>
          <x14:cfRule type="containsText" priority="655" operator="containsText" id="{D2E57CB8-F3AC-451D-AE70-67AAEB0D10C0}">
            <xm:f>NOT(ISERROR(SEARCH($M$134,A866)))</xm:f>
            <xm:f>$M$134</xm:f>
            <x14:dxf>
              <font>
                <b/>
                <i/>
                <color theme="0"/>
              </font>
              <fill>
                <patternFill>
                  <bgColor theme="1"/>
                </patternFill>
              </fill>
            </x14:dxf>
          </x14:cfRule>
          <x14:cfRule type="containsText" priority="656" operator="containsText" id="{13AB3553-7274-4229-BEA8-11A65F504EC2}">
            <xm:f>NOT(ISERROR(SEARCH($M$133,A866)))</xm:f>
            <xm:f>$M$133</xm:f>
            <x14:dxf>
              <font>
                <b/>
                <i/>
                <color theme="0"/>
              </font>
              <fill>
                <patternFill>
                  <bgColor theme="1"/>
                </patternFill>
              </fill>
            </x14:dxf>
          </x14:cfRule>
          <x14:cfRule type="containsText" priority="657" operator="containsText" id="{E7FEB5C9-310E-4F5D-A773-9408D5E65941}">
            <xm:f>NOT(ISERROR(SEARCH($M$132,A866)))</xm:f>
            <xm:f>$M$132</xm:f>
            <x14:dxf>
              <font>
                <b/>
                <i/>
                <color theme="0"/>
              </font>
              <fill>
                <patternFill>
                  <bgColor theme="1"/>
                </patternFill>
              </fill>
            </x14:dxf>
          </x14:cfRule>
          <x14:cfRule type="containsText" priority="658" operator="containsText" id="{F0F3B178-8CE4-4B9A-B5CC-697B5D59E9F7}">
            <xm:f>NOT(ISERROR(SEARCH($M$131,A866)))</xm:f>
            <xm:f>$M$131</xm:f>
            <x14:dxf>
              <font>
                <b/>
                <i/>
                <color theme="0"/>
              </font>
              <fill>
                <patternFill>
                  <bgColor theme="1"/>
                </patternFill>
              </fill>
            </x14:dxf>
          </x14:cfRule>
          <x14:cfRule type="containsText" priority="659" operator="containsText" id="{0AF30545-41FA-4F12-8917-4BC8413DAC26}">
            <xm:f>NOT(ISERROR(SEARCH($M$130,A866)))</xm:f>
            <xm:f>$M$130</xm:f>
            <x14:dxf>
              <font>
                <b/>
                <i/>
                <color theme="0"/>
              </font>
              <fill>
                <patternFill>
                  <bgColor theme="1"/>
                </patternFill>
              </fill>
            </x14:dxf>
          </x14:cfRule>
          <x14:cfRule type="containsText" priority="660" operator="containsText" id="{329EAB1F-71E2-4187-B504-59B639695178}">
            <xm:f>NOT(ISERROR(SEARCH($M$129,A866)))</xm:f>
            <xm:f>$M$129</xm:f>
            <x14:dxf>
              <font>
                <b/>
                <i/>
                <color theme="0"/>
              </font>
              <fill>
                <patternFill>
                  <bgColor theme="1"/>
                </patternFill>
              </fill>
            </x14:dxf>
          </x14:cfRule>
          <x14:cfRule type="containsText" priority="661" operator="containsText" id="{0078FA74-3DC3-431C-8749-292A65878BBD}">
            <xm:f>NOT(ISERROR(SEARCH($M$128,A866)))</xm:f>
            <xm:f>$M$128</xm:f>
            <x14:dxf>
              <font>
                <b/>
                <i/>
                <color theme="0"/>
              </font>
              <fill>
                <patternFill>
                  <bgColor theme="1"/>
                </patternFill>
              </fill>
            </x14:dxf>
          </x14:cfRule>
          <x14:cfRule type="containsText" priority="662" operator="containsText" id="{B76F8C16-EC6A-4D7D-A01D-5997BF60739B}">
            <xm:f>NOT(ISERROR(SEARCH($M$127,A866)))</xm:f>
            <xm:f>$M$127</xm:f>
            <x14:dxf>
              <font>
                <b/>
                <i/>
                <color theme="0"/>
              </font>
              <fill>
                <patternFill>
                  <bgColor theme="1"/>
                </patternFill>
              </fill>
            </x14:dxf>
          </x14:cfRule>
          <x14:cfRule type="containsText" priority="663" operator="containsText" id="{FDE6E508-D73E-4F73-9672-AD4CEDBE8E28}">
            <xm:f>NOT(ISERROR(SEARCH($M$126,A866)))</xm:f>
            <xm:f>$M$126</xm:f>
            <x14:dxf>
              <font>
                <b/>
                <i/>
                <color theme="0"/>
              </font>
              <fill>
                <patternFill>
                  <bgColor theme="1"/>
                </patternFill>
              </fill>
            </x14:dxf>
          </x14:cfRule>
          <x14:cfRule type="containsText" priority="664" operator="containsText" id="{F6C08207-44C3-49FC-8637-A928709953A3}">
            <xm:f>NOT(ISERROR(SEARCH($M$125,A866)))</xm:f>
            <xm:f>$M$125</xm:f>
            <x14:dxf>
              <font>
                <b/>
                <i/>
                <color theme="0"/>
              </font>
              <fill>
                <patternFill>
                  <bgColor theme="1"/>
                </patternFill>
              </fill>
            </x14:dxf>
          </x14:cfRule>
          <x14:cfRule type="containsText" priority="665" operator="containsText" id="{4194BE2B-F965-4A96-8DC1-6D5304AFB61A}">
            <xm:f>NOT(ISERROR(SEARCH($M$124,A866)))</xm:f>
            <xm:f>$M$124</xm:f>
            <x14:dxf>
              <font>
                <b/>
                <i/>
                <color theme="0"/>
              </font>
              <fill>
                <patternFill>
                  <bgColor theme="1"/>
                </patternFill>
              </fill>
            </x14:dxf>
          </x14:cfRule>
          <x14:cfRule type="containsText" priority="666" operator="containsText" id="{F19C3396-6181-4C04-9BEC-1948D35EEE9F}">
            <xm:f>NOT(ISERROR(SEARCH($M$123,A866)))</xm:f>
            <xm:f>$M$123</xm:f>
            <x14:dxf>
              <font>
                <b/>
                <i/>
                <color theme="0"/>
              </font>
              <fill>
                <patternFill>
                  <bgColor theme="1"/>
                </patternFill>
              </fill>
            </x14:dxf>
          </x14:cfRule>
          <x14:cfRule type="containsText" priority="667" operator="containsText" id="{A7C7D6CA-1114-4376-AA73-C5C47DAB90AC}">
            <xm:f>NOT(ISERROR(SEARCH($M$122,A866)))</xm:f>
            <xm:f>$M$122</xm:f>
            <x14:dxf>
              <font>
                <b/>
                <i/>
                <color theme="0"/>
              </font>
              <fill>
                <patternFill>
                  <bgColor theme="1"/>
                </patternFill>
              </fill>
            </x14:dxf>
          </x14:cfRule>
          <x14:cfRule type="containsText" priority="668" operator="containsText" id="{97F4F1D2-8591-43D4-9E51-2ABF776EA1B1}">
            <xm:f>NOT(ISERROR(SEARCH($M$121,A866)))</xm:f>
            <xm:f>$M$121</xm:f>
            <x14:dxf>
              <font>
                <b/>
                <i/>
                <color theme="0"/>
              </font>
              <fill>
                <patternFill>
                  <bgColor theme="1"/>
                </patternFill>
              </fill>
            </x14:dxf>
          </x14:cfRule>
          <x14:cfRule type="containsText" priority="669" operator="containsText" id="{77B58F1C-9B09-47BF-AC3D-832487749306}">
            <xm:f>NOT(ISERROR(SEARCH($M$120,A866)))</xm:f>
            <xm:f>$M$120</xm:f>
            <x14:dxf>
              <font>
                <b/>
                <i/>
                <color theme="0"/>
              </font>
              <fill>
                <patternFill>
                  <bgColor theme="1"/>
                </patternFill>
              </fill>
            </x14:dxf>
          </x14:cfRule>
          <x14:cfRule type="containsText" priority="670" operator="containsText" id="{A01CCE38-C0DF-4996-9504-FA77CECA3EEB}">
            <xm:f>NOT(ISERROR(SEARCH($M$119,A866)))</xm:f>
            <xm:f>$M$119</xm:f>
            <x14:dxf>
              <font>
                <b/>
                <i/>
                <color theme="0"/>
              </font>
              <fill>
                <patternFill>
                  <bgColor theme="1"/>
                </patternFill>
              </fill>
            </x14:dxf>
          </x14:cfRule>
          <x14:cfRule type="containsText" priority="671" operator="containsText" id="{EA16AE83-7A04-42BE-BF56-69EC66759896}">
            <xm:f>NOT(ISERROR(SEARCH($M$118,A866)))</xm:f>
            <xm:f>$M$118</xm:f>
            <x14:dxf>
              <font>
                <b/>
                <i/>
                <color theme="0"/>
              </font>
              <fill>
                <patternFill>
                  <bgColor theme="1"/>
                </patternFill>
              </fill>
            </x14:dxf>
          </x14:cfRule>
          <x14:cfRule type="containsText" priority="672" operator="containsText" id="{E7F4C55C-7BB0-477C-AA44-8C7E12A3DBAD}">
            <xm:f>NOT(ISERROR(SEARCH($M$117,A866)))</xm:f>
            <xm:f>$M$117</xm:f>
            <x14:dxf>
              <font>
                <b/>
                <i/>
                <color theme="0"/>
              </font>
              <fill>
                <patternFill>
                  <bgColor theme="1"/>
                </patternFill>
              </fill>
            </x14:dxf>
          </x14:cfRule>
          <x14:cfRule type="containsText" priority="673" operator="containsText" id="{90B68B46-EE07-4D38-BE1D-2CFECC3E0285}">
            <xm:f>NOT(ISERROR(SEARCH($M$116,A866)))</xm:f>
            <xm:f>$M$116</xm:f>
            <x14:dxf>
              <font>
                <b/>
                <i/>
                <color theme="0"/>
              </font>
              <fill>
                <patternFill>
                  <bgColor theme="1"/>
                </patternFill>
              </fill>
            </x14:dxf>
          </x14:cfRule>
          <x14:cfRule type="containsText" priority="674" operator="containsText" id="{899EFA5C-AD80-4424-962A-C57429DD0F05}">
            <xm:f>NOT(ISERROR(SEARCH($M$115,A866)))</xm:f>
            <xm:f>$M$115</xm:f>
            <x14:dxf>
              <font>
                <b/>
                <i/>
                <color theme="0"/>
              </font>
              <fill>
                <patternFill>
                  <bgColor theme="1"/>
                </patternFill>
              </fill>
            </x14:dxf>
          </x14:cfRule>
          <x14:cfRule type="containsText" priority="675" operator="containsText" id="{AA415B61-2874-41FD-8030-94506341F8B2}">
            <xm:f>NOT(ISERROR(SEARCH($M$114,A866)))</xm:f>
            <xm:f>$M$114</xm:f>
            <x14:dxf>
              <font>
                <b/>
                <i/>
                <color theme="0"/>
              </font>
              <fill>
                <patternFill>
                  <bgColor theme="1"/>
                </patternFill>
              </fill>
            </x14:dxf>
          </x14:cfRule>
          <x14:cfRule type="containsText" priority="676" operator="containsText" id="{DC3887DD-D7A3-4B05-BE66-52BE4797CA46}">
            <xm:f>NOT(ISERROR(SEARCH($M$113,A866)))</xm:f>
            <xm:f>$M$113</xm:f>
            <x14:dxf>
              <font>
                <b/>
                <i/>
                <color theme="0"/>
              </font>
              <fill>
                <patternFill>
                  <bgColor theme="1"/>
                </patternFill>
              </fill>
            </x14:dxf>
          </x14:cfRule>
          <x14:cfRule type="containsText" priority="677" operator="containsText" id="{ADBC9E45-D1C6-425E-93D5-8E4524849FB9}">
            <xm:f>NOT(ISERROR(SEARCH($M$112,A866)))</xm:f>
            <xm:f>$M$112</xm:f>
            <x14:dxf>
              <font>
                <b/>
                <i/>
                <color theme="0"/>
              </font>
              <fill>
                <patternFill>
                  <bgColor theme="1"/>
                </patternFill>
              </fill>
            </x14:dxf>
          </x14:cfRule>
          <x14:cfRule type="containsText" priority="678" operator="containsText" id="{131B09DF-ACD6-4EC8-B917-230EF214C194}">
            <xm:f>NOT(ISERROR(SEARCH($M$111,A866)))</xm:f>
            <xm:f>$M$111</xm:f>
            <x14:dxf>
              <font>
                <b/>
                <i/>
                <color theme="0"/>
              </font>
              <fill>
                <patternFill>
                  <bgColor theme="1"/>
                </patternFill>
              </fill>
            </x14:dxf>
          </x14:cfRule>
          <x14:cfRule type="containsText" priority="679" operator="containsText" id="{30C0DB9A-9176-4946-8958-7767DE0E6DB4}">
            <xm:f>NOT(ISERROR(SEARCH($M$110,A866)))</xm:f>
            <xm:f>$M$110</xm:f>
            <x14:dxf>
              <font>
                <b/>
                <i/>
                <color theme="0"/>
              </font>
              <fill>
                <patternFill>
                  <bgColor theme="1"/>
                </patternFill>
              </fill>
            </x14:dxf>
          </x14:cfRule>
          <xm:sqref>A866:A877</xm:sqref>
        </x14:conditionalFormatting>
        <x14:conditionalFormatting xmlns:xm="http://schemas.microsoft.com/office/excel/2006/main">
          <x14:cfRule type="containsText" priority="651" operator="containsText" id="{36045039-E181-453A-B773-0FFFAB133B61}">
            <xm:f>NOT(ISERROR(SEARCH($M$107,A879)))</xm:f>
            <xm:f>$M$107</xm:f>
            <x14:dxf>
              <font>
                <b/>
                <i/>
                <color theme="0"/>
              </font>
              <fill>
                <patternFill>
                  <bgColor theme="1"/>
                </patternFill>
              </fill>
            </x14:dxf>
          </x14:cfRule>
          <xm:sqref>A879:A890</xm:sqref>
        </x14:conditionalFormatting>
        <x14:conditionalFormatting xmlns:xm="http://schemas.microsoft.com/office/excel/2006/main">
          <x14:cfRule type="containsText" priority="649" operator="containsText" id="{77B64D1A-B2F0-4112-991A-76AFF7C9FC3A}">
            <xm:f>NOT(ISERROR(SEARCH($M$109,A879)))</xm:f>
            <xm:f>$M$109</xm:f>
            <x14:dxf>
              <font>
                <b/>
                <i/>
                <color theme="0"/>
              </font>
              <fill>
                <patternFill>
                  <bgColor theme="1"/>
                </patternFill>
              </fill>
            </x14:dxf>
          </x14:cfRule>
          <x14:cfRule type="containsText" priority="650" operator="containsText" id="{59AD5888-5588-4392-9F53-071343DA698D}">
            <xm:f>NOT(ISERROR(SEARCH($M$108,A879)))</xm:f>
            <xm:f>$M$108</xm:f>
            <x14:dxf>
              <font>
                <color theme="0"/>
              </font>
              <fill>
                <patternFill>
                  <bgColor theme="1"/>
                </patternFill>
              </fill>
            </x14:dxf>
          </x14:cfRule>
          <xm:sqref>A879:A890</xm:sqref>
        </x14:conditionalFormatting>
        <x14:conditionalFormatting xmlns:xm="http://schemas.microsoft.com/office/excel/2006/main">
          <x14:cfRule type="containsText" priority="622" operator="containsText" id="{DE13AAB5-8847-4BC0-B784-E4233491C6B7}">
            <xm:f>NOT(ISERROR(SEARCH($M$136,A879)))</xm:f>
            <xm:f>$M$136</xm:f>
            <x14:dxf>
              <font>
                <b/>
                <i/>
                <color theme="0"/>
              </font>
              <fill>
                <patternFill>
                  <bgColor theme="1"/>
                </patternFill>
              </fill>
            </x14:dxf>
          </x14:cfRule>
          <x14:cfRule type="containsText" priority="623" operator="containsText" id="{5E7BF333-2958-4095-8D3A-559EC7BB952C}">
            <xm:f>NOT(ISERROR(SEARCH($M$135,A879)))</xm:f>
            <xm:f>$M$135</xm:f>
            <x14:dxf>
              <font>
                <b/>
                <i/>
                <color theme="0"/>
              </font>
              <fill>
                <patternFill>
                  <bgColor theme="1"/>
                </patternFill>
              </fill>
            </x14:dxf>
          </x14:cfRule>
          <x14:cfRule type="containsText" priority="624" operator="containsText" id="{01FBDC9E-5F22-4028-AAB9-9779A0292E2A}">
            <xm:f>NOT(ISERROR(SEARCH($M$134,A879)))</xm:f>
            <xm:f>$M$134</xm:f>
            <x14:dxf>
              <font>
                <b/>
                <i/>
                <color theme="0"/>
              </font>
              <fill>
                <patternFill>
                  <bgColor theme="1"/>
                </patternFill>
              </fill>
            </x14:dxf>
          </x14:cfRule>
          <x14:cfRule type="containsText" priority="625" operator="containsText" id="{7151F3B7-904B-4CC9-A97F-3C732E05C4DE}">
            <xm:f>NOT(ISERROR(SEARCH($M$133,A879)))</xm:f>
            <xm:f>$M$133</xm:f>
            <x14:dxf>
              <font>
                <b/>
                <i/>
                <color theme="0"/>
              </font>
              <fill>
                <patternFill>
                  <bgColor theme="1"/>
                </patternFill>
              </fill>
            </x14:dxf>
          </x14:cfRule>
          <x14:cfRule type="containsText" priority="626" operator="containsText" id="{4DB5591F-942A-43C6-9BC0-720D305C60D7}">
            <xm:f>NOT(ISERROR(SEARCH($M$132,A879)))</xm:f>
            <xm:f>$M$132</xm:f>
            <x14:dxf>
              <font>
                <b/>
                <i/>
                <color theme="0"/>
              </font>
              <fill>
                <patternFill>
                  <bgColor theme="1"/>
                </patternFill>
              </fill>
            </x14:dxf>
          </x14:cfRule>
          <x14:cfRule type="containsText" priority="627" operator="containsText" id="{79AA463A-F4B5-4219-B390-3F7015101DCE}">
            <xm:f>NOT(ISERROR(SEARCH($M$131,A879)))</xm:f>
            <xm:f>$M$131</xm:f>
            <x14:dxf>
              <font>
                <b/>
                <i/>
                <color theme="0"/>
              </font>
              <fill>
                <patternFill>
                  <bgColor theme="1"/>
                </patternFill>
              </fill>
            </x14:dxf>
          </x14:cfRule>
          <x14:cfRule type="containsText" priority="628" operator="containsText" id="{19CA6744-0C9D-44BE-B79B-5AC1EB371942}">
            <xm:f>NOT(ISERROR(SEARCH($M$130,A879)))</xm:f>
            <xm:f>$M$130</xm:f>
            <x14:dxf>
              <font>
                <b/>
                <i/>
                <color theme="0"/>
              </font>
              <fill>
                <patternFill>
                  <bgColor theme="1"/>
                </patternFill>
              </fill>
            </x14:dxf>
          </x14:cfRule>
          <x14:cfRule type="containsText" priority="629" operator="containsText" id="{8D3EC17F-3D9D-471A-9D42-69B4F86987AC}">
            <xm:f>NOT(ISERROR(SEARCH($M$129,A879)))</xm:f>
            <xm:f>$M$129</xm:f>
            <x14:dxf>
              <font>
                <b/>
                <i/>
                <color theme="0"/>
              </font>
              <fill>
                <patternFill>
                  <bgColor theme="1"/>
                </patternFill>
              </fill>
            </x14:dxf>
          </x14:cfRule>
          <x14:cfRule type="containsText" priority="630" operator="containsText" id="{2691164E-20D5-4526-AB62-B921F82C16DA}">
            <xm:f>NOT(ISERROR(SEARCH($M$128,A879)))</xm:f>
            <xm:f>$M$128</xm:f>
            <x14:dxf>
              <font>
                <b/>
                <i/>
                <color theme="0"/>
              </font>
              <fill>
                <patternFill>
                  <bgColor theme="1"/>
                </patternFill>
              </fill>
            </x14:dxf>
          </x14:cfRule>
          <x14:cfRule type="containsText" priority="631" operator="containsText" id="{19E15CA9-20CC-432B-AADE-F4312AD27F88}">
            <xm:f>NOT(ISERROR(SEARCH($M$127,A879)))</xm:f>
            <xm:f>$M$127</xm:f>
            <x14:dxf>
              <font>
                <b/>
                <i/>
                <color theme="0"/>
              </font>
              <fill>
                <patternFill>
                  <bgColor theme="1"/>
                </patternFill>
              </fill>
            </x14:dxf>
          </x14:cfRule>
          <x14:cfRule type="containsText" priority="632" operator="containsText" id="{C5025778-BC34-497E-9D30-1B933A8A3BB6}">
            <xm:f>NOT(ISERROR(SEARCH($M$126,A879)))</xm:f>
            <xm:f>$M$126</xm:f>
            <x14:dxf>
              <font>
                <b/>
                <i/>
                <color theme="0"/>
              </font>
              <fill>
                <patternFill>
                  <bgColor theme="1"/>
                </patternFill>
              </fill>
            </x14:dxf>
          </x14:cfRule>
          <x14:cfRule type="containsText" priority="633" operator="containsText" id="{041039DD-1902-42A5-BAC1-38703D87FEB6}">
            <xm:f>NOT(ISERROR(SEARCH($M$125,A879)))</xm:f>
            <xm:f>$M$125</xm:f>
            <x14:dxf>
              <font>
                <b/>
                <i/>
                <color theme="0"/>
              </font>
              <fill>
                <patternFill>
                  <bgColor theme="1"/>
                </patternFill>
              </fill>
            </x14:dxf>
          </x14:cfRule>
          <x14:cfRule type="containsText" priority="634" operator="containsText" id="{55B8D71C-6015-4615-A8F0-2151372A4E54}">
            <xm:f>NOT(ISERROR(SEARCH($M$124,A879)))</xm:f>
            <xm:f>$M$124</xm:f>
            <x14:dxf>
              <font>
                <b/>
                <i/>
                <color theme="0"/>
              </font>
              <fill>
                <patternFill>
                  <bgColor theme="1"/>
                </patternFill>
              </fill>
            </x14:dxf>
          </x14:cfRule>
          <x14:cfRule type="containsText" priority="635" operator="containsText" id="{BBB79B50-2288-48B4-8A31-85AFD8F224DC}">
            <xm:f>NOT(ISERROR(SEARCH($M$123,A879)))</xm:f>
            <xm:f>$M$123</xm:f>
            <x14:dxf>
              <font>
                <b/>
                <i/>
                <color theme="0"/>
              </font>
              <fill>
                <patternFill>
                  <bgColor theme="1"/>
                </patternFill>
              </fill>
            </x14:dxf>
          </x14:cfRule>
          <x14:cfRule type="containsText" priority="636" operator="containsText" id="{B43E2DDA-4611-49B4-8A7E-E6E696428CCA}">
            <xm:f>NOT(ISERROR(SEARCH($M$122,A879)))</xm:f>
            <xm:f>$M$122</xm:f>
            <x14:dxf>
              <font>
                <b/>
                <i/>
                <color theme="0"/>
              </font>
              <fill>
                <patternFill>
                  <bgColor theme="1"/>
                </patternFill>
              </fill>
            </x14:dxf>
          </x14:cfRule>
          <x14:cfRule type="containsText" priority="637" operator="containsText" id="{512461AA-234D-4C43-BF44-FF3E7FB5B927}">
            <xm:f>NOT(ISERROR(SEARCH($M$121,A879)))</xm:f>
            <xm:f>$M$121</xm:f>
            <x14:dxf>
              <font>
                <b/>
                <i/>
                <color theme="0"/>
              </font>
              <fill>
                <patternFill>
                  <bgColor theme="1"/>
                </patternFill>
              </fill>
            </x14:dxf>
          </x14:cfRule>
          <x14:cfRule type="containsText" priority="638" operator="containsText" id="{094A3321-704C-44D7-9C08-106E2ACDA067}">
            <xm:f>NOT(ISERROR(SEARCH($M$120,A879)))</xm:f>
            <xm:f>$M$120</xm:f>
            <x14:dxf>
              <font>
                <b/>
                <i/>
                <color theme="0"/>
              </font>
              <fill>
                <patternFill>
                  <bgColor theme="1"/>
                </patternFill>
              </fill>
            </x14:dxf>
          </x14:cfRule>
          <x14:cfRule type="containsText" priority="639" operator="containsText" id="{DFDA4E1C-9677-4659-942D-01372873BD27}">
            <xm:f>NOT(ISERROR(SEARCH($M$119,A879)))</xm:f>
            <xm:f>$M$119</xm:f>
            <x14:dxf>
              <font>
                <b/>
                <i/>
                <color theme="0"/>
              </font>
              <fill>
                <patternFill>
                  <bgColor theme="1"/>
                </patternFill>
              </fill>
            </x14:dxf>
          </x14:cfRule>
          <x14:cfRule type="containsText" priority="640" operator="containsText" id="{E5FC124F-18FB-47E3-9FD0-B194209EF6A9}">
            <xm:f>NOT(ISERROR(SEARCH($M$118,A879)))</xm:f>
            <xm:f>$M$118</xm:f>
            <x14:dxf>
              <font>
                <b/>
                <i/>
                <color theme="0"/>
              </font>
              <fill>
                <patternFill>
                  <bgColor theme="1"/>
                </patternFill>
              </fill>
            </x14:dxf>
          </x14:cfRule>
          <x14:cfRule type="containsText" priority="641" operator="containsText" id="{DA6FB0CE-200D-4658-8B23-ADD295B3D9FA}">
            <xm:f>NOT(ISERROR(SEARCH($M$117,A879)))</xm:f>
            <xm:f>$M$117</xm:f>
            <x14:dxf>
              <font>
                <b/>
                <i/>
                <color theme="0"/>
              </font>
              <fill>
                <patternFill>
                  <bgColor theme="1"/>
                </patternFill>
              </fill>
            </x14:dxf>
          </x14:cfRule>
          <x14:cfRule type="containsText" priority="642" operator="containsText" id="{92B13909-065D-432F-8ACF-0B74F7206EA0}">
            <xm:f>NOT(ISERROR(SEARCH($M$116,A879)))</xm:f>
            <xm:f>$M$116</xm:f>
            <x14:dxf>
              <font>
                <b/>
                <i/>
                <color theme="0"/>
              </font>
              <fill>
                <patternFill>
                  <bgColor theme="1"/>
                </patternFill>
              </fill>
            </x14:dxf>
          </x14:cfRule>
          <x14:cfRule type="containsText" priority="643" operator="containsText" id="{7F6E09D1-2D81-41CD-BF83-DA1B81D71B58}">
            <xm:f>NOT(ISERROR(SEARCH($M$115,A879)))</xm:f>
            <xm:f>$M$115</xm:f>
            <x14:dxf>
              <font>
                <b/>
                <i/>
                <color theme="0"/>
              </font>
              <fill>
                <patternFill>
                  <bgColor theme="1"/>
                </patternFill>
              </fill>
            </x14:dxf>
          </x14:cfRule>
          <x14:cfRule type="containsText" priority="644" operator="containsText" id="{8E876E36-B84D-4C41-8961-ADC6E5B39A14}">
            <xm:f>NOT(ISERROR(SEARCH($M$114,A879)))</xm:f>
            <xm:f>$M$114</xm:f>
            <x14:dxf>
              <font>
                <b/>
                <i/>
                <color theme="0"/>
              </font>
              <fill>
                <patternFill>
                  <bgColor theme="1"/>
                </patternFill>
              </fill>
            </x14:dxf>
          </x14:cfRule>
          <x14:cfRule type="containsText" priority="645" operator="containsText" id="{7E1EB642-6CFB-4E42-8991-DF557F87C17F}">
            <xm:f>NOT(ISERROR(SEARCH($M$113,A879)))</xm:f>
            <xm:f>$M$113</xm:f>
            <x14:dxf>
              <font>
                <b/>
                <i/>
                <color theme="0"/>
              </font>
              <fill>
                <patternFill>
                  <bgColor theme="1"/>
                </patternFill>
              </fill>
            </x14:dxf>
          </x14:cfRule>
          <x14:cfRule type="containsText" priority="646" operator="containsText" id="{4F6F98EB-BDAE-4535-982D-E3F131AE073C}">
            <xm:f>NOT(ISERROR(SEARCH($M$112,A879)))</xm:f>
            <xm:f>$M$112</xm:f>
            <x14:dxf>
              <font>
                <b/>
                <i/>
                <color theme="0"/>
              </font>
              <fill>
                <patternFill>
                  <bgColor theme="1"/>
                </patternFill>
              </fill>
            </x14:dxf>
          </x14:cfRule>
          <x14:cfRule type="containsText" priority="647" operator="containsText" id="{4BC05020-D36D-4761-BF94-0AB52AE88292}">
            <xm:f>NOT(ISERROR(SEARCH($M$111,A879)))</xm:f>
            <xm:f>$M$111</xm:f>
            <x14:dxf>
              <font>
                <b/>
                <i/>
                <color theme="0"/>
              </font>
              <fill>
                <patternFill>
                  <bgColor theme="1"/>
                </patternFill>
              </fill>
            </x14:dxf>
          </x14:cfRule>
          <x14:cfRule type="containsText" priority="648" operator="containsText" id="{D5FE6B3A-ADFD-42F5-AEF2-2B6E42C5541F}">
            <xm:f>NOT(ISERROR(SEARCH($M$110,A879)))</xm:f>
            <xm:f>$M$110</xm:f>
            <x14:dxf>
              <font>
                <b/>
                <i/>
                <color theme="0"/>
              </font>
              <fill>
                <patternFill>
                  <bgColor theme="1"/>
                </patternFill>
              </fill>
            </x14:dxf>
          </x14:cfRule>
          <xm:sqref>A879:A890</xm:sqref>
        </x14:conditionalFormatting>
        <x14:conditionalFormatting xmlns:xm="http://schemas.microsoft.com/office/excel/2006/main">
          <x14:cfRule type="containsText" priority="620" operator="containsText" id="{F7D87A3A-D86C-4DA3-A4E8-3D93BC77AFAA}">
            <xm:f>NOT(ISERROR(SEARCH($M$107,A928)))</xm:f>
            <xm:f>$M$107</xm:f>
            <x14:dxf>
              <font>
                <b/>
                <i/>
                <color theme="0"/>
              </font>
              <fill>
                <patternFill>
                  <bgColor theme="1"/>
                </patternFill>
              </fill>
            </x14:dxf>
          </x14:cfRule>
          <xm:sqref>A928:A939</xm:sqref>
        </x14:conditionalFormatting>
        <x14:conditionalFormatting xmlns:xm="http://schemas.microsoft.com/office/excel/2006/main">
          <x14:cfRule type="containsText" priority="618" operator="containsText" id="{5535A382-B0CD-4306-A0C8-8B5A5188C16B}">
            <xm:f>NOT(ISERROR(SEARCH($M$109,A928)))</xm:f>
            <xm:f>$M$109</xm:f>
            <x14:dxf>
              <font>
                <b/>
                <i/>
                <color theme="0"/>
              </font>
              <fill>
                <patternFill>
                  <bgColor theme="1"/>
                </patternFill>
              </fill>
            </x14:dxf>
          </x14:cfRule>
          <x14:cfRule type="containsText" priority="619" operator="containsText" id="{1C0EEB0B-D126-4311-8A57-9D15E695D196}">
            <xm:f>NOT(ISERROR(SEARCH($M$108,A928)))</xm:f>
            <xm:f>$M$108</xm:f>
            <x14:dxf>
              <font>
                <color theme="0"/>
              </font>
              <fill>
                <patternFill>
                  <bgColor theme="1"/>
                </patternFill>
              </fill>
            </x14:dxf>
          </x14:cfRule>
          <xm:sqref>A928:A939</xm:sqref>
        </x14:conditionalFormatting>
        <x14:conditionalFormatting xmlns:xm="http://schemas.microsoft.com/office/excel/2006/main">
          <x14:cfRule type="containsText" priority="591" operator="containsText" id="{B209433C-46AE-4E69-9737-3AEF6D32A9F3}">
            <xm:f>NOT(ISERROR(SEARCH($M$136,A928)))</xm:f>
            <xm:f>$M$136</xm:f>
            <x14:dxf>
              <font>
                <b/>
                <i/>
                <color theme="0"/>
              </font>
              <fill>
                <patternFill>
                  <bgColor theme="1"/>
                </patternFill>
              </fill>
            </x14:dxf>
          </x14:cfRule>
          <x14:cfRule type="containsText" priority="592" operator="containsText" id="{2EF980E9-72E1-4203-81A3-91FC626C3BCC}">
            <xm:f>NOT(ISERROR(SEARCH($M$135,A928)))</xm:f>
            <xm:f>$M$135</xm:f>
            <x14:dxf>
              <font>
                <b/>
                <i/>
                <color theme="0"/>
              </font>
              <fill>
                <patternFill>
                  <bgColor theme="1"/>
                </patternFill>
              </fill>
            </x14:dxf>
          </x14:cfRule>
          <x14:cfRule type="containsText" priority="593" operator="containsText" id="{DF9013D2-0072-4FE8-920F-257B2F4A1C39}">
            <xm:f>NOT(ISERROR(SEARCH($M$134,A928)))</xm:f>
            <xm:f>$M$134</xm:f>
            <x14:dxf>
              <font>
                <b/>
                <i/>
                <color theme="0"/>
              </font>
              <fill>
                <patternFill>
                  <bgColor theme="1"/>
                </patternFill>
              </fill>
            </x14:dxf>
          </x14:cfRule>
          <x14:cfRule type="containsText" priority="594" operator="containsText" id="{5E3138D4-DAFB-4F44-A323-282AA5D22F5B}">
            <xm:f>NOT(ISERROR(SEARCH($M$133,A928)))</xm:f>
            <xm:f>$M$133</xm:f>
            <x14:dxf>
              <font>
                <b/>
                <i/>
                <color theme="0"/>
              </font>
              <fill>
                <patternFill>
                  <bgColor theme="1"/>
                </patternFill>
              </fill>
            </x14:dxf>
          </x14:cfRule>
          <x14:cfRule type="containsText" priority="595" operator="containsText" id="{1922A326-F1A3-4A5D-A293-E8BB35AB3C72}">
            <xm:f>NOT(ISERROR(SEARCH($M$132,A928)))</xm:f>
            <xm:f>$M$132</xm:f>
            <x14:dxf>
              <font>
                <b/>
                <i/>
                <color theme="0"/>
              </font>
              <fill>
                <patternFill>
                  <bgColor theme="1"/>
                </patternFill>
              </fill>
            </x14:dxf>
          </x14:cfRule>
          <x14:cfRule type="containsText" priority="596" operator="containsText" id="{E821593B-12E7-4A8D-881E-33C71495A977}">
            <xm:f>NOT(ISERROR(SEARCH($M$131,A928)))</xm:f>
            <xm:f>$M$131</xm:f>
            <x14:dxf>
              <font>
                <b/>
                <i/>
                <color theme="0"/>
              </font>
              <fill>
                <patternFill>
                  <bgColor theme="1"/>
                </patternFill>
              </fill>
            </x14:dxf>
          </x14:cfRule>
          <x14:cfRule type="containsText" priority="597" operator="containsText" id="{0000FE28-F3A0-472B-AC1B-3727942A2E24}">
            <xm:f>NOT(ISERROR(SEARCH($M$130,A928)))</xm:f>
            <xm:f>$M$130</xm:f>
            <x14:dxf>
              <font>
                <b/>
                <i/>
                <color theme="0"/>
              </font>
              <fill>
                <patternFill>
                  <bgColor theme="1"/>
                </patternFill>
              </fill>
            </x14:dxf>
          </x14:cfRule>
          <x14:cfRule type="containsText" priority="598" operator="containsText" id="{24FE6136-7FF7-4EFF-B779-E21563F5DF1A}">
            <xm:f>NOT(ISERROR(SEARCH($M$129,A928)))</xm:f>
            <xm:f>$M$129</xm:f>
            <x14:dxf>
              <font>
                <b/>
                <i/>
                <color theme="0"/>
              </font>
              <fill>
                <patternFill>
                  <bgColor theme="1"/>
                </patternFill>
              </fill>
            </x14:dxf>
          </x14:cfRule>
          <x14:cfRule type="containsText" priority="599" operator="containsText" id="{FCAAFB9D-8A94-41E3-82B5-94AD92B0730A}">
            <xm:f>NOT(ISERROR(SEARCH($M$128,A928)))</xm:f>
            <xm:f>$M$128</xm:f>
            <x14:dxf>
              <font>
                <b/>
                <i/>
                <color theme="0"/>
              </font>
              <fill>
                <patternFill>
                  <bgColor theme="1"/>
                </patternFill>
              </fill>
            </x14:dxf>
          </x14:cfRule>
          <x14:cfRule type="containsText" priority="600" operator="containsText" id="{B2F7D33F-2CBE-449A-94F1-D05EEDAFCEE3}">
            <xm:f>NOT(ISERROR(SEARCH($M$127,A928)))</xm:f>
            <xm:f>$M$127</xm:f>
            <x14:dxf>
              <font>
                <b/>
                <i/>
                <color theme="0"/>
              </font>
              <fill>
                <patternFill>
                  <bgColor theme="1"/>
                </patternFill>
              </fill>
            </x14:dxf>
          </x14:cfRule>
          <x14:cfRule type="containsText" priority="601" operator="containsText" id="{897FC02C-64A1-4A93-9D2A-FEDA7887FA57}">
            <xm:f>NOT(ISERROR(SEARCH($M$126,A928)))</xm:f>
            <xm:f>$M$126</xm:f>
            <x14:dxf>
              <font>
                <b/>
                <i/>
                <color theme="0"/>
              </font>
              <fill>
                <patternFill>
                  <bgColor theme="1"/>
                </patternFill>
              </fill>
            </x14:dxf>
          </x14:cfRule>
          <x14:cfRule type="containsText" priority="602" operator="containsText" id="{7ECF1D57-E0A0-41A5-B826-4B7322B60463}">
            <xm:f>NOT(ISERROR(SEARCH($M$125,A928)))</xm:f>
            <xm:f>$M$125</xm:f>
            <x14:dxf>
              <font>
                <b/>
                <i/>
                <color theme="0"/>
              </font>
              <fill>
                <patternFill>
                  <bgColor theme="1"/>
                </patternFill>
              </fill>
            </x14:dxf>
          </x14:cfRule>
          <x14:cfRule type="containsText" priority="603" operator="containsText" id="{9AE8A050-48B3-4329-82C6-50E97DF48184}">
            <xm:f>NOT(ISERROR(SEARCH($M$124,A928)))</xm:f>
            <xm:f>$M$124</xm:f>
            <x14:dxf>
              <font>
                <b/>
                <i/>
                <color theme="0"/>
              </font>
              <fill>
                <patternFill>
                  <bgColor theme="1"/>
                </patternFill>
              </fill>
            </x14:dxf>
          </x14:cfRule>
          <x14:cfRule type="containsText" priority="604" operator="containsText" id="{2D2EE171-BCA1-4A19-9D12-D61A6DE638F1}">
            <xm:f>NOT(ISERROR(SEARCH($M$123,A928)))</xm:f>
            <xm:f>$M$123</xm:f>
            <x14:dxf>
              <font>
                <b/>
                <i/>
                <color theme="0"/>
              </font>
              <fill>
                <patternFill>
                  <bgColor theme="1"/>
                </patternFill>
              </fill>
            </x14:dxf>
          </x14:cfRule>
          <x14:cfRule type="containsText" priority="605" operator="containsText" id="{7DFC6520-AA74-40E1-8DE4-BBE5F85EEF76}">
            <xm:f>NOT(ISERROR(SEARCH($M$122,A928)))</xm:f>
            <xm:f>$M$122</xm:f>
            <x14:dxf>
              <font>
                <b/>
                <i/>
                <color theme="0"/>
              </font>
              <fill>
                <patternFill>
                  <bgColor theme="1"/>
                </patternFill>
              </fill>
            </x14:dxf>
          </x14:cfRule>
          <x14:cfRule type="containsText" priority="606" operator="containsText" id="{6F5EA470-154E-465F-8545-3E8FEAAE84D8}">
            <xm:f>NOT(ISERROR(SEARCH($M$121,A928)))</xm:f>
            <xm:f>$M$121</xm:f>
            <x14:dxf>
              <font>
                <b/>
                <i/>
                <color theme="0"/>
              </font>
              <fill>
                <patternFill>
                  <bgColor theme="1"/>
                </patternFill>
              </fill>
            </x14:dxf>
          </x14:cfRule>
          <x14:cfRule type="containsText" priority="607" operator="containsText" id="{11FC6882-9096-4115-8669-71B956031EBB}">
            <xm:f>NOT(ISERROR(SEARCH($M$120,A928)))</xm:f>
            <xm:f>$M$120</xm:f>
            <x14:dxf>
              <font>
                <b/>
                <i/>
                <color theme="0"/>
              </font>
              <fill>
                <patternFill>
                  <bgColor theme="1"/>
                </patternFill>
              </fill>
            </x14:dxf>
          </x14:cfRule>
          <x14:cfRule type="containsText" priority="608" operator="containsText" id="{F1A4D6D1-34BE-4821-B141-5C8C0F9AAEE0}">
            <xm:f>NOT(ISERROR(SEARCH($M$119,A928)))</xm:f>
            <xm:f>$M$119</xm:f>
            <x14:dxf>
              <font>
                <b/>
                <i/>
                <color theme="0"/>
              </font>
              <fill>
                <patternFill>
                  <bgColor theme="1"/>
                </patternFill>
              </fill>
            </x14:dxf>
          </x14:cfRule>
          <x14:cfRule type="containsText" priority="609" operator="containsText" id="{CFD7940F-D939-4117-9A78-CD356249B391}">
            <xm:f>NOT(ISERROR(SEARCH($M$118,A928)))</xm:f>
            <xm:f>$M$118</xm:f>
            <x14:dxf>
              <font>
                <b/>
                <i/>
                <color theme="0"/>
              </font>
              <fill>
                <patternFill>
                  <bgColor theme="1"/>
                </patternFill>
              </fill>
            </x14:dxf>
          </x14:cfRule>
          <x14:cfRule type="containsText" priority="610" operator="containsText" id="{1DC73AB9-16EC-42DA-BDAF-849A26610C8D}">
            <xm:f>NOT(ISERROR(SEARCH($M$117,A928)))</xm:f>
            <xm:f>$M$117</xm:f>
            <x14:dxf>
              <font>
                <b/>
                <i/>
                <color theme="0"/>
              </font>
              <fill>
                <patternFill>
                  <bgColor theme="1"/>
                </patternFill>
              </fill>
            </x14:dxf>
          </x14:cfRule>
          <x14:cfRule type="containsText" priority="611" operator="containsText" id="{65D68CE9-E49F-4566-A5F9-2813632BAE44}">
            <xm:f>NOT(ISERROR(SEARCH($M$116,A928)))</xm:f>
            <xm:f>$M$116</xm:f>
            <x14:dxf>
              <font>
                <b/>
                <i/>
                <color theme="0"/>
              </font>
              <fill>
                <patternFill>
                  <bgColor theme="1"/>
                </patternFill>
              </fill>
            </x14:dxf>
          </x14:cfRule>
          <x14:cfRule type="containsText" priority="612" operator="containsText" id="{059D76E3-D68C-40EE-8892-8B8729DD1315}">
            <xm:f>NOT(ISERROR(SEARCH($M$115,A928)))</xm:f>
            <xm:f>$M$115</xm:f>
            <x14:dxf>
              <font>
                <b/>
                <i/>
                <color theme="0"/>
              </font>
              <fill>
                <patternFill>
                  <bgColor theme="1"/>
                </patternFill>
              </fill>
            </x14:dxf>
          </x14:cfRule>
          <x14:cfRule type="containsText" priority="613" operator="containsText" id="{6ADFE35A-8A4C-4025-9409-0C28CC310F04}">
            <xm:f>NOT(ISERROR(SEARCH($M$114,A928)))</xm:f>
            <xm:f>$M$114</xm:f>
            <x14:dxf>
              <font>
                <b/>
                <i/>
                <color theme="0"/>
              </font>
              <fill>
                <patternFill>
                  <bgColor theme="1"/>
                </patternFill>
              </fill>
            </x14:dxf>
          </x14:cfRule>
          <x14:cfRule type="containsText" priority="614" operator="containsText" id="{EE60237B-E968-4AFD-984B-0BBCE7CE87B6}">
            <xm:f>NOT(ISERROR(SEARCH($M$113,A928)))</xm:f>
            <xm:f>$M$113</xm:f>
            <x14:dxf>
              <font>
                <b/>
                <i/>
                <color theme="0"/>
              </font>
              <fill>
                <patternFill>
                  <bgColor theme="1"/>
                </patternFill>
              </fill>
            </x14:dxf>
          </x14:cfRule>
          <x14:cfRule type="containsText" priority="615" operator="containsText" id="{7FDD0A52-3988-4007-AAD7-325C4657FCAE}">
            <xm:f>NOT(ISERROR(SEARCH($M$112,A928)))</xm:f>
            <xm:f>$M$112</xm:f>
            <x14:dxf>
              <font>
                <b/>
                <i/>
                <color theme="0"/>
              </font>
              <fill>
                <patternFill>
                  <bgColor theme="1"/>
                </patternFill>
              </fill>
            </x14:dxf>
          </x14:cfRule>
          <x14:cfRule type="containsText" priority="616" operator="containsText" id="{C1C391C0-CDE9-4A3A-80CE-6CFFC030D147}">
            <xm:f>NOT(ISERROR(SEARCH($M$111,A928)))</xm:f>
            <xm:f>$M$111</xm:f>
            <x14:dxf>
              <font>
                <b/>
                <i/>
                <color theme="0"/>
              </font>
              <fill>
                <patternFill>
                  <bgColor theme="1"/>
                </patternFill>
              </fill>
            </x14:dxf>
          </x14:cfRule>
          <x14:cfRule type="containsText" priority="617" operator="containsText" id="{12B05C04-F9C7-4581-B83F-A683E52A6DB4}">
            <xm:f>NOT(ISERROR(SEARCH($M$110,A928)))</xm:f>
            <xm:f>$M$110</xm:f>
            <x14:dxf>
              <font>
                <b/>
                <i/>
                <color theme="0"/>
              </font>
              <fill>
                <patternFill>
                  <bgColor theme="1"/>
                </patternFill>
              </fill>
            </x14:dxf>
          </x14:cfRule>
          <xm:sqref>A928:A939</xm:sqref>
        </x14:conditionalFormatting>
        <x14:conditionalFormatting xmlns:xm="http://schemas.microsoft.com/office/excel/2006/main">
          <x14:cfRule type="containsText" priority="589" operator="containsText" id="{C3D54B6C-BF99-4F4C-AFA4-5B8F1FC6D07B}">
            <xm:f>NOT(ISERROR(SEARCH($M$107,A941)))</xm:f>
            <xm:f>$M$107</xm:f>
            <x14:dxf>
              <font>
                <b/>
                <i/>
                <color theme="0"/>
              </font>
              <fill>
                <patternFill>
                  <bgColor theme="1"/>
                </patternFill>
              </fill>
            </x14:dxf>
          </x14:cfRule>
          <xm:sqref>A941:A952</xm:sqref>
        </x14:conditionalFormatting>
        <x14:conditionalFormatting xmlns:xm="http://schemas.microsoft.com/office/excel/2006/main">
          <x14:cfRule type="containsText" priority="587" operator="containsText" id="{FFBB5AF8-9C9A-418D-967E-9571BADB8BAE}">
            <xm:f>NOT(ISERROR(SEARCH($M$109,A941)))</xm:f>
            <xm:f>$M$109</xm:f>
            <x14:dxf>
              <font>
                <b/>
                <i/>
                <color theme="0"/>
              </font>
              <fill>
                <patternFill>
                  <bgColor theme="1"/>
                </patternFill>
              </fill>
            </x14:dxf>
          </x14:cfRule>
          <x14:cfRule type="containsText" priority="588" operator="containsText" id="{630CB2E0-A53E-4EFD-9BD1-49A473DDCF6A}">
            <xm:f>NOT(ISERROR(SEARCH($M$108,A941)))</xm:f>
            <xm:f>$M$108</xm:f>
            <x14:dxf>
              <font>
                <color theme="0"/>
              </font>
              <fill>
                <patternFill>
                  <bgColor theme="1"/>
                </patternFill>
              </fill>
            </x14:dxf>
          </x14:cfRule>
          <xm:sqref>A941:A952</xm:sqref>
        </x14:conditionalFormatting>
        <x14:conditionalFormatting xmlns:xm="http://schemas.microsoft.com/office/excel/2006/main">
          <x14:cfRule type="containsText" priority="560" operator="containsText" id="{D1540F49-5F5C-4FC5-89C3-40C93B5E90A6}">
            <xm:f>NOT(ISERROR(SEARCH($M$136,A941)))</xm:f>
            <xm:f>$M$136</xm:f>
            <x14:dxf>
              <font>
                <b/>
                <i/>
                <color theme="0"/>
              </font>
              <fill>
                <patternFill>
                  <bgColor theme="1"/>
                </patternFill>
              </fill>
            </x14:dxf>
          </x14:cfRule>
          <x14:cfRule type="containsText" priority="561" operator="containsText" id="{83F8407D-36C5-4802-83D7-6C71518B75CD}">
            <xm:f>NOT(ISERROR(SEARCH($M$135,A941)))</xm:f>
            <xm:f>$M$135</xm:f>
            <x14:dxf>
              <font>
                <b/>
                <i/>
                <color theme="0"/>
              </font>
              <fill>
                <patternFill>
                  <bgColor theme="1"/>
                </patternFill>
              </fill>
            </x14:dxf>
          </x14:cfRule>
          <x14:cfRule type="containsText" priority="562" operator="containsText" id="{57F3B1E5-EEA4-4A2A-A746-1D03D52F38FE}">
            <xm:f>NOT(ISERROR(SEARCH($M$134,A941)))</xm:f>
            <xm:f>$M$134</xm:f>
            <x14:dxf>
              <font>
                <b/>
                <i/>
                <color theme="0"/>
              </font>
              <fill>
                <patternFill>
                  <bgColor theme="1"/>
                </patternFill>
              </fill>
            </x14:dxf>
          </x14:cfRule>
          <x14:cfRule type="containsText" priority="563" operator="containsText" id="{92F835DC-6850-4D15-9452-62AF7D4199F1}">
            <xm:f>NOT(ISERROR(SEARCH($M$133,A941)))</xm:f>
            <xm:f>$M$133</xm:f>
            <x14:dxf>
              <font>
                <b/>
                <i/>
                <color theme="0"/>
              </font>
              <fill>
                <patternFill>
                  <bgColor theme="1"/>
                </patternFill>
              </fill>
            </x14:dxf>
          </x14:cfRule>
          <x14:cfRule type="containsText" priority="564" operator="containsText" id="{D76A976B-220C-48A9-8669-180BCF2DAD1C}">
            <xm:f>NOT(ISERROR(SEARCH($M$132,A941)))</xm:f>
            <xm:f>$M$132</xm:f>
            <x14:dxf>
              <font>
                <b/>
                <i/>
                <color theme="0"/>
              </font>
              <fill>
                <patternFill>
                  <bgColor theme="1"/>
                </patternFill>
              </fill>
            </x14:dxf>
          </x14:cfRule>
          <x14:cfRule type="containsText" priority="565" operator="containsText" id="{A4B92ABD-7791-471A-9A6D-2E041E08B109}">
            <xm:f>NOT(ISERROR(SEARCH($M$131,A941)))</xm:f>
            <xm:f>$M$131</xm:f>
            <x14:dxf>
              <font>
                <b/>
                <i/>
                <color theme="0"/>
              </font>
              <fill>
                <patternFill>
                  <bgColor theme="1"/>
                </patternFill>
              </fill>
            </x14:dxf>
          </x14:cfRule>
          <x14:cfRule type="containsText" priority="566" operator="containsText" id="{F9785218-82BF-4446-B6FA-3EA6DFA66F5B}">
            <xm:f>NOT(ISERROR(SEARCH($M$130,A941)))</xm:f>
            <xm:f>$M$130</xm:f>
            <x14:dxf>
              <font>
                <b/>
                <i/>
                <color theme="0"/>
              </font>
              <fill>
                <patternFill>
                  <bgColor theme="1"/>
                </patternFill>
              </fill>
            </x14:dxf>
          </x14:cfRule>
          <x14:cfRule type="containsText" priority="567" operator="containsText" id="{832B7403-EA49-481E-BB14-1BC03F6ACA14}">
            <xm:f>NOT(ISERROR(SEARCH($M$129,A941)))</xm:f>
            <xm:f>$M$129</xm:f>
            <x14:dxf>
              <font>
                <b/>
                <i/>
                <color theme="0"/>
              </font>
              <fill>
                <patternFill>
                  <bgColor theme="1"/>
                </patternFill>
              </fill>
            </x14:dxf>
          </x14:cfRule>
          <x14:cfRule type="containsText" priority="568" operator="containsText" id="{F3A135C7-22ED-468F-87CD-253DE0CD5A6D}">
            <xm:f>NOT(ISERROR(SEARCH($M$128,A941)))</xm:f>
            <xm:f>$M$128</xm:f>
            <x14:dxf>
              <font>
                <b/>
                <i/>
                <color theme="0"/>
              </font>
              <fill>
                <patternFill>
                  <bgColor theme="1"/>
                </patternFill>
              </fill>
            </x14:dxf>
          </x14:cfRule>
          <x14:cfRule type="containsText" priority="569" operator="containsText" id="{9FE1172C-10D0-443E-B8D3-EE30701204E6}">
            <xm:f>NOT(ISERROR(SEARCH($M$127,A941)))</xm:f>
            <xm:f>$M$127</xm:f>
            <x14:dxf>
              <font>
                <b/>
                <i/>
                <color theme="0"/>
              </font>
              <fill>
                <patternFill>
                  <bgColor theme="1"/>
                </patternFill>
              </fill>
            </x14:dxf>
          </x14:cfRule>
          <x14:cfRule type="containsText" priority="570" operator="containsText" id="{84B7F5E7-EB8E-43BD-AA54-2DF4A0347125}">
            <xm:f>NOT(ISERROR(SEARCH($M$126,A941)))</xm:f>
            <xm:f>$M$126</xm:f>
            <x14:dxf>
              <font>
                <b/>
                <i/>
                <color theme="0"/>
              </font>
              <fill>
                <patternFill>
                  <bgColor theme="1"/>
                </patternFill>
              </fill>
            </x14:dxf>
          </x14:cfRule>
          <x14:cfRule type="containsText" priority="571" operator="containsText" id="{4B62CCB7-4FA9-4A0F-B6BD-FE4815B223F4}">
            <xm:f>NOT(ISERROR(SEARCH($M$125,A941)))</xm:f>
            <xm:f>$M$125</xm:f>
            <x14:dxf>
              <font>
                <b/>
                <i/>
                <color theme="0"/>
              </font>
              <fill>
                <patternFill>
                  <bgColor theme="1"/>
                </patternFill>
              </fill>
            </x14:dxf>
          </x14:cfRule>
          <x14:cfRule type="containsText" priority="572" operator="containsText" id="{536A2845-B107-40E9-88E6-22C3486BD0AC}">
            <xm:f>NOT(ISERROR(SEARCH($M$124,A941)))</xm:f>
            <xm:f>$M$124</xm:f>
            <x14:dxf>
              <font>
                <b/>
                <i/>
                <color theme="0"/>
              </font>
              <fill>
                <patternFill>
                  <bgColor theme="1"/>
                </patternFill>
              </fill>
            </x14:dxf>
          </x14:cfRule>
          <x14:cfRule type="containsText" priority="573" operator="containsText" id="{E827D3F4-0255-4FE5-A443-84E3D5886B17}">
            <xm:f>NOT(ISERROR(SEARCH($M$123,A941)))</xm:f>
            <xm:f>$M$123</xm:f>
            <x14:dxf>
              <font>
                <b/>
                <i/>
                <color theme="0"/>
              </font>
              <fill>
                <patternFill>
                  <bgColor theme="1"/>
                </patternFill>
              </fill>
            </x14:dxf>
          </x14:cfRule>
          <x14:cfRule type="containsText" priority="574" operator="containsText" id="{76580671-8EA2-4BF2-97A0-7931D0281AB5}">
            <xm:f>NOT(ISERROR(SEARCH($M$122,A941)))</xm:f>
            <xm:f>$M$122</xm:f>
            <x14:dxf>
              <font>
                <b/>
                <i/>
                <color theme="0"/>
              </font>
              <fill>
                <patternFill>
                  <bgColor theme="1"/>
                </patternFill>
              </fill>
            </x14:dxf>
          </x14:cfRule>
          <x14:cfRule type="containsText" priority="575" operator="containsText" id="{93437283-5D20-4D7D-B3A5-DC8CA1BE6945}">
            <xm:f>NOT(ISERROR(SEARCH($M$121,A941)))</xm:f>
            <xm:f>$M$121</xm:f>
            <x14:dxf>
              <font>
                <b/>
                <i/>
                <color theme="0"/>
              </font>
              <fill>
                <patternFill>
                  <bgColor theme="1"/>
                </patternFill>
              </fill>
            </x14:dxf>
          </x14:cfRule>
          <x14:cfRule type="containsText" priority="576" operator="containsText" id="{2F385DFD-84A4-4881-A396-B690C977B581}">
            <xm:f>NOT(ISERROR(SEARCH($M$120,A941)))</xm:f>
            <xm:f>$M$120</xm:f>
            <x14:dxf>
              <font>
                <b/>
                <i/>
                <color theme="0"/>
              </font>
              <fill>
                <patternFill>
                  <bgColor theme="1"/>
                </patternFill>
              </fill>
            </x14:dxf>
          </x14:cfRule>
          <x14:cfRule type="containsText" priority="577" operator="containsText" id="{64D32C22-455B-4607-A786-F8CF433C353E}">
            <xm:f>NOT(ISERROR(SEARCH($M$119,A941)))</xm:f>
            <xm:f>$M$119</xm:f>
            <x14:dxf>
              <font>
                <b/>
                <i/>
                <color theme="0"/>
              </font>
              <fill>
                <patternFill>
                  <bgColor theme="1"/>
                </patternFill>
              </fill>
            </x14:dxf>
          </x14:cfRule>
          <x14:cfRule type="containsText" priority="578" operator="containsText" id="{919556E1-1E9F-4913-9FEF-722A945C2C67}">
            <xm:f>NOT(ISERROR(SEARCH($M$118,A941)))</xm:f>
            <xm:f>$M$118</xm:f>
            <x14:dxf>
              <font>
                <b/>
                <i/>
                <color theme="0"/>
              </font>
              <fill>
                <patternFill>
                  <bgColor theme="1"/>
                </patternFill>
              </fill>
            </x14:dxf>
          </x14:cfRule>
          <x14:cfRule type="containsText" priority="579" operator="containsText" id="{33574CB0-AB96-4A03-AE0C-683EABFF76C6}">
            <xm:f>NOT(ISERROR(SEARCH($M$117,A941)))</xm:f>
            <xm:f>$M$117</xm:f>
            <x14:dxf>
              <font>
                <b/>
                <i/>
                <color theme="0"/>
              </font>
              <fill>
                <patternFill>
                  <bgColor theme="1"/>
                </patternFill>
              </fill>
            </x14:dxf>
          </x14:cfRule>
          <x14:cfRule type="containsText" priority="580" operator="containsText" id="{3C42F80F-6B10-487C-B860-A7EB938716DE}">
            <xm:f>NOT(ISERROR(SEARCH($M$116,A941)))</xm:f>
            <xm:f>$M$116</xm:f>
            <x14:dxf>
              <font>
                <b/>
                <i/>
                <color theme="0"/>
              </font>
              <fill>
                <patternFill>
                  <bgColor theme="1"/>
                </patternFill>
              </fill>
            </x14:dxf>
          </x14:cfRule>
          <x14:cfRule type="containsText" priority="581" operator="containsText" id="{80F0034D-D5CD-4D27-8326-38631CBD69DA}">
            <xm:f>NOT(ISERROR(SEARCH($M$115,A941)))</xm:f>
            <xm:f>$M$115</xm:f>
            <x14:dxf>
              <font>
                <b/>
                <i/>
                <color theme="0"/>
              </font>
              <fill>
                <patternFill>
                  <bgColor theme="1"/>
                </patternFill>
              </fill>
            </x14:dxf>
          </x14:cfRule>
          <x14:cfRule type="containsText" priority="582" operator="containsText" id="{E025E9AF-410B-4215-8DD5-E5687538C13E}">
            <xm:f>NOT(ISERROR(SEARCH($M$114,A941)))</xm:f>
            <xm:f>$M$114</xm:f>
            <x14:dxf>
              <font>
                <b/>
                <i/>
                <color theme="0"/>
              </font>
              <fill>
                <patternFill>
                  <bgColor theme="1"/>
                </patternFill>
              </fill>
            </x14:dxf>
          </x14:cfRule>
          <x14:cfRule type="containsText" priority="583" operator="containsText" id="{A1E1263E-C301-4476-991C-85FE2324283E}">
            <xm:f>NOT(ISERROR(SEARCH($M$113,A941)))</xm:f>
            <xm:f>$M$113</xm:f>
            <x14:dxf>
              <font>
                <b/>
                <i/>
                <color theme="0"/>
              </font>
              <fill>
                <patternFill>
                  <bgColor theme="1"/>
                </patternFill>
              </fill>
            </x14:dxf>
          </x14:cfRule>
          <x14:cfRule type="containsText" priority="584" operator="containsText" id="{165229BB-2250-48E8-B5D5-A277F73436CE}">
            <xm:f>NOT(ISERROR(SEARCH($M$112,A941)))</xm:f>
            <xm:f>$M$112</xm:f>
            <x14:dxf>
              <font>
                <b/>
                <i/>
                <color theme="0"/>
              </font>
              <fill>
                <patternFill>
                  <bgColor theme="1"/>
                </patternFill>
              </fill>
            </x14:dxf>
          </x14:cfRule>
          <x14:cfRule type="containsText" priority="585" operator="containsText" id="{94121781-27FB-4169-8D91-6A3B929B13C2}">
            <xm:f>NOT(ISERROR(SEARCH($M$111,A941)))</xm:f>
            <xm:f>$M$111</xm:f>
            <x14:dxf>
              <font>
                <b/>
                <i/>
                <color theme="0"/>
              </font>
              <fill>
                <patternFill>
                  <bgColor theme="1"/>
                </patternFill>
              </fill>
            </x14:dxf>
          </x14:cfRule>
          <x14:cfRule type="containsText" priority="586" operator="containsText" id="{343F0DAE-55E9-4BD4-8AAB-FF90AEA21A4B}">
            <xm:f>NOT(ISERROR(SEARCH($M$110,A941)))</xm:f>
            <xm:f>$M$110</xm:f>
            <x14:dxf>
              <font>
                <b/>
                <i/>
                <color theme="0"/>
              </font>
              <fill>
                <patternFill>
                  <bgColor theme="1"/>
                </patternFill>
              </fill>
            </x14:dxf>
          </x14:cfRule>
          <xm:sqref>A941:A952</xm:sqref>
        </x14:conditionalFormatting>
        <x14:conditionalFormatting xmlns:xm="http://schemas.microsoft.com/office/excel/2006/main">
          <x14:cfRule type="containsText" priority="558" operator="containsText" id="{B755CC2C-7E43-4310-9D2F-AAA7E202E2AF}">
            <xm:f>NOT(ISERROR(SEARCH($M$107,A631)))</xm:f>
            <xm:f>$M$107</xm:f>
            <x14:dxf>
              <font>
                <b/>
                <i/>
                <color theme="0"/>
              </font>
              <fill>
                <patternFill>
                  <bgColor theme="1"/>
                </patternFill>
              </fill>
            </x14:dxf>
          </x14:cfRule>
          <xm:sqref>A631:A642</xm:sqref>
        </x14:conditionalFormatting>
        <x14:conditionalFormatting xmlns:xm="http://schemas.microsoft.com/office/excel/2006/main">
          <x14:cfRule type="containsText" priority="556" operator="containsText" id="{FFBF948E-DAE7-466B-BA17-E36F001E3F7B}">
            <xm:f>NOT(ISERROR(SEARCH($M$109,A631)))</xm:f>
            <xm:f>$M$109</xm:f>
            <x14:dxf>
              <font>
                <b/>
                <i/>
                <color theme="0"/>
              </font>
              <fill>
                <patternFill>
                  <bgColor theme="1"/>
                </patternFill>
              </fill>
            </x14:dxf>
          </x14:cfRule>
          <x14:cfRule type="containsText" priority="557" operator="containsText" id="{846E0B55-6E3C-452E-9EB8-BAE947CB28B2}">
            <xm:f>NOT(ISERROR(SEARCH($M$108,A631)))</xm:f>
            <xm:f>$M$108</xm:f>
            <x14:dxf>
              <font>
                <color theme="0"/>
              </font>
              <fill>
                <patternFill>
                  <bgColor theme="1"/>
                </patternFill>
              </fill>
            </x14:dxf>
          </x14:cfRule>
          <xm:sqref>A631:A642</xm:sqref>
        </x14:conditionalFormatting>
        <x14:conditionalFormatting xmlns:xm="http://schemas.microsoft.com/office/excel/2006/main">
          <x14:cfRule type="containsText" priority="529" operator="containsText" id="{4F8EA3DF-50B9-4694-BBB3-DE459F411C52}">
            <xm:f>NOT(ISERROR(SEARCH($M$136,A631)))</xm:f>
            <xm:f>$M$136</xm:f>
            <x14:dxf>
              <font>
                <b/>
                <i/>
                <color theme="0"/>
              </font>
              <fill>
                <patternFill>
                  <bgColor theme="1"/>
                </patternFill>
              </fill>
            </x14:dxf>
          </x14:cfRule>
          <x14:cfRule type="containsText" priority="530" operator="containsText" id="{79C4FD9E-0633-4262-AE84-6FE307C8377A}">
            <xm:f>NOT(ISERROR(SEARCH($M$135,A631)))</xm:f>
            <xm:f>$M$135</xm:f>
            <x14:dxf>
              <font>
                <b/>
                <i/>
                <color theme="0"/>
              </font>
              <fill>
                <patternFill>
                  <bgColor theme="1"/>
                </patternFill>
              </fill>
            </x14:dxf>
          </x14:cfRule>
          <x14:cfRule type="containsText" priority="531" operator="containsText" id="{BFD275EB-D247-4333-9D52-1FAAEB64198F}">
            <xm:f>NOT(ISERROR(SEARCH($M$134,A631)))</xm:f>
            <xm:f>$M$134</xm:f>
            <x14:dxf>
              <font>
                <b/>
                <i/>
                <color theme="0"/>
              </font>
              <fill>
                <patternFill>
                  <bgColor theme="1"/>
                </patternFill>
              </fill>
            </x14:dxf>
          </x14:cfRule>
          <x14:cfRule type="containsText" priority="532" operator="containsText" id="{6A90F448-C0A2-4F16-AFB1-2B6E760408E4}">
            <xm:f>NOT(ISERROR(SEARCH($M$133,A631)))</xm:f>
            <xm:f>$M$133</xm:f>
            <x14:dxf>
              <font>
                <b/>
                <i/>
                <color theme="0"/>
              </font>
              <fill>
                <patternFill>
                  <bgColor theme="1"/>
                </patternFill>
              </fill>
            </x14:dxf>
          </x14:cfRule>
          <x14:cfRule type="containsText" priority="533" operator="containsText" id="{BC33272F-9BD7-4793-9019-38F48AB3400D}">
            <xm:f>NOT(ISERROR(SEARCH($M$132,A631)))</xm:f>
            <xm:f>$M$132</xm:f>
            <x14:dxf>
              <font>
                <b/>
                <i/>
                <color theme="0"/>
              </font>
              <fill>
                <patternFill>
                  <bgColor theme="1"/>
                </patternFill>
              </fill>
            </x14:dxf>
          </x14:cfRule>
          <x14:cfRule type="containsText" priority="534" operator="containsText" id="{3F2AF979-E565-4D7A-9521-78B8E7C3A872}">
            <xm:f>NOT(ISERROR(SEARCH($M$131,A631)))</xm:f>
            <xm:f>$M$131</xm:f>
            <x14:dxf>
              <font>
                <b/>
                <i/>
                <color theme="0"/>
              </font>
              <fill>
                <patternFill>
                  <bgColor theme="1"/>
                </patternFill>
              </fill>
            </x14:dxf>
          </x14:cfRule>
          <x14:cfRule type="containsText" priority="535" operator="containsText" id="{6F41B9E4-A445-4412-B37A-8C943A9645B7}">
            <xm:f>NOT(ISERROR(SEARCH($M$130,A631)))</xm:f>
            <xm:f>$M$130</xm:f>
            <x14:dxf>
              <font>
                <b/>
                <i/>
                <color theme="0"/>
              </font>
              <fill>
                <patternFill>
                  <bgColor theme="1"/>
                </patternFill>
              </fill>
            </x14:dxf>
          </x14:cfRule>
          <x14:cfRule type="containsText" priority="536" operator="containsText" id="{B78FB5D8-2824-4B10-8324-43F3ADED411F}">
            <xm:f>NOT(ISERROR(SEARCH($M$129,A631)))</xm:f>
            <xm:f>$M$129</xm:f>
            <x14:dxf>
              <font>
                <b/>
                <i/>
                <color theme="0"/>
              </font>
              <fill>
                <patternFill>
                  <bgColor theme="1"/>
                </patternFill>
              </fill>
            </x14:dxf>
          </x14:cfRule>
          <x14:cfRule type="containsText" priority="537" operator="containsText" id="{084AAFA8-0394-4D8C-A04F-C755FF187F60}">
            <xm:f>NOT(ISERROR(SEARCH($M$128,A631)))</xm:f>
            <xm:f>$M$128</xm:f>
            <x14:dxf>
              <font>
                <b/>
                <i/>
                <color theme="0"/>
              </font>
              <fill>
                <patternFill>
                  <bgColor theme="1"/>
                </patternFill>
              </fill>
            </x14:dxf>
          </x14:cfRule>
          <x14:cfRule type="containsText" priority="538" operator="containsText" id="{D9E467B9-A838-497A-8784-C3D7B18E7A93}">
            <xm:f>NOT(ISERROR(SEARCH($M$127,A631)))</xm:f>
            <xm:f>$M$127</xm:f>
            <x14:dxf>
              <font>
                <b/>
                <i/>
                <color theme="0"/>
              </font>
              <fill>
                <patternFill>
                  <bgColor theme="1"/>
                </patternFill>
              </fill>
            </x14:dxf>
          </x14:cfRule>
          <x14:cfRule type="containsText" priority="539" operator="containsText" id="{6D5A2288-DEFE-4C0D-A938-F18151360781}">
            <xm:f>NOT(ISERROR(SEARCH($M$126,A631)))</xm:f>
            <xm:f>$M$126</xm:f>
            <x14:dxf>
              <font>
                <b/>
                <i/>
                <color theme="0"/>
              </font>
              <fill>
                <patternFill>
                  <bgColor theme="1"/>
                </patternFill>
              </fill>
            </x14:dxf>
          </x14:cfRule>
          <x14:cfRule type="containsText" priority="540" operator="containsText" id="{C22768F0-B499-4615-B5CB-E74EDA62AACF}">
            <xm:f>NOT(ISERROR(SEARCH($M$125,A631)))</xm:f>
            <xm:f>$M$125</xm:f>
            <x14:dxf>
              <font>
                <b/>
                <i/>
                <color theme="0"/>
              </font>
              <fill>
                <patternFill>
                  <bgColor theme="1"/>
                </patternFill>
              </fill>
            </x14:dxf>
          </x14:cfRule>
          <x14:cfRule type="containsText" priority="541" operator="containsText" id="{D841A9A8-AFC8-49C0-A3AE-47C80BA6FC04}">
            <xm:f>NOT(ISERROR(SEARCH($M$124,A631)))</xm:f>
            <xm:f>$M$124</xm:f>
            <x14:dxf>
              <font>
                <b/>
                <i/>
                <color theme="0"/>
              </font>
              <fill>
                <patternFill>
                  <bgColor theme="1"/>
                </patternFill>
              </fill>
            </x14:dxf>
          </x14:cfRule>
          <x14:cfRule type="containsText" priority="542" operator="containsText" id="{3FBC690A-303D-4466-8A92-075859C4B8BC}">
            <xm:f>NOT(ISERROR(SEARCH($M$123,A631)))</xm:f>
            <xm:f>$M$123</xm:f>
            <x14:dxf>
              <font>
                <b/>
                <i/>
                <color theme="0"/>
              </font>
              <fill>
                <patternFill>
                  <bgColor theme="1"/>
                </patternFill>
              </fill>
            </x14:dxf>
          </x14:cfRule>
          <x14:cfRule type="containsText" priority="543" operator="containsText" id="{D950861A-18AB-494B-8188-6C0CBF9EF301}">
            <xm:f>NOT(ISERROR(SEARCH($M$122,A631)))</xm:f>
            <xm:f>$M$122</xm:f>
            <x14:dxf>
              <font>
                <b/>
                <i/>
                <color theme="0"/>
              </font>
              <fill>
                <patternFill>
                  <bgColor theme="1"/>
                </patternFill>
              </fill>
            </x14:dxf>
          </x14:cfRule>
          <x14:cfRule type="containsText" priority="544" operator="containsText" id="{9509568B-2625-4B2D-86CF-7A02313F8147}">
            <xm:f>NOT(ISERROR(SEARCH($M$121,A631)))</xm:f>
            <xm:f>$M$121</xm:f>
            <x14:dxf>
              <font>
                <b/>
                <i/>
                <color theme="0"/>
              </font>
              <fill>
                <patternFill>
                  <bgColor theme="1"/>
                </patternFill>
              </fill>
            </x14:dxf>
          </x14:cfRule>
          <x14:cfRule type="containsText" priority="545" operator="containsText" id="{51532BBB-8E86-404C-8BC3-C0A77E167E12}">
            <xm:f>NOT(ISERROR(SEARCH($M$120,A631)))</xm:f>
            <xm:f>$M$120</xm:f>
            <x14:dxf>
              <font>
                <b/>
                <i/>
                <color theme="0"/>
              </font>
              <fill>
                <patternFill>
                  <bgColor theme="1"/>
                </patternFill>
              </fill>
            </x14:dxf>
          </x14:cfRule>
          <x14:cfRule type="containsText" priority="546" operator="containsText" id="{247B5A1D-5182-4538-9522-FDD297F3B373}">
            <xm:f>NOT(ISERROR(SEARCH($M$119,A631)))</xm:f>
            <xm:f>$M$119</xm:f>
            <x14:dxf>
              <font>
                <b/>
                <i/>
                <color theme="0"/>
              </font>
              <fill>
                <patternFill>
                  <bgColor theme="1"/>
                </patternFill>
              </fill>
            </x14:dxf>
          </x14:cfRule>
          <x14:cfRule type="containsText" priority="547" operator="containsText" id="{9FED0466-2B05-4617-8841-82F7019628B9}">
            <xm:f>NOT(ISERROR(SEARCH($M$118,A631)))</xm:f>
            <xm:f>$M$118</xm:f>
            <x14:dxf>
              <font>
                <b/>
                <i/>
                <color theme="0"/>
              </font>
              <fill>
                <patternFill>
                  <bgColor theme="1"/>
                </patternFill>
              </fill>
            </x14:dxf>
          </x14:cfRule>
          <x14:cfRule type="containsText" priority="548" operator="containsText" id="{B4CB44C1-481C-4CB4-82B0-1DEB3E8DEA04}">
            <xm:f>NOT(ISERROR(SEARCH($M$117,A631)))</xm:f>
            <xm:f>$M$117</xm:f>
            <x14:dxf>
              <font>
                <b/>
                <i/>
                <color theme="0"/>
              </font>
              <fill>
                <patternFill>
                  <bgColor theme="1"/>
                </patternFill>
              </fill>
            </x14:dxf>
          </x14:cfRule>
          <x14:cfRule type="containsText" priority="549" operator="containsText" id="{4EC0A5C0-E572-4375-8068-75252CF050FF}">
            <xm:f>NOT(ISERROR(SEARCH($M$116,A631)))</xm:f>
            <xm:f>$M$116</xm:f>
            <x14:dxf>
              <font>
                <b/>
                <i/>
                <color theme="0"/>
              </font>
              <fill>
                <patternFill>
                  <bgColor theme="1"/>
                </patternFill>
              </fill>
            </x14:dxf>
          </x14:cfRule>
          <x14:cfRule type="containsText" priority="550" operator="containsText" id="{28555CE8-B0C1-4330-B728-28401FE3D60B}">
            <xm:f>NOT(ISERROR(SEARCH($M$115,A631)))</xm:f>
            <xm:f>$M$115</xm:f>
            <x14:dxf>
              <font>
                <b/>
                <i/>
                <color theme="0"/>
              </font>
              <fill>
                <patternFill>
                  <bgColor theme="1"/>
                </patternFill>
              </fill>
            </x14:dxf>
          </x14:cfRule>
          <x14:cfRule type="containsText" priority="551" operator="containsText" id="{3A22892F-77AB-4752-A194-272423F66A1B}">
            <xm:f>NOT(ISERROR(SEARCH($M$114,A631)))</xm:f>
            <xm:f>$M$114</xm:f>
            <x14:dxf>
              <font>
                <b/>
                <i/>
                <color theme="0"/>
              </font>
              <fill>
                <patternFill>
                  <bgColor theme="1"/>
                </patternFill>
              </fill>
            </x14:dxf>
          </x14:cfRule>
          <x14:cfRule type="containsText" priority="552" operator="containsText" id="{E3D6B1F2-9D5F-4B09-9EC0-3A2E5B8DB90E}">
            <xm:f>NOT(ISERROR(SEARCH($M$113,A631)))</xm:f>
            <xm:f>$M$113</xm:f>
            <x14:dxf>
              <font>
                <b/>
                <i/>
                <color theme="0"/>
              </font>
              <fill>
                <patternFill>
                  <bgColor theme="1"/>
                </patternFill>
              </fill>
            </x14:dxf>
          </x14:cfRule>
          <x14:cfRule type="containsText" priority="553" operator="containsText" id="{BB032EA0-0761-46EC-A35E-5A8BB63CF64A}">
            <xm:f>NOT(ISERROR(SEARCH($M$112,A631)))</xm:f>
            <xm:f>$M$112</xm:f>
            <x14:dxf>
              <font>
                <b/>
                <i/>
                <color theme="0"/>
              </font>
              <fill>
                <patternFill>
                  <bgColor theme="1"/>
                </patternFill>
              </fill>
            </x14:dxf>
          </x14:cfRule>
          <x14:cfRule type="containsText" priority="554" operator="containsText" id="{7FAAF397-D772-4CB6-A80F-271B661893CB}">
            <xm:f>NOT(ISERROR(SEARCH($M$111,A631)))</xm:f>
            <xm:f>$M$111</xm:f>
            <x14:dxf>
              <font>
                <b/>
                <i/>
                <color theme="0"/>
              </font>
              <fill>
                <patternFill>
                  <bgColor theme="1"/>
                </patternFill>
              </fill>
            </x14:dxf>
          </x14:cfRule>
          <x14:cfRule type="containsText" priority="555" operator="containsText" id="{946669EA-7DAD-416D-A345-5A85D5B4B692}">
            <xm:f>NOT(ISERROR(SEARCH($M$110,A631)))</xm:f>
            <xm:f>$M$110</xm:f>
            <x14:dxf>
              <font>
                <b/>
                <i/>
                <color theme="0"/>
              </font>
              <fill>
                <patternFill>
                  <bgColor theme="1"/>
                </patternFill>
              </fill>
            </x14:dxf>
          </x14:cfRule>
          <xm:sqref>A631:A642</xm:sqref>
        </x14:conditionalFormatting>
        <x14:conditionalFormatting xmlns:xm="http://schemas.microsoft.com/office/excel/2006/main">
          <x14:cfRule type="containsText" priority="527" operator="containsText" id="{42152E56-737A-4719-B0AA-ACE4EA7D46AA}">
            <xm:f>NOT(ISERROR(SEARCH($M$107,A618)))</xm:f>
            <xm:f>$M$107</xm:f>
            <x14:dxf>
              <font>
                <b/>
                <i/>
                <color theme="0"/>
              </font>
              <fill>
                <patternFill>
                  <bgColor theme="1"/>
                </patternFill>
              </fill>
            </x14:dxf>
          </x14:cfRule>
          <xm:sqref>A618:A629</xm:sqref>
        </x14:conditionalFormatting>
        <x14:conditionalFormatting xmlns:xm="http://schemas.microsoft.com/office/excel/2006/main">
          <x14:cfRule type="containsText" priority="525" operator="containsText" id="{F3E9C1E3-02D9-45DD-AF2D-C71E677D8F24}">
            <xm:f>NOT(ISERROR(SEARCH($M$109,A618)))</xm:f>
            <xm:f>$M$109</xm:f>
            <x14:dxf>
              <font>
                <b/>
                <i/>
                <color theme="0"/>
              </font>
              <fill>
                <patternFill>
                  <bgColor theme="1"/>
                </patternFill>
              </fill>
            </x14:dxf>
          </x14:cfRule>
          <x14:cfRule type="containsText" priority="526" operator="containsText" id="{24A69638-FAFA-48C7-922A-43E6DF373D91}">
            <xm:f>NOT(ISERROR(SEARCH($M$108,A618)))</xm:f>
            <xm:f>$M$108</xm:f>
            <x14:dxf>
              <font>
                <color theme="0"/>
              </font>
              <fill>
                <patternFill>
                  <bgColor theme="1"/>
                </patternFill>
              </fill>
            </x14:dxf>
          </x14:cfRule>
          <xm:sqref>A618:A629</xm:sqref>
        </x14:conditionalFormatting>
        <x14:conditionalFormatting xmlns:xm="http://schemas.microsoft.com/office/excel/2006/main">
          <x14:cfRule type="containsText" priority="498" operator="containsText" id="{277C176A-903F-471E-A2FF-C40BA36E6D7E}">
            <xm:f>NOT(ISERROR(SEARCH($M$136,A618)))</xm:f>
            <xm:f>$M$136</xm:f>
            <x14:dxf>
              <font>
                <b/>
                <i/>
                <color theme="0"/>
              </font>
              <fill>
                <patternFill>
                  <bgColor theme="1"/>
                </patternFill>
              </fill>
            </x14:dxf>
          </x14:cfRule>
          <x14:cfRule type="containsText" priority="499" operator="containsText" id="{AD0A98AF-0801-4232-B1A3-A663AB4395D1}">
            <xm:f>NOT(ISERROR(SEARCH($M$135,A618)))</xm:f>
            <xm:f>$M$135</xm:f>
            <x14:dxf>
              <font>
                <b/>
                <i/>
                <color theme="0"/>
              </font>
              <fill>
                <patternFill>
                  <bgColor theme="1"/>
                </patternFill>
              </fill>
            </x14:dxf>
          </x14:cfRule>
          <x14:cfRule type="containsText" priority="500" operator="containsText" id="{94F79DCC-2FC7-4E70-9180-132F821F198E}">
            <xm:f>NOT(ISERROR(SEARCH($M$134,A618)))</xm:f>
            <xm:f>$M$134</xm:f>
            <x14:dxf>
              <font>
                <b/>
                <i/>
                <color theme="0"/>
              </font>
              <fill>
                <patternFill>
                  <bgColor theme="1"/>
                </patternFill>
              </fill>
            </x14:dxf>
          </x14:cfRule>
          <x14:cfRule type="containsText" priority="501" operator="containsText" id="{1778A97E-6EA7-4970-8966-236C52B53706}">
            <xm:f>NOT(ISERROR(SEARCH($M$133,A618)))</xm:f>
            <xm:f>$M$133</xm:f>
            <x14:dxf>
              <font>
                <b/>
                <i/>
                <color theme="0"/>
              </font>
              <fill>
                <patternFill>
                  <bgColor theme="1"/>
                </patternFill>
              </fill>
            </x14:dxf>
          </x14:cfRule>
          <x14:cfRule type="containsText" priority="502" operator="containsText" id="{0436C296-FDF2-4D77-9D5F-E91BF13177F0}">
            <xm:f>NOT(ISERROR(SEARCH($M$132,A618)))</xm:f>
            <xm:f>$M$132</xm:f>
            <x14:dxf>
              <font>
                <b/>
                <i/>
                <color theme="0"/>
              </font>
              <fill>
                <patternFill>
                  <bgColor theme="1"/>
                </patternFill>
              </fill>
            </x14:dxf>
          </x14:cfRule>
          <x14:cfRule type="containsText" priority="503" operator="containsText" id="{883AACE0-61E4-47B4-B8C7-F4DCE1F1FAF2}">
            <xm:f>NOT(ISERROR(SEARCH($M$131,A618)))</xm:f>
            <xm:f>$M$131</xm:f>
            <x14:dxf>
              <font>
                <b/>
                <i/>
                <color theme="0"/>
              </font>
              <fill>
                <patternFill>
                  <bgColor theme="1"/>
                </patternFill>
              </fill>
            </x14:dxf>
          </x14:cfRule>
          <x14:cfRule type="containsText" priority="504" operator="containsText" id="{7F4858C7-F5F6-4A72-8C20-C00C7A0257DE}">
            <xm:f>NOT(ISERROR(SEARCH($M$130,A618)))</xm:f>
            <xm:f>$M$130</xm:f>
            <x14:dxf>
              <font>
                <b/>
                <i/>
                <color theme="0"/>
              </font>
              <fill>
                <patternFill>
                  <bgColor theme="1"/>
                </patternFill>
              </fill>
            </x14:dxf>
          </x14:cfRule>
          <x14:cfRule type="containsText" priority="505" operator="containsText" id="{90F4E2E0-00A4-4BD9-B5C6-72C2520BF8D0}">
            <xm:f>NOT(ISERROR(SEARCH($M$129,A618)))</xm:f>
            <xm:f>$M$129</xm:f>
            <x14:dxf>
              <font>
                <b/>
                <i/>
                <color theme="0"/>
              </font>
              <fill>
                <patternFill>
                  <bgColor theme="1"/>
                </patternFill>
              </fill>
            </x14:dxf>
          </x14:cfRule>
          <x14:cfRule type="containsText" priority="506" operator="containsText" id="{10C47795-96F6-4794-B091-A7C780A7DAE8}">
            <xm:f>NOT(ISERROR(SEARCH($M$128,A618)))</xm:f>
            <xm:f>$M$128</xm:f>
            <x14:dxf>
              <font>
                <b/>
                <i/>
                <color theme="0"/>
              </font>
              <fill>
                <patternFill>
                  <bgColor theme="1"/>
                </patternFill>
              </fill>
            </x14:dxf>
          </x14:cfRule>
          <x14:cfRule type="containsText" priority="507" operator="containsText" id="{0B18F79C-287C-446B-A7B6-E9D4E423FF68}">
            <xm:f>NOT(ISERROR(SEARCH($M$127,A618)))</xm:f>
            <xm:f>$M$127</xm:f>
            <x14:dxf>
              <font>
                <b/>
                <i/>
                <color theme="0"/>
              </font>
              <fill>
                <patternFill>
                  <bgColor theme="1"/>
                </patternFill>
              </fill>
            </x14:dxf>
          </x14:cfRule>
          <x14:cfRule type="containsText" priority="508" operator="containsText" id="{AC3DCC10-536B-46D0-93A8-54185C80CA11}">
            <xm:f>NOT(ISERROR(SEARCH($M$126,A618)))</xm:f>
            <xm:f>$M$126</xm:f>
            <x14:dxf>
              <font>
                <b/>
                <i/>
                <color theme="0"/>
              </font>
              <fill>
                <patternFill>
                  <bgColor theme="1"/>
                </patternFill>
              </fill>
            </x14:dxf>
          </x14:cfRule>
          <x14:cfRule type="containsText" priority="509" operator="containsText" id="{A740A92F-A54F-48F5-B238-FDF72D751F0A}">
            <xm:f>NOT(ISERROR(SEARCH($M$125,A618)))</xm:f>
            <xm:f>$M$125</xm:f>
            <x14:dxf>
              <font>
                <b/>
                <i/>
                <color theme="0"/>
              </font>
              <fill>
                <patternFill>
                  <bgColor theme="1"/>
                </patternFill>
              </fill>
            </x14:dxf>
          </x14:cfRule>
          <x14:cfRule type="containsText" priority="510" operator="containsText" id="{3BC19D84-320D-4ADB-8D54-E5104FC6105C}">
            <xm:f>NOT(ISERROR(SEARCH($M$124,A618)))</xm:f>
            <xm:f>$M$124</xm:f>
            <x14:dxf>
              <font>
                <b/>
                <i/>
                <color theme="0"/>
              </font>
              <fill>
                <patternFill>
                  <bgColor theme="1"/>
                </patternFill>
              </fill>
            </x14:dxf>
          </x14:cfRule>
          <x14:cfRule type="containsText" priority="511" operator="containsText" id="{3FD3E26E-5B41-41DF-98BB-EB0BC48B675D}">
            <xm:f>NOT(ISERROR(SEARCH($M$123,A618)))</xm:f>
            <xm:f>$M$123</xm:f>
            <x14:dxf>
              <font>
                <b/>
                <i/>
                <color theme="0"/>
              </font>
              <fill>
                <patternFill>
                  <bgColor theme="1"/>
                </patternFill>
              </fill>
            </x14:dxf>
          </x14:cfRule>
          <x14:cfRule type="containsText" priority="512" operator="containsText" id="{717A65E0-22ED-4DAA-8495-C467A45D9145}">
            <xm:f>NOT(ISERROR(SEARCH($M$122,A618)))</xm:f>
            <xm:f>$M$122</xm:f>
            <x14:dxf>
              <font>
                <b/>
                <i/>
                <color theme="0"/>
              </font>
              <fill>
                <patternFill>
                  <bgColor theme="1"/>
                </patternFill>
              </fill>
            </x14:dxf>
          </x14:cfRule>
          <x14:cfRule type="containsText" priority="513" operator="containsText" id="{EA1F7169-0C30-42C5-BB58-F4A307519F26}">
            <xm:f>NOT(ISERROR(SEARCH($M$121,A618)))</xm:f>
            <xm:f>$M$121</xm:f>
            <x14:dxf>
              <font>
                <b/>
                <i/>
                <color theme="0"/>
              </font>
              <fill>
                <patternFill>
                  <bgColor theme="1"/>
                </patternFill>
              </fill>
            </x14:dxf>
          </x14:cfRule>
          <x14:cfRule type="containsText" priority="514" operator="containsText" id="{C408E2A0-AA3A-4077-867B-F788B0CAE43A}">
            <xm:f>NOT(ISERROR(SEARCH($M$120,A618)))</xm:f>
            <xm:f>$M$120</xm:f>
            <x14:dxf>
              <font>
                <b/>
                <i/>
                <color theme="0"/>
              </font>
              <fill>
                <patternFill>
                  <bgColor theme="1"/>
                </patternFill>
              </fill>
            </x14:dxf>
          </x14:cfRule>
          <x14:cfRule type="containsText" priority="515" operator="containsText" id="{20E993FC-9C92-461B-A2EE-154B83B3754A}">
            <xm:f>NOT(ISERROR(SEARCH($M$119,A618)))</xm:f>
            <xm:f>$M$119</xm:f>
            <x14:dxf>
              <font>
                <b/>
                <i/>
                <color theme="0"/>
              </font>
              <fill>
                <patternFill>
                  <bgColor theme="1"/>
                </patternFill>
              </fill>
            </x14:dxf>
          </x14:cfRule>
          <x14:cfRule type="containsText" priority="516" operator="containsText" id="{AF00F8F1-72CD-4BF3-978B-9B1572ADF5AA}">
            <xm:f>NOT(ISERROR(SEARCH($M$118,A618)))</xm:f>
            <xm:f>$M$118</xm:f>
            <x14:dxf>
              <font>
                <b/>
                <i/>
                <color theme="0"/>
              </font>
              <fill>
                <patternFill>
                  <bgColor theme="1"/>
                </patternFill>
              </fill>
            </x14:dxf>
          </x14:cfRule>
          <x14:cfRule type="containsText" priority="517" operator="containsText" id="{312FE7AF-08E7-4C3B-AB44-58E379BC62CB}">
            <xm:f>NOT(ISERROR(SEARCH($M$117,A618)))</xm:f>
            <xm:f>$M$117</xm:f>
            <x14:dxf>
              <font>
                <b/>
                <i/>
                <color theme="0"/>
              </font>
              <fill>
                <patternFill>
                  <bgColor theme="1"/>
                </patternFill>
              </fill>
            </x14:dxf>
          </x14:cfRule>
          <x14:cfRule type="containsText" priority="518" operator="containsText" id="{14C96647-D2F0-4601-BCA6-8C73C2DB9A3B}">
            <xm:f>NOT(ISERROR(SEARCH($M$116,A618)))</xm:f>
            <xm:f>$M$116</xm:f>
            <x14:dxf>
              <font>
                <b/>
                <i/>
                <color theme="0"/>
              </font>
              <fill>
                <patternFill>
                  <bgColor theme="1"/>
                </patternFill>
              </fill>
            </x14:dxf>
          </x14:cfRule>
          <x14:cfRule type="containsText" priority="519" operator="containsText" id="{2ACDAC74-FC45-4495-8370-D8065C44A2DE}">
            <xm:f>NOT(ISERROR(SEARCH($M$115,A618)))</xm:f>
            <xm:f>$M$115</xm:f>
            <x14:dxf>
              <font>
                <b/>
                <i/>
                <color theme="0"/>
              </font>
              <fill>
                <patternFill>
                  <bgColor theme="1"/>
                </patternFill>
              </fill>
            </x14:dxf>
          </x14:cfRule>
          <x14:cfRule type="containsText" priority="520" operator="containsText" id="{50534643-D690-4FD1-AF46-036FD0E60AED}">
            <xm:f>NOT(ISERROR(SEARCH($M$114,A618)))</xm:f>
            <xm:f>$M$114</xm:f>
            <x14:dxf>
              <font>
                <b/>
                <i/>
                <color theme="0"/>
              </font>
              <fill>
                <patternFill>
                  <bgColor theme="1"/>
                </patternFill>
              </fill>
            </x14:dxf>
          </x14:cfRule>
          <x14:cfRule type="containsText" priority="521" operator="containsText" id="{5E41EEED-F4C4-414B-A652-B33C647D8EF6}">
            <xm:f>NOT(ISERROR(SEARCH($M$113,A618)))</xm:f>
            <xm:f>$M$113</xm:f>
            <x14:dxf>
              <font>
                <b/>
                <i/>
                <color theme="0"/>
              </font>
              <fill>
                <patternFill>
                  <bgColor theme="1"/>
                </patternFill>
              </fill>
            </x14:dxf>
          </x14:cfRule>
          <x14:cfRule type="containsText" priority="522" operator="containsText" id="{86822B81-258D-40C6-8653-FE2810CA16DA}">
            <xm:f>NOT(ISERROR(SEARCH($M$112,A618)))</xm:f>
            <xm:f>$M$112</xm:f>
            <x14:dxf>
              <font>
                <b/>
                <i/>
                <color theme="0"/>
              </font>
              <fill>
                <patternFill>
                  <bgColor theme="1"/>
                </patternFill>
              </fill>
            </x14:dxf>
          </x14:cfRule>
          <x14:cfRule type="containsText" priority="523" operator="containsText" id="{DD699647-C5DE-4142-A8A7-1AF7548E425E}">
            <xm:f>NOT(ISERROR(SEARCH($M$111,A618)))</xm:f>
            <xm:f>$M$111</xm:f>
            <x14:dxf>
              <font>
                <b/>
                <i/>
                <color theme="0"/>
              </font>
              <fill>
                <patternFill>
                  <bgColor theme="1"/>
                </patternFill>
              </fill>
            </x14:dxf>
          </x14:cfRule>
          <x14:cfRule type="containsText" priority="524" operator="containsText" id="{E7D499E0-7D0E-4E63-8D7F-9DA413A33F04}">
            <xm:f>NOT(ISERROR(SEARCH($M$110,A618)))</xm:f>
            <xm:f>$M$110</xm:f>
            <x14:dxf>
              <font>
                <b/>
                <i/>
                <color theme="0"/>
              </font>
              <fill>
                <patternFill>
                  <bgColor theme="1"/>
                </patternFill>
              </fill>
            </x14:dxf>
          </x14:cfRule>
          <xm:sqref>A618:A629</xm:sqref>
        </x14:conditionalFormatting>
        <x14:conditionalFormatting xmlns:xm="http://schemas.microsoft.com/office/excel/2006/main">
          <x14:cfRule type="containsText" priority="496" operator="containsText" id="{C94092F6-B117-4758-9070-8AE9306BF096}">
            <xm:f>NOT(ISERROR(SEARCH($M$107,A569)))</xm:f>
            <xm:f>$M$107</xm:f>
            <x14:dxf>
              <font>
                <b/>
                <i/>
                <color theme="0"/>
              </font>
              <fill>
                <patternFill>
                  <bgColor theme="1"/>
                </patternFill>
              </fill>
            </x14:dxf>
          </x14:cfRule>
          <xm:sqref>A569:A580</xm:sqref>
        </x14:conditionalFormatting>
        <x14:conditionalFormatting xmlns:xm="http://schemas.microsoft.com/office/excel/2006/main">
          <x14:cfRule type="containsText" priority="494" operator="containsText" id="{38E01201-83D4-4D05-B659-D22A3AC014E6}">
            <xm:f>NOT(ISERROR(SEARCH($M$109,A569)))</xm:f>
            <xm:f>$M$109</xm:f>
            <x14:dxf>
              <font>
                <b/>
                <i/>
                <color theme="0"/>
              </font>
              <fill>
                <patternFill>
                  <bgColor theme="1"/>
                </patternFill>
              </fill>
            </x14:dxf>
          </x14:cfRule>
          <x14:cfRule type="containsText" priority="495" operator="containsText" id="{4F834B20-82BE-48EE-9C7D-920BAE0A8194}">
            <xm:f>NOT(ISERROR(SEARCH($M$108,A569)))</xm:f>
            <xm:f>$M$108</xm:f>
            <x14:dxf>
              <font>
                <color theme="0"/>
              </font>
              <fill>
                <patternFill>
                  <bgColor theme="1"/>
                </patternFill>
              </fill>
            </x14:dxf>
          </x14:cfRule>
          <xm:sqref>A569:A580</xm:sqref>
        </x14:conditionalFormatting>
        <x14:conditionalFormatting xmlns:xm="http://schemas.microsoft.com/office/excel/2006/main">
          <x14:cfRule type="containsText" priority="467" operator="containsText" id="{6F465AD2-BCA3-422D-92FB-6D2F57F5C507}">
            <xm:f>NOT(ISERROR(SEARCH($M$136,A569)))</xm:f>
            <xm:f>$M$136</xm:f>
            <x14:dxf>
              <font>
                <b/>
                <i/>
                <color theme="0"/>
              </font>
              <fill>
                <patternFill>
                  <bgColor theme="1"/>
                </patternFill>
              </fill>
            </x14:dxf>
          </x14:cfRule>
          <x14:cfRule type="containsText" priority="468" operator="containsText" id="{C2403BE8-C0F1-471B-83A0-E2CF27D14936}">
            <xm:f>NOT(ISERROR(SEARCH($M$135,A569)))</xm:f>
            <xm:f>$M$135</xm:f>
            <x14:dxf>
              <font>
                <b/>
                <i/>
                <color theme="0"/>
              </font>
              <fill>
                <patternFill>
                  <bgColor theme="1"/>
                </patternFill>
              </fill>
            </x14:dxf>
          </x14:cfRule>
          <x14:cfRule type="containsText" priority="469" operator="containsText" id="{DA61ED9A-D724-4A26-A746-DCA2CA66B8EE}">
            <xm:f>NOT(ISERROR(SEARCH($M$134,A569)))</xm:f>
            <xm:f>$M$134</xm:f>
            <x14:dxf>
              <font>
                <b/>
                <i/>
                <color theme="0"/>
              </font>
              <fill>
                <patternFill>
                  <bgColor theme="1"/>
                </patternFill>
              </fill>
            </x14:dxf>
          </x14:cfRule>
          <x14:cfRule type="containsText" priority="470" operator="containsText" id="{6D6E6C1C-8402-4E0B-8F4B-EAB5F85A03CC}">
            <xm:f>NOT(ISERROR(SEARCH($M$133,A569)))</xm:f>
            <xm:f>$M$133</xm:f>
            <x14:dxf>
              <font>
                <b/>
                <i/>
                <color theme="0"/>
              </font>
              <fill>
                <patternFill>
                  <bgColor theme="1"/>
                </patternFill>
              </fill>
            </x14:dxf>
          </x14:cfRule>
          <x14:cfRule type="containsText" priority="471" operator="containsText" id="{B8B76AA1-7A05-4144-9FC3-DAE372D5F2A8}">
            <xm:f>NOT(ISERROR(SEARCH($M$132,A569)))</xm:f>
            <xm:f>$M$132</xm:f>
            <x14:dxf>
              <font>
                <b/>
                <i/>
                <color theme="0"/>
              </font>
              <fill>
                <patternFill>
                  <bgColor theme="1"/>
                </patternFill>
              </fill>
            </x14:dxf>
          </x14:cfRule>
          <x14:cfRule type="containsText" priority="472" operator="containsText" id="{2102A871-3717-41B3-A1B2-BFAF7D304801}">
            <xm:f>NOT(ISERROR(SEARCH($M$131,A569)))</xm:f>
            <xm:f>$M$131</xm:f>
            <x14:dxf>
              <font>
                <b/>
                <i/>
                <color theme="0"/>
              </font>
              <fill>
                <patternFill>
                  <bgColor theme="1"/>
                </patternFill>
              </fill>
            </x14:dxf>
          </x14:cfRule>
          <x14:cfRule type="containsText" priority="473" operator="containsText" id="{D88B3175-A5DE-4FFD-883C-0B7F68AF3DCF}">
            <xm:f>NOT(ISERROR(SEARCH($M$130,A569)))</xm:f>
            <xm:f>$M$130</xm:f>
            <x14:dxf>
              <font>
                <b/>
                <i/>
                <color theme="0"/>
              </font>
              <fill>
                <patternFill>
                  <bgColor theme="1"/>
                </patternFill>
              </fill>
            </x14:dxf>
          </x14:cfRule>
          <x14:cfRule type="containsText" priority="474" operator="containsText" id="{605EA4BD-DBA5-4A4E-953D-0046488D7EE2}">
            <xm:f>NOT(ISERROR(SEARCH($M$129,A569)))</xm:f>
            <xm:f>$M$129</xm:f>
            <x14:dxf>
              <font>
                <b/>
                <i/>
                <color theme="0"/>
              </font>
              <fill>
                <patternFill>
                  <bgColor theme="1"/>
                </patternFill>
              </fill>
            </x14:dxf>
          </x14:cfRule>
          <x14:cfRule type="containsText" priority="475" operator="containsText" id="{3536F24B-FBBC-4D98-A6C0-CF8CDB0F0781}">
            <xm:f>NOT(ISERROR(SEARCH($M$128,A569)))</xm:f>
            <xm:f>$M$128</xm:f>
            <x14:dxf>
              <font>
                <b/>
                <i/>
                <color theme="0"/>
              </font>
              <fill>
                <patternFill>
                  <bgColor theme="1"/>
                </patternFill>
              </fill>
            </x14:dxf>
          </x14:cfRule>
          <x14:cfRule type="containsText" priority="476" operator="containsText" id="{5AC15B65-54F7-4E75-8236-C77AE4BA0FDE}">
            <xm:f>NOT(ISERROR(SEARCH($M$127,A569)))</xm:f>
            <xm:f>$M$127</xm:f>
            <x14:dxf>
              <font>
                <b/>
                <i/>
                <color theme="0"/>
              </font>
              <fill>
                <patternFill>
                  <bgColor theme="1"/>
                </patternFill>
              </fill>
            </x14:dxf>
          </x14:cfRule>
          <x14:cfRule type="containsText" priority="477" operator="containsText" id="{537CA651-CCB6-4A54-8651-F6CE635878C2}">
            <xm:f>NOT(ISERROR(SEARCH($M$126,A569)))</xm:f>
            <xm:f>$M$126</xm:f>
            <x14:dxf>
              <font>
                <b/>
                <i/>
                <color theme="0"/>
              </font>
              <fill>
                <patternFill>
                  <bgColor theme="1"/>
                </patternFill>
              </fill>
            </x14:dxf>
          </x14:cfRule>
          <x14:cfRule type="containsText" priority="478" operator="containsText" id="{513BC90C-C95C-4734-88F2-30B3487B09C7}">
            <xm:f>NOT(ISERROR(SEARCH($M$125,A569)))</xm:f>
            <xm:f>$M$125</xm:f>
            <x14:dxf>
              <font>
                <b/>
                <i/>
                <color theme="0"/>
              </font>
              <fill>
                <patternFill>
                  <bgColor theme="1"/>
                </patternFill>
              </fill>
            </x14:dxf>
          </x14:cfRule>
          <x14:cfRule type="containsText" priority="479" operator="containsText" id="{D0584AA2-FECA-4833-909F-4C897AEA805C}">
            <xm:f>NOT(ISERROR(SEARCH($M$124,A569)))</xm:f>
            <xm:f>$M$124</xm:f>
            <x14:dxf>
              <font>
                <b/>
                <i/>
                <color theme="0"/>
              </font>
              <fill>
                <patternFill>
                  <bgColor theme="1"/>
                </patternFill>
              </fill>
            </x14:dxf>
          </x14:cfRule>
          <x14:cfRule type="containsText" priority="480" operator="containsText" id="{2D7CFF3E-FFD9-4275-AD22-0FDCD1C1A51C}">
            <xm:f>NOT(ISERROR(SEARCH($M$123,A569)))</xm:f>
            <xm:f>$M$123</xm:f>
            <x14:dxf>
              <font>
                <b/>
                <i/>
                <color theme="0"/>
              </font>
              <fill>
                <patternFill>
                  <bgColor theme="1"/>
                </patternFill>
              </fill>
            </x14:dxf>
          </x14:cfRule>
          <x14:cfRule type="containsText" priority="481" operator="containsText" id="{C360BF85-3782-4C22-8757-83FBD8753171}">
            <xm:f>NOT(ISERROR(SEARCH($M$122,A569)))</xm:f>
            <xm:f>$M$122</xm:f>
            <x14:dxf>
              <font>
                <b/>
                <i/>
                <color theme="0"/>
              </font>
              <fill>
                <patternFill>
                  <bgColor theme="1"/>
                </patternFill>
              </fill>
            </x14:dxf>
          </x14:cfRule>
          <x14:cfRule type="containsText" priority="482" operator="containsText" id="{41EF8CEB-8B04-427F-B56B-1E1558AF1625}">
            <xm:f>NOT(ISERROR(SEARCH($M$121,A569)))</xm:f>
            <xm:f>$M$121</xm:f>
            <x14:dxf>
              <font>
                <b/>
                <i/>
                <color theme="0"/>
              </font>
              <fill>
                <patternFill>
                  <bgColor theme="1"/>
                </patternFill>
              </fill>
            </x14:dxf>
          </x14:cfRule>
          <x14:cfRule type="containsText" priority="483" operator="containsText" id="{DFFB9F86-220D-4965-B1DD-54FF9784273E}">
            <xm:f>NOT(ISERROR(SEARCH($M$120,A569)))</xm:f>
            <xm:f>$M$120</xm:f>
            <x14:dxf>
              <font>
                <b/>
                <i/>
                <color theme="0"/>
              </font>
              <fill>
                <patternFill>
                  <bgColor theme="1"/>
                </patternFill>
              </fill>
            </x14:dxf>
          </x14:cfRule>
          <x14:cfRule type="containsText" priority="484" operator="containsText" id="{8A5AB89F-81CF-4D21-91BB-C9E01661BBC9}">
            <xm:f>NOT(ISERROR(SEARCH($M$119,A569)))</xm:f>
            <xm:f>$M$119</xm:f>
            <x14:dxf>
              <font>
                <b/>
                <i/>
                <color theme="0"/>
              </font>
              <fill>
                <patternFill>
                  <bgColor theme="1"/>
                </patternFill>
              </fill>
            </x14:dxf>
          </x14:cfRule>
          <x14:cfRule type="containsText" priority="485" operator="containsText" id="{0FF71AA6-771B-4CE0-83DB-57E32CFFCB5E}">
            <xm:f>NOT(ISERROR(SEARCH($M$118,A569)))</xm:f>
            <xm:f>$M$118</xm:f>
            <x14:dxf>
              <font>
                <b/>
                <i/>
                <color theme="0"/>
              </font>
              <fill>
                <patternFill>
                  <bgColor theme="1"/>
                </patternFill>
              </fill>
            </x14:dxf>
          </x14:cfRule>
          <x14:cfRule type="containsText" priority="486" operator="containsText" id="{835E6F6E-8077-4ACF-9800-92F536C3EFD6}">
            <xm:f>NOT(ISERROR(SEARCH($M$117,A569)))</xm:f>
            <xm:f>$M$117</xm:f>
            <x14:dxf>
              <font>
                <b/>
                <i/>
                <color theme="0"/>
              </font>
              <fill>
                <patternFill>
                  <bgColor theme="1"/>
                </patternFill>
              </fill>
            </x14:dxf>
          </x14:cfRule>
          <x14:cfRule type="containsText" priority="487" operator="containsText" id="{6B2E31AC-0E97-4C93-9132-AA915E1F94E3}">
            <xm:f>NOT(ISERROR(SEARCH($M$116,A569)))</xm:f>
            <xm:f>$M$116</xm:f>
            <x14:dxf>
              <font>
                <b/>
                <i/>
                <color theme="0"/>
              </font>
              <fill>
                <patternFill>
                  <bgColor theme="1"/>
                </patternFill>
              </fill>
            </x14:dxf>
          </x14:cfRule>
          <x14:cfRule type="containsText" priority="488" operator="containsText" id="{2951CFD0-2692-4212-8CF7-FE86F31B42B8}">
            <xm:f>NOT(ISERROR(SEARCH($M$115,A569)))</xm:f>
            <xm:f>$M$115</xm:f>
            <x14:dxf>
              <font>
                <b/>
                <i/>
                <color theme="0"/>
              </font>
              <fill>
                <patternFill>
                  <bgColor theme="1"/>
                </patternFill>
              </fill>
            </x14:dxf>
          </x14:cfRule>
          <x14:cfRule type="containsText" priority="489" operator="containsText" id="{E64BC4A9-9570-4296-A83D-C39BE6BB2A7E}">
            <xm:f>NOT(ISERROR(SEARCH($M$114,A569)))</xm:f>
            <xm:f>$M$114</xm:f>
            <x14:dxf>
              <font>
                <b/>
                <i/>
                <color theme="0"/>
              </font>
              <fill>
                <patternFill>
                  <bgColor theme="1"/>
                </patternFill>
              </fill>
            </x14:dxf>
          </x14:cfRule>
          <x14:cfRule type="containsText" priority="490" operator="containsText" id="{1115E78C-E3BA-44C7-B5CC-6BF01435A093}">
            <xm:f>NOT(ISERROR(SEARCH($M$113,A569)))</xm:f>
            <xm:f>$M$113</xm:f>
            <x14:dxf>
              <font>
                <b/>
                <i/>
                <color theme="0"/>
              </font>
              <fill>
                <patternFill>
                  <bgColor theme="1"/>
                </patternFill>
              </fill>
            </x14:dxf>
          </x14:cfRule>
          <x14:cfRule type="containsText" priority="491" operator="containsText" id="{11A3A6C6-56DF-4788-BCAA-C6FF1FE3EF31}">
            <xm:f>NOT(ISERROR(SEARCH($M$112,A569)))</xm:f>
            <xm:f>$M$112</xm:f>
            <x14:dxf>
              <font>
                <b/>
                <i/>
                <color theme="0"/>
              </font>
              <fill>
                <patternFill>
                  <bgColor theme="1"/>
                </patternFill>
              </fill>
            </x14:dxf>
          </x14:cfRule>
          <x14:cfRule type="containsText" priority="492" operator="containsText" id="{82BE6B0B-FD1F-4467-887F-6591A23F1777}">
            <xm:f>NOT(ISERROR(SEARCH($M$111,A569)))</xm:f>
            <xm:f>$M$111</xm:f>
            <x14:dxf>
              <font>
                <b/>
                <i/>
                <color theme="0"/>
              </font>
              <fill>
                <patternFill>
                  <bgColor theme="1"/>
                </patternFill>
              </fill>
            </x14:dxf>
          </x14:cfRule>
          <x14:cfRule type="containsText" priority="493" operator="containsText" id="{0F73206A-9D9D-4A23-850C-B3D819BEEEBD}">
            <xm:f>NOT(ISERROR(SEARCH($M$110,A569)))</xm:f>
            <xm:f>$M$110</xm:f>
            <x14:dxf>
              <font>
                <b/>
                <i/>
                <color theme="0"/>
              </font>
              <fill>
                <patternFill>
                  <bgColor theme="1"/>
                </patternFill>
              </fill>
            </x14:dxf>
          </x14:cfRule>
          <xm:sqref>A569:A580</xm:sqref>
        </x14:conditionalFormatting>
        <x14:conditionalFormatting xmlns:xm="http://schemas.microsoft.com/office/excel/2006/main">
          <x14:cfRule type="containsText" priority="465" operator="containsText" id="{620F74E6-4DAD-47E2-A3E3-D376670F0D75}">
            <xm:f>NOT(ISERROR(SEARCH($M$107,A556)))</xm:f>
            <xm:f>$M$107</xm:f>
            <x14:dxf>
              <font>
                <b/>
                <i/>
                <color theme="0"/>
              </font>
              <fill>
                <patternFill>
                  <bgColor theme="1"/>
                </patternFill>
              </fill>
            </x14:dxf>
          </x14:cfRule>
          <xm:sqref>A556:A567</xm:sqref>
        </x14:conditionalFormatting>
        <x14:conditionalFormatting xmlns:xm="http://schemas.microsoft.com/office/excel/2006/main">
          <x14:cfRule type="containsText" priority="463" operator="containsText" id="{FE0B5335-F773-45D4-9411-CB456F8D2475}">
            <xm:f>NOT(ISERROR(SEARCH($M$109,A556)))</xm:f>
            <xm:f>$M$109</xm:f>
            <x14:dxf>
              <font>
                <b/>
                <i/>
                <color theme="0"/>
              </font>
              <fill>
                <patternFill>
                  <bgColor theme="1"/>
                </patternFill>
              </fill>
            </x14:dxf>
          </x14:cfRule>
          <x14:cfRule type="containsText" priority="464" operator="containsText" id="{D3393A71-7616-4CC8-A680-7A05C5729F09}">
            <xm:f>NOT(ISERROR(SEARCH($M$108,A556)))</xm:f>
            <xm:f>$M$108</xm:f>
            <x14:dxf>
              <font>
                <color theme="0"/>
              </font>
              <fill>
                <patternFill>
                  <bgColor theme="1"/>
                </patternFill>
              </fill>
            </x14:dxf>
          </x14:cfRule>
          <xm:sqref>A556:A567</xm:sqref>
        </x14:conditionalFormatting>
        <x14:conditionalFormatting xmlns:xm="http://schemas.microsoft.com/office/excel/2006/main">
          <x14:cfRule type="containsText" priority="436" operator="containsText" id="{5A856321-A955-466F-A875-4B35A54C2152}">
            <xm:f>NOT(ISERROR(SEARCH($M$136,A556)))</xm:f>
            <xm:f>$M$136</xm:f>
            <x14:dxf>
              <font>
                <b/>
                <i/>
                <color theme="0"/>
              </font>
              <fill>
                <patternFill>
                  <bgColor theme="1"/>
                </patternFill>
              </fill>
            </x14:dxf>
          </x14:cfRule>
          <x14:cfRule type="containsText" priority="437" operator="containsText" id="{CA571E6C-7F7D-4DAD-AC18-950A940BD1D0}">
            <xm:f>NOT(ISERROR(SEARCH($M$135,A556)))</xm:f>
            <xm:f>$M$135</xm:f>
            <x14:dxf>
              <font>
                <b/>
                <i/>
                <color theme="0"/>
              </font>
              <fill>
                <patternFill>
                  <bgColor theme="1"/>
                </patternFill>
              </fill>
            </x14:dxf>
          </x14:cfRule>
          <x14:cfRule type="containsText" priority="438" operator="containsText" id="{E5F285F9-9865-42BF-A32D-ADDEBFF28177}">
            <xm:f>NOT(ISERROR(SEARCH($M$134,A556)))</xm:f>
            <xm:f>$M$134</xm:f>
            <x14:dxf>
              <font>
                <b/>
                <i/>
                <color theme="0"/>
              </font>
              <fill>
                <patternFill>
                  <bgColor theme="1"/>
                </patternFill>
              </fill>
            </x14:dxf>
          </x14:cfRule>
          <x14:cfRule type="containsText" priority="439" operator="containsText" id="{11A96F59-3AF2-4F45-9B17-9B8462C5B58D}">
            <xm:f>NOT(ISERROR(SEARCH($M$133,A556)))</xm:f>
            <xm:f>$M$133</xm:f>
            <x14:dxf>
              <font>
                <b/>
                <i/>
                <color theme="0"/>
              </font>
              <fill>
                <patternFill>
                  <bgColor theme="1"/>
                </patternFill>
              </fill>
            </x14:dxf>
          </x14:cfRule>
          <x14:cfRule type="containsText" priority="440" operator="containsText" id="{09FA545B-40B2-4A7A-B2F3-63DF3E6A55CE}">
            <xm:f>NOT(ISERROR(SEARCH($M$132,A556)))</xm:f>
            <xm:f>$M$132</xm:f>
            <x14:dxf>
              <font>
                <b/>
                <i/>
                <color theme="0"/>
              </font>
              <fill>
                <patternFill>
                  <bgColor theme="1"/>
                </patternFill>
              </fill>
            </x14:dxf>
          </x14:cfRule>
          <x14:cfRule type="containsText" priority="441" operator="containsText" id="{8D82260E-1407-4761-A326-5BF763778533}">
            <xm:f>NOT(ISERROR(SEARCH($M$131,A556)))</xm:f>
            <xm:f>$M$131</xm:f>
            <x14:dxf>
              <font>
                <b/>
                <i/>
                <color theme="0"/>
              </font>
              <fill>
                <patternFill>
                  <bgColor theme="1"/>
                </patternFill>
              </fill>
            </x14:dxf>
          </x14:cfRule>
          <x14:cfRule type="containsText" priority="442" operator="containsText" id="{264A041A-0D7D-4E3A-8F55-8BDEF4F380BB}">
            <xm:f>NOT(ISERROR(SEARCH($M$130,A556)))</xm:f>
            <xm:f>$M$130</xm:f>
            <x14:dxf>
              <font>
                <b/>
                <i/>
                <color theme="0"/>
              </font>
              <fill>
                <patternFill>
                  <bgColor theme="1"/>
                </patternFill>
              </fill>
            </x14:dxf>
          </x14:cfRule>
          <x14:cfRule type="containsText" priority="443" operator="containsText" id="{C68B32D5-D182-49C2-A349-8C5873D7424F}">
            <xm:f>NOT(ISERROR(SEARCH($M$129,A556)))</xm:f>
            <xm:f>$M$129</xm:f>
            <x14:dxf>
              <font>
                <b/>
                <i/>
                <color theme="0"/>
              </font>
              <fill>
                <patternFill>
                  <bgColor theme="1"/>
                </patternFill>
              </fill>
            </x14:dxf>
          </x14:cfRule>
          <x14:cfRule type="containsText" priority="444" operator="containsText" id="{159191FD-1BAC-495C-BCE0-958938214E25}">
            <xm:f>NOT(ISERROR(SEARCH($M$128,A556)))</xm:f>
            <xm:f>$M$128</xm:f>
            <x14:dxf>
              <font>
                <b/>
                <i/>
                <color theme="0"/>
              </font>
              <fill>
                <patternFill>
                  <bgColor theme="1"/>
                </patternFill>
              </fill>
            </x14:dxf>
          </x14:cfRule>
          <x14:cfRule type="containsText" priority="445" operator="containsText" id="{8E52C8F2-56B4-4066-9441-F1EE275A6873}">
            <xm:f>NOT(ISERROR(SEARCH($M$127,A556)))</xm:f>
            <xm:f>$M$127</xm:f>
            <x14:dxf>
              <font>
                <b/>
                <i/>
                <color theme="0"/>
              </font>
              <fill>
                <patternFill>
                  <bgColor theme="1"/>
                </patternFill>
              </fill>
            </x14:dxf>
          </x14:cfRule>
          <x14:cfRule type="containsText" priority="446" operator="containsText" id="{042E8386-E559-4AE2-879E-5C8EB74E944A}">
            <xm:f>NOT(ISERROR(SEARCH($M$126,A556)))</xm:f>
            <xm:f>$M$126</xm:f>
            <x14:dxf>
              <font>
                <b/>
                <i/>
                <color theme="0"/>
              </font>
              <fill>
                <patternFill>
                  <bgColor theme="1"/>
                </patternFill>
              </fill>
            </x14:dxf>
          </x14:cfRule>
          <x14:cfRule type="containsText" priority="447" operator="containsText" id="{BB6299E9-AF04-4615-B936-E1F2B866D37B}">
            <xm:f>NOT(ISERROR(SEARCH($M$125,A556)))</xm:f>
            <xm:f>$M$125</xm:f>
            <x14:dxf>
              <font>
                <b/>
                <i/>
                <color theme="0"/>
              </font>
              <fill>
                <patternFill>
                  <bgColor theme="1"/>
                </patternFill>
              </fill>
            </x14:dxf>
          </x14:cfRule>
          <x14:cfRule type="containsText" priority="448" operator="containsText" id="{5D5255AA-8F23-4CCF-87F1-ECD093E595DF}">
            <xm:f>NOT(ISERROR(SEARCH($M$124,A556)))</xm:f>
            <xm:f>$M$124</xm:f>
            <x14:dxf>
              <font>
                <b/>
                <i/>
                <color theme="0"/>
              </font>
              <fill>
                <patternFill>
                  <bgColor theme="1"/>
                </patternFill>
              </fill>
            </x14:dxf>
          </x14:cfRule>
          <x14:cfRule type="containsText" priority="449" operator="containsText" id="{C31A9242-420B-42AB-B713-926665A7D7E8}">
            <xm:f>NOT(ISERROR(SEARCH($M$123,A556)))</xm:f>
            <xm:f>$M$123</xm:f>
            <x14:dxf>
              <font>
                <b/>
                <i/>
                <color theme="0"/>
              </font>
              <fill>
                <patternFill>
                  <bgColor theme="1"/>
                </patternFill>
              </fill>
            </x14:dxf>
          </x14:cfRule>
          <x14:cfRule type="containsText" priority="450" operator="containsText" id="{C93A31A5-0A99-4EDC-BC1D-B734E18169F1}">
            <xm:f>NOT(ISERROR(SEARCH($M$122,A556)))</xm:f>
            <xm:f>$M$122</xm:f>
            <x14:dxf>
              <font>
                <b/>
                <i/>
                <color theme="0"/>
              </font>
              <fill>
                <patternFill>
                  <bgColor theme="1"/>
                </patternFill>
              </fill>
            </x14:dxf>
          </x14:cfRule>
          <x14:cfRule type="containsText" priority="451" operator="containsText" id="{734EC8C9-40C4-41B8-82D2-235124B5D24E}">
            <xm:f>NOT(ISERROR(SEARCH($M$121,A556)))</xm:f>
            <xm:f>$M$121</xm:f>
            <x14:dxf>
              <font>
                <b/>
                <i/>
                <color theme="0"/>
              </font>
              <fill>
                <patternFill>
                  <bgColor theme="1"/>
                </patternFill>
              </fill>
            </x14:dxf>
          </x14:cfRule>
          <x14:cfRule type="containsText" priority="452" operator="containsText" id="{E1CBE164-7130-4B85-A761-00773D33F612}">
            <xm:f>NOT(ISERROR(SEARCH($M$120,A556)))</xm:f>
            <xm:f>$M$120</xm:f>
            <x14:dxf>
              <font>
                <b/>
                <i/>
                <color theme="0"/>
              </font>
              <fill>
                <patternFill>
                  <bgColor theme="1"/>
                </patternFill>
              </fill>
            </x14:dxf>
          </x14:cfRule>
          <x14:cfRule type="containsText" priority="453" operator="containsText" id="{F2AD1431-08C0-48C0-8A7D-A9DD9507002F}">
            <xm:f>NOT(ISERROR(SEARCH($M$119,A556)))</xm:f>
            <xm:f>$M$119</xm:f>
            <x14:dxf>
              <font>
                <b/>
                <i/>
                <color theme="0"/>
              </font>
              <fill>
                <patternFill>
                  <bgColor theme="1"/>
                </patternFill>
              </fill>
            </x14:dxf>
          </x14:cfRule>
          <x14:cfRule type="containsText" priority="454" operator="containsText" id="{B573DB60-2056-4D1A-AF0C-3D95E086CA72}">
            <xm:f>NOT(ISERROR(SEARCH($M$118,A556)))</xm:f>
            <xm:f>$M$118</xm:f>
            <x14:dxf>
              <font>
                <b/>
                <i/>
                <color theme="0"/>
              </font>
              <fill>
                <patternFill>
                  <bgColor theme="1"/>
                </patternFill>
              </fill>
            </x14:dxf>
          </x14:cfRule>
          <x14:cfRule type="containsText" priority="455" operator="containsText" id="{136270D9-1127-47BF-84C9-66F6B806D4CA}">
            <xm:f>NOT(ISERROR(SEARCH($M$117,A556)))</xm:f>
            <xm:f>$M$117</xm:f>
            <x14:dxf>
              <font>
                <b/>
                <i/>
                <color theme="0"/>
              </font>
              <fill>
                <patternFill>
                  <bgColor theme="1"/>
                </patternFill>
              </fill>
            </x14:dxf>
          </x14:cfRule>
          <x14:cfRule type="containsText" priority="456" operator="containsText" id="{4E0ED8F4-90A7-4EBC-AF53-96FBD41FBE04}">
            <xm:f>NOT(ISERROR(SEARCH($M$116,A556)))</xm:f>
            <xm:f>$M$116</xm:f>
            <x14:dxf>
              <font>
                <b/>
                <i/>
                <color theme="0"/>
              </font>
              <fill>
                <patternFill>
                  <bgColor theme="1"/>
                </patternFill>
              </fill>
            </x14:dxf>
          </x14:cfRule>
          <x14:cfRule type="containsText" priority="457" operator="containsText" id="{94832426-CD87-4A12-8182-3C5292514396}">
            <xm:f>NOT(ISERROR(SEARCH($M$115,A556)))</xm:f>
            <xm:f>$M$115</xm:f>
            <x14:dxf>
              <font>
                <b/>
                <i/>
                <color theme="0"/>
              </font>
              <fill>
                <patternFill>
                  <bgColor theme="1"/>
                </patternFill>
              </fill>
            </x14:dxf>
          </x14:cfRule>
          <x14:cfRule type="containsText" priority="458" operator="containsText" id="{B54D3628-EEA0-4DA4-A542-65E9530386FA}">
            <xm:f>NOT(ISERROR(SEARCH($M$114,A556)))</xm:f>
            <xm:f>$M$114</xm:f>
            <x14:dxf>
              <font>
                <b/>
                <i/>
                <color theme="0"/>
              </font>
              <fill>
                <patternFill>
                  <bgColor theme="1"/>
                </patternFill>
              </fill>
            </x14:dxf>
          </x14:cfRule>
          <x14:cfRule type="containsText" priority="459" operator="containsText" id="{29288FE5-3FCF-479C-A01E-0D1A2115A4EB}">
            <xm:f>NOT(ISERROR(SEARCH($M$113,A556)))</xm:f>
            <xm:f>$M$113</xm:f>
            <x14:dxf>
              <font>
                <b/>
                <i/>
                <color theme="0"/>
              </font>
              <fill>
                <patternFill>
                  <bgColor theme="1"/>
                </patternFill>
              </fill>
            </x14:dxf>
          </x14:cfRule>
          <x14:cfRule type="containsText" priority="460" operator="containsText" id="{859B3D68-4171-433E-AC57-379E817130FC}">
            <xm:f>NOT(ISERROR(SEARCH($M$112,A556)))</xm:f>
            <xm:f>$M$112</xm:f>
            <x14:dxf>
              <font>
                <b/>
                <i/>
                <color theme="0"/>
              </font>
              <fill>
                <patternFill>
                  <bgColor theme="1"/>
                </patternFill>
              </fill>
            </x14:dxf>
          </x14:cfRule>
          <x14:cfRule type="containsText" priority="461" operator="containsText" id="{65F6C18D-E685-4575-A3C9-01D09E9B928C}">
            <xm:f>NOT(ISERROR(SEARCH($M$111,A556)))</xm:f>
            <xm:f>$M$111</xm:f>
            <x14:dxf>
              <font>
                <b/>
                <i/>
                <color theme="0"/>
              </font>
              <fill>
                <patternFill>
                  <bgColor theme="1"/>
                </patternFill>
              </fill>
            </x14:dxf>
          </x14:cfRule>
          <x14:cfRule type="containsText" priority="462" operator="containsText" id="{0EAC8E42-3D0D-4595-B3E0-2268260D0F6A}">
            <xm:f>NOT(ISERROR(SEARCH($M$110,A556)))</xm:f>
            <xm:f>$M$110</xm:f>
            <x14:dxf>
              <font>
                <b/>
                <i/>
                <color theme="0"/>
              </font>
              <fill>
                <patternFill>
                  <bgColor theme="1"/>
                </patternFill>
              </fill>
            </x14:dxf>
          </x14:cfRule>
          <xm:sqref>A556:A567</xm:sqref>
        </x14:conditionalFormatting>
        <x14:conditionalFormatting xmlns:xm="http://schemas.microsoft.com/office/excel/2006/main">
          <x14:cfRule type="containsText" priority="434" operator="containsText" id="{F5EEB7A2-1694-43A4-8ADE-C3084292F4F0}">
            <xm:f>NOT(ISERROR(SEARCH($M$107,A507)))</xm:f>
            <xm:f>$M$107</xm:f>
            <x14:dxf>
              <font>
                <b/>
                <i/>
                <color theme="0"/>
              </font>
              <fill>
                <patternFill>
                  <bgColor theme="1"/>
                </patternFill>
              </fill>
            </x14:dxf>
          </x14:cfRule>
          <xm:sqref>A507:A518</xm:sqref>
        </x14:conditionalFormatting>
        <x14:conditionalFormatting xmlns:xm="http://schemas.microsoft.com/office/excel/2006/main">
          <x14:cfRule type="containsText" priority="432" operator="containsText" id="{8692A28F-885E-4784-A704-9B75FC4A4E8B}">
            <xm:f>NOT(ISERROR(SEARCH($M$109,A507)))</xm:f>
            <xm:f>$M$109</xm:f>
            <x14:dxf>
              <font>
                <b/>
                <i/>
                <color theme="0"/>
              </font>
              <fill>
                <patternFill>
                  <bgColor theme="1"/>
                </patternFill>
              </fill>
            </x14:dxf>
          </x14:cfRule>
          <x14:cfRule type="containsText" priority="433" operator="containsText" id="{CCB5C93C-28A4-4578-B370-94173D9F4D00}">
            <xm:f>NOT(ISERROR(SEARCH($M$108,A507)))</xm:f>
            <xm:f>$M$108</xm:f>
            <x14:dxf>
              <font>
                <color theme="0"/>
              </font>
              <fill>
                <patternFill>
                  <bgColor theme="1"/>
                </patternFill>
              </fill>
            </x14:dxf>
          </x14:cfRule>
          <xm:sqref>A507:A518</xm:sqref>
        </x14:conditionalFormatting>
        <x14:conditionalFormatting xmlns:xm="http://schemas.microsoft.com/office/excel/2006/main">
          <x14:cfRule type="containsText" priority="405" operator="containsText" id="{134667AA-1489-4175-ABE7-DE235F1673EF}">
            <xm:f>NOT(ISERROR(SEARCH($M$136,A507)))</xm:f>
            <xm:f>$M$136</xm:f>
            <x14:dxf>
              <font>
                <b/>
                <i/>
                <color theme="0"/>
              </font>
              <fill>
                <patternFill>
                  <bgColor theme="1"/>
                </patternFill>
              </fill>
            </x14:dxf>
          </x14:cfRule>
          <x14:cfRule type="containsText" priority="406" operator="containsText" id="{3F1694CA-D625-4C69-A14B-F19F33FE16D2}">
            <xm:f>NOT(ISERROR(SEARCH($M$135,A507)))</xm:f>
            <xm:f>$M$135</xm:f>
            <x14:dxf>
              <font>
                <b/>
                <i/>
                <color theme="0"/>
              </font>
              <fill>
                <patternFill>
                  <bgColor theme="1"/>
                </patternFill>
              </fill>
            </x14:dxf>
          </x14:cfRule>
          <x14:cfRule type="containsText" priority="407" operator="containsText" id="{5F1C5A42-BB37-4615-AD1F-078C2033AB21}">
            <xm:f>NOT(ISERROR(SEARCH($M$134,A507)))</xm:f>
            <xm:f>$M$134</xm:f>
            <x14:dxf>
              <font>
                <b/>
                <i/>
                <color theme="0"/>
              </font>
              <fill>
                <patternFill>
                  <bgColor theme="1"/>
                </patternFill>
              </fill>
            </x14:dxf>
          </x14:cfRule>
          <x14:cfRule type="containsText" priority="408" operator="containsText" id="{8CE59CDA-3F87-422C-BBD0-5338BA5F63B6}">
            <xm:f>NOT(ISERROR(SEARCH($M$133,A507)))</xm:f>
            <xm:f>$M$133</xm:f>
            <x14:dxf>
              <font>
                <b/>
                <i/>
                <color theme="0"/>
              </font>
              <fill>
                <patternFill>
                  <bgColor theme="1"/>
                </patternFill>
              </fill>
            </x14:dxf>
          </x14:cfRule>
          <x14:cfRule type="containsText" priority="409" operator="containsText" id="{DD790C1F-C665-4231-A777-3D4089724252}">
            <xm:f>NOT(ISERROR(SEARCH($M$132,A507)))</xm:f>
            <xm:f>$M$132</xm:f>
            <x14:dxf>
              <font>
                <b/>
                <i/>
                <color theme="0"/>
              </font>
              <fill>
                <patternFill>
                  <bgColor theme="1"/>
                </patternFill>
              </fill>
            </x14:dxf>
          </x14:cfRule>
          <x14:cfRule type="containsText" priority="410" operator="containsText" id="{6C175AC5-5E8E-48FE-8D16-1C7CF798CBCC}">
            <xm:f>NOT(ISERROR(SEARCH($M$131,A507)))</xm:f>
            <xm:f>$M$131</xm:f>
            <x14:dxf>
              <font>
                <b/>
                <i/>
                <color theme="0"/>
              </font>
              <fill>
                <patternFill>
                  <bgColor theme="1"/>
                </patternFill>
              </fill>
            </x14:dxf>
          </x14:cfRule>
          <x14:cfRule type="containsText" priority="411" operator="containsText" id="{9FEAACA3-3C4E-4FBF-9C85-EEE402C3094F}">
            <xm:f>NOT(ISERROR(SEARCH($M$130,A507)))</xm:f>
            <xm:f>$M$130</xm:f>
            <x14:dxf>
              <font>
                <b/>
                <i/>
                <color theme="0"/>
              </font>
              <fill>
                <patternFill>
                  <bgColor theme="1"/>
                </patternFill>
              </fill>
            </x14:dxf>
          </x14:cfRule>
          <x14:cfRule type="containsText" priority="412" operator="containsText" id="{89B79F40-5DF4-49E5-B638-F49D28953401}">
            <xm:f>NOT(ISERROR(SEARCH($M$129,A507)))</xm:f>
            <xm:f>$M$129</xm:f>
            <x14:dxf>
              <font>
                <b/>
                <i/>
                <color theme="0"/>
              </font>
              <fill>
                <patternFill>
                  <bgColor theme="1"/>
                </patternFill>
              </fill>
            </x14:dxf>
          </x14:cfRule>
          <x14:cfRule type="containsText" priority="413" operator="containsText" id="{00125C17-AA88-406E-8E5F-B3833B99DBFB}">
            <xm:f>NOT(ISERROR(SEARCH($M$128,A507)))</xm:f>
            <xm:f>$M$128</xm:f>
            <x14:dxf>
              <font>
                <b/>
                <i/>
                <color theme="0"/>
              </font>
              <fill>
                <patternFill>
                  <bgColor theme="1"/>
                </patternFill>
              </fill>
            </x14:dxf>
          </x14:cfRule>
          <x14:cfRule type="containsText" priority="414" operator="containsText" id="{FB0AEF89-843D-4B7C-8E04-B1A823814BA6}">
            <xm:f>NOT(ISERROR(SEARCH($M$127,A507)))</xm:f>
            <xm:f>$M$127</xm:f>
            <x14:dxf>
              <font>
                <b/>
                <i/>
                <color theme="0"/>
              </font>
              <fill>
                <patternFill>
                  <bgColor theme="1"/>
                </patternFill>
              </fill>
            </x14:dxf>
          </x14:cfRule>
          <x14:cfRule type="containsText" priority="415" operator="containsText" id="{2D91AAEA-85E7-4331-84A1-516929ABAD56}">
            <xm:f>NOT(ISERROR(SEARCH($M$126,A507)))</xm:f>
            <xm:f>$M$126</xm:f>
            <x14:dxf>
              <font>
                <b/>
                <i/>
                <color theme="0"/>
              </font>
              <fill>
                <patternFill>
                  <bgColor theme="1"/>
                </patternFill>
              </fill>
            </x14:dxf>
          </x14:cfRule>
          <x14:cfRule type="containsText" priority="416" operator="containsText" id="{A35F275F-1D2E-4C0A-86AB-BEE9B0E55D85}">
            <xm:f>NOT(ISERROR(SEARCH($M$125,A507)))</xm:f>
            <xm:f>$M$125</xm:f>
            <x14:dxf>
              <font>
                <b/>
                <i/>
                <color theme="0"/>
              </font>
              <fill>
                <patternFill>
                  <bgColor theme="1"/>
                </patternFill>
              </fill>
            </x14:dxf>
          </x14:cfRule>
          <x14:cfRule type="containsText" priority="417" operator="containsText" id="{42E0990B-BF19-46A7-A37E-0D3B865BB34C}">
            <xm:f>NOT(ISERROR(SEARCH($M$124,A507)))</xm:f>
            <xm:f>$M$124</xm:f>
            <x14:dxf>
              <font>
                <b/>
                <i/>
                <color theme="0"/>
              </font>
              <fill>
                <patternFill>
                  <bgColor theme="1"/>
                </patternFill>
              </fill>
            </x14:dxf>
          </x14:cfRule>
          <x14:cfRule type="containsText" priority="418" operator="containsText" id="{319B1FAE-0088-435B-8155-DDBBB44488D6}">
            <xm:f>NOT(ISERROR(SEARCH($M$123,A507)))</xm:f>
            <xm:f>$M$123</xm:f>
            <x14:dxf>
              <font>
                <b/>
                <i/>
                <color theme="0"/>
              </font>
              <fill>
                <patternFill>
                  <bgColor theme="1"/>
                </patternFill>
              </fill>
            </x14:dxf>
          </x14:cfRule>
          <x14:cfRule type="containsText" priority="419" operator="containsText" id="{2E289C1D-20E4-4541-8C0D-B06A95DA43BF}">
            <xm:f>NOT(ISERROR(SEARCH($M$122,A507)))</xm:f>
            <xm:f>$M$122</xm:f>
            <x14:dxf>
              <font>
                <b/>
                <i/>
                <color theme="0"/>
              </font>
              <fill>
                <patternFill>
                  <bgColor theme="1"/>
                </patternFill>
              </fill>
            </x14:dxf>
          </x14:cfRule>
          <x14:cfRule type="containsText" priority="420" operator="containsText" id="{4ABAA06E-B93E-4539-986C-EC1C70754E3B}">
            <xm:f>NOT(ISERROR(SEARCH($M$121,A507)))</xm:f>
            <xm:f>$M$121</xm:f>
            <x14:dxf>
              <font>
                <b/>
                <i/>
                <color theme="0"/>
              </font>
              <fill>
                <patternFill>
                  <bgColor theme="1"/>
                </patternFill>
              </fill>
            </x14:dxf>
          </x14:cfRule>
          <x14:cfRule type="containsText" priority="421" operator="containsText" id="{B7D6850A-ABF8-4B2A-BF7A-550584393005}">
            <xm:f>NOT(ISERROR(SEARCH($M$120,A507)))</xm:f>
            <xm:f>$M$120</xm:f>
            <x14:dxf>
              <font>
                <b/>
                <i/>
                <color theme="0"/>
              </font>
              <fill>
                <patternFill>
                  <bgColor theme="1"/>
                </patternFill>
              </fill>
            </x14:dxf>
          </x14:cfRule>
          <x14:cfRule type="containsText" priority="422" operator="containsText" id="{A0A01BBD-4C8B-4D25-8CB1-40BA8749E3C7}">
            <xm:f>NOT(ISERROR(SEARCH($M$119,A507)))</xm:f>
            <xm:f>$M$119</xm:f>
            <x14:dxf>
              <font>
                <b/>
                <i/>
                <color theme="0"/>
              </font>
              <fill>
                <patternFill>
                  <bgColor theme="1"/>
                </patternFill>
              </fill>
            </x14:dxf>
          </x14:cfRule>
          <x14:cfRule type="containsText" priority="423" operator="containsText" id="{ECF138FF-CD5A-4E83-94AE-B5BDD1AEA2D8}">
            <xm:f>NOT(ISERROR(SEARCH($M$118,A507)))</xm:f>
            <xm:f>$M$118</xm:f>
            <x14:dxf>
              <font>
                <b/>
                <i/>
                <color theme="0"/>
              </font>
              <fill>
                <patternFill>
                  <bgColor theme="1"/>
                </patternFill>
              </fill>
            </x14:dxf>
          </x14:cfRule>
          <x14:cfRule type="containsText" priority="424" operator="containsText" id="{A3A4A09D-830A-463E-BF6E-F5389A7D1B2D}">
            <xm:f>NOT(ISERROR(SEARCH($M$117,A507)))</xm:f>
            <xm:f>$M$117</xm:f>
            <x14:dxf>
              <font>
                <b/>
                <i/>
                <color theme="0"/>
              </font>
              <fill>
                <patternFill>
                  <bgColor theme="1"/>
                </patternFill>
              </fill>
            </x14:dxf>
          </x14:cfRule>
          <x14:cfRule type="containsText" priority="425" operator="containsText" id="{7679DDCE-A72B-490E-AAB8-89957FEFFB85}">
            <xm:f>NOT(ISERROR(SEARCH($M$116,A507)))</xm:f>
            <xm:f>$M$116</xm:f>
            <x14:dxf>
              <font>
                <b/>
                <i/>
                <color theme="0"/>
              </font>
              <fill>
                <patternFill>
                  <bgColor theme="1"/>
                </patternFill>
              </fill>
            </x14:dxf>
          </x14:cfRule>
          <x14:cfRule type="containsText" priority="426" operator="containsText" id="{538B1A99-27AC-4509-87F1-08575B6E1574}">
            <xm:f>NOT(ISERROR(SEARCH($M$115,A507)))</xm:f>
            <xm:f>$M$115</xm:f>
            <x14:dxf>
              <font>
                <b/>
                <i/>
                <color theme="0"/>
              </font>
              <fill>
                <patternFill>
                  <bgColor theme="1"/>
                </patternFill>
              </fill>
            </x14:dxf>
          </x14:cfRule>
          <x14:cfRule type="containsText" priority="427" operator="containsText" id="{C94016BC-AAD8-46AE-B88D-1CD509AAD1BC}">
            <xm:f>NOT(ISERROR(SEARCH($M$114,A507)))</xm:f>
            <xm:f>$M$114</xm:f>
            <x14:dxf>
              <font>
                <b/>
                <i/>
                <color theme="0"/>
              </font>
              <fill>
                <patternFill>
                  <bgColor theme="1"/>
                </patternFill>
              </fill>
            </x14:dxf>
          </x14:cfRule>
          <x14:cfRule type="containsText" priority="428" operator="containsText" id="{6F39854D-0F9A-4C0E-974A-B66EFCBE4972}">
            <xm:f>NOT(ISERROR(SEARCH($M$113,A507)))</xm:f>
            <xm:f>$M$113</xm:f>
            <x14:dxf>
              <font>
                <b/>
                <i/>
                <color theme="0"/>
              </font>
              <fill>
                <patternFill>
                  <bgColor theme="1"/>
                </patternFill>
              </fill>
            </x14:dxf>
          </x14:cfRule>
          <x14:cfRule type="containsText" priority="429" operator="containsText" id="{83F317BB-2AB3-48E3-8271-0CE0E56BA0FD}">
            <xm:f>NOT(ISERROR(SEARCH($M$112,A507)))</xm:f>
            <xm:f>$M$112</xm:f>
            <x14:dxf>
              <font>
                <b/>
                <i/>
                <color theme="0"/>
              </font>
              <fill>
                <patternFill>
                  <bgColor theme="1"/>
                </patternFill>
              </fill>
            </x14:dxf>
          </x14:cfRule>
          <x14:cfRule type="containsText" priority="430" operator="containsText" id="{96364473-C589-4CBA-A82C-2838252A815C}">
            <xm:f>NOT(ISERROR(SEARCH($M$111,A507)))</xm:f>
            <xm:f>$M$111</xm:f>
            <x14:dxf>
              <font>
                <b/>
                <i/>
                <color theme="0"/>
              </font>
              <fill>
                <patternFill>
                  <bgColor theme="1"/>
                </patternFill>
              </fill>
            </x14:dxf>
          </x14:cfRule>
          <x14:cfRule type="containsText" priority="431" operator="containsText" id="{BBF8FD9D-C2F9-435D-840D-7A7B94735572}">
            <xm:f>NOT(ISERROR(SEARCH($M$110,A507)))</xm:f>
            <xm:f>$M$110</xm:f>
            <x14:dxf>
              <font>
                <b/>
                <i/>
                <color theme="0"/>
              </font>
              <fill>
                <patternFill>
                  <bgColor theme="1"/>
                </patternFill>
              </fill>
            </x14:dxf>
          </x14:cfRule>
          <xm:sqref>A507:A518</xm:sqref>
        </x14:conditionalFormatting>
        <x14:conditionalFormatting xmlns:xm="http://schemas.microsoft.com/office/excel/2006/main">
          <x14:cfRule type="containsText" priority="403" operator="containsText" id="{69780F80-BFD7-4A19-9D64-9AA369F51D8D}">
            <xm:f>NOT(ISERROR(SEARCH($M$107,A494)))</xm:f>
            <xm:f>$M$107</xm:f>
            <x14:dxf>
              <font>
                <b/>
                <i/>
                <color theme="0"/>
              </font>
              <fill>
                <patternFill>
                  <bgColor theme="1"/>
                </patternFill>
              </fill>
            </x14:dxf>
          </x14:cfRule>
          <xm:sqref>A494:A505</xm:sqref>
        </x14:conditionalFormatting>
        <x14:conditionalFormatting xmlns:xm="http://schemas.microsoft.com/office/excel/2006/main">
          <x14:cfRule type="containsText" priority="401" operator="containsText" id="{B58B2F94-1CD1-4B02-8600-6EDC80066D29}">
            <xm:f>NOT(ISERROR(SEARCH($M$109,A494)))</xm:f>
            <xm:f>$M$109</xm:f>
            <x14:dxf>
              <font>
                <b/>
                <i/>
                <color theme="0"/>
              </font>
              <fill>
                <patternFill>
                  <bgColor theme="1"/>
                </patternFill>
              </fill>
            </x14:dxf>
          </x14:cfRule>
          <x14:cfRule type="containsText" priority="402" operator="containsText" id="{D15B9456-BD40-41EE-BA9F-C5D7A17DF7F2}">
            <xm:f>NOT(ISERROR(SEARCH($M$108,A494)))</xm:f>
            <xm:f>$M$108</xm:f>
            <x14:dxf>
              <font>
                <color theme="0"/>
              </font>
              <fill>
                <patternFill>
                  <bgColor theme="1"/>
                </patternFill>
              </fill>
            </x14:dxf>
          </x14:cfRule>
          <xm:sqref>A494:A505</xm:sqref>
        </x14:conditionalFormatting>
        <x14:conditionalFormatting xmlns:xm="http://schemas.microsoft.com/office/excel/2006/main">
          <x14:cfRule type="containsText" priority="374" operator="containsText" id="{0F15C976-E848-4D05-B537-B64254699DB3}">
            <xm:f>NOT(ISERROR(SEARCH($M$136,A494)))</xm:f>
            <xm:f>$M$136</xm:f>
            <x14:dxf>
              <font>
                <b/>
                <i/>
                <color theme="0"/>
              </font>
              <fill>
                <patternFill>
                  <bgColor theme="1"/>
                </patternFill>
              </fill>
            </x14:dxf>
          </x14:cfRule>
          <x14:cfRule type="containsText" priority="375" operator="containsText" id="{1656AEE4-49BA-4D08-B9B1-AF657EAAC17F}">
            <xm:f>NOT(ISERROR(SEARCH($M$135,A494)))</xm:f>
            <xm:f>$M$135</xm:f>
            <x14:dxf>
              <font>
                <b/>
                <i/>
                <color theme="0"/>
              </font>
              <fill>
                <patternFill>
                  <bgColor theme="1"/>
                </patternFill>
              </fill>
            </x14:dxf>
          </x14:cfRule>
          <x14:cfRule type="containsText" priority="376" operator="containsText" id="{F6A601DF-DCEB-4B66-B525-F0A6A330F86C}">
            <xm:f>NOT(ISERROR(SEARCH($M$134,A494)))</xm:f>
            <xm:f>$M$134</xm:f>
            <x14:dxf>
              <font>
                <b/>
                <i/>
                <color theme="0"/>
              </font>
              <fill>
                <patternFill>
                  <bgColor theme="1"/>
                </patternFill>
              </fill>
            </x14:dxf>
          </x14:cfRule>
          <x14:cfRule type="containsText" priority="377" operator="containsText" id="{9BFC13DB-D52E-4179-A331-EFDEE5D38166}">
            <xm:f>NOT(ISERROR(SEARCH($M$133,A494)))</xm:f>
            <xm:f>$M$133</xm:f>
            <x14:dxf>
              <font>
                <b/>
                <i/>
                <color theme="0"/>
              </font>
              <fill>
                <patternFill>
                  <bgColor theme="1"/>
                </patternFill>
              </fill>
            </x14:dxf>
          </x14:cfRule>
          <x14:cfRule type="containsText" priority="378" operator="containsText" id="{F6DAB5DD-6AA6-49EF-B5EA-ADB24348735B}">
            <xm:f>NOT(ISERROR(SEARCH($M$132,A494)))</xm:f>
            <xm:f>$M$132</xm:f>
            <x14:dxf>
              <font>
                <b/>
                <i/>
                <color theme="0"/>
              </font>
              <fill>
                <patternFill>
                  <bgColor theme="1"/>
                </patternFill>
              </fill>
            </x14:dxf>
          </x14:cfRule>
          <x14:cfRule type="containsText" priority="379" operator="containsText" id="{3659EA66-DFB9-4057-9319-704954377750}">
            <xm:f>NOT(ISERROR(SEARCH($M$131,A494)))</xm:f>
            <xm:f>$M$131</xm:f>
            <x14:dxf>
              <font>
                <b/>
                <i/>
                <color theme="0"/>
              </font>
              <fill>
                <patternFill>
                  <bgColor theme="1"/>
                </patternFill>
              </fill>
            </x14:dxf>
          </x14:cfRule>
          <x14:cfRule type="containsText" priority="380" operator="containsText" id="{0C7526C7-818A-4A53-A521-9774FD759ACF}">
            <xm:f>NOT(ISERROR(SEARCH($M$130,A494)))</xm:f>
            <xm:f>$M$130</xm:f>
            <x14:dxf>
              <font>
                <b/>
                <i/>
                <color theme="0"/>
              </font>
              <fill>
                <patternFill>
                  <bgColor theme="1"/>
                </patternFill>
              </fill>
            </x14:dxf>
          </x14:cfRule>
          <x14:cfRule type="containsText" priority="381" operator="containsText" id="{8D2F30F5-CA99-4A3F-941C-12DC4C7D8115}">
            <xm:f>NOT(ISERROR(SEARCH($M$129,A494)))</xm:f>
            <xm:f>$M$129</xm:f>
            <x14:dxf>
              <font>
                <b/>
                <i/>
                <color theme="0"/>
              </font>
              <fill>
                <patternFill>
                  <bgColor theme="1"/>
                </patternFill>
              </fill>
            </x14:dxf>
          </x14:cfRule>
          <x14:cfRule type="containsText" priority="382" operator="containsText" id="{6F3A73F3-FD16-4422-BFB1-AD086BE711A4}">
            <xm:f>NOT(ISERROR(SEARCH($M$128,A494)))</xm:f>
            <xm:f>$M$128</xm:f>
            <x14:dxf>
              <font>
                <b/>
                <i/>
                <color theme="0"/>
              </font>
              <fill>
                <patternFill>
                  <bgColor theme="1"/>
                </patternFill>
              </fill>
            </x14:dxf>
          </x14:cfRule>
          <x14:cfRule type="containsText" priority="383" operator="containsText" id="{A13769E2-6BCD-4E59-A0CC-08A93927F2FB}">
            <xm:f>NOT(ISERROR(SEARCH($M$127,A494)))</xm:f>
            <xm:f>$M$127</xm:f>
            <x14:dxf>
              <font>
                <b/>
                <i/>
                <color theme="0"/>
              </font>
              <fill>
                <patternFill>
                  <bgColor theme="1"/>
                </patternFill>
              </fill>
            </x14:dxf>
          </x14:cfRule>
          <x14:cfRule type="containsText" priority="384" operator="containsText" id="{A688BB76-33BB-4536-B740-6706EF7FBCEC}">
            <xm:f>NOT(ISERROR(SEARCH($M$126,A494)))</xm:f>
            <xm:f>$M$126</xm:f>
            <x14:dxf>
              <font>
                <b/>
                <i/>
                <color theme="0"/>
              </font>
              <fill>
                <patternFill>
                  <bgColor theme="1"/>
                </patternFill>
              </fill>
            </x14:dxf>
          </x14:cfRule>
          <x14:cfRule type="containsText" priority="385" operator="containsText" id="{7136FAF1-0F7F-4EC4-98CE-8AF65245669C}">
            <xm:f>NOT(ISERROR(SEARCH($M$125,A494)))</xm:f>
            <xm:f>$M$125</xm:f>
            <x14:dxf>
              <font>
                <b/>
                <i/>
                <color theme="0"/>
              </font>
              <fill>
                <patternFill>
                  <bgColor theme="1"/>
                </patternFill>
              </fill>
            </x14:dxf>
          </x14:cfRule>
          <x14:cfRule type="containsText" priority="386" operator="containsText" id="{8D5C0F1B-CBB0-4E8F-8685-EAD0A648F3C7}">
            <xm:f>NOT(ISERROR(SEARCH($M$124,A494)))</xm:f>
            <xm:f>$M$124</xm:f>
            <x14:dxf>
              <font>
                <b/>
                <i/>
                <color theme="0"/>
              </font>
              <fill>
                <patternFill>
                  <bgColor theme="1"/>
                </patternFill>
              </fill>
            </x14:dxf>
          </x14:cfRule>
          <x14:cfRule type="containsText" priority="387" operator="containsText" id="{F1EB6866-3CD4-4C42-8CE8-C5D422C1AC9B}">
            <xm:f>NOT(ISERROR(SEARCH($M$123,A494)))</xm:f>
            <xm:f>$M$123</xm:f>
            <x14:dxf>
              <font>
                <b/>
                <i/>
                <color theme="0"/>
              </font>
              <fill>
                <patternFill>
                  <bgColor theme="1"/>
                </patternFill>
              </fill>
            </x14:dxf>
          </x14:cfRule>
          <x14:cfRule type="containsText" priority="388" operator="containsText" id="{F306AE38-EBA2-4ABF-8CF3-E9DF635D8296}">
            <xm:f>NOT(ISERROR(SEARCH($M$122,A494)))</xm:f>
            <xm:f>$M$122</xm:f>
            <x14:dxf>
              <font>
                <b/>
                <i/>
                <color theme="0"/>
              </font>
              <fill>
                <patternFill>
                  <bgColor theme="1"/>
                </patternFill>
              </fill>
            </x14:dxf>
          </x14:cfRule>
          <x14:cfRule type="containsText" priority="389" operator="containsText" id="{BB759DAD-447A-4277-9E89-FAC8EF632ACB}">
            <xm:f>NOT(ISERROR(SEARCH($M$121,A494)))</xm:f>
            <xm:f>$M$121</xm:f>
            <x14:dxf>
              <font>
                <b/>
                <i/>
                <color theme="0"/>
              </font>
              <fill>
                <patternFill>
                  <bgColor theme="1"/>
                </patternFill>
              </fill>
            </x14:dxf>
          </x14:cfRule>
          <x14:cfRule type="containsText" priority="390" operator="containsText" id="{F5447A33-FD93-4CB3-8C59-569832063A50}">
            <xm:f>NOT(ISERROR(SEARCH($M$120,A494)))</xm:f>
            <xm:f>$M$120</xm:f>
            <x14:dxf>
              <font>
                <b/>
                <i/>
                <color theme="0"/>
              </font>
              <fill>
                <patternFill>
                  <bgColor theme="1"/>
                </patternFill>
              </fill>
            </x14:dxf>
          </x14:cfRule>
          <x14:cfRule type="containsText" priority="391" operator="containsText" id="{91722BD3-6B87-48CB-9F8D-1F9A57D1E9B4}">
            <xm:f>NOT(ISERROR(SEARCH($M$119,A494)))</xm:f>
            <xm:f>$M$119</xm:f>
            <x14:dxf>
              <font>
                <b/>
                <i/>
                <color theme="0"/>
              </font>
              <fill>
                <patternFill>
                  <bgColor theme="1"/>
                </patternFill>
              </fill>
            </x14:dxf>
          </x14:cfRule>
          <x14:cfRule type="containsText" priority="392" operator="containsText" id="{01B606C3-6AEC-48F9-B498-3570324443D5}">
            <xm:f>NOT(ISERROR(SEARCH($M$118,A494)))</xm:f>
            <xm:f>$M$118</xm:f>
            <x14:dxf>
              <font>
                <b/>
                <i/>
                <color theme="0"/>
              </font>
              <fill>
                <patternFill>
                  <bgColor theme="1"/>
                </patternFill>
              </fill>
            </x14:dxf>
          </x14:cfRule>
          <x14:cfRule type="containsText" priority="393" operator="containsText" id="{B59E8E72-F332-4569-8707-5460E4D92C50}">
            <xm:f>NOT(ISERROR(SEARCH($M$117,A494)))</xm:f>
            <xm:f>$M$117</xm:f>
            <x14:dxf>
              <font>
                <b/>
                <i/>
                <color theme="0"/>
              </font>
              <fill>
                <patternFill>
                  <bgColor theme="1"/>
                </patternFill>
              </fill>
            </x14:dxf>
          </x14:cfRule>
          <x14:cfRule type="containsText" priority="394" operator="containsText" id="{4F071CD6-CB9E-4790-8C54-48706F96C013}">
            <xm:f>NOT(ISERROR(SEARCH($M$116,A494)))</xm:f>
            <xm:f>$M$116</xm:f>
            <x14:dxf>
              <font>
                <b/>
                <i/>
                <color theme="0"/>
              </font>
              <fill>
                <patternFill>
                  <bgColor theme="1"/>
                </patternFill>
              </fill>
            </x14:dxf>
          </x14:cfRule>
          <x14:cfRule type="containsText" priority="395" operator="containsText" id="{135C5DF5-B737-4EB6-ADDB-8F6C435D43D8}">
            <xm:f>NOT(ISERROR(SEARCH($M$115,A494)))</xm:f>
            <xm:f>$M$115</xm:f>
            <x14:dxf>
              <font>
                <b/>
                <i/>
                <color theme="0"/>
              </font>
              <fill>
                <patternFill>
                  <bgColor theme="1"/>
                </patternFill>
              </fill>
            </x14:dxf>
          </x14:cfRule>
          <x14:cfRule type="containsText" priority="396" operator="containsText" id="{9E30092C-B9E3-4E0F-A37D-C879DD0F8624}">
            <xm:f>NOT(ISERROR(SEARCH($M$114,A494)))</xm:f>
            <xm:f>$M$114</xm:f>
            <x14:dxf>
              <font>
                <b/>
                <i/>
                <color theme="0"/>
              </font>
              <fill>
                <patternFill>
                  <bgColor theme="1"/>
                </patternFill>
              </fill>
            </x14:dxf>
          </x14:cfRule>
          <x14:cfRule type="containsText" priority="397" operator="containsText" id="{8C6A7718-40D0-4C54-955A-F1DD1A5880ED}">
            <xm:f>NOT(ISERROR(SEARCH($M$113,A494)))</xm:f>
            <xm:f>$M$113</xm:f>
            <x14:dxf>
              <font>
                <b/>
                <i/>
                <color theme="0"/>
              </font>
              <fill>
                <patternFill>
                  <bgColor theme="1"/>
                </patternFill>
              </fill>
            </x14:dxf>
          </x14:cfRule>
          <x14:cfRule type="containsText" priority="398" operator="containsText" id="{B168D1E9-8B71-413A-BAE0-D715863B4E6B}">
            <xm:f>NOT(ISERROR(SEARCH($M$112,A494)))</xm:f>
            <xm:f>$M$112</xm:f>
            <x14:dxf>
              <font>
                <b/>
                <i/>
                <color theme="0"/>
              </font>
              <fill>
                <patternFill>
                  <bgColor theme="1"/>
                </patternFill>
              </fill>
            </x14:dxf>
          </x14:cfRule>
          <x14:cfRule type="containsText" priority="399" operator="containsText" id="{3D2876DC-779C-4B12-ADF7-CFB0AE1D499F}">
            <xm:f>NOT(ISERROR(SEARCH($M$111,A494)))</xm:f>
            <xm:f>$M$111</xm:f>
            <x14:dxf>
              <font>
                <b/>
                <i/>
                <color theme="0"/>
              </font>
              <fill>
                <patternFill>
                  <bgColor theme="1"/>
                </patternFill>
              </fill>
            </x14:dxf>
          </x14:cfRule>
          <x14:cfRule type="containsText" priority="400" operator="containsText" id="{7E04691C-4A1D-4CB3-BABD-89D8CB0E0F88}">
            <xm:f>NOT(ISERROR(SEARCH($M$110,A494)))</xm:f>
            <xm:f>$M$110</xm:f>
            <x14:dxf>
              <font>
                <b/>
                <i/>
                <color theme="0"/>
              </font>
              <fill>
                <patternFill>
                  <bgColor theme="1"/>
                </patternFill>
              </fill>
            </x14:dxf>
          </x14:cfRule>
          <xm:sqref>A494:A505</xm:sqref>
        </x14:conditionalFormatting>
        <x14:conditionalFormatting xmlns:xm="http://schemas.microsoft.com/office/excel/2006/main">
          <x14:cfRule type="containsText" priority="372" operator="containsText" id="{92CB9146-129B-4093-ADC8-3E477ABE94AD}">
            <xm:f>NOT(ISERROR(SEARCH($M$107,A445)))</xm:f>
            <xm:f>$M$107</xm:f>
            <x14:dxf>
              <font>
                <b/>
                <i/>
                <color theme="0"/>
              </font>
              <fill>
                <patternFill>
                  <bgColor theme="1"/>
                </patternFill>
              </fill>
            </x14:dxf>
          </x14:cfRule>
          <xm:sqref>A445:A456</xm:sqref>
        </x14:conditionalFormatting>
        <x14:conditionalFormatting xmlns:xm="http://schemas.microsoft.com/office/excel/2006/main">
          <x14:cfRule type="containsText" priority="370" operator="containsText" id="{3817795B-EB54-43B5-84D1-EE56436BB950}">
            <xm:f>NOT(ISERROR(SEARCH($M$109,A445)))</xm:f>
            <xm:f>$M$109</xm:f>
            <x14:dxf>
              <font>
                <b/>
                <i/>
                <color theme="0"/>
              </font>
              <fill>
                <patternFill>
                  <bgColor theme="1"/>
                </patternFill>
              </fill>
            </x14:dxf>
          </x14:cfRule>
          <x14:cfRule type="containsText" priority="371" operator="containsText" id="{3FF7E52D-0A79-4F7F-A473-B2465896A38E}">
            <xm:f>NOT(ISERROR(SEARCH($M$108,A445)))</xm:f>
            <xm:f>$M$108</xm:f>
            <x14:dxf>
              <font>
                <color theme="0"/>
              </font>
              <fill>
                <patternFill>
                  <bgColor theme="1"/>
                </patternFill>
              </fill>
            </x14:dxf>
          </x14:cfRule>
          <xm:sqref>A445:A456</xm:sqref>
        </x14:conditionalFormatting>
        <x14:conditionalFormatting xmlns:xm="http://schemas.microsoft.com/office/excel/2006/main">
          <x14:cfRule type="containsText" priority="343" operator="containsText" id="{63BEC8DF-C932-4EEC-99FF-E03EEAE2AB88}">
            <xm:f>NOT(ISERROR(SEARCH($M$136,A445)))</xm:f>
            <xm:f>$M$136</xm:f>
            <x14:dxf>
              <font>
                <b/>
                <i/>
                <color theme="0"/>
              </font>
              <fill>
                <patternFill>
                  <bgColor theme="1"/>
                </patternFill>
              </fill>
            </x14:dxf>
          </x14:cfRule>
          <x14:cfRule type="containsText" priority="344" operator="containsText" id="{7B8AAE80-3693-4987-9D93-EC81D01E6210}">
            <xm:f>NOT(ISERROR(SEARCH($M$135,A445)))</xm:f>
            <xm:f>$M$135</xm:f>
            <x14:dxf>
              <font>
                <b/>
                <i/>
                <color theme="0"/>
              </font>
              <fill>
                <patternFill>
                  <bgColor theme="1"/>
                </patternFill>
              </fill>
            </x14:dxf>
          </x14:cfRule>
          <x14:cfRule type="containsText" priority="345" operator="containsText" id="{41122EAF-1066-4CCF-8B31-F0D6C848274B}">
            <xm:f>NOT(ISERROR(SEARCH($M$134,A445)))</xm:f>
            <xm:f>$M$134</xm:f>
            <x14:dxf>
              <font>
                <b/>
                <i/>
                <color theme="0"/>
              </font>
              <fill>
                <patternFill>
                  <bgColor theme="1"/>
                </patternFill>
              </fill>
            </x14:dxf>
          </x14:cfRule>
          <x14:cfRule type="containsText" priority="346" operator="containsText" id="{95B64F58-526B-4CDF-A9E3-EE2D000C3300}">
            <xm:f>NOT(ISERROR(SEARCH($M$133,A445)))</xm:f>
            <xm:f>$M$133</xm:f>
            <x14:dxf>
              <font>
                <b/>
                <i/>
                <color theme="0"/>
              </font>
              <fill>
                <patternFill>
                  <bgColor theme="1"/>
                </patternFill>
              </fill>
            </x14:dxf>
          </x14:cfRule>
          <x14:cfRule type="containsText" priority="347" operator="containsText" id="{9A0C67D2-3DA3-43CB-A8A4-7DE5158A1FED}">
            <xm:f>NOT(ISERROR(SEARCH($M$132,A445)))</xm:f>
            <xm:f>$M$132</xm:f>
            <x14:dxf>
              <font>
                <b/>
                <i/>
                <color theme="0"/>
              </font>
              <fill>
                <patternFill>
                  <bgColor theme="1"/>
                </patternFill>
              </fill>
            </x14:dxf>
          </x14:cfRule>
          <x14:cfRule type="containsText" priority="348" operator="containsText" id="{FB8FD34C-3E63-417E-A0F8-63087D3F161E}">
            <xm:f>NOT(ISERROR(SEARCH($M$131,A445)))</xm:f>
            <xm:f>$M$131</xm:f>
            <x14:dxf>
              <font>
                <b/>
                <i/>
                <color theme="0"/>
              </font>
              <fill>
                <patternFill>
                  <bgColor theme="1"/>
                </patternFill>
              </fill>
            </x14:dxf>
          </x14:cfRule>
          <x14:cfRule type="containsText" priority="349" operator="containsText" id="{1AD6326A-D24A-4338-AF0F-0CFD5DCA185C}">
            <xm:f>NOT(ISERROR(SEARCH($M$130,A445)))</xm:f>
            <xm:f>$M$130</xm:f>
            <x14:dxf>
              <font>
                <b/>
                <i/>
                <color theme="0"/>
              </font>
              <fill>
                <patternFill>
                  <bgColor theme="1"/>
                </patternFill>
              </fill>
            </x14:dxf>
          </x14:cfRule>
          <x14:cfRule type="containsText" priority="350" operator="containsText" id="{C6ECC875-4158-4011-B6DE-1655E2FBDA34}">
            <xm:f>NOT(ISERROR(SEARCH($M$129,A445)))</xm:f>
            <xm:f>$M$129</xm:f>
            <x14:dxf>
              <font>
                <b/>
                <i/>
                <color theme="0"/>
              </font>
              <fill>
                <patternFill>
                  <bgColor theme="1"/>
                </patternFill>
              </fill>
            </x14:dxf>
          </x14:cfRule>
          <x14:cfRule type="containsText" priority="351" operator="containsText" id="{D1BEAEA8-6900-45C8-BFCD-4AF8C3B9529F}">
            <xm:f>NOT(ISERROR(SEARCH($M$128,A445)))</xm:f>
            <xm:f>$M$128</xm:f>
            <x14:dxf>
              <font>
                <b/>
                <i/>
                <color theme="0"/>
              </font>
              <fill>
                <patternFill>
                  <bgColor theme="1"/>
                </patternFill>
              </fill>
            </x14:dxf>
          </x14:cfRule>
          <x14:cfRule type="containsText" priority="352" operator="containsText" id="{73B96BE8-4414-40D8-A29D-DC327F525DC6}">
            <xm:f>NOT(ISERROR(SEARCH($M$127,A445)))</xm:f>
            <xm:f>$M$127</xm:f>
            <x14:dxf>
              <font>
                <b/>
                <i/>
                <color theme="0"/>
              </font>
              <fill>
                <patternFill>
                  <bgColor theme="1"/>
                </patternFill>
              </fill>
            </x14:dxf>
          </x14:cfRule>
          <x14:cfRule type="containsText" priority="353" operator="containsText" id="{5CAC61C8-A989-428E-BD27-2AB171AA81FD}">
            <xm:f>NOT(ISERROR(SEARCH($M$126,A445)))</xm:f>
            <xm:f>$M$126</xm:f>
            <x14:dxf>
              <font>
                <b/>
                <i/>
                <color theme="0"/>
              </font>
              <fill>
                <patternFill>
                  <bgColor theme="1"/>
                </patternFill>
              </fill>
            </x14:dxf>
          </x14:cfRule>
          <x14:cfRule type="containsText" priority="354" operator="containsText" id="{7621A848-C3BA-4889-BD5E-8A5201F72227}">
            <xm:f>NOT(ISERROR(SEARCH($M$125,A445)))</xm:f>
            <xm:f>$M$125</xm:f>
            <x14:dxf>
              <font>
                <b/>
                <i/>
                <color theme="0"/>
              </font>
              <fill>
                <patternFill>
                  <bgColor theme="1"/>
                </patternFill>
              </fill>
            </x14:dxf>
          </x14:cfRule>
          <x14:cfRule type="containsText" priority="355" operator="containsText" id="{53839700-AADF-44AA-AE90-509B30D8AAAE}">
            <xm:f>NOT(ISERROR(SEARCH($M$124,A445)))</xm:f>
            <xm:f>$M$124</xm:f>
            <x14:dxf>
              <font>
                <b/>
                <i/>
                <color theme="0"/>
              </font>
              <fill>
                <patternFill>
                  <bgColor theme="1"/>
                </patternFill>
              </fill>
            </x14:dxf>
          </x14:cfRule>
          <x14:cfRule type="containsText" priority="356" operator="containsText" id="{81AD36BD-61FB-4223-9786-EF554997B5C7}">
            <xm:f>NOT(ISERROR(SEARCH($M$123,A445)))</xm:f>
            <xm:f>$M$123</xm:f>
            <x14:dxf>
              <font>
                <b/>
                <i/>
                <color theme="0"/>
              </font>
              <fill>
                <patternFill>
                  <bgColor theme="1"/>
                </patternFill>
              </fill>
            </x14:dxf>
          </x14:cfRule>
          <x14:cfRule type="containsText" priority="357" operator="containsText" id="{D5731495-1037-4D33-9D43-D339871928BB}">
            <xm:f>NOT(ISERROR(SEARCH($M$122,A445)))</xm:f>
            <xm:f>$M$122</xm:f>
            <x14:dxf>
              <font>
                <b/>
                <i/>
                <color theme="0"/>
              </font>
              <fill>
                <patternFill>
                  <bgColor theme="1"/>
                </patternFill>
              </fill>
            </x14:dxf>
          </x14:cfRule>
          <x14:cfRule type="containsText" priority="358" operator="containsText" id="{AB8A3F82-E682-4718-9359-2879868F11E8}">
            <xm:f>NOT(ISERROR(SEARCH($M$121,A445)))</xm:f>
            <xm:f>$M$121</xm:f>
            <x14:dxf>
              <font>
                <b/>
                <i/>
                <color theme="0"/>
              </font>
              <fill>
                <patternFill>
                  <bgColor theme="1"/>
                </patternFill>
              </fill>
            </x14:dxf>
          </x14:cfRule>
          <x14:cfRule type="containsText" priority="359" operator="containsText" id="{6C0D80B6-7B57-4DAA-9A1E-C21976F1892E}">
            <xm:f>NOT(ISERROR(SEARCH($M$120,A445)))</xm:f>
            <xm:f>$M$120</xm:f>
            <x14:dxf>
              <font>
                <b/>
                <i/>
                <color theme="0"/>
              </font>
              <fill>
                <patternFill>
                  <bgColor theme="1"/>
                </patternFill>
              </fill>
            </x14:dxf>
          </x14:cfRule>
          <x14:cfRule type="containsText" priority="360" operator="containsText" id="{0D8B4596-221A-46FD-A9B5-1B7CEE5561A5}">
            <xm:f>NOT(ISERROR(SEARCH($M$119,A445)))</xm:f>
            <xm:f>$M$119</xm:f>
            <x14:dxf>
              <font>
                <b/>
                <i/>
                <color theme="0"/>
              </font>
              <fill>
                <patternFill>
                  <bgColor theme="1"/>
                </patternFill>
              </fill>
            </x14:dxf>
          </x14:cfRule>
          <x14:cfRule type="containsText" priority="361" operator="containsText" id="{4BE3C271-4141-4231-930D-8E650F6FDEDB}">
            <xm:f>NOT(ISERROR(SEARCH($M$118,A445)))</xm:f>
            <xm:f>$M$118</xm:f>
            <x14:dxf>
              <font>
                <b/>
                <i/>
                <color theme="0"/>
              </font>
              <fill>
                <patternFill>
                  <bgColor theme="1"/>
                </patternFill>
              </fill>
            </x14:dxf>
          </x14:cfRule>
          <x14:cfRule type="containsText" priority="362" operator="containsText" id="{A28E91D3-0606-4E59-B5D2-D5E2727752FC}">
            <xm:f>NOT(ISERROR(SEARCH($M$117,A445)))</xm:f>
            <xm:f>$M$117</xm:f>
            <x14:dxf>
              <font>
                <b/>
                <i/>
                <color theme="0"/>
              </font>
              <fill>
                <patternFill>
                  <bgColor theme="1"/>
                </patternFill>
              </fill>
            </x14:dxf>
          </x14:cfRule>
          <x14:cfRule type="containsText" priority="363" operator="containsText" id="{4C1B0107-77E8-4B15-A553-84775ED7C772}">
            <xm:f>NOT(ISERROR(SEARCH($M$116,A445)))</xm:f>
            <xm:f>$M$116</xm:f>
            <x14:dxf>
              <font>
                <b/>
                <i/>
                <color theme="0"/>
              </font>
              <fill>
                <patternFill>
                  <bgColor theme="1"/>
                </patternFill>
              </fill>
            </x14:dxf>
          </x14:cfRule>
          <x14:cfRule type="containsText" priority="364" operator="containsText" id="{6B389E27-2F6C-4453-A1FA-F19EB8B45D99}">
            <xm:f>NOT(ISERROR(SEARCH($M$115,A445)))</xm:f>
            <xm:f>$M$115</xm:f>
            <x14:dxf>
              <font>
                <b/>
                <i/>
                <color theme="0"/>
              </font>
              <fill>
                <patternFill>
                  <bgColor theme="1"/>
                </patternFill>
              </fill>
            </x14:dxf>
          </x14:cfRule>
          <x14:cfRule type="containsText" priority="365" operator="containsText" id="{C6D256D1-923B-486D-BC3F-8764F4E4BE80}">
            <xm:f>NOT(ISERROR(SEARCH($M$114,A445)))</xm:f>
            <xm:f>$M$114</xm:f>
            <x14:dxf>
              <font>
                <b/>
                <i/>
                <color theme="0"/>
              </font>
              <fill>
                <patternFill>
                  <bgColor theme="1"/>
                </patternFill>
              </fill>
            </x14:dxf>
          </x14:cfRule>
          <x14:cfRule type="containsText" priority="366" operator="containsText" id="{0D22715C-CF21-4800-890F-A3AFA117018A}">
            <xm:f>NOT(ISERROR(SEARCH($M$113,A445)))</xm:f>
            <xm:f>$M$113</xm:f>
            <x14:dxf>
              <font>
                <b/>
                <i/>
                <color theme="0"/>
              </font>
              <fill>
                <patternFill>
                  <bgColor theme="1"/>
                </patternFill>
              </fill>
            </x14:dxf>
          </x14:cfRule>
          <x14:cfRule type="containsText" priority="367" operator="containsText" id="{8AD187E8-C44D-4241-B894-636B19AE180D}">
            <xm:f>NOT(ISERROR(SEARCH($M$112,A445)))</xm:f>
            <xm:f>$M$112</xm:f>
            <x14:dxf>
              <font>
                <b/>
                <i/>
                <color theme="0"/>
              </font>
              <fill>
                <patternFill>
                  <bgColor theme="1"/>
                </patternFill>
              </fill>
            </x14:dxf>
          </x14:cfRule>
          <x14:cfRule type="containsText" priority="368" operator="containsText" id="{489C6114-F3AB-49E1-9BC6-0FBB082F5CA4}">
            <xm:f>NOT(ISERROR(SEARCH($M$111,A445)))</xm:f>
            <xm:f>$M$111</xm:f>
            <x14:dxf>
              <font>
                <b/>
                <i/>
                <color theme="0"/>
              </font>
              <fill>
                <patternFill>
                  <bgColor theme="1"/>
                </patternFill>
              </fill>
            </x14:dxf>
          </x14:cfRule>
          <x14:cfRule type="containsText" priority="369" operator="containsText" id="{F24A0E31-318C-4D02-BF93-FE0D55810958}">
            <xm:f>NOT(ISERROR(SEARCH($M$110,A445)))</xm:f>
            <xm:f>$M$110</xm:f>
            <x14:dxf>
              <font>
                <b/>
                <i/>
                <color theme="0"/>
              </font>
              <fill>
                <patternFill>
                  <bgColor theme="1"/>
                </patternFill>
              </fill>
            </x14:dxf>
          </x14:cfRule>
          <xm:sqref>A445:A456</xm:sqref>
        </x14:conditionalFormatting>
        <x14:conditionalFormatting xmlns:xm="http://schemas.microsoft.com/office/excel/2006/main">
          <x14:cfRule type="containsText" priority="341" operator="containsText" id="{64195F8E-4890-4321-8193-DC2E8C348345}">
            <xm:f>NOT(ISERROR(SEARCH($M$107,A432)))</xm:f>
            <xm:f>$M$107</xm:f>
            <x14:dxf>
              <font>
                <b/>
                <i/>
                <color theme="0"/>
              </font>
              <fill>
                <patternFill>
                  <bgColor theme="1"/>
                </patternFill>
              </fill>
            </x14:dxf>
          </x14:cfRule>
          <xm:sqref>A432:A443</xm:sqref>
        </x14:conditionalFormatting>
        <x14:conditionalFormatting xmlns:xm="http://schemas.microsoft.com/office/excel/2006/main">
          <x14:cfRule type="containsText" priority="339" operator="containsText" id="{7DAE441C-22A3-4B36-B384-587DD060E299}">
            <xm:f>NOT(ISERROR(SEARCH($M$109,A432)))</xm:f>
            <xm:f>$M$109</xm:f>
            <x14:dxf>
              <font>
                <b/>
                <i/>
                <color theme="0"/>
              </font>
              <fill>
                <patternFill>
                  <bgColor theme="1"/>
                </patternFill>
              </fill>
            </x14:dxf>
          </x14:cfRule>
          <x14:cfRule type="containsText" priority="340" operator="containsText" id="{29FE4A6D-C099-478E-8719-FF3E7C89C36F}">
            <xm:f>NOT(ISERROR(SEARCH($M$108,A432)))</xm:f>
            <xm:f>$M$108</xm:f>
            <x14:dxf>
              <font>
                <color theme="0"/>
              </font>
              <fill>
                <patternFill>
                  <bgColor theme="1"/>
                </patternFill>
              </fill>
            </x14:dxf>
          </x14:cfRule>
          <xm:sqref>A432:A443</xm:sqref>
        </x14:conditionalFormatting>
        <x14:conditionalFormatting xmlns:xm="http://schemas.microsoft.com/office/excel/2006/main">
          <x14:cfRule type="containsText" priority="312" operator="containsText" id="{1895968E-A79B-459D-952C-7F2DF7E96000}">
            <xm:f>NOT(ISERROR(SEARCH($M$136,A432)))</xm:f>
            <xm:f>$M$136</xm:f>
            <x14:dxf>
              <font>
                <b/>
                <i/>
                <color theme="0"/>
              </font>
              <fill>
                <patternFill>
                  <bgColor theme="1"/>
                </patternFill>
              </fill>
            </x14:dxf>
          </x14:cfRule>
          <x14:cfRule type="containsText" priority="313" operator="containsText" id="{0CA85317-A2D7-49DB-8285-8314A308BDAB}">
            <xm:f>NOT(ISERROR(SEARCH($M$135,A432)))</xm:f>
            <xm:f>$M$135</xm:f>
            <x14:dxf>
              <font>
                <b/>
                <i/>
                <color theme="0"/>
              </font>
              <fill>
                <patternFill>
                  <bgColor theme="1"/>
                </patternFill>
              </fill>
            </x14:dxf>
          </x14:cfRule>
          <x14:cfRule type="containsText" priority="314" operator="containsText" id="{2321A787-81B4-4BFB-B379-E5F7788B67DC}">
            <xm:f>NOT(ISERROR(SEARCH($M$134,A432)))</xm:f>
            <xm:f>$M$134</xm:f>
            <x14:dxf>
              <font>
                <b/>
                <i/>
                <color theme="0"/>
              </font>
              <fill>
                <patternFill>
                  <bgColor theme="1"/>
                </patternFill>
              </fill>
            </x14:dxf>
          </x14:cfRule>
          <x14:cfRule type="containsText" priority="315" operator="containsText" id="{CD6DA2B6-9DCC-46C4-8161-E6BAB204ECD2}">
            <xm:f>NOT(ISERROR(SEARCH($M$133,A432)))</xm:f>
            <xm:f>$M$133</xm:f>
            <x14:dxf>
              <font>
                <b/>
                <i/>
                <color theme="0"/>
              </font>
              <fill>
                <patternFill>
                  <bgColor theme="1"/>
                </patternFill>
              </fill>
            </x14:dxf>
          </x14:cfRule>
          <x14:cfRule type="containsText" priority="316" operator="containsText" id="{6A38F55D-E3AC-48C4-B137-ADBA8F72C1C2}">
            <xm:f>NOT(ISERROR(SEARCH($M$132,A432)))</xm:f>
            <xm:f>$M$132</xm:f>
            <x14:dxf>
              <font>
                <b/>
                <i/>
                <color theme="0"/>
              </font>
              <fill>
                <patternFill>
                  <bgColor theme="1"/>
                </patternFill>
              </fill>
            </x14:dxf>
          </x14:cfRule>
          <x14:cfRule type="containsText" priority="317" operator="containsText" id="{A8F1693C-36F3-4D62-A25F-5376951E79CA}">
            <xm:f>NOT(ISERROR(SEARCH($M$131,A432)))</xm:f>
            <xm:f>$M$131</xm:f>
            <x14:dxf>
              <font>
                <b/>
                <i/>
                <color theme="0"/>
              </font>
              <fill>
                <patternFill>
                  <bgColor theme="1"/>
                </patternFill>
              </fill>
            </x14:dxf>
          </x14:cfRule>
          <x14:cfRule type="containsText" priority="318" operator="containsText" id="{DA4B6A2B-5E3A-4845-82E9-AF7AC78248B8}">
            <xm:f>NOT(ISERROR(SEARCH($M$130,A432)))</xm:f>
            <xm:f>$M$130</xm:f>
            <x14:dxf>
              <font>
                <b/>
                <i/>
                <color theme="0"/>
              </font>
              <fill>
                <patternFill>
                  <bgColor theme="1"/>
                </patternFill>
              </fill>
            </x14:dxf>
          </x14:cfRule>
          <x14:cfRule type="containsText" priority="319" operator="containsText" id="{7AD2FD1B-D158-4406-8083-3B4F4DDB0D6A}">
            <xm:f>NOT(ISERROR(SEARCH($M$129,A432)))</xm:f>
            <xm:f>$M$129</xm:f>
            <x14:dxf>
              <font>
                <b/>
                <i/>
                <color theme="0"/>
              </font>
              <fill>
                <patternFill>
                  <bgColor theme="1"/>
                </patternFill>
              </fill>
            </x14:dxf>
          </x14:cfRule>
          <x14:cfRule type="containsText" priority="320" operator="containsText" id="{93D026E1-54D7-4151-98D3-24443A1046ED}">
            <xm:f>NOT(ISERROR(SEARCH($M$128,A432)))</xm:f>
            <xm:f>$M$128</xm:f>
            <x14:dxf>
              <font>
                <b/>
                <i/>
                <color theme="0"/>
              </font>
              <fill>
                <patternFill>
                  <bgColor theme="1"/>
                </patternFill>
              </fill>
            </x14:dxf>
          </x14:cfRule>
          <x14:cfRule type="containsText" priority="321" operator="containsText" id="{B20C4925-B4C0-4A64-89B4-D4A56163A263}">
            <xm:f>NOT(ISERROR(SEARCH($M$127,A432)))</xm:f>
            <xm:f>$M$127</xm:f>
            <x14:dxf>
              <font>
                <b/>
                <i/>
                <color theme="0"/>
              </font>
              <fill>
                <patternFill>
                  <bgColor theme="1"/>
                </patternFill>
              </fill>
            </x14:dxf>
          </x14:cfRule>
          <x14:cfRule type="containsText" priority="322" operator="containsText" id="{89F55616-3708-4C5C-BA2B-CADD3EF0E6D4}">
            <xm:f>NOT(ISERROR(SEARCH($M$126,A432)))</xm:f>
            <xm:f>$M$126</xm:f>
            <x14:dxf>
              <font>
                <b/>
                <i/>
                <color theme="0"/>
              </font>
              <fill>
                <patternFill>
                  <bgColor theme="1"/>
                </patternFill>
              </fill>
            </x14:dxf>
          </x14:cfRule>
          <x14:cfRule type="containsText" priority="323" operator="containsText" id="{BC0C3875-E6E3-45BA-8FCB-27F60C662A3C}">
            <xm:f>NOT(ISERROR(SEARCH($M$125,A432)))</xm:f>
            <xm:f>$M$125</xm:f>
            <x14:dxf>
              <font>
                <b/>
                <i/>
                <color theme="0"/>
              </font>
              <fill>
                <patternFill>
                  <bgColor theme="1"/>
                </patternFill>
              </fill>
            </x14:dxf>
          </x14:cfRule>
          <x14:cfRule type="containsText" priority="324" operator="containsText" id="{FDD86B83-B860-4BA8-8194-8CB00014FA95}">
            <xm:f>NOT(ISERROR(SEARCH($M$124,A432)))</xm:f>
            <xm:f>$M$124</xm:f>
            <x14:dxf>
              <font>
                <b/>
                <i/>
                <color theme="0"/>
              </font>
              <fill>
                <patternFill>
                  <bgColor theme="1"/>
                </patternFill>
              </fill>
            </x14:dxf>
          </x14:cfRule>
          <x14:cfRule type="containsText" priority="325" operator="containsText" id="{B5666996-9B46-4EB2-A8E2-A16306ABB57F}">
            <xm:f>NOT(ISERROR(SEARCH($M$123,A432)))</xm:f>
            <xm:f>$M$123</xm:f>
            <x14:dxf>
              <font>
                <b/>
                <i/>
                <color theme="0"/>
              </font>
              <fill>
                <patternFill>
                  <bgColor theme="1"/>
                </patternFill>
              </fill>
            </x14:dxf>
          </x14:cfRule>
          <x14:cfRule type="containsText" priority="326" operator="containsText" id="{365ACAF2-F470-4819-8B21-D81A9BA67BB9}">
            <xm:f>NOT(ISERROR(SEARCH($M$122,A432)))</xm:f>
            <xm:f>$M$122</xm:f>
            <x14:dxf>
              <font>
                <b/>
                <i/>
                <color theme="0"/>
              </font>
              <fill>
                <patternFill>
                  <bgColor theme="1"/>
                </patternFill>
              </fill>
            </x14:dxf>
          </x14:cfRule>
          <x14:cfRule type="containsText" priority="327" operator="containsText" id="{E77C600D-2354-4C53-805A-871DD8DC9C21}">
            <xm:f>NOT(ISERROR(SEARCH($M$121,A432)))</xm:f>
            <xm:f>$M$121</xm:f>
            <x14:dxf>
              <font>
                <b/>
                <i/>
                <color theme="0"/>
              </font>
              <fill>
                <patternFill>
                  <bgColor theme="1"/>
                </patternFill>
              </fill>
            </x14:dxf>
          </x14:cfRule>
          <x14:cfRule type="containsText" priority="328" operator="containsText" id="{A8AE93C1-FA08-4D64-9112-DA1803B5338D}">
            <xm:f>NOT(ISERROR(SEARCH($M$120,A432)))</xm:f>
            <xm:f>$M$120</xm:f>
            <x14:dxf>
              <font>
                <b/>
                <i/>
                <color theme="0"/>
              </font>
              <fill>
                <patternFill>
                  <bgColor theme="1"/>
                </patternFill>
              </fill>
            </x14:dxf>
          </x14:cfRule>
          <x14:cfRule type="containsText" priority="329" operator="containsText" id="{7A1E42E1-46D3-4103-A55F-FBF50737AB31}">
            <xm:f>NOT(ISERROR(SEARCH($M$119,A432)))</xm:f>
            <xm:f>$M$119</xm:f>
            <x14:dxf>
              <font>
                <b/>
                <i/>
                <color theme="0"/>
              </font>
              <fill>
                <patternFill>
                  <bgColor theme="1"/>
                </patternFill>
              </fill>
            </x14:dxf>
          </x14:cfRule>
          <x14:cfRule type="containsText" priority="330" operator="containsText" id="{A3037F4E-C5C2-41A2-84C8-9BF843EB1A8C}">
            <xm:f>NOT(ISERROR(SEARCH($M$118,A432)))</xm:f>
            <xm:f>$M$118</xm:f>
            <x14:dxf>
              <font>
                <b/>
                <i/>
                <color theme="0"/>
              </font>
              <fill>
                <patternFill>
                  <bgColor theme="1"/>
                </patternFill>
              </fill>
            </x14:dxf>
          </x14:cfRule>
          <x14:cfRule type="containsText" priority="331" operator="containsText" id="{FA7328E2-547A-40E2-B1CE-81D82EECE470}">
            <xm:f>NOT(ISERROR(SEARCH($M$117,A432)))</xm:f>
            <xm:f>$M$117</xm:f>
            <x14:dxf>
              <font>
                <b/>
                <i/>
                <color theme="0"/>
              </font>
              <fill>
                <patternFill>
                  <bgColor theme="1"/>
                </patternFill>
              </fill>
            </x14:dxf>
          </x14:cfRule>
          <x14:cfRule type="containsText" priority="332" operator="containsText" id="{11DB38C5-61E7-4FA5-A914-D2F9C34BA837}">
            <xm:f>NOT(ISERROR(SEARCH($M$116,A432)))</xm:f>
            <xm:f>$M$116</xm:f>
            <x14:dxf>
              <font>
                <b/>
                <i/>
                <color theme="0"/>
              </font>
              <fill>
                <patternFill>
                  <bgColor theme="1"/>
                </patternFill>
              </fill>
            </x14:dxf>
          </x14:cfRule>
          <x14:cfRule type="containsText" priority="333" operator="containsText" id="{4FE489EE-CFC2-4778-AB52-9275FB037D88}">
            <xm:f>NOT(ISERROR(SEARCH($M$115,A432)))</xm:f>
            <xm:f>$M$115</xm:f>
            <x14:dxf>
              <font>
                <b/>
                <i/>
                <color theme="0"/>
              </font>
              <fill>
                <patternFill>
                  <bgColor theme="1"/>
                </patternFill>
              </fill>
            </x14:dxf>
          </x14:cfRule>
          <x14:cfRule type="containsText" priority="334" operator="containsText" id="{66180070-D361-4CA6-A0F4-BE159F0D2890}">
            <xm:f>NOT(ISERROR(SEARCH($M$114,A432)))</xm:f>
            <xm:f>$M$114</xm:f>
            <x14:dxf>
              <font>
                <b/>
                <i/>
                <color theme="0"/>
              </font>
              <fill>
                <patternFill>
                  <bgColor theme="1"/>
                </patternFill>
              </fill>
            </x14:dxf>
          </x14:cfRule>
          <x14:cfRule type="containsText" priority="335" operator="containsText" id="{6D36E7DC-853F-49AF-981D-540F5AF27D81}">
            <xm:f>NOT(ISERROR(SEARCH($M$113,A432)))</xm:f>
            <xm:f>$M$113</xm:f>
            <x14:dxf>
              <font>
                <b/>
                <i/>
                <color theme="0"/>
              </font>
              <fill>
                <patternFill>
                  <bgColor theme="1"/>
                </patternFill>
              </fill>
            </x14:dxf>
          </x14:cfRule>
          <x14:cfRule type="containsText" priority="336" operator="containsText" id="{E890EDE8-EA2E-4530-8450-07F16D3C1FA1}">
            <xm:f>NOT(ISERROR(SEARCH($M$112,A432)))</xm:f>
            <xm:f>$M$112</xm:f>
            <x14:dxf>
              <font>
                <b/>
                <i/>
                <color theme="0"/>
              </font>
              <fill>
                <patternFill>
                  <bgColor theme="1"/>
                </patternFill>
              </fill>
            </x14:dxf>
          </x14:cfRule>
          <x14:cfRule type="containsText" priority="337" operator="containsText" id="{EBF752B2-0967-4693-92CF-AFEEFAFBD30B}">
            <xm:f>NOT(ISERROR(SEARCH($M$111,A432)))</xm:f>
            <xm:f>$M$111</xm:f>
            <x14:dxf>
              <font>
                <b/>
                <i/>
                <color theme="0"/>
              </font>
              <fill>
                <patternFill>
                  <bgColor theme="1"/>
                </patternFill>
              </fill>
            </x14:dxf>
          </x14:cfRule>
          <x14:cfRule type="containsText" priority="338" operator="containsText" id="{262E044C-BAC5-45EC-A31D-8668DAFBC307}">
            <xm:f>NOT(ISERROR(SEARCH($M$110,A432)))</xm:f>
            <xm:f>$M$110</xm:f>
            <x14:dxf>
              <font>
                <b/>
                <i/>
                <color theme="0"/>
              </font>
              <fill>
                <patternFill>
                  <bgColor theme="1"/>
                </patternFill>
              </fill>
            </x14:dxf>
          </x14:cfRule>
          <xm:sqref>A432:A443</xm:sqref>
        </x14:conditionalFormatting>
        <x14:conditionalFormatting xmlns:xm="http://schemas.microsoft.com/office/excel/2006/main">
          <x14:cfRule type="containsText" priority="310" operator="containsText" id="{1C190E00-97C0-4819-A19E-92DECCFAAA0F}">
            <xm:f>NOT(ISERROR(SEARCH($M$107,A383)))</xm:f>
            <xm:f>$M$107</xm:f>
            <x14:dxf>
              <font>
                <b/>
                <i/>
                <color theme="0"/>
              </font>
              <fill>
                <patternFill>
                  <bgColor theme="1"/>
                </patternFill>
              </fill>
            </x14:dxf>
          </x14:cfRule>
          <xm:sqref>A383:A394</xm:sqref>
        </x14:conditionalFormatting>
        <x14:conditionalFormatting xmlns:xm="http://schemas.microsoft.com/office/excel/2006/main">
          <x14:cfRule type="containsText" priority="308" operator="containsText" id="{56019FA8-ADA3-4823-8F29-FEF766A1ACFD}">
            <xm:f>NOT(ISERROR(SEARCH($M$109,A383)))</xm:f>
            <xm:f>$M$109</xm:f>
            <x14:dxf>
              <font>
                <b/>
                <i/>
                <color theme="0"/>
              </font>
              <fill>
                <patternFill>
                  <bgColor theme="1"/>
                </patternFill>
              </fill>
            </x14:dxf>
          </x14:cfRule>
          <x14:cfRule type="containsText" priority="309" operator="containsText" id="{BE6C9F28-75A5-425F-ADC3-8F79C0F812F8}">
            <xm:f>NOT(ISERROR(SEARCH($M$108,A383)))</xm:f>
            <xm:f>$M$108</xm:f>
            <x14:dxf>
              <font>
                <color theme="0"/>
              </font>
              <fill>
                <patternFill>
                  <bgColor theme="1"/>
                </patternFill>
              </fill>
            </x14:dxf>
          </x14:cfRule>
          <xm:sqref>A383:A394</xm:sqref>
        </x14:conditionalFormatting>
        <x14:conditionalFormatting xmlns:xm="http://schemas.microsoft.com/office/excel/2006/main">
          <x14:cfRule type="containsText" priority="281" operator="containsText" id="{562B6FC6-6CAC-4B6A-8AF2-90E6E1A6D625}">
            <xm:f>NOT(ISERROR(SEARCH($M$136,A383)))</xm:f>
            <xm:f>$M$136</xm:f>
            <x14:dxf>
              <font>
                <b/>
                <i/>
                <color theme="0"/>
              </font>
              <fill>
                <patternFill>
                  <bgColor theme="1"/>
                </patternFill>
              </fill>
            </x14:dxf>
          </x14:cfRule>
          <x14:cfRule type="containsText" priority="282" operator="containsText" id="{AFAA7730-73A5-4736-804E-7E4AF51A067A}">
            <xm:f>NOT(ISERROR(SEARCH($M$135,A383)))</xm:f>
            <xm:f>$M$135</xm:f>
            <x14:dxf>
              <font>
                <b/>
                <i/>
                <color theme="0"/>
              </font>
              <fill>
                <patternFill>
                  <bgColor theme="1"/>
                </patternFill>
              </fill>
            </x14:dxf>
          </x14:cfRule>
          <x14:cfRule type="containsText" priority="283" operator="containsText" id="{99A670F0-9857-420A-A03D-B6FEB8712758}">
            <xm:f>NOT(ISERROR(SEARCH($M$134,A383)))</xm:f>
            <xm:f>$M$134</xm:f>
            <x14:dxf>
              <font>
                <b/>
                <i/>
                <color theme="0"/>
              </font>
              <fill>
                <patternFill>
                  <bgColor theme="1"/>
                </patternFill>
              </fill>
            </x14:dxf>
          </x14:cfRule>
          <x14:cfRule type="containsText" priority="284" operator="containsText" id="{09AF343B-BBB1-421A-AD11-7664DF2E58BE}">
            <xm:f>NOT(ISERROR(SEARCH($M$133,A383)))</xm:f>
            <xm:f>$M$133</xm:f>
            <x14:dxf>
              <font>
                <b/>
                <i/>
                <color theme="0"/>
              </font>
              <fill>
                <patternFill>
                  <bgColor theme="1"/>
                </patternFill>
              </fill>
            </x14:dxf>
          </x14:cfRule>
          <x14:cfRule type="containsText" priority="285" operator="containsText" id="{F236D9B3-5000-40DD-80E2-7C4EC626993B}">
            <xm:f>NOT(ISERROR(SEARCH($M$132,A383)))</xm:f>
            <xm:f>$M$132</xm:f>
            <x14:dxf>
              <font>
                <b/>
                <i/>
                <color theme="0"/>
              </font>
              <fill>
                <patternFill>
                  <bgColor theme="1"/>
                </patternFill>
              </fill>
            </x14:dxf>
          </x14:cfRule>
          <x14:cfRule type="containsText" priority="286" operator="containsText" id="{A74B1ABE-44C0-4380-B7F5-E7BB2F52348D}">
            <xm:f>NOT(ISERROR(SEARCH($M$131,A383)))</xm:f>
            <xm:f>$M$131</xm:f>
            <x14:dxf>
              <font>
                <b/>
                <i/>
                <color theme="0"/>
              </font>
              <fill>
                <patternFill>
                  <bgColor theme="1"/>
                </patternFill>
              </fill>
            </x14:dxf>
          </x14:cfRule>
          <x14:cfRule type="containsText" priority="287" operator="containsText" id="{71962220-6934-4E09-A5E4-37967BAA844D}">
            <xm:f>NOT(ISERROR(SEARCH($M$130,A383)))</xm:f>
            <xm:f>$M$130</xm:f>
            <x14:dxf>
              <font>
                <b/>
                <i/>
                <color theme="0"/>
              </font>
              <fill>
                <patternFill>
                  <bgColor theme="1"/>
                </patternFill>
              </fill>
            </x14:dxf>
          </x14:cfRule>
          <x14:cfRule type="containsText" priority="288" operator="containsText" id="{1DB0D68E-C121-40A1-83FC-05D08A04A329}">
            <xm:f>NOT(ISERROR(SEARCH($M$129,A383)))</xm:f>
            <xm:f>$M$129</xm:f>
            <x14:dxf>
              <font>
                <b/>
                <i/>
                <color theme="0"/>
              </font>
              <fill>
                <patternFill>
                  <bgColor theme="1"/>
                </patternFill>
              </fill>
            </x14:dxf>
          </x14:cfRule>
          <x14:cfRule type="containsText" priority="289" operator="containsText" id="{BDEACA3F-2A32-43D5-9665-F9B6DBEEE906}">
            <xm:f>NOT(ISERROR(SEARCH($M$128,A383)))</xm:f>
            <xm:f>$M$128</xm:f>
            <x14:dxf>
              <font>
                <b/>
                <i/>
                <color theme="0"/>
              </font>
              <fill>
                <patternFill>
                  <bgColor theme="1"/>
                </patternFill>
              </fill>
            </x14:dxf>
          </x14:cfRule>
          <x14:cfRule type="containsText" priority="290" operator="containsText" id="{DC3338FD-3D7E-4780-A160-6B746617A9DA}">
            <xm:f>NOT(ISERROR(SEARCH($M$127,A383)))</xm:f>
            <xm:f>$M$127</xm:f>
            <x14:dxf>
              <font>
                <b/>
                <i/>
                <color theme="0"/>
              </font>
              <fill>
                <patternFill>
                  <bgColor theme="1"/>
                </patternFill>
              </fill>
            </x14:dxf>
          </x14:cfRule>
          <x14:cfRule type="containsText" priority="291" operator="containsText" id="{A50EB983-93D8-4552-B300-0F38707D3894}">
            <xm:f>NOT(ISERROR(SEARCH($M$126,A383)))</xm:f>
            <xm:f>$M$126</xm:f>
            <x14:dxf>
              <font>
                <b/>
                <i/>
                <color theme="0"/>
              </font>
              <fill>
                <patternFill>
                  <bgColor theme="1"/>
                </patternFill>
              </fill>
            </x14:dxf>
          </x14:cfRule>
          <x14:cfRule type="containsText" priority="292" operator="containsText" id="{A8BFC38E-8414-4679-ABE1-02ECD4514B25}">
            <xm:f>NOT(ISERROR(SEARCH($M$125,A383)))</xm:f>
            <xm:f>$M$125</xm:f>
            <x14:dxf>
              <font>
                <b/>
                <i/>
                <color theme="0"/>
              </font>
              <fill>
                <patternFill>
                  <bgColor theme="1"/>
                </patternFill>
              </fill>
            </x14:dxf>
          </x14:cfRule>
          <x14:cfRule type="containsText" priority="293" operator="containsText" id="{47BC00F2-9F50-49DD-8686-C35921483326}">
            <xm:f>NOT(ISERROR(SEARCH($M$124,A383)))</xm:f>
            <xm:f>$M$124</xm:f>
            <x14:dxf>
              <font>
                <b/>
                <i/>
                <color theme="0"/>
              </font>
              <fill>
                <patternFill>
                  <bgColor theme="1"/>
                </patternFill>
              </fill>
            </x14:dxf>
          </x14:cfRule>
          <x14:cfRule type="containsText" priority="294" operator="containsText" id="{1533E825-888C-47A8-9D53-659D9196F7CF}">
            <xm:f>NOT(ISERROR(SEARCH($M$123,A383)))</xm:f>
            <xm:f>$M$123</xm:f>
            <x14:dxf>
              <font>
                <b/>
                <i/>
                <color theme="0"/>
              </font>
              <fill>
                <patternFill>
                  <bgColor theme="1"/>
                </patternFill>
              </fill>
            </x14:dxf>
          </x14:cfRule>
          <x14:cfRule type="containsText" priority="295" operator="containsText" id="{7686C07B-41A3-4D9E-A8E1-7E464BFFAD18}">
            <xm:f>NOT(ISERROR(SEARCH($M$122,A383)))</xm:f>
            <xm:f>$M$122</xm:f>
            <x14:dxf>
              <font>
                <b/>
                <i/>
                <color theme="0"/>
              </font>
              <fill>
                <patternFill>
                  <bgColor theme="1"/>
                </patternFill>
              </fill>
            </x14:dxf>
          </x14:cfRule>
          <x14:cfRule type="containsText" priority="296" operator="containsText" id="{2A3D32F7-3474-4A06-9243-620241252ADA}">
            <xm:f>NOT(ISERROR(SEARCH($M$121,A383)))</xm:f>
            <xm:f>$M$121</xm:f>
            <x14:dxf>
              <font>
                <b/>
                <i/>
                <color theme="0"/>
              </font>
              <fill>
                <patternFill>
                  <bgColor theme="1"/>
                </patternFill>
              </fill>
            </x14:dxf>
          </x14:cfRule>
          <x14:cfRule type="containsText" priority="297" operator="containsText" id="{D59E64E4-9BFB-43DD-B932-397352C2F7F1}">
            <xm:f>NOT(ISERROR(SEARCH($M$120,A383)))</xm:f>
            <xm:f>$M$120</xm:f>
            <x14:dxf>
              <font>
                <b/>
                <i/>
                <color theme="0"/>
              </font>
              <fill>
                <patternFill>
                  <bgColor theme="1"/>
                </patternFill>
              </fill>
            </x14:dxf>
          </x14:cfRule>
          <x14:cfRule type="containsText" priority="298" operator="containsText" id="{0EAC69EC-D0AD-4958-A7F9-11BDB7389C9E}">
            <xm:f>NOT(ISERROR(SEARCH($M$119,A383)))</xm:f>
            <xm:f>$M$119</xm:f>
            <x14:dxf>
              <font>
                <b/>
                <i/>
                <color theme="0"/>
              </font>
              <fill>
                <patternFill>
                  <bgColor theme="1"/>
                </patternFill>
              </fill>
            </x14:dxf>
          </x14:cfRule>
          <x14:cfRule type="containsText" priority="299" operator="containsText" id="{E155FD9F-0923-47A2-A12B-6F0B5E170895}">
            <xm:f>NOT(ISERROR(SEARCH($M$118,A383)))</xm:f>
            <xm:f>$M$118</xm:f>
            <x14:dxf>
              <font>
                <b/>
                <i/>
                <color theme="0"/>
              </font>
              <fill>
                <patternFill>
                  <bgColor theme="1"/>
                </patternFill>
              </fill>
            </x14:dxf>
          </x14:cfRule>
          <x14:cfRule type="containsText" priority="300" operator="containsText" id="{14F6B0DE-D881-4202-8BFF-6CBB9C2FAEAB}">
            <xm:f>NOT(ISERROR(SEARCH($M$117,A383)))</xm:f>
            <xm:f>$M$117</xm:f>
            <x14:dxf>
              <font>
                <b/>
                <i/>
                <color theme="0"/>
              </font>
              <fill>
                <patternFill>
                  <bgColor theme="1"/>
                </patternFill>
              </fill>
            </x14:dxf>
          </x14:cfRule>
          <x14:cfRule type="containsText" priority="301" operator="containsText" id="{195D7C39-D79A-4EA5-A28B-71BB2740E0E2}">
            <xm:f>NOT(ISERROR(SEARCH($M$116,A383)))</xm:f>
            <xm:f>$M$116</xm:f>
            <x14:dxf>
              <font>
                <b/>
                <i/>
                <color theme="0"/>
              </font>
              <fill>
                <patternFill>
                  <bgColor theme="1"/>
                </patternFill>
              </fill>
            </x14:dxf>
          </x14:cfRule>
          <x14:cfRule type="containsText" priority="302" operator="containsText" id="{F7238D13-1FC2-44F9-B9EA-A76DE718D9DC}">
            <xm:f>NOT(ISERROR(SEARCH($M$115,A383)))</xm:f>
            <xm:f>$M$115</xm:f>
            <x14:dxf>
              <font>
                <b/>
                <i/>
                <color theme="0"/>
              </font>
              <fill>
                <patternFill>
                  <bgColor theme="1"/>
                </patternFill>
              </fill>
            </x14:dxf>
          </x14:cfRule>
          <x14:cfRule type="containsText" priority="303" operator="containsText" id="{73A8862D-2423-4393-9216-F85B2476F515}">
            <xm:f>NOT(ISERROR(SEARCH($M$114,A383)))</xm:f>
            <xm:f>$M$114</xm:f>
            <x14:dxf>
              <font>
                <b/>
                <i/>
                <color theme="0"/>
              </font>
              <fill>
                <patternFill>
                  <bgColor theme="1"/>
                </patternFill>
              </fill>
            </x14:dxf>
          </x14:cfRule>
          <x14:cfRule type="containsText" priority="304" operator="containsText" id="{670A7F4A-B42A-44E1-8149-3D0CEC2F8186}">
            <xm:f>NOT(ISERROR(SEARCH($M$113,A383)))</xm:f>
            <xm:f>$M$113</xm:f>
            <x14:dxf>
              <font>
                <b/>
                <i/>
                <color theme="0"/>
              </font>
              <fill>
                <patternFill>
                  <bgColor theme="1"/>
                </patternFill>
              </fill>
            </x14:dxf>
          </x14:cfRule>
          <x14:cfRule type="containsText" priority="305" operator="containsText" id="{3BD16CAB-6862-476A-86DA-45F7144E6BF2}">
            <xm:f>NOT(ISERROR(SEARCH($M$112,A383)))</xm:f>
            <xm:f>$M$112</xm:f>
            <x14:dxf>
              <font>
                <b/>
                <i/>
                <color theme="0"/>
              </font>
              <fill>
                <patternFill>
                  <bgColor theme="1"/>
                </patternFill>
              </fill>
            </x14:dxf>
          </x14:cfRule>
          <x14:cfRule type="containsText" priority="306" operator="containsText" id="{EB5601E1-1773-463E-80C5-7B00DB27835E}">
            <xm:f>NOT(ISERROR(SEARCH($M$111,A383)))</xm:f>
            <xm:f>$M$111</xm:f>
            <x14:dxf>
              <font>
                <b/>
                <i/>
                <color theme="0"/>
              </font>
              <fill>
                <patternFill>
                  <bgColor theme="1"/>
                </patternFill>
              </fill>
            </x14:dxf>
          </x14:cfRule>
          <x14:cfRule type="containsText" priority="307" operator="containsText" id="{05C175C0-7479-4A65-A962-04F8A3094CBA}">
            <xm:f>NOT(ISERROR(SEARCH($M$110,A383)))</xm:f>
            <xm:f>$M$110</xm:f>
            <x14:dxf>
              <font>
                <b/>
                <i/>
                <color theme="0"/>
              </font>
              <fill>
                <patternFill>
                  <bgColor theme="1"/>
                </patternFill>
              </fill>
            </x14:dxf>
          </x14:cfRule>
          <xm:sqref>A383:A394</xm:sqref>
        </x14:conditionalFormatting>
        <x14:conditionalFormatting xmlns:xm="http://schemas.microsoft.com/office/excel/2006/main">
          <x14:cfRule type="containsText" priority="279" operator="containsText" id="{006E3CE6-764E-4D7D-84B8-979CA670B355}">
            <xm:f>NOT(ISERROR(SEARCH($M$107,A370)))</xm:f>
            <xm:f>$M$107</xm:f>
            <x14:dxf>
              <font>
                <b/>
                <i/>
                <color theme="0"/>
              </font>
              <fill>
                <patternFill>
                  <bgColor theme="1"/>
                </patternFill>
              </fill>
            </x14:dxf>
          </x14:cfRule>
          <xm:sqref>A370:A381</xm:sqref>
        </x14:conditionalFormatting>
        <x14:conditionalFormatting xmlns:xm="http://schemas.microsoft.com/office/excel/2006/main">
          <x14:cfRule type="containsText" priority="277" operator="containsText" id="{80382CEB-6986-4DE6-BF35-C76E3AB0B078}">
            <xm:f>NOT(ISERROR(SEARCH($M$109,A370)))</xm:f>
            <xm:f>$M$109</xm:f>
            <x14:dxf>
              <font>
                <b/>
                <i/>
                <color theme="0"/>
              </font>
              <fill>
                <patternFill>
                  <bgColor theme="1"/>
                </patternFill>
              </fill>
            </x14:dxf>
          </x14:cfRule>
          <x14:cfRule type="containsText" priority="278" operator="containsText" id="{0AFE6A4E-4990-430F-9305-2E96DC2FFF5E}">
            <xm:f>NOT(ISERROR(SEARCH($M$108,A370)))</xm:f>
            <xm:f>$M$108</xm:f>
            <x14:dxf>
              <font>
                <color theme="0"/>
              </font>
              <fill>
                <patternFill>
                  <bgColor theme="1"/>
                </patternFill>
              </fill>
            </x14:dxf>
          </x14:cfRule>
          <xm:sqref>A370:A381</xm:sqref>
        </x14:conditionalFormatting>
        <x14:conditionalFormatting xmlns:xm="http://schemas.microsoft.com/office/excel/2006/main">
          <x14:cfRule type="containsText" priority="250" operator="containsText" id="{F0FECBA7-2ACD-45B6-B035-AFA2421BE409}">
            <xm:f>NOT(ISERROR(SEARCH($M$136,A370)))</xm:f>
            <xm:f>$M$136</xm:f>
            <x14:dxf>
              <font>
                <b/>
                <i/>
                <color theme="0"/>
              </font>
              <fill>
                <patternFill>
                  <bgColor theme="1"/>
                </patternFill>
              </fill>
            </x14:dxf>
          </x14:cfRule>
          <x14:cfRule type="containsText" priority="251" operator="containsText" id="{58E3C7A3-5D0B-4DEA-A2EE-0B63A9513A9F}">
            <xm:f>NOT(ISERROR(SEARCH($M$135,A370)))</xm:f>
            <xm:f>$M$135</xm:f>
            <x14:dxf>
              <font>
                <b/>
                <i/>
                <color theme="0"/>
              </font>
              <fill>
                <patternFill>
                  <bgColor theme="1"/>
                </patternFill>
              </fill>
            </x14:dxf>
          </x14:cfRule>
          <x14:cfRule type="containsText" priority="252" operator="containsText" id="{627DCDE4-03C4-4FB8-96E9-91BF470BDEBB}">
            <xm:f>NOT(ISERROR(SEARCH($M$134,A370)))</xm:f>
            <xm:f>$M$134</xm:f>
            <x14:dxf>
              <font>
                <b/>
                <i/>
                <color theme="0"/>
              </font>
              <fill>
                <patternFill>
                  <bgColor theme="1"/>
                </patternFill>
              </fill>
            </x14:dxf>
          </x14:cfRule>
          <x14:cfRule type="containsText" priority="253" operator="containsText" id="{EB690306-6680-4A02-82AC-E05024C467E2}">
            <xm:f>NOT(ISERROR(SEARCH($M$133,A370)))</xm:f>
            <xm:f>$M$133</xm:f>
            <x14:dxf>
              <font>
                <b/>
                <i/>
                <color theme="0"/>
              </font>
              <fill>
                <patternFill>
                  <bgColor theme="1"/>
                </patternFill>
              </fill>
            </x14:dxf>
          </x14:cfRule>
          <x14:cfRule type="containsText" priority="254" operator="containsText" id="{B51D5954-E2EA-4F70-83C6-F6BBA677BD1B}">
            <xm:f>NOT(ISERROR(SEARCH($M$132,A370)))</xm:f>
            <xm:f>$M$132</xm:f>
            <x14:dxf>
              <font>
                <b/>
                <i/>
                <color theme="0"/>
              </font>
              <fill>
                <patternFill>
                  <bgColor theme="1"/>
                </patternFill>
              </fill>
            </x14:dxf>
          </x14:cfRule>
          <x14:cfRule type="containsText" priority="255" operator="containsText" id="{357F79E0-1807-45E9-9CFA-9E7029E3AEED}">
            <xm:f>NOT(ISERROR(SEARCH($M$131,A370)))</xm:f>
            <xm:f>$M$131</xm:f>
            <x14:dxf>
              <font>
                <b/>
                <i/>
                <color theme="0"/>
              </font>
              <fill>
                <patternFill>
                  <bgColor theme="1"/>
                </patternFill>
              </fill>
            </x14:dxf>
          </x14:cfRule>
          <x14:cfRule type="containsText" priority="256" operator="containsText" id="{AE7AF3BF-3EEE-405E-B0C1-98428247B885}">
            <xm:f>NOT(ISERROR(SEARCH($M$130,A370)))</xm:f>
            <xm:f>$M$130</xm:f>
            <x14:dxf>
              <font>
                <b/>
                <i/>
                <color theme="0"/>
              </font>
              <fill>
                <patternFill>
                  <bgColor theme="1"/>
                </patternFill>
              </fill>
            </x14:dxf>
          </x14:cfRule>
          <x14:cfRule type="containsText" priority="257" operator="containsText" id="{A565DCEB-56D5-45B7-9B2D-DACD972F548F}">
            <xm:f>NOT(ISERROR(SEARCH($M$129,A370)))</xm:f>
            <xm:f>$M$129</xm:f>
            <x14:dxf>
              <font>
                <b/>
                <i/>
                <color theme="0"/>
              </font>
              <fill>
                <patternFill>
                  <bgColor theme="1"/>
                </patternFill>
              </fill>
            </x14:dxf>
          </x14:cfRule>
          <x14:cfRule type="containsText" priority="258" operator="containsText" id="{1C0B1729-0E05-4888-BC8D-FA6AE286BBD0}">
            <xm:f>NOT(ISERROR(SEARCH($M$128,A370)))</xm:f>
            <xm:f>$M$128</xm:f>
            <x14:dxf>
              <font>
                <b/>
                <i/>
                <color theme="0"/>
              </font>
              <fill>
                <patternFill>
                  <bgColor theme="1"/>
                </patternFill>
              </fill>
            </x14:dxf>
          </x14:cfRule>
          <x14:cfRule type="containsText" priority="259" operator="containsText" id="{1AD6F1EC-84BC-4F5E-9AB7-A5DB20D38915}">
            <xm:f>NOT(ISERROR(SEARCH($M$127,A370)))</xm:f>
            <xm:f>$M$127</xm:f>
            <x14:dxf>
              <font>
                <b/>
                <i/>
                <color theme="0"/>
              </font>
              <fill>
                <patternFill>
                  <bgColor theme="1"/>
                </patternFill>
              </fill>
            </x14:dxf>
          </x14:cfRule>
          <x14:cfRule type="containsText" priority="260" operator="containsText" id="{AC6BA139-7DB2-4169-B66B-B067D5B5A931}">
            <xm:f>NOT(ISERROR(SEARCH($M$126,A370)))</xm:f>
            <xm:f>$M$126</xm:f>
            <x14:dxf>
              <font>
                <b/>
                <i/>
                <color theme="0"/>
              </font>
              <fill>
                <patternFill>
                  <bgColor theme="1"/>
                </patternFill>
              </fill>
            </x14:dxf>
          </x14:cfRule>
          <x14:cfRule type="containsText" priority="261" operator="containsText" id="{C7DE3C03-731B-4A85-BEB3-F8E4AA3FA232}">
            <xm:f>NOT(ISERROR(SEARCH($M$125,A370)))</xm:f>
            <xm:f>$M$125</xm:f>
            <x14:dxf>
              <font>
                <b/>
                <i/>
                <color theme="0"/>
              </font>
              <fill>
                <patternFill>
                  <bgColor theme="1"/>
                </patternFill>
              </fill>
            </x14:dxf>
          </x14:cfRule>
          <x14:cfRule type="containsText" priority="262" operator="containsText" id="{752478D0-0CC5-4504-8757-A9163CC74FC3}">
            <xm:f>NOT(ISERROR(SEARCH($M$124,A370)))</xm:f>
            <xm:f>$M$124</xm:f>
            <x14:dxf>
              <font>
                <b/>
                <i/>
                <color theme="0"/>
              </font>
              <fill>
                <patternFill>
                  <bgColor theme="1"/>
                </patternFill>
              </fill>
            </x14:dxf>
          </x14:cfRule>
          <x14:cfRule type="containsText" priority="263" operator="containsText" id="{8639CEC0-B778-4C77-B8B4-F35AA8DC13AC}">
            <xm:f>NOT(ISERROR(SEARCH($M$123,A370)))</xm:f>
            <xm:f>$M$123</xm:f>
            <x14:dxf>
              <font>
                <b/>
                <i/>
                <color theme="0"/>
              </font>
              <fill>
                <patternFill>
                  <bgColor theme="1"/>
                </patternFill>
              </fill>
            </x14:dxf>
          </x14:cfRule>
          <x14:cfRule type="containsText" priority="264" operator="containsText" id="{77CA3218-647F-4DB4-B441-D26D87754514}">
            <xm:f>NOT(ISERROR(SEARCH($M$122,A370)))</xm:f>
            <xm:f>$M$122</xm:f>
            <x14:dxf>
              <font>
                <b/>
                <i/>
                <color theme="0"/>
              </font>
              <fill>
                <patternFill>
                  <bgColor theme="1"/>
                </patternFill>
              </fill>
            </x14:dxf>
          </x14:cfRule>
          <x14:cfRule type="containsText" priority="265" operator="containsText" id="{CADB8717-E2A0-4A4B-8432-8969684931FC}">
            <xm:f>NOT(ISERROR(SEARCH($M$121,A370)))</xm:f>
            <xm:f>$M$121</xm:f>
            <x14:dxf>
              <font>
                <b/>
                <i/>
                <color theme="0"/>
              </font>
              <fill>
                <patternFill>
                  <bgColor theme="1"/>
                </patternFill>
              </fill>
            </x14:dxf>
          </x14:cfRule>
          <x14:cfRule type="containsText" priority="266" operator="containsText" id="{2396B929-C01A-43FD-A64C-EA7BD03DD446}">
            <xm:f>NOT(ISERROR(SEARCH($M$120,A370)))</xm:f>
            <xm:f>$M$120</xm:f>
            <x14:dxf>
              <font>
                <b/>
                <i/>
                <color theme="0"/>
              </font>
              <fill>
                <patternFill>
                  <bgColor theme="1"/>
                </patternFill>
              </fill>
            </x14:dxf>
          </x14:cfRule>
          <x14:cfRule type="containsText" priority="267" operator="containsText" id="{58992325-FEAA-43F5-9429-222E935C7FAC}">
            <xm:f>NOT(ISERROR(SEARCH($M$119,A370)))</xm:f>
            <xm:f>$M$119</xm:f>
            <x14:dxf>
              <font>
                <b/>
                <i/>
                <color theme="0"/>
              </font>
              <fill>
                <patternFill>
                  <bgColor theme="1"/>
                </patternFill>
              </fill>
            </x14:dxf>
          </x14:cfRule>
          <x14:cfRule type="containsText" priority="268" operator="containsText" id="{65C7E8CF-9877-472E-BD9A-75123D7D858B}">
            <xm:f>NOT(ISERROR(SEARCH($M$118,A370)))</xm:f>
            <xm:f>$M$118</xm:f>
            <x14:dxf>
              <font>
                <b/>
                <i/>
                <color theme="0"/>
              </font>
              <fill>
                <patternFill>
                  <bgColor theme="1"/>
                </patternFill>
              </fill>
            </x14:dxf>
          </x14:cfRule>
          <x14:cfRule type="containsText" priority="269" operator="containsText" id="{60F47CA4-DCFD-4675-BC00-02BD003CFA29}">
            <xm:f>NOT(ISERROR(SEARCH($M$117,A370)))</xm:f>
            <xm:f>$M$117</xm:f>
            <x14:dxf>
              <font>
                <b/>
                <i/>
                <color theme="0"/>
              </font>
              <fill>
                <patternFill>
                  <bgColor theme="1"/>
                </patternFill>
              </fill>
            </x14:dxf>
          </x14:cfRule>
          <x14:cfRule type="containsText" priority="270" operator="containsText" id="{89D59AC7-2103-4FA7-8FD5-A7567C4F7269}">
            <xm:f>NOT(ISERROR(SEARCH($M$116,A370)))</xm:f>
            <xm:f>$M$116</xm:f>
            <x14:dxf>
              <font>
                <b/>
                <i/>
                <color theme="0"/>
              </font>
              <fill>
                <patternFill>
                  <bgColor theme="1"/>
                </patternFill>
              </fill>
            </x14:dxf>
          </x14:cfRule>
          <x14:cfRule type="containsText" priority="271" operator="containsText" id="{565CC1E5-57FE-407C-A883-2A3B2A59A0A9}">
            <xm:f>NOT(ISERROR(SEARCH($M$115,A370)))</xm:f>
            <xm:f>$M$115</xm:f>
            <x14:dxf>
              <font>
                <b/>
                <i/>
                <color theme="0"/>
              </font>
              <fill>
                <patternFill>
                  <bgColor theme="1"/>
                </patternFill>
              </fill>
            </x14:dxf>
          </x14:cfRule>
          <x14:cfRule type="containsText" priority="272" operator="containsText" id="{6ACFE48F-D55C-48FA-9388-C6EF0DBF84B7}">
            <xm:f>NOT(ISERROR(SEARCH($M$114,A370)))</xm:f>
            <xm:f>$M$114</xm:f>
            <x14:dxf>
              <font>
                <b/>
                <i/>
                <color theme="0"/>
              </font>
              <fill>
                <patternFill>
                  <bgColor theme="1"/>
                </patternFill>
              </fill>
            </x14:dxf>
          </x14:cfRule>
          <x14:cfRule type="containsText" priority="273" operator="containsText" id="{E5610B3E-BE0D-4A5A-A04A-C89458A400B3}">
            <xm:f>NOT(ISERROR(SEARCH($M$113,A370)))</xm:f>
            <xm:f>$M$113</xm:f>
            <x14:dxf>
              <font>
                <b/>
                <i/>
                <color theme="0"/>
              </font>
              <fill>
                <patternFill>
                  <bgColor theme="1"/>
                </patternFill>
              </fill>
            </x14:dxf>
          </x14:cfRule>
          <x14:cfRule type="containsText" priority="274" operator="containsText" id="{2ABB40F6-82A6-4FC7-A0DD-1F23CD0C5CCD}">
            <xm:f>NOT(ISERROR(SEARCH($M$112,A370)))</xm:f>
            <xm:f>$M$112</xm:f>
            <x14:dxf>
              <font>
                <b/>
                <i/>
                <color theme="0"/>
              </font>
              <fill>
                <patternFill>
                  <bgColor theme="1"/>
                </patternFill>
              </fill>
            </x14:dxf>
          </x14:cfRule>
          <x14:cfRule type="containsText" priority="275" operator="containsText" id="{626324A8-A494-49FA-B1FA-801A924B5EB5}">
            <xm:f>NOT(ISERROR(SEARCH($M$111,A370)))</xm:f>
            <xm:f>$M$111</xm:f>
            <x14:dxf>
              <font>
                <b/>
                <i/>
                <color theme="0"/>
              </font>
              <fill>
                <patternFill>
                  <bgColor theme="1"/>
                </patternFill>
              </fill>
            </x14:dxf>
          </x14:cfRule>
          <x14:cfRule type="containsText" priority="276" operator="containsText" id="{8D85C454-A16E-4C88-8961-B01B163FEF2F}">
            <xm:f>NOT(ISERROR(SEARCH($M$110,A370)))</xm:f>
            <xm:f>$M$110</xm:f>
            <x14:dxf>
              <font>
                <b/>
                <i/>
                <color theme="0"/>
              </font>
              <fill>
                <patternFill>
                  <bgColor theme="1"/>
                </patternFill>
              </fill>
            </x14:dxf>
          </x14:cfRule>
          <xm:sqref>A370:A381</xm:sqref>
        </x14:conditionalFormatting>
        <x14:conditionalFormatting xmlns:xm="http://schemas.microsoft.com/office/excel/2006/main">
          <x14:cfRule type="containsText" priority="248" operator="containsText" id="{EDD7439C-C22A-44C9-BFDE-C8FB9B63EA93}">
            <xm:f>NOT(ISERROR(SEARCH($M$107,A321)))</xm:f>
            <xm:f>$M$107</xm:f>
            <x14:dxf>
              <font>
                <b/>
                <i/>
                <color theme="0"/>
              </font>
              <fill>
                <patternFill>
                  <bgColor theme="1"/>
                </patternFill>
              </fill>
            </x14:dxf>
          </x14:cfRule>
          <xm:sqref>A321:A332</xm:sqref>
        </x14:conditionalFormatting>
        <x14:conditionalFormatting xmlns:xm="http://schemas.microsoft.com/office/excel/2006/main">
          <x14:cfRule type="containsText" priority="246" operator="containsText" id="{5F4F1CC6-0E92-4DF9-B18E-6C0900177E4F}">
            <xm:f>NOT(ISERROR(SEARCH($M$109,A321)))</xm:f>
            <xm:f>$M$109</xm:f>
            <x14:dxf>
              <font>
                <b/>
                <i/>
                <color theme="0"/>
              </font>
              <fill>
                <patternFill>
                  <bgColor theme="1"/>
                </patternFill>
              </fill>
            </x14:dxf>
          </x14:cfRule>
          <x14:cfRule type="containsText" priority="247" operator="containsText" id="{AC438D9F-5C39-4FBE-9CC0-6E68D13E75AD}">
            <xm:f>NOT(ISERROR(SEARCH($M$108,A321)))</xm:f>
            <xm:f>$M$108</xm:f>
            <x14:dxf>
              <font>
                <color theme="0"/>
              </font>
              <fill>
                <patternFill>
                  <bgColor theme="1"/>
                </patternFill>
              </fill>
            </x14:dxf>
          </x14:cfRule>
          <xm:sqref>A321:A332</xm:sqref>
        </x14:conditionalFormatting>
        <x14:conditionalFormatting xmlns:xm="http://schemas.microsoft.com/office/excel/2006/main">
          <x14:cfRule type="containsText" priority="219" operator="containsText" id="{A936F812-565C-4167-825F-AF98404BFE02}">
            <xm:f>NOT(ISERROR(SEARCH($M$136,A321)))</xm:f>
            <xm:f>$M$136</xm:f>
            <x14:dxf>
              <font>
                <b/>
                <i/>
                <color theme="0"/>
              </font>
              <fill>
                <patternFill>
                  <bgColor theme="1"/>
                </patternFill>
              </fill>
            </x14:dxf>
          </x14:cfRule>
          <x14:cfRule type="containsText" priority="220" operator="containsText" id="{208D93DA-4BAE-414D-8E1F-B5F5CA816FF4}">
            <xm:f>NOT(ISERROR(SEARCH($M$135,A321)))</xm:f>
            <xm:f>$M$135</xm:f>
            <x14:dxf>
              <font>
                <b/>
                <i/>
                <color theme="0"/>
              </font>
              <fill>
                <patternFill>
                  <bgColor theme="1"/>
                </patternFill>
              </fill>
            </x14:dxf>
          </x14:cfRule>
          <x14:cfRule type="containsText" priority="221" operator="containsText" id="{C522AE4E-2C9F-48CB-9292-D763F170A056}">
            <xm:f>NOT(ISERROR(SEARCH($M$134,A321)))</xm:f>
            <xm:f>$M$134</xm:f>
            <x14:dxf>
              <font>
                <b/>
                <i/>
                <color theme="0"/>
              </font>
              <fill>
                <patternFill>
                  <bgColor theme="1"/>
                </patternFill>
              </fill>
            </x14:dxf>
          </x14:cfRule>
          <x14:cfRule type="containsText" priority="222" operator="containsText" id="{2CDC7CEB-B497-4EF2-9709-D36BF6ACC3A1}">
            <xm:f>NOT(ISERROR(SEARCH($M$133,A321)))</xm:f>
            <xm:f>$M$133</xm:f>
            <x14:dxf>
              <font>
                <b/>
                <i/>
                <color theme="0"/>
              </font>
              <fill>
                <patternFill>
                  <bgColor theme="1"/>
                </patternFill>
              </fill>
            </x14:dxf>
          </x14:cfRule>
          <x14:cfRule type="containsText" priority="223" operator="containsText" id="{431EC3E1-66EF-458D-A5A2-447E0B40395D}">
            <xm:f>NOT(ISERROR(SEARCH($M$132,A321)))</xm:f>
            <xm:f>$M$132</xm:f>
            <x14:dxf>
              <font>
                <b/>
                <i/>
                <color theme="0"/>
              </font>
              <fill>
                <patternFill>
                  <bgColor theme="1"/>
                </patternFill>
              </fill>
            </x14:dxf>
          </x14:cfRule>
          <x14:cfRule type="containsText" priority="224" operator="containsText" id="{00001A27-0B03-47CE-8010-68A819FDAA25}">
            <xm:f>NOT(ISERROR(SEARCH($M$131,A321)))</xm:f>
            <xm:f>$M$131</xm:f>
            <x14:dxf>
              <font>
                <b/>
                <i/>
                <color theme="0"/>
              </font>
              <fill>
                <patternFill>
                  <bgColor theme="1"/>
                </patternFill>
              </fill>
            </x14:dxf>
          </x14:cfRule>
          <x14:cfRule type="containsText" priority="225" operator="containsText" id="{645BFDD5-8413-48CD-9820-DD991AB39E5E}">
            <xm:f>NOT(ISERROR(SEARCH($M$130,A321)))</xm:f>
            <xm:f>$M$130</xm:f>
            <x14:dxf>
              <font>
                <b/>
                <i/>
                <color theme="0"/>
              </font>
              <fill>
                <patternFill>
                  <bgColor theme="1"/>
                </patternFill>
              </fill>
            </x14:dxf>
          </x14:cfRule>
          <x14:cfRule type="containsText" priority="226" operator="containsText" id="{9FDF2AE2-A1EB-4730-8531-E2FDE3C7A967}">
            <xm:f>NOT(ISERROR(SEARCH($M$129,A321)))</xm:f>
            <xm:f>$M$129</xm:f>
            <x14:dxf>
              <font>
                <b/>
                <i/>
                <color theme="0"/>
              </font>
              <fill>
                <patternFill>
                  <bgColor theme="1"/>
                </patternFill>
              </fill>
            </x14:dxf>
          </x14:cfRule>
          <x14:cfRule type="containsText" priority="227" operator="containsText" id="{61F68C96-3E5F-4328-A3B5-A7B5C636A8AB}">
            <xm:f>NOT(ISERROR(SEARCH($M$128,A321)))</xm:f>
            <xm:f>$M$128</xm:f>
            <x14:dxf>
              <font>
                <b/>
                <i/>
                <color theme="0"/>
              </font>
              <fill>
                <patternFill>
                  <bgColor theme="1"/>
                </patternFill>
              </fill>
            </x14:dxf>
          </x14:cfRule>
          <x14:cfRule type="containsText" priority="228" operator="containsText" id="{09406B86-F13D-408C-A107-67E3C3125713}">
            <xm:f>NOT(ISERROR(SEARCH($M$127,A321)))</xm:f>
            <xm:f>$M$127</xm:f>
            <x14:dxf>
              <font>
                <b/>
                <i/>
                <color theme="0"/>
              </font>
              <fill>
                <patternFill>
                  <bgColor theme="1"/>
                </patternFill>
              </fill>
            </x14:dxf>
          </x14:cfRule>
          <x14:cfRule type="containsText" priority="229" operator="containsText" id="{FEA487D4-F810-4000-B83E-06926CC70F6A}">
            <xm:f>NOT(ISERROR(SEARCH($M$126,A321)))</xm:f>
            <xm:f>$M$126</xm:f>
            <x14:dxf>
              <font>
                <b/>
                <i/>
                <color theme="0"/>
              </font>
              <fill>
                <patternFill>
                  <bgColor theme="1"/>
                </patternFill>
              </fill>
            </x14:dxf>
          </x14:cfRule>
          <x14:cfRule type="containsText" priority="230" operator="containsText" id="{3888A6D1-379D-42AF-A8AD-5CB8BE8E4ECD}">
            <xm:f>NOT(ISERROR(SEARCH($M$125,A321)))</xm:f>
            <xm:f>$M$125</xm:f>
            <x14:dxf>
              <font>
                <b/>
                <i/>
                <color theme="0"/>
              </font>
              <fill>
                <patternFill>
                  <bgColor theme="1"/>
                </patternFill>
              </fill>
            </x14:dxf>
          </x14:cfRule>
          <x14:cfRule type="containsText" priority="231" operator="containsText" id="{05E6EBAD-3B0B-43EA-A11E-2D013C6903D6}">
            <xm:f>NOT(ISERROR(SEARCH($M$124,A321)))</xm:f>
            <xm:f>$M$124</xm:f>
            <x14:dxf>
              <font>
                <b/>
                <i/>
                <color theme="0"/>
              </font>
              <fill>
                <patternFill>
                  <bgColor theme="1"/>
                </patternFill>
              </fill>
            </x14:dxf>
          </x14:cfRule>
          <x14:cfRule type="containsText" priority="232" operator="containsText" id="{27754EDA-689B-48C7-BC76-99145BB2E63A}">
            <xm:f>NOT(ISERROR(SEARCH($M$123,A321)))</xm:f>
            <xm:f>$M$123</xm:f>
            <x14:dxf>
              <font>
                <b/>
                <i/>
                <color theme="0"/>
              </font>
              <fill>
                <patternFill>
                  <bgColor theme="1"/>
                </patternFill>
              </fill>
            </x14:dxf>
          </x14:cfRule>
          <x14:cfRule type="containsText" priority="233" operator="containsText" id="{E01DBCCE-CD2B-42D8-9F22-A147C93ED5A2}">
            <xm:f>NOT(ISERROR(SEARCH($M$122,A321)))</xm:f>
            <xm:f>$M$122</xm:f>
            <x14:dxf>
              <font>
                <b/>
                <i/>
                <color theme="0"/>
              </font>
              <fill>
                <patternFill>
                  <bgColor theme="1"/>
                </patternFill>
              </fill>
            </x14:dxf>
          </x14:cfRule>
          <x14:cfRule type="containsText" priority="234" operator="containsText" id="{FE6F0AA6-5387-4653-83E5-C074A1E56C02}">
            <xm:f>NOT(ISERROR(SEARCH($M$121,A321)))</xm:f>
            <xm:f>$M$121</xm:f>
            <x14:dxf>
              <font>
                <b/>
                <i/>
                <color theme="0"/>
              </font>
              <fill>
                <patternFill>
                  <bgColor theme="1"/>
                </patternFill>
              </fill>
            </x14:dxf>
          </x14:cfRule>
          <x14:cfRule type="containsText" priority="235" operator="containsText" id="{475D7C4F-11C2-45DD-B70B-18E0F15D3454}">
            <xm:f>NOT(ISERROR(SEARCH($M$120,A321)))</xm:f>
            <xm:f>$M$120</xm:f>
            <x14:dxf>
              <font>
                <b/>
                <i/>
                <color theme="0"/>
              </font>
              <fill>
                <patternFill>
                  <bgColor theme="1"/>
                </patternFill>
              </fill>
            </x14:dxf>
          </x14:cfRule>
          <x14:cfRule type="containsText" priority="236" operator="containsText" id="{6FC48B4E-622A-4A3E-A9CB-76536D631C28}">
            <xm:f>NOT(ISERROR(SEARCH($M$119,A321)))</xm:f>
            <xm:f>$M$119</xm:f>
            <x14:dxf>
              <font>
                <b/>
                <i/>
                <color theme="0"/>
              </font>
              <fill>
                <patternFill>
                  <bgColor theme="1"/>
                </patternFill>
              </fill>
            </x14:dxf>
          </x14:cfRule>
          <x14:cfRule type="containsText" priority="237" operator="containsText" id="{1F156E61-CE80-42F7-9C2C-370C07A276B7}">
            <xm:f>NOT(ISERROR(SEARCH($M$118,A321)))</xm:f>
            <xm:f>$M$118</xm:f>
            <x14:dxf>
              <font>
                <b/>
                <i/>
                <color theme="0"/>
              </font>
              <fill>
                <patternFill>
                  <bgColor theme="1"/>
                </patternFill>
              </fill>
            </x14:dxf>
          </x14:cfRule>
          <x14:cfRule type="containsText" priority="238" operator="containsText" id="{706394F7-E653-4319-81A3-8217F78273D3}">
            <xm:f>NOT(ISERROR(SEARCH($M$117,A321)))</xm:f>
            <xm:f>$M$117</xm:f>
            <x14:dxf>
              <font>
                <b/>
                <i/>
                <color theme="0"/>
              </font>
              <fill>
                <patternFill>
                  <bgColor theme="1"/>
                </patternFill>
              </fill>
            </x14:dxf>
          </x14:cfRule>
          <x14:cfRule type="containsText" priority="239" operator="containsText" id="{E58FB9E1-8B73-43D2-A39F-B0807972CFE8}">
            <xm:f>NOT(ISERROR(SEARCH($M$116,A321)))</xm:f>
            <xm:f>$M$116</xm:f>
            <x14:dxf>
              <font>
                <b/>
                <i/>
                <color theme="0"/>
              </font>
              <fill>
                <patternFill>
                  <bgColor theme="1"/>
                </patternFill>
              </fill>
            </x14:dxf>
          </x14:cfRule>
          <x14:cfRule type="containsText" priority="240" operator="containsText" id="{318BD942-14E4-4DEA-9684-8C5930940E71}">
            <xm:f>NOT(ISERROR(SEARCH($M$115,A321)))</xm:f>
            <xm:f>$M$115</xm:f>
            <x14:dxf>
              <font>
                <b/>
                <i/>
                <color theme="0"/>
              </font>
              <fill>
                <patternFill>
                  <bgColor theme="1"/>
                </patternFill>
              </fill>
            </x14:dxf>
          </x14:cfRule>
          <x14:cfRule type="containsText" priority="241" operator="containsText" id="{4BE0D389-F38B-4861-A062-FD5255E7E096}">
            <xm:f>NOT(ISERROR(SEARCH($M$114,A321)))</xm:f>
            <xm:f>$M$114</xm:f>
            <x14:dxf>
              <font>
                <b/>
                <i/>
                <color theme="0"/>
              </font>
              <fill>
                <patternFill>
                  <bgColor theme="1"/>
                </patternFill>
              </fill>
            </x14:dxf>
          </x14:cfRule>
          <x14:cfRule type="containsText" priority="242" operator="containsText" id="{B6E82F27-1A2D-4D77-96C3-6E08F6D32168}">
            <xm:f>NOT(ISERROR(SEARCH($M$113,A321)))</xm:f>
            <xm:f>$M$113</xm:f>
            <x14:dxf>
              <font>
                <b/>
                <i/>
                <color theme="0"/>
              </font>
              <fill>
                <patternFill>
                  <bgColor theme="1"/>
                </patternFill>
              </fill>
            </x14:dxf>
          </x14:cfRule>
          <x14:cfRule type="containsText" priority="243" operator="containsText" id="{3B242652-BE60-4CE2-9050-526B6355C41C}">
            <xm:f>NOT(ISERROR(SEARCH($M$112,A321)))</xm:f>
            <xm:f>$M$112</xm:f>
            <x14:dxf>
              <font>
                <b/>
                <i/>
                <color theme="0"/>
              </font>
              <fill>
                <patternFill>
                  <bgColor theme="1"/>
                </patternFill>
              </fill>
            </x14:dxf>
          </x14:cfRule>
          <x14:cfRule type="containsText" priority="244" operator="containsText" id="{EE706CD9-12C5-424C-9075-EF7154789517}">
            <xm:f>NOT(ISERROR(SEARCH($M$111,A321)))</xm:f>
            <xm:f>$M$111</xm:f>
            <x14:dxf>
              <font>
                <b/>
                <i/>
                <color theme="0"/>
              </font>
              <fill>
                <patternFill>
                  <bgColor theme="1"/>
                </patternFill>
              </fill>
            </x14:dxf>
          </x14:cfRule>
          <x14:cfRule type="containsText" priority="245" operator="containsText" id="{3C656259-10E4-4CCB-AD77-765B637B86C2}">
            <xm:f>NOT(ISERROR(SEARCH($M$110,A321)))</xm:f>
            <xm:f>$M$110</xm:f>
            <x14:dxf>
              <font>
                <b/>
                <i/>
                <color theme="0"/>
              </font>
              <fill>
                <patternFill>
                  <bgColor theme="1"/>
                </patternFill>
              </fill>
            </x14:dxf>
          </x14:cfRule>
          <xm:sqref>A321:A332</xm:sqref>
        </x14:conditionalFormatting>
        <x14:conditionalFormatting xmlns:xm="http://schemas.microsoft.com/office/excel/2006/main">
          <x14:cfRule type="containsText" priority="217" operator="containsText" id="{17F1459B-D155-4C93-B56D-E7E299B22B68}">
            <xm:f>NOT(ISERROR(SEARCH($M$107,A308)))</xm:f>
            <xm:f>$M$107</xm:f>
            <x14:dxf>
              <font>
                <b/>
                <i/>
                <color theme="0"/>
              </font>
              <fill>
                <patternFill>
                  <bgColor theme="1"/>
                </patternFill>
              </fill>
            </x14:dxf>
          </x14:cfRule>
          <xm:sqref>A308:A319</xm:sqref>
        </x14:conditionalFormatting>
        <x14:conditionalFormatting xmlns:xm="http://schemas.microsoft.com/office/excel/2006/main">
          <x14:cfRule type="containsText" priority="215" operator="containsText" id="{F0B6BE96-56A4-4D50-BDF6-7ED47644FD88}">
            <xm:f>NOT(ISERROR(SEARCH($M$109,A308)))</xm:f>
            <xm:f>$M$109</xm:f>
            <x14:dxf>
              <font>
                <b/>
                <i/>
                <color theme="0"/>
              </font>
              <fill>
                <patternFill>
                  <bgColor theme="1"/>
                </patternFill>
              </fill>
            </x14:dxf>
          </x14:cfRule>
          <x14:cfRule type="containsText" priority="216" operator="containsText" id="{4380120A-E334-48F3-9196-8355241F5120}">
            <xm:f>NOT(ISERROR(SEARCH($M$108,A308)))</xm:f>
            <xm:f>$M$108</xm:f>
            <x14:dxf>
              <font>
                <color theme="0"/>
              </font>
              <fill>
                <patternFill>
                  <bgColor theme="1"/>
                </patternFill>
              </fill>
            </x14:dxf>
          </x14:cfRule>
          <xm:sqref>A308:A319</xm:sqref>
        </x14:conditionalFormatting>
        <x14:conditionalFormatting xmlns:xm="http://schemas.microsoft.com/office/excel/2006/main">
          <x14:cfRule type="containsText" priority="188" operator="containsText" id="{A80FB29E-029E-4616-AB68-E2C37C5D9158}">
            <xm:f>NOT(ISERROR(SEARCH($M$136,A308)))</xm:f>
            <xm:f>$M$136</xm:f>
            <x14:dxf>
              <font>
                <b/>
                <i/>
                <color theme="0"/>
              </font>
              <fill>
                <patternFill>
                  <bgColor theme="1"/>
                </patternFill>
              </fill>
            </x14:dxf>
          </x14:cfRule>
          <x14:cfRule type="containsText" priority="189" operator="containsText" id="{A2ACADFC-BD34-466D-B522-29A16B57E761}">
            <xm:f>NOT(ISERROR(SEARCH($M$135,A308)))</xm:f>
            <xm:f>$M$135</xm:f>
            <x14:dxf>
              <font>
                <b/>
                <i/>
                <color theme="0"/>
              </font>
              <fill>
                <patternFill>
                  <bgColor theme="1"/>
                </patternFill>
              </fill>
            </x14:dxf>
          </x14:cfRule>
          <x14:cfRule type="containsText" priority="190" operator="containsText" id="{34E6E84F-89E2-4D69-9598-4CA751C5423B}">
            <xm:f>NOT(ISERROR(SEARCH($M$134,A308)))</xm:f>
            <xm:f>$M$134</xm:f>
            <x14:dxf>
              <font>
                <b/>
                <i/>
                <color theme="0"/>
              </font>
              <fill>
                <patternFill>
                  <bgColor theme="1"/>
                </patternFill>
              </fill>
            </x14:dxf>
          </x14:cfRule>
          <x14:cfRule type="containsText" priority="191" operator="containsText" id="{0633EE6C-8430-4D8F-94F8-D528BD277AA7}">
            <xm:f>NOT(ISERROR(SEARCH($M$133,A308)))</xm:f>
            <xm:f>$M$133</xm:f>
            <x14:dxf>
              <font>
                <b/>
                <i/>
                <color theme="0"/>
              </font>
              <fill>
                <patternFill>
                  <bgColor theme="1"/>
                </patternFill>
              </fill>
            </x14:dxf>
          </x14:cfRule>
          <x14:cfRule type="containsText" priority="192" operator="containsText" id="{FAF74567-DE53-4CEE-B469-3D97D4EEB93D}">
            <xm:f>NOT(ISERROR(SEARCH($M$132,A308)))</xm:f>
            <xm:f>$M$132</xm:f>
            <x14:dxf>
              <font>
                <b/>
                <i/>
                <color theme="0"/>
              </font>
              <fill>
                <patternFill>
                  <bgColor theme="1"/>
                </patternFill>
              </fill>
            </x14:dxf>
          </x14:cfRule>
          <x14:cfRule type="containsText" priority="193" operator="containsText" id="{B981096E-D715-4271-B1F2-ECDD88078983}">
            <xm:f>NOT(ISERROR(SEARCH($M$131,A308)))</xm:f>
            <xm:f>$M$131</xm:f>
            <x14:dxf>
              <font>
                <b/>
                <i/>
                <color theme="0"/>
              </font>
              <fill>
                <patternFill>
                  <bgColor theme="1"/>
                </patternFill>
              </fill>
            </x14:dxf>
          </x14:cfRule>
          <x14:cfRule type="containsText" priority="194" operator="containsText" id="{E1F209C3-A4D1-40BC-A63D-52B516F6DA31}">
            <xm:f>NOT(ISERROR(SEARCH($M$130,A308)))</xm:f>
            <xm:f>$M$130</xm:f>
            <x14:dxf>
              <font>
                <b/>
                <i/>
                <color theme="0"/>
              </font>
              <fill>
                <patternFill>
                  <bgColor theme="1"/>
                </patternFill>
              </fill>
            </x14:dxf>
          </x14:cfRule>
          <x14:cfRule type="containsText" priority="195" operator="containsText" id="{91F536A1-1610-4E74-B913-45DC45963F92}">
            <xm:f>NOT(ISERROR(SEARCH($M$129,A308)))</xm:f>
            <xm:f>$M$129</xm:f>
            <x14:dxf>
              <font>
                <b/>
                <i/>
                <color theme="0"/>
              </font>
              <fill>
                <patternFill>
                  <bgColor theme="1"/>
                </patternFill>
              </fill>
            </x14:dxf>
          </x14:cfRule>
          <x14:cfRule type="containsText" priority="196" operator="containsText" id="{1A5FD508-326A-42FC-9120-51C811E12F20}">
            <xm:f>NOT(ISERROR(SEARCH($M$128,A308)))</xm:f>
            <xm:f>$M$128</xm:f>
            <x14:dxf>
              <font>
                <b/>
                <i/>
                <color theme="0"/>
              </font>
              <fill>
                <patternFill>
                  <bgColor theme="1"/>
                </patternFill>
              </fill>
            </x14:dxf>
          </x14:cfRule>
          <x14:cfRule type="containsText" priority="197" operator="containsText" id="{432D24C4-BD54-4317-ADBF-792A4A5AE0AC}">
            <xm:f>NOT(ISERROR(SEARCH($M$127,A308)))</xm:f>
            <xm:f>$M$127</xm:f>
            <x14:dxf>
              <font>
                <b/>
                <i/>
                <color theme="0"/>
              </font>
              <fill>
                <patternFill>
                  <bgColor theme="1"/>
                </patternFill>
              </fill>
            </x14:dxf>
          </x14:cfRule>
          <x14:cfRule type="containsText" priority="198" operator="containsText" id="{659DEFCF-5BC2-46BD-848B-CBC3CBB11989}">
            <xm:f>NOT(ISERROR(SEARCH($M$126,A308)))</xm:f>
            <xm:f>$M$126</xm:f>
            <x14:dxf>
              <font>
                <b/>
                <i/>
                <color theme="0"/>
              </font>
              <fill>
                <patternFill>
                  <bgColor theme="1"/>
                </patternFill>
              </fill>
            </x14:dxf>
          </x14:cfRule>
          <x14:cfRule type="containsText" priority="199" operator="containsText" id="{3B2AAA48-2EDE-4285-BC2C-C8DAFBF49EA4}">
            <xm:f>NOT(ISERROR(SEARCH($M$125,A308)))</xm:f>
            <xm:f>$M$125</xm:f>
            <x14:dxf>
              <font>
                <b/>
                <i/>
                <color theme="0"/>
              </font>
              <fill>
                <patternFill>
                  <bgColor theme="1"/>
                </patternFill>
              </fill>
            </x14:dxf>
          </x14:cfRule>
          <x14:cfRule type="containsText" priority="200" operator="containsText" id="{02E9077F-6C6A-499D-9806-89E1761D0946}">
            <xm:f>NOT(ISERROR(SEARCH($M$124,A308)))</xm:f>
            <xm:f>$M$124</xm:f>
            <x14:dxf>
              <font>
                <b/>
                <i/>
                <color theme="0"/>
              </font>
              <fill>
                <patternFill>
                  <bgColor theme="1"/>
                </patternFill>
              </fill>
            </x14:dxf>
          </x14:cfRule>
          <x14:cfRule type="containsText" priority="201" operator="containsText" id="{5C4BE23E-A5CA-4C00-92D3-CBB910D8542F}">
            <xm:f>NOT(ISERROR(SEARCH($M$123,A308)))</xm:f>
            <xm:f>$M$123</xm:f>
            <x14:dxf>
              <font>
                <b/>
                <i/>
                <color theme="0"/>
              </font>
              <fill>
                <patternFill>
                  <bgColor theme="1"/>
                </patternFill>
              </fill>
            </x14:dxf>
          </x14:cfRule>
          <x14:cfRule type="containsText" priority="202" operator="containsText" id="{530C2660-F161-4F1C-A1F7-3116C0FB6AAA}">
            <xm:f>NOT(ISERROR(SEARCH($M$122,A308)))</xm:f>
            <xm:f>$M$122</xm:f>
            <x14:dxf>
              <font>
                <b/>
                <i/>
                <color theme="0"/>
              </font>
              <fill>
                <patternFill>
                  <bgColor theme="1"/>
                </patternFill>
              </fill>
            </x14:dxf>
          </x14:cfRule>
          <x14:cfRule type="containsText" priority="203" operator="containsText" id="{D5EE26E9-624E-495D-8645-242D0A354EB4}">
            <xm:f>NOT(ISERROR(SEARCH($M$121,A308)))</xm:f>
            <xm:f>$M$121</xm:f>
            <x14:dxf>
              <font>
                <b/>
                <i/>
                <color theme="0"/>
              </font>
              <fill>
                <patternFill>
                  <bgColor theme="1"/>
                </patternFill>
              </fill>
            </x14:dxf>
          </x14:cfRule>
          <x14:cfRule type="containsText" priority="204" operator="containsText" id="{D840E503-78B0-4C2F-889E-274541C18321}">
            <xm:f>NOT(ISERROR(SEARCH($M$120,A308)))</xm:f>
            <xm:f>$M$120</xm:f>
            <x14:dxf>
              <font>
                <b/>
                <i/>
                <color theme="0"/>
              </font>
              <fill>
                <patternFill>
                  <bgColor theme="1"/>
                </patternFill>
              </fill>
            </x14:dxf>
          </x14:cfRule>
          <x14:cfRule type="containsText" priority="205" operator="containsText" id="{DACE5D1B-3172-41A7-8775-6D5A84B3F745}">
            <xm:f>NOT(ISERROR(SEARCH($M$119,A308)))</xm:f>
            <xm:f>$M$119</xm:f>
            <x14:dxf>
              <font>
                <b/>
                <i/>
                <color theme="0"/>
              </font>
              <fill>
                <patternFill>
                  <bgColor theme="1"/>
                </patternFill>
              </fill>
            </x14:dxf>
          </x14:cfRule>
          <x14:cfRule type="containsText" priority="206" operator="containsText" id="{D7D37504-B0CE-457E-A63E-77A245650112}">
            <xm:f>NOT(ISERROR(SEARCH($M$118,A308)))</xm:f>
            <xm:f>$M$118</xm:f>
            <x14:dxf>
              <font>
                <b/>
                <i/>
                <color theme="0"/>
              </font>
              <fill>
                <patternFill>
                  <bgColor theme="1"/>
                </patternFill>
              </fill>
            </x14:dxf>
          </x14:cfRule>
          <x14:cfRule type="containsText" priority="207" operator="containsText" id="{E9047DEB-0B8B-4F96-906B-426A30AF7F67}">
            <xm:f>NOT(ISERROR(SEARCH($M$117,A308)))</xm:f>
            <xm:f>$M$117</xm:f>
            <x14:dxf>
              <font>
                <b/>
                <i/>
                <color theme="0"/>
              </font>
              <fill>
                <patternFill>
                  <bgColor theme="1"/>
                </patternFill>
              </fill>
            </x14:dxf>
          </x14:cfRule>
          <x14:cfRule type="containsText" priority="208" operator="containsText" id="{ECAE5297-9E9F-4262-9AD7-28B86B941550}">
            <xm:f>NOT(ISERROR(SEARCH($M$116,A308)))</xm:f>
            <xm:f>$M$116</xm:f>
            <x14:dxf>
              <font>
                <b/>
                <i/>
                <color theme="0"/>
              </font>
              <fill>
                <patternFill>
                  <bgColor theme="1"/>
                </patternFill>
              </fill>
            </x14:dxf>
          </x14:cfRule>
          <x14:cfRule type="containsText" priority="209" operator="containsText" id="{89AE72B2-9181-45FC-ACA1-FC5E3A91D942}">
            <xm:f>NOT(ISERROR(SEARCH($M$115,A308)))</xm:f>
            <xm:f>$M$115</xm:f>
            <x14:dxf>
              <font>
                <b/>
                <i/>
                <color theme="0"/>
              </font>
              <fill>
                <patternFill>
                  <bgColor theme="1"/>
                </patternFill>
              </fill>
            </x14:dxf>
          </x14:cfRule>
          <x14:cfRule type="containsText" priority="210" operator="containsText" id="{C59FC22F-F414-4621-A65F-781323596D35}">
            <xm:f>NOT(ISERROR(SEARCH($M$114,A308)))</xm:f>
            <xm:f>$M$114</xm:f>
            <x14:dxf>
              <font>
                <b/>
                <i/>
                <color theme="0"/>
              </font>
              <fill>
                <patternFill>
                  <bgColor theme="1"/>
                </patternFill>
              </fill>
            </x14:dxf>
          </x14:cfRule>
          <x14:cfRule type="containsText" priority="211" operator="containsText" id="{40399435-2EE3-4815-81F1-5E05CC8682F7}">
            <xm:f>NOT(ISERROR(SEARCH($M$113,A308)))</xm:f>
            <xm:f>$M$113</xm:f>
            <x14:dxf>
              <font>
                <b/>
                <i/>
                <color theme="0"/>
              </font>
              <fill>
                <patternFill>
                  <bgColor theme="1"/>
                </patternFill>
              </fill>
            </x14:dxf>
          </x14:cfRule>
          <x14:cfRule type="containsText" priority="212" operator="containsText" id="{98BC9A67-1B9F-4044-B36E-8FF1217E6440}">
            <xm:f>NOT(ISERROR(SEARCH($M$112,A308)))</xm:f>
            <xm:f>$M$112</xm:f>
            <x14:dxf>
              <font>
                <b/>
                <i/>
                <color theme="0"/>
              </font>
              <fill>
                <patternFill>
                  <bgColor theme="1"/>
                </patternFill>
              </fill>
            </x14:dxf>
          </x14:cfRule>
          <x14:cfRule type="containsText" priority="213" operator="containsText" id="{2CFA0DA5-B6DF-45EA-B889-C4A3EE5088A7}">
            <xm:f>NOT(ISERROR(SEARCH($M$111,A308)))</xm:f>
            <xm:f>$M$111</xm:f>
            <x14:dxf>
              <font>
                <b/>
                <i/>
                <color theme="0"/>
              </font>
              <fill>
                <patternFill>
                  <bgColor theme="1"/>
                </patternFill>
              </fill>
            </x14:dxf>
          </x14:cfRule>
          <x14:cfRule type="containsText" priority="214" operator="containsText" id="{27D1747C-E92C-4C44-B001-D2407280B169}">
            <xm:f>NOT(ISERROR(SEARCH($M$110,A308)))</xm:f>
            <xm:f>$M$110</xm:f>
            <x14:dxf>
              <font>
                <b/>
                <i/>
                <color theme="0"/>
              </font>
              <fill>
                <patternFill>
                  <bgColor theme="1"/>
                </patternFill>
              </fill>
            </x14:dxf>
          </x14:cfRule>
          <xm:sqref>A308:A319</xm:sqref>
        </x14:conditionalFormatting>
        <x14:conditionalFormatting xmlns:xm="http://schemas.microsoft.com/office/excel/2006/main">
          <x14:cfRule type="containsText" priority="186" operator="containsText" id="{A65381F0-2E9C-498F-8827-8A697A3E56AF}">
            <xm:f>NOT(ISERROR(SEARCH($M$107,A259)))</xm:f>
            <xm:f>$M$107</xm:f>
            <x14:dxf>
              <font>
                <b/>
                <i/>
                <color theme="0"/>
              </font>
              <fill>
                <patternFill>
                  <bgColor theme="1"/>
                </patternFill>
              </fill>
            </x14:dxf>
          </x14:cfRule>
          <xm:sqref>A259:A270</xm:sqref>
        </x14:conditionalFormatting>
        <x14:conditionalFormatting xmlns:xm="http://schemas.microsoft.com/office/excel/2006/main">
          <x14:cfRule type="containsText" priority="184" operator="containsText" id="{5FEECC78-779C-446E-B876-3B233A86BB2B}">
            <xm:f>NOT(ISERROR(SEARCH($M$109,A259)))</xm:f>
            <xm:f>$M$109</xm:f>
            <x14:dxf>
              <font>
                <b/>
                <i/>
                <color theme="0"/>
              </font>
              <fill>
                <patternFill>
                  <bgColor theme="1"/>
                </patternFill>
              </fill>
            </x14:dxf>
          </x14:cfRule>
          <x14:cfRule type="containsText" priority="185" operator="containsText" id="{784244C7-78E8-436B-A169-557C9D4C5AAD}">
            <xm:f>NOT(ISERROR(SEARCH($M$108,A259)))</xm:f>
            <xm:f>$M$108</xm:f>
            <x14:dxf>
              <font>
                <color theme="0"/>
              </font>
              <fill>
                <patternFill>
                  <bgColor theme="1"/>
                </patternFill>
              </fill>
            </x14:dxf>
          </x14:cfRule>
          <xm:sqref>A259:A270</xm:sqref>
        </x14:conditionalFormatting>
        <x14:conditionalFormatting xmlns:xm="http://schemas.microsoft.com/office/excel/2006/main">
          <x14:cfRule type="containsText" priority="157" operator="containsText" id="{FF25417A-F6D9-457E-A042-886A5A30217A}">
            <xm:f>NOT(ISERROR(SEARCH($M$136,A259)))</xm:f>
            <xm:f>$M$136</xm:f>
            <x14:dxf>
              <font>
                <b/>
                <i/>
                <color theme="0"/>
              </font>
              <fill>
                <patternFill>
                  <bgColor theme="1"/>
                </patternFill>
              </fill>
            </x14:dxf>
          </x14:cfRule>
          <x14:cfRule type="containsText" priority="158" operator="containsText" id="{E6C7E0FC-2992-4CEA-95BC-3FF4E83845D2}">
            <xm:f>NOT(ISERROR(SEARCH($M$135,A259)))</xm:f>
            <xm:f>$M$135</xm:f>
            <x14:dxf>
              <font>
                <b/>
                <i/>
                <color theme="0"/>
              </font>
              <fill>
                <patternFill>
                  <bgColor theme="1"/>
                </patternFill>
              </fill>
            </x14:dxf>
          </x14:cfRule>
          <x14:cfRule type="containsText" priority="159" operator="containsText" id="{D3372DA7-F834-416D-B25E-55114DD5EED8}">
            <xm:f>NOT(ISERROR(SEARCH($M$134,A259)))</xm:f>
            <xm:f>$M$134</xm:f>
            <x14:dxf>
              <font>
                <b/>
                <i/>
                <color theme="0"/>
              </font>
              <fill>
                <patternFill>
                  <bgColor theme="1"/>
                </patternFill>
              </fill>
            </x14:dxf>
          </x14:cfRule>
          <x14:cfRule type="containsText" priority="160" operator="containsText" id="{21D1E0A7-A53D-4C48-8577-01AC8CACF7C9}">
            <xm:f>NOT(ISERROR(SEARCH($M$133,A259)))</xm:f>
            <xm:f>$M$133</xm:f>
            <x14:dxf>
              <font>
                <b/>
                <i/>
                <color theme="0"/>
              </font>
              <fill>
                <patternFill>
                  <bgColor theme="1"/>
                </patternFill>
              </fill>
            </x14:dxf>
          </x14:cfRule>
          <x14:cfRule type="containsText" priority="161" operator="containsText" id="{FB49501E-5429-411C-9256-4F4A25CE9586}">
            <xm:f>NOT(ISERROR(SEARCH($M$132,A259)))</xm:f>
            <xm:f>$M$132</xm:f>
            <x14:dxf>
              <font>
                <b/>
                <i/>
                <color theme="0"/>
              </font>
              <fill>
                <patternFill>
                  <bgColor theme="1"/>
                </patternFill>
              </fill>
            </x14:dxf>
          </x14:cfRule>
          <x14:cfRule type="containsText" priority="162" operator="containsText" id="{1084EAA2-2B9A-4DE0-8586-0DF8A8EAEAA2}">
            <xm:f>NOT(ISERROR(SEARCH($M$131,A259)))</xm:f>
            <xm:f>$M$131</xm:f>
            <x14:dxf>
              <font>
                <b/>
                <i/>
                <color theme="0"/>
              </font>
              <fill>
                <patternFill>
                  <bgColor theme="1"/>
                </patternFill>
              </fill>
            </x14:dxf>
          </x14:cfRule>
          <x14:cfRule type="containsText" priority="163" operator="containsText" id="{64F5A577-F20A-4713-99E2-5EDE9FF7FE54}">
            <xm:f>NOT(ISERROR(SEARCH($M$130,A259)))</xm:f>
            <xm:f>$M$130</xm:f>
            <x14:dxf>
              <font>
                <b/>
                <i/>
                <color theme="0"/>
              </font>
              <fill>
                <patternFill>
                  <bgColor theme="1"/>
                </patternFill>
              </fill>
            </x14:dxf>
          </x14:cfRule>
          <x14:cfRule type="containsText" priority="164" operator="containsText" id="{6ECFD8E8-77C6-439F-BE72-3D369B6D6755}">
            <xm:f>NOT(ISERROR(SEARCH($M$129,A259)))</xm:f>
            <xm:f>$M$129</xm:f>
            <x14:dxf>
              <font>
                <b/>
                <i/>
                <color theme="0"/>
              </font>
              <fill>
                <patternFill>
                  <bgColor theme="1"/>
                </patternFill>
              </fill>
            </x14:dxf>
          </x14:cfRule>
          <x14:cfRule type="containsText" priority="165" operator="containsText" id="{49FC85AC-2409-4327-A116-9F7DF1095421}">
            <xm:f>NOT(ISERROR(SEARCH($M$128,A259)))</xm:f>
            <xm:f>$M$128</xm:f>
            <x14:dxf>
              <font>
                <b/>
                <i/>
                <color theme="0"/>
              </font>
              <fill>
                <patternFill>
                  <bgColor theme="1"/>
                </patternFill>
              </fill>
            </x14:dxf>
          </x14:cfRule>
          <x14:cfRule type="containsText" priority="166" operator="containsText" id="{08D0BB9A-FC7C-4D93-9614-C8C2C4CE3CB0}">
            <xm:f>NOT(ISERROR(SEARCH($M$127,A259)))</xm:f>
            <xm:f>$M$127</xm:f>
            <x14:dxf>
              <font>
                <b/>
                <i/>
                <color theme="0"/>
              </font>
              <fill>
                <patternFill>
                  <bgColor theme="1"/>
                </patternFill>
              </fill>
            </x14:dxf>
          </x14:cfRule>
          <x14:cfRule type="containsText" priority="167" operator="containsText" id="{9C584A46-F8F0-4018-83D2-8D93CA30657C}">
            <xm:f>NOT(ISERROR(SEARCH($M$126,A259)))</xm:f>
            <xm:f>$M$126</xm:f>
            <x14:dxf>
              <font>
                <b/>
                <i/>
                <color theme="0"/>
              </font>
              <fill>
                <patternFill>
                  <bgColor theme="1"/>
                </patternFill>
              </fill>
            </x14:dxf>
          </x14:cfRule>
          <x14:cfRule type="containsText" priority="168" operator="containsText" id="{EE3B08B6-F772-44B1-883F-86CCC693108A}">
            <xm:f>NOT(ISERROR(SEARCH($M$125,A259)))</xm:f>
            <xm:f>$M$125</xm:f>
            <x14:dxf>
              <font>
                <b/>
                <i/>
                <color theme="0"/>
              </font>
              <fill>
                <patternFill>
                  <bgColor theme="1"/>
                </patternFill>
              </fill>
            </x14:dxf>
          </x14:cfRule>
          <x14:cfRule type="containsText" priority="169" operator="containsText" id="{5DC4BA8A-92B0-41F6-9190-09F35BDCFC2B}">
            <xm:f>NOT(ISERROR(SEARCH($M$124,A259)))</xm:f>
            <xm:f>$M$124</xm:f>
            <x14:dxf>
              <font>
                <b/>
                <i/>
                <color theme="0"/>
              </font>
              <fill>
                <patternFill>
                  <bgColor theme="1"/>
                </patternFill>
              </fill>
            </x14:dxf>
          </x14:cfRule>
          <x14:cfRule type="containsText" priority="170" operator="containsText" id="{D719011F-27D7-49F3-949C-F5980DABBEFC}">
            <xm:f>NOT(ISERROR(SEARCH($M$123,A259)))</xm:f>
            <xm:f>$M$123</xm:f>
            <x14:dxf>
              <font>
                <b/>
                <i/>
                <color theme="0"/>
              </font>
              <fill>
                <patternFill>
                  <bgColor theme="1"/>
                </patternFill>
              </fill>
            </x14:dxf>
          </x14:cfRule>
          <x14:cfRule type="containsText" priority="171" operator="containsText" id="{D67FB3CC-2E18-40B3-B4E1-69F3AC8422DD}">
            <xm:f>NOT(ISERROR(SEARCH($M$122,A259)))</xm:f>
            <xm:f>$M$122</xm:f>
            <x14:dxf>
              <font>
                <b/>
                <i/>
                <color theme="0"/>
              </font>
              <fill>
                <patternFill>
                  <bgColor theme="1"/>
                </patternFill>
              </fill>
            </x14:dxf>
          </x14:cfRule>
          <x14:cfRule type="containsText" priority="172" operator="containsText" id="{7FD30AD7-BE67-4C4C-9ACE-4B92C40584D5}">
            <xm:f>NOT(ISERROR(SEARCH($M$121,A259)))</xm:f>
            <xm:f>$M$121</xm:f>
            <x14:dxf>
              <font>
                <b/>
                <i/>
                <color theme="0"/>
              </font>
              <fill>
                <patternFill>
                  <bgColor theme="1"/>
                </patternFill>
              </fill>
            </x14:dxf>
          </x14:cfRule>
          <x14:cfRule type="containsText" priority="173" operator="containsText" id="{9E587086-FAFA-4AD6-9A88-70C41138900B}">
            <xm:f>NOT(ISERROR(SEARCH($M$120,A259)))</xm:f>
            <xm:f>$M$120</xm:f>
            <x14:dxf>
              <font>
                <b/>
                <i/>
                <color theme="0"/>
              </font>
              <fill>
                <patternFill>
                  <bgColor theme="1"/>
                </patternFill>
              </fill>
            </x14:dxf>
          </x14:cfRule>
          <x14:cfRule type="containsText" priority="174" operator="containsText" id="{79A0A621-53CD-4997-BC89-C0CFE9D14753}">
            <xm:f>NOT(ISERROR(SEARCH($M$119,A259)))</xm:f>
            <xm:f>$M$119</xm:f>
            <x14:dxf>
              <font>
                <b/>
                <i/>
                <color theme="0"/>
              </font>
              <fill>
                <patternFill>
                  <bgColor theme="1"/>
                </patternFill>
              </fill>
            </x14:dxf>
          </x14:cfRule>
          <x14:cfRule type="containsText" priority="175" operator="containsText" id="{17ED1C6F-9526-4490-9358-38BD7E8AA0A4}">
            <xm:f>NOT(ISERROR(SEARCH($M$118,A259)))</xm:f>
            <xm:f>$M$118</xm:f>
            <x14:dxf>
              <font>
                <b/>
                <i/>
                <color theme="0"/>
              </font>
              <fill>
                <patternFill>
                  <bgColor theme="1"/>
                </patternFill>
              </fill>
            </x14:dxf>
          </x14:cfRule>
          <x14:cfRule type="containsText" priority="176" operator="containsText" id="{79863D32-3FB4-48CB-96D0-614F2A7326CB}">
            <xm:f>NOT(ISERROR(SEARCH($M$117,A259)))</xm:f>
            <xm:f>$M$117</xm:f>
            <x14:dxf>
              <font>
                <b/>
                <i/>
                <color theme="0"/>
              </font>
              <fill>
                <patternFill>
                  <bgColor theme="1"/>
                </patternFill>
              </fill>
            </x14:dxf>
          </x14:cfRule>
          <x14:cfRule type="containsText" priority="177" operator="containsText" id="{F457ADDD-A14F-463F-AD1E-D5CC7D59C3C4}">
            <xm:f>NOT(ISERROR(SEARCH($M$116,A259)))</xm:f>
            <xm:f>$M$116</xm:f>
            <x14:dxf>
              <font>
                <b/>
                <i/>
                <color theme="0"/>
              </font>
              <fill>
                <patternFill>
                  <bgColor theme="1"/>
                </patternFill>
              </fill>
            </x14:dxf>
          </x14:cfRule>
          <x14:cfRule type="containsText" priority="178" operator="containsText" id="{598EFC03-D446-43A3-B384-DF82240190ED}">
            <xm:f>NOT(ISERROR(SEARCH($M$115,A259)))</xm:f>
            <xm:f>$M$115</xm:f>
            <x14:dxf>
              <font>
                <b/>
                <i/>
                <color theme="0"/>
              </font>
              <fill>
                <patternFill>
                  <bgColor theme="1"/>
                </patternFill>
              </fill>
            </x14:dxf>
          </x14:cfRule>
          <x14:cfRule type="containsText" priority="179" operator="containsText" id="{5CFDB2D4-1E39-4A73-A378-1C278899BDD6}">
            <xm:f>NOT(ISERROR(SEARCH($M$114,A259)))</xm:f>
            <xm:f>$M$114</xm:f>
            <x14:dxf>
              <font>
                <b/>
                <i/>
                <color theme="0"/>
              </font>
              <fill>
                <patternFill>
                  <bgColor theme="1"/>
                </patternFill>
              </fill>
            </x14:dxf>
          </x14:cfRule>
          <x14:cfRule type="containsText" priority="180" operator="containsText" id="{9D3C7000-A0F8-4A65-A16F-CBB28CF67E03}">
            <xm:f>NOT(ISERROR(SEARCH($M$113,A259)))</xm:f>
            <xm:f>$M$113</xm:f>
            <x14:dxf>
              <font>
                <b/>
                <i/>
                <color theme="0"/>
              </font>
              <fill>
                <patternFill>
                  <bgColor theme="1"/>
                </patternFill>
              </fill>
            </x14:dxf>
          </x14:cfRule>
          <x14:cfRule type="containsText" priority="181" operator="containsText" id="{701486B5-B8B9-42DD-BC8A-11355F074095}">
            <xm:f>NOT(ISERROR(SEARCH($M$112,A259)))</xm:f>
            <xm:f>$M$112</xm:f>
            <x14:dxf>
              <font>
                <b/>
                <i/>
                <color theme="0"/>
              </font>
              <fill>
                <patternFill>
                  <bgColor theme="1"/>
                </patternFill>
              </fill>
            </x14:dxf>
          </x14:cfRule>
          <x14:cfRule type="containsText" priority="182" operator="containsText" id="{7EE57A37-98B5-4087-A5E8-11D708A5FDD0}">
            <xm:f>NOT(ISERROR(SEARCH($M$111,A259)))</xm:f>
            <xm:f>$M$111</xm:f>
            <x14:dxf>
              <font>
                <b/>
                <i/>
                <color theme="0"/>
              </font>
              <fill>
                <patternFill>
                  <bgColor theme="1"/>
                </patternFill>
              </fill>
            </x14:dxf>
          </x14:cfRule>
          <x14:cfRule type="containsText" priority="183" operator="containsText" id="{E0554906-7050-48E2-B492-5D2CBE36F4F5}">
            <xm:f>NOT(ISERROR(SEARCH($M$110,A259)))</xm:f>
            <xm:f>$M$110</xm:f>
            <x14:dxf>
              <font>
                <b/>
                <i/>
                <color theme="0"/>
              </font>
              <fill>
                <patternFill>
                  <bgColor theme="1"/>
                </patternFill>
              </fill>
            </x14:dxf>
          </x14:cfRule>
          <xm:sqref>A259:A270</xm:sqref>
        </x14:conditionalFormatting>
        <x14:conditionalFormatting xmlns:xm="http://schemas.microsoft.com/office/excel/2006/main">
          <x14:cfRule type="containsText" priority="155" operator="containsText" id="{EE9C75F4-FE79-445B-9A9A-6DA85CC87376}">
            <xm:f>NOT(ISERROR(SEARCH($M$107,A246)))</xm:f>
            <xm:f>$M$107</xm:f>
            <x14:dxf>
              <font>
                <b/>
                <i/>
                <color theme="0"/>
              </font>
              <fill>
                <patternFill>
                  <bgColor theme="1"/>
                </patternFill>
              </fill>
            </x14:dxf>
          </x14:cfRule>
          <xm:sqref>A246:A257</xm:sqref>
        </x14:conditionalFormatting>
        <x14:conditionalFormatting xmlns:xm="http://schemas.microsoft.com/office/excel/2006/main">
          <x14:cfRule type="containsText" priority="153" operator="containsText" id="{7E5B49C3-9DB3-49DD-99A4-39467F54DB6D}">
            <xm:f>NOT(ISERROR(SEARCH($M$109,A246)))</xm:f>
            <xm:f>$M$109</xm:f>
            <x14:dxf>
              <font>
                <b/>
                <i/>
                <color theme="0"/>
              </font>
              <fill>
                <patternFill>
                  <bgColor theme="1"/>
                </patternFill>
              </fill>
            </x14:dxf>
          </x14:cfRule>
          <x14:cfRule type="containsText" priority="154" operator="containsText" id="{0EC799F4-194E-4852-89A8-D40CDE97E6BA}">
            <xm:f>NOT(ISERROR(SEARCH($M$108,A246)))</xm:f>
            <xm:f>$M$108</xm:f>
            <x14:dxf>
              <font>
                <color theme="0"/>
              </font>
              <fill>
                <patternFill>
                  <bgColor theme="1"/>
                </patternFill>
              </fill>
            </x14:dxf>
          </x14:cfRule>
          <xm:sqref>A246:A257</xm:sqref>
        </x14:conditionalFormatting>
        <x14:conditionalFormatting xmlns:xm="http://schemas.microsoft.com/office/excel/2006/main">
          <x14:cfRule type="containsText" priority="126" operator="containsText" id="{E91FF0A8-3A98-4294-856F-0CBA0C3B51D3}">
            <xm:f>NOT(ISERROR(SEARCH($M$136,A246)))</xm:f>
            <xm:f>$M$136</xm:f>
            <x14:dxf>
              <font>
                <b/>
                <i/>
                <color theme="0"/>
              </font>
              <fill>
                <patternFill>
                  <bgColor theme="1"/>
                </patternFill>
              </fill>
            </x14:dxf>
          </x14:cfRule>
          <x14:cfRule type="containsText" priority="127" operator="containsText" id="{8564C8CD-B00F-40B1-B2CB-7704E2BE273B}">
            <xm:f>NOT(ISERROR(SEARCH($M$135,A246)))</xm:f>
            <xm:f>$M$135</xm:f>
            <x14:dxf>
              <font>
                <b/>
                <i/>
                <color theme="0"/>
              </font>
              <fill>
                <patternFill>
                  <bgColor theme="1"/>
                </patternFill>
              </fill>
            </x14:dxf>
          </x14:cfRule>
          <x14:cfRule type="containsText" priority="128" operator="containsText" id="{4ECC38D1-DF46-4BAC-AEF0-E17552625A20}">
            <xm:f>NOT(ISERROR(SEARCH($M$134,A246)))</xm:f>
            <xm:f>$M$134</xm:f>
            <x14:dxf>
              <font>
                <b/>
                <i/>
                <color theme="0"/>
              </font>
              <fill>
                <patternFill>
                  <bgColor theme="1"/>
                </patternFill>
              </fill>
            </x14:dxf>
          </x14:cfRule>
          <x14:cfRule type="containsText" priority="129" operator="containsText" id="{28CAC213-4A21-4102-89C3-12C0183FA7DD}">
            <xm:f>NOT(ISERROR(SEARCH($M$133,A246)))</xm:f>
            <xm:f>$M$133</xm:f>
            <x14:dxf>
              <font>
                <b/>
                <i/>
                <color theme="0"/>
              </font>
              <fill>
                <patternFill>
                  <bgColor theme="1"/>
                </patternFill>
              </fill>
            </x14:dxf>
          </x14:cfRule>
          <x14:cfRule type="containsText" priority="130" operator="containsText" id="{0072CEE4-4B0E-4EF0-957B-7E5729693492}">
            <xm:f>NOT(ISERROR(SEARCH($M$132,A246)))</xm:f>
            <xm:f>$M$132</xm:f>
            <x14:dxf>
              <font>
                <b/>
                <i/>
                <color theme="0"/>
              </font>
              <fill>
                <patternFill>
                  <bgColor theme="1"/>
                </patternFill>
              </fill>
            </x14:dxf>
          </x14:cfRule>
          <x14:cfRule type="containsText" priority="131" operator="containsText" id="{C31E7855-F5FB-4335-A278-DF5FAB3BA62A}">
            <xm:f>NOT(ISERROR(SEARCH($M$131,A246)))</xm:f>
            <xm:f>$M$131</xm:f>
            <x14:dxf>
              <font>
                <b/>
                <i/>
                <color theme="0"/>
              </font>
              <fill>
                <patternFill>
                  <bgColor theme="1"/>
                </patternFill>
              </fill>
            </x14:dxf>
          </x14:cfRule>
          <x14:cfRule type="containsText" priority="132" operator="containsText" id="{B0F753E2-D81C-42C7-90B4-F5251A80896F}">
            <xm:f>NOT(ISERROR(SEARCH($M$130,A246)))</xm:f>
            <xm:f>$M$130</xm:f>
            <x14:dxf>
              <font>
                <b/>
                <i/>
                <color theme="0"/>
              </font>
              <fill>
                <patternFill>
                  <bgColor theme="1"/>
                </patternFill>
              </fill>
            </x14:dxf>
          </x14:cfRule>
          <x14:cfRule type="containsText" priority="133" operator="containsText" id="{F4E7043C-B723-44AB-B8F1-C40BD0FF902C}">
            <xm:f>NOT(ISERROR(SEARCH($M$129,A246)))</xm:f>
            <xm:f>$M$129</xm:f>
            <x14:dxf>
              <font>
                <b/>
                <i/>
                <color theme="0"/>
              </font>
              <fill>
                <patternFill>
                  <bgColor theme="1"/>
                </patternFill>
              </fill>
            </x14:dxf>
          </x14:cfRule>
          <x14:cfRule type="containsText" priority="134" operator="containsText" id="{A16935E1-EDE1-4776-AD86-2E396C3BDAB4}">
            <xm:f>NOT(ISERROR(SEARCH($M$128,A246)))</xm:f>
            <xm:f>$M$128</xm:f>
            <x14:dxf>
              <font>
                <b/>
                <i/>
                <color theme="0"/>
              </font>
              <fill>
                <patternFill>
                  <bgColor theme="1"/>
                </patternFill>
              </fill>
            </x14:dxf>
          </x14:cfRule>
          <x14:cfRule type="containsText" priority="135" operator="containsText" id="{7FA2047C-3041-46B6-A254-169FD55C03E8}">
            <xm:f>NOT(ISERROR(SEARCH($M$127,A246)))</xm:f>
            <xm:f>$M$127</xm:f>
            <x14:dxf>
              <font>
                <b/>
                <i/>
                <color theme="0"/>
              </font>
              <fill>
                <patternFill>
                  <bgColor theme="1"/>
                </patternFill>
              </fill>
            </x14:dxf>
          </x14:cfRule>
          <x14:cfRule type="containsText" priority="136" operator="containsText" id="{CA23A7D0-9E7E-4CC1-AE15-72B49EA9CC64}">
            <xm:f>NOT(ISERROR(SEARCH($M$126,A246)))</xm:f>
            <xm:f>$M$126</xm:f>
            <x14:dxf>
              <font>
                <b/>
                <i/>
                <color theme="0"/>
              </font>
              <fill>
                <patternFill>
                  <bgColor theme="1"/>
                </patternFill>
              </fill>
            </x14:dxf>
          </x14:cfRule>
          <x14:cfRule type="containsText" priority="137" operator="containsText" id="{2450591A-14B3-4D44-89AF-F33A0B273EB0}">
            <xm:f>NOT(ISERROR(SEARCH($M$125,A246)))</xm:f>
            <xm:f>$M$125</xm:f>
            <x14:dxf>
              <font>
                <b/>
                <i/>
                <color theme="0"/>
              </font>
              <fill>
                <patternFill>
                  <bgColor theme="1"/>
                </patternFill>
              </fill>
            </x14:dxf>
          </x14:cfRule>
          <x14:cfRule type="containsText" priority="138" operator="containsText" id="{04ADB14D-707F-4738-B475-09B23341F0C5}">
            <xm:f>NOT(ISERROR(SEARCH($M$124,A246)))</xm:f>
            <xm:f>$M$124</xm:f>
            <x14:dxf>
              <font>
                <b/>
                <i/>
                <color theme="0"/>
              </font>
              <fill>
                <patternFill>
                  <bgColor theme="1"/>
                </patternFill>
              </fill>
            </x14:dxf>
          </x14:cfRule>
          <x14:cfRule type="containsText" priority="139" operator="containsText" id="{ED4C8A02-939A-4A36-91FB-9720E0EF4441}">
            <xm:f>NOT(ISERROR(SEARCH($M$123,A246)))</xm:f>
            <xm:f>$M$123</xm:f>
            <x14:dxf>
              <font>
                <b/>
                <i/>
                <color theme="0"/>
              </font>
              <fill>
                <patternFill>
                  <bgColor theme="1"/>
                </patternFill>
              </fill>
            </x14:dxf>
          </x14:cfRule>
          <x14:cfRule type="containsText" priority="140" operator="containsText" id="{0B733E58-6C38-45E6-853E-927948A47860}">
            <xm:f>NOT(ISERROR(SEARCH($M$122,A246)))</xm:f>
            <xm:f>$M$122</xm:f>
            <x14:dxf>
              <font>
                <b/>
                <i/>
                <color theme="0"/>
              </font>
              <fill>
                <patternFill>
                  <bgColor theme="1"/>
                </patternFill>
              </fill>
            </x14:dxf>
          </x14:cfRule>
          <x14:cfRule type="containsText" priority="141" operator="containsText" id="{59F63E05-E6F1-4686-A50C-51751E9FCCCE}">
            <xm:f>NOT(ISERROR(SEARCH($M$121,A246)))</xm:f>
            <xm:f>$M$121</xm:f>
            <x14:dxf>
              <font>
                <b/>
                <i/>
                <color theme="0"/>
              </font>
              <fill>
                <patternFill>
                  <bgColor theme="1"/>
                </patternFill>
              </fill>
            </x14:dxf>
          </x14:cfRule>
          <x14:cfRule type="containsText" priority="142" operator="containsText" id="{3B4EDFC1-0F7C-4AF3-B46D-2B4C81D247DD}">
            <xm:f>NOT(ISERROR(SEARCH($M$120,A246)))</xm:f>
            <xm:f>$M$120</xm:f>
            <x14:dxf>
              <font>
                <b/>
                <i/>
                <color theme="0"/>
              </font>
              <fill>
                <patternFill>
                  <bgColor theme="1"/>
                </patternFill>
              </fill>
            </x14:dxf>
          </x14:cfRule>
          <x14:cfRule type="containsText" priority="143" operator="containsText" id="{388132FB-FD5A-4DDC-AA70-0A4AEC2B3AB9}">
            <xm:f>NOT(ISERROR(SEARCH($M$119,A246)))</xm:f>
            <xm:f>$M$119</xm:f>
            <x14:dxf>
              <font>
                <b/>
                <i/>
                <color theme="0"/>
              </font>
              <fill>
                <patternFill>
                  <bgColor theme="1"/>
                </patternFill>
              </fill>
            </x14:dxf>
          </x14:cfRule>
          <x14:cfRule type="containsText" priority="144" operator="containsText" id="{095BB456-944E-468B-911F-45B7D218A180}">
            <xm:f>NOT(ISERROR(SEARCH($M$118,A246)))</xm:f>
            <xm:f>$M$118</xm:f>
            <x14:dxf>
              <font>
                <b/>
                <i/>
                <color theme="0"/>
              </font>
              <fill>
                <patternFill>
                  <bgColor theme="1"/>
                </patternFill>
              </fill>
            </x14:dxf>
          </x14:cfRule>
          <x14:cfRule type="containsText" priority="145" operator="containsText" id="{7F71C246-442F-431C-864A-46EF35325359}">
            <xm:f>NOT(ISERROR(SEARCH($M$117,A246)))</xm:f>
            <xm:f>$M$117</xm:f>
            <x14:dxf>
              <font>
                <b/>
                <i/>
                <color theme="0"/>
              </font>
              <fill>
                <patternFill>
                  <bgColor theme="1"/>
                </patternFill>
              </fill>
            </x14:dxf>
          </x14:cfRule>
          <x14:cfRule type="containsText" priority="146" operator="containsText" id="{E4D117C5-2CA4-4D55-8BB9-AA28192C0AD7}">
            <xm:f>NOT(ISERROR(SEARCH($M$116,A246)))</xm:f>
            <xm:f>$M$116</xm:f>
            <x14:dxf>
              <font>
                <b/>
                <i/>
                <color theme="0"/>
              </font>
              <fill>
                <patternFill>
                  <bgColor theme="1"/>
                </patternFill>
              </fill>
            </x14:dxf>
          </x14:cfRule>
          <x14:cfRule type="containsText" priority="147" operator="containsText" id="{CA7960FD-F3FF-4BC3-A76C-AEFDC1D7739D}">
            <xm:f>NOT(ISERROR(SEARCH($M$115,A246)))</xm:f>
            <xm:f>$M$115</xm:f>
            <x14:dxf>
              <font>
                <b/>
                <i/>
                <color theme="0"/>
              </font>
              <fill>
                <patternFill>
                  <bgColor theme="1"/>
                </patternFill>
              </fill>
            </x14:dxf>
          </x14:cfRule>
          <x14:cfRule type="containsText" priority="148" operator="containsText" id="{6F50A22A-D9AD-4B81-BB24-29831E360A83}">
            <xm:f>NOT(ISERROR(SEARCH($M$114,A246)))</xm:f>
            <xm:f>$M$114</xm:f>
            <x14:dxf>
              <font>
                <b/>
                <i/>
                <color theme="0"/>
              </font>
              <fill>
                <patternFill>
                  <bgColor theme="1"/>
                </patternFill>
              </fill>
            </x14:dxf>
          </x14:cfRule>
          <x14:cfRule type="containsText" priority="149" operator="containsText" id="{FF08881A-3F88-49C4-A8F7-A21918F6417A}">
            <xm:f>NOT(ISERROR(SEARCH($M$113,A246)))</xm:f>
            <xm:f>$M$113</xm:f>
            <x14:dxf>
              <font>
                <b/>
                <i/>
                <color theme="0"/>
              </font>
              <fill>
                <patternFill>
                  <bgColor theme="1"/>
                </patternFill>
              </fill>
            </x14:dxf>
          </x14:cfRule>
          <x14:cfRule type="containsText" priority="150" operator="containsText" id="{A9127D6A-FC92-4330-A23E-CDC121F87EA8}">
            <xm:f>NOT(ISERROR(SEARCH($M$112,A246)))</xm:f>
            <xm:f>$M$112</xm:f>
            <x14:dxf>
              <font>
                <b/>
                <i/>
                <color theme="0"/>
              </font>
              <fill>
                <patternFill>
                  <bgColor theme="1"/>
                </patternFill>
              </fill>
            </x14:dxf>
          </x14:cfRule>
          <x14:cfRule type="containsText" priority="151" operator="containsText" id="{4558B9EF-B545-4A18-96A0-FE29E7B6D9DC}">
            <xm:f>NOT(ISERROR(SEARCH($M$111,A246)))</xm:f>
            <xm:f>$M$111</xm:f>
            <x14:dxf>
              <font>
                <b/>
                <i/>
                <color theme="0"/>
              </font>
              <fill>
                <patternFill>
                  <bgColor theme="1"/>
                </patternFill>
              </fill>
            </x14:dxf>
          </x14:cfRule>
          <x14:cfRule type="containsText" priority="152" operator="containsText" id="{23556767-EC72-470C-AD63-2DA2BE3F9023}">
            <xm:f>NOT(ISERROR(SEARCH($M$110,A246)))</xm:f>
            <xm:f>$M$110</xm:f>
            <x14:dxf>
              <font>
                <b/>
                <i/>
                <color theme="0"/>
              </font>
              <fill>
                <patternFill>
                  <bgColor theme="1"/>
                </patternFill>
              </fill>
            </x14:dxf>
          </x14:cfRule>
          <xm:sqref>A246:A257</xm:sqref>
        </x14:conditionalFormatting>
        <x14:conditionalFormatting xmlns:xm="http://schemas.microsoft.com/office/excel/2006/main">
          <x14:cfRule type="containsText" priority="124" operator="containsText" id="{C713DBAE-97FC-451E-B379-B9F69A8EFB75}">
            <xm:f>NOT(ISERROR(SEARCH($M$107,A197)))</xm:f>
            <xm:f>$M$107</xm:f>
            <x14:dxf>
              <font>
                <b/>
                <i/>
                <color theme="0"/>
              </font>
              <fill>
                <patternFill>
                  <bgColor theme="1"/>
                </patternFill>
              </fill>
            </x14:dxf>
          </x14:cfRule>
          <xm:sqref>A197:A208</xm:sqref>
        </x14:conditionalFormatting>
        <x14:conditionalFormatting xmlns:xm="http://schemas.microsoft.com/office/excel/2006/main">
          <x14:cfRule type="containsText" priority="122" operator="containsText" id="{A2A6C220-93FC-499D-939E-49BE80BBFE45}">
            <xm:f>NOT(ISERROR(SEARCH($M$109,A197)))</xm:f>
            <xm:f>$M$109</xm:f>
            <x14:dxf>
              <font>
                <b/>
                <i/>
                <color theme="0"/>
              </font>
              <fill>
                <patternFill>
                  <bgColor theme="1"/>
                </patternFill>
              </fill>
            </x14:dxf>
          </x14:cfRule>
          <x14:cfRule type="containsText" priority="123" operator="containsText" id="{D675A964-61D9-4569-87DE-B7C4A9EDACC8}">
            <xm:f>NOT(ISERROR(SEARCH($M$108,A197)))</xm:f>
            <xm:f>$M$108</xm:f>
            <x14:dxf>
              <font>
                <color theme="0"/>
              </font>
              <fill>
                <patternFill>
                  <bgColor theme="1"/>
                </patternFill>
              </fill>
            </x14:dxf>
          </x14:cfRule>
          <xm:sqref>A197:A208</xm:sqref>
        </x14:conditionalFormatting>
        <x14:conditionalFormatting xmlns:xm="http://schemas.microsoft.com/office/excel/2006/main">
          <x14:cfRule type="containsText" priority="95" operator="containsText" id="{F93B34E1-3C07-41C6-9A1E-562C5E43B475}">
            <xm:f>NOT(ISERROR(SEARCH($M$136,A197)))</xm:f>
            <xm:f>$M$136</xm:f>
            <x14:dxf>
              <font>
                <b/>
                <i/>
                <color theme="0"/>
              </font>
              <fill>
                <patternFill>
                  <bgColor theme="1"/>
                </patternFill>
              </fill>
            </x14:dxf>
          </x14:cfRule>
          <x14:cfRule type="containsText" priority="96" operator="containsText" id="{5C98A3EA-39DC-4E0A-8DCF-3985B52EBDFB}">
            <xm:f>NOT(ISERROR(SEARCH($M$135,A197)))</xm:f>
            <xm:f>$M$135</xm:f>
            <x14:dxf>
              <font>
                <b/>
                <i/>
                <color theme="0"/>
              </font>
              <fill>
                <patternFill>
                  <bgColor theme="1"/>
                </patternFill>
              </fill>
            </x14:dxf>
          </x14:cfRule>
          <x14:cfRule type="containsText" priority="97" operator="containsText" id="{261792CC-68BC-432D-B318-2D3DC5834DBD}">
            <xm:f>NOT(ISERROR(SEARCH($M$134,A197)))</xm:f>
            <xm:f>$M$134</xm:f>
            <x14:dxf>
              <font>
                <b/>
                <i/>
                <color theme="0"/>
              </font>
              <fill>
                <patternFill>
                  <bgColor theme="1"/>
                </patternFill>
              </fill>
            </x14:dxf>
          </x14:cfRule>
          <x14:cfRule type="containsText" priority="98" operator="containsText" id="{7343D996-FDFA-4E19-8855-B3B23A4DA5BC}">
            <xm:f>NOT(ISERROR(SEARCH($M$133,A197)))</xm:f>
            <xm:f>$M$133</xm:f>
            <x14:dxf>
              <font>
                <b/>
                <i/>
                <color theme="0"/>
              </font>
              <fill>
                <patternFill>
                  <bgColor theme="1"/>
                </patternFill>
              </fill>
            </x14:dxf>
          </x14:cfRule>
          <x14:cfRule type="containsText" priority="99" operator="containsText" id="{8A9E6D72-EE56-470C-AC56-893D09B66AAE}">
            <xm:f>NOT(ISERROR(SEARCH($M$132,A197)))</xm:f>
            <xm:f>$M$132</xm:f>
            <x14:dxf>
              <font>
                <b/>
                <i/>
                <color theme="0"/>
              </font>
              <fill>
                <patternFill>
                  <bgColor theme="1"/>
                </patternFill>
              </fill>
            </x14:dxf>
          </x14:cfRule>
          <x14:cfRule type="containsText" priority="100" operator="containsText" id="{80F91513-C01B-4DA4-A9D0-E595AB71DD16}">
            <xm:f>NOT(ISERROR(SEARCH($M$131,A197)))</xm:f>
            <xm:f>$M$131</xm:f>
            <x14:dxf>
              <font>
                <b/>
                <i/>
                <color theme="0"/>
              </font>
              <fill>
                <patternFill>
                  <bgColor theme="1"/>
                </patternFill>
              </fill>
            </x14:dxf>
          </x14:cfRule>
          <x14:cfRule type="containsText" priority="101" operator="containsText" id="{FDB1E3F6-2015-4622-893D-159264BFE69E}">
            <xm:f>NOT(ISERROR(SEARCH($M$130,A197)))</xm:f>
            <xm:f>$M$130</xm:f>
            <x14:dxf>
              <font>
                <b/>
                <i/>
                <color theme="0"/>
              </font>
              <fill>
                <patternFill>
                  <bgColor theme="1"/>
                </patternFill>
              </fill>
            </x14:dxf>
          </x14:cfRule>
          <x14:cfRule type="containsText" priority="102" operator="containsText" id="{5777B3B6-20FF-4A2C-B703-166B40428D64}">
            <xm:f>NOT(ISERROR(SEARCH($M$129,A197)))</xm:f>
            <xm:f>$M$129</xm:f>
            <x14:dxf>
              <font>
                <b/>
                <i/>
                <color theme="0"/>
              </font>
              <fill>
                <patternFill>
                  <bgColor theme="1"/>
                </patternFill>
              </fill>
            </x14:dxf>
          </x14:cfRule>
          <x14:cfRule type="containsText" priority="103" operator="containsText" id="{7C206D81-06B4-486F-89C1-42AB7B7B8FAC}">
            <xm:f>NOT(ISERROR(SEARCH($M$128,A197)))</xm:f>
            <xm:f>$M$128</xm:f>
            <x14:dxf>
              <font>
                <b/>
                <i/>
                <color theme="0"/>
              </font>
              <fill>
                <patternFill>
                  <bgColor theme="1"/>
                </patternFill>
              </fill>
            </x14:dxf>
          </x14:cfRule>
          <x14:cfRule type="containsText" priority="104" operator="containsText" id="{E6BF13EA-BC0B-42F9-8E19-A21402C44EF6}">
            <xm:f>NOT(ISERROR(SEARCH($M$127,A197)))</xm:f>
            <xm:f>$M$127</xm:f>
            <x14:dxf>
              <font>
                <b/>
                <i/>
                <color theme="0"/>
              </font>
              <fill>
                <patternFill>
                  <bgColor theme="1"/>
                </patternFill>
              </fill>
            </x14:dxf>
          </x14:cfRule>
          <x14:cfRule type="containsText" priority="105" operator="containsText" id="{11057991-A3A6-4FD8-A9E7-EBAA5DB29756}">
            <xm:f>NOT(ISERROR(SEARCH($M$126,A197)))</xm:f>
            <xm:f>$M$126</xm:f>
            <x14:dxf>
              <font>
                <b/>
                <i/>
                <color theme="0"/>
              </font>
              <fill>
                <patternFill>
                  <bgColor theme="1"/>
                </patternFill>
              </fill>
            </x14:dxf>
          </x14:cfRule>
          <x14:cfRule type="containsText" priority="106" operator="containsText" id="{CAA888C3-B826-47B1-91F9-86E9745BA07C}">
            <xm:f>NOT(ISERROR(SEARCH($M$125,A197)))</xm:f>
            <xm:f>$M$125</xm:f>
            <x14:dxf>
              <font>
                <b/>
                <i/>
                <color theme="0"/>
              </font>
              <fill>
                <patternFill>
                  <bgColor theme="1"/>
                </patternFill>
              </fill>
            </x14:dxf>
          </x14:cfRule>
          <x14:cfRule type="containsText" priority="107" operator="containsText" id="{F88D4D31-D29D-4F52-822D-579DA74AA386}">
            <xm:f>NOT(ISERROR(SEARCH($M$124,A197)))</xm:f>
            <xm:f>$M$124</xm:f>
            <x14:dxf>
              <font>
                <b/>
                <i/>
                <color theme="0"/>
              </font>
              <fill>
                <patternFill>
                  <bgColor theme="1"/>
                </patternFill>
              </fill>
            </x14:dxf>
          </x14:cfRule>
          <x14:cfRule type="containsText" priority="108" operator="containsText" id="{3FD4F708-56FD-40A8-82BE-9AF1EC2607D6}">
            <xm:f>NOT(ISERROR(SEARCH($M$123,A197)))</xm:f>
            <xm:f>$M$123</xm:f>
            <x14:dxf>
              <font>
                <b/>
                <i/>
                <color theme="0"/>
              </font>
              <fill>
                <patternFill>
                  <bgColor theme="1"/>
                </patternFill>
              </fill>
            </x14:dxf>
          </x14:cfRule>
          <x14:cfRule type="containsText" priority="109" operator="containsText" id="{0322A41C-316D-4BEA-99B1-C6160A7106DD}">
            <xm:f>NOT(ISERROR(SEARCH($M$122,A197)))</xm:f>
            <xm:f>$M$122</xm:f>
            <x14:dxf>
              <font>
                <b/>
                <i/>
                <color theme="0"/>
              </font>
              <fill>
                <patternFill>
                  <bgColor theme="1"/>
                </patternFill>
              </fill>
            </x14:dxf>
          </x14:cfRule>
          <x14:cfRule type="containsText" priority="110" operator="containsText" id="{870AD533-0360-4B92-AA70-B3A0C06E149E}">
            <xm:f>NOT(ISERROR(SEARCH($M$121,A197)))</xm:f>
            <xm:f>$M$121</xm:f>
            <x14:dxf>
              <font>
                <b/>
                <i/>
                <color theme="0"/>
              </font>
              <fill>
                <patternFill>
                  <bgColor theme="1"/>
                </patternFill>
              </fill>
            </x14:dxf>
          </x14:cfRule>
          <x14:cfRule type="containsText" priority="111" operator="containsText" id="{87C0D359-F96F-46C1-81EE-4EF20E738722}">
            <xm:f>NOT(ISERROR(SEARCH($M$120,A197)))</xm:f>
            <xm:f>$M$120</xm:f>
            <x14:dxf>
              <font>
                <b/>
                <i/>
                <color theme="0"/>
              </font>
              <fill>
                <patternFill>
                  <bgColor theme="1"/>
                </patternFill>
              </fill>
            </x14:dxf>
          </x14:cfRule>
          <x14:cfRule type="containsText" priority="112" operator="containsText" id="{80499A61-395A-4BAA-B0C3-D4F85B4BD00E}">
            <xm:f>NOT(ISERROR(SEARCH($M$119,A197)))</xm:f>
            <xm:f>$M$119</xm:f>
            <x14:dxf>
              <font>
                <b/>
                <i/>
                <color theme="0"/>
              </font>
              <fill>
                <patternFill>
                  <bgColor theme="1"/>
                </patternFill>
              </fill>
            </x14:dxf>
          </x14:cfRule>
          <x14:cfRule type="containsText" priority="113" operator="containsText" id="{597AD094-E8A9-465F-A3C0-03F9F0FB89FC}">
            <xm:f>NOT(ISERROR(SEARCH($M$118,A197)))</xm:f>
            <xm:f>$M$118</xm:f>
            <x14:dxf>
              <font>
                <b/>
                <i/>
                <color theme="0"/>
              </font>
              <fill>
                <patternFill>
                  <bgColor theme="1"/>
                </patternFill>
              </fill>
            </x14:dxf>
          </x14:cfRule>
          <x14:cfRule type="containsText" priority="114" operator="containsText" id="{68775020-2B24-4006-B0A1-ED4E25AFB02F}">
            <xm:f>NOT(ISERROR(SEARCH($M$117,A197)))</xm:f>
            <xm:f>$M$117</xm:f>
            <x14:dxf>
              <font>
                <b/>
                <i/>
                <color theme="0"/>
              </font>
              <fill>
                <patternFill>
                  <bgColor theme="1"/>
                </patternFill>
              </fill>
            </x14:dxf>
          </x14:cfRule>
          <x14:cfRule type="containsText" priority="115" operator="containsText" id="{4CBB1C21-27D5-4F01-8228-69BC5A1B9D47}">
            <xm:f>NOT(ISERROR(SEARCH($M$116,A197)))</xm:f>
            <xm:f>$M$116</xm:f>
            <x14:dxf>
              <font>
                <b/>
                <i/>
                <color theme="0"/>
              </font>
              <fill>
                <patternFill>
                  <bgColor theme="1"/>
                </patternFill>
              </fill>
            </x14:dxf>
          </x14:cfRule>
          <x14:cfRule type="containsText" priority="116" operator="containsText" id="{08CA264D-9CCB-48F0-8535-A6B674FCC750}">
            <xm:f>NOT(ISERROR(SEARCH($M$115,A197)))</xm:f>
            <xm:f>$M$115</xm:f>
            <x14:dxf>
              <font>
                <b/>
                <i/>
                <color theme="0"/>
              </font>
              <fill>
                <patternFill>
                  <bgColor theme="1"/>
                </patternFill>
              </fill>
            </x14:dxf>
          </x14:cfRule>
          <x14:cfRule type="containsText" priority="117" operator="containsText" id="{7B62AFB6-BDEA-4265-90FA-E61BBDA2CB5E}">
            <xm:f>NOT(ISERROR(SEARCH($M$114,A197)))</xm:f>
            <xm:f>$M$114</xm:f>
            <x14:dxf>
              <font>
                <b/>
                <i/>
                <color theme="0"/>
              </font>
              <fill>
                <patternFill>
                  <bgColor theme="1"/>
                </patternFill>
              </fill>
            </x14:dxf>
          </x14:cfRule>
          <x14:cfRule type="containsText" priority="118" operator="containsText" id="{485B6059-425C-4BCF-9DC2-778CA27CF8A4}">
            <xm:f>NOT(ISERROR(SEARCH($M$113,A197)))</xm:f>
            <xm:f>$M$113</xm:f>
            <x14:dxf>
              <font>
                <b/>
                <i/>
                <color theme="0"/>
              </font>
              <fill>
                <patternFill>
                  <bgColor theme="1"/>
                </patternFill>
              </fill>
            </x14:dxf>
          </x14:cfRule>
          <x14:cfRule type="containsText" priority="119" operator="containsText" id="{62927A85-3B82-4905-826E-1F403CA1C02F}">
            <xm:f>NOT(ISERROR(SEARCH($M$112,A197)))</xm:f>
            <xm:f>$M$112</xm:f>
            <x14:dxf>
              <font>
                <b/>
                <i/>
                <color theme="0"/>
              </font>
              <fill>
                <patternFill>
                  <bgColor theme="1"/>
                </patternFill>
              </fill>
            </x14:dxf>
          </x14:cfRule>
          <x14:cfRule type="containsText" priority="120" operator="containsText" id="{4E983285-CBB0-4CBD-9357-FC99FE931BBF}">
            <xm:f>NOT(ISERROR(SEARCH($M$111,A197)))</xm:f>
            <xm:f>$M$111</xm:f>
            <x14:dxf>
              <font>
                <b/>
                <i/>
                <color theme="0"/>
              </font>
              <fill>
                <patternFill>
                  <bgColor theme="1"/>
                </patternFill>
              </fill>
            </x14:dxf>
          </x14:cfRule>
          <x14:cfRule type="containsText" priority="121" operator="containsText" id="{CDAB6E2C-487A-4B8B-BABF-F73221C8EE96}">
            <xm:f>NOT(ISERROR(SEARCH($M$110,A197)))</xm:f>
            <xm:f>$M$110</xm:f>
            <x14:dxf>
              <font>
                <b/>
                <i/>
                <color theme="0"/>
              </font>
              <fill>
                <patternFill>
                  <bgColor theme="1"/>
                </patternFill>
              </fill>
            </x14:dxf>
          </x14:cfRule>
          <xm:sqref>A197:A208</xm:sqref>
        </x14:conditionalFormatting>
        <x14:conditionalFormatting xmlns:xm="http://schemas.microsoft.com/office/excel/2006/main">
          <x14:cfRule type="containsText" priority="93" operator="containsText" id="{2C77C784-FEBF-4336-8479-C6B6ACF43A48}">
            <xm:f>NOT(ISERROR(SEARCH($M$107,A184)))</xm:f>
            <xm:f>$M$107</xm:f>
            <x14:dxf>
              <font>
                <b/>
                <i/>
                <color theme="0"/>
              </font>
              <fill>
                <patternFill>
                  <bgColor theme="1"/>
                </patternFill>
              </fill>
            </x14:dxf>
          </x14:cfRule>
          <xm:sqref>A184:A195</xm:sqref>
        </x14:conditionalFormatting>
        <x14:conditionalFormatting xmlns:xm="http://schemas.microsoft.com/office/excel/2006/main">
          <x14:cfRule type="containsText" priority="91" operator="containsText" id="{26523BC0-11C7-4D64-A7CF-D9FEE8BFE331}">
            <xm:f>NOT(ISERROR(SEARCH($M$109,A184)))</xm:f>
            <xm:f>$M$109</xm:f>
            <x14:dxf>
              <font>
                <b/>
                <i/>
                <color theme="0"/>
              </font>
              <fill>
                <patternFill>
                  <bgColor theme="1"/>
                </patternFill>
              </fill>
            </x14:dxf>
          </x14:cfRule>
          <x14:cfRule type="containsText" priority="92" operator="containsText" id="{987173AE-65C8-4B79-B4C4-48DF1A628912}">
            <xm:f>NOT(ISERROR(SEARCH($M$108,A184)))</xm:f>
            <xm:f>$M$108</xm:f>
            <x14:dxf>
              <font>
                <color theme="0"/>
              </font>
              <fill>
                <patternFill>
                  <bgColor theme="1"/>
                </patternFill>
              </fill>
            </x14:dxf>
          </x14:cfRule>
          <xm:sqref>A184:A195</xm:sqref>
        </x14:conditionalFormatting>
        <x14:conditionalFormatting xmlns:xm="http://schemas.microsoft.com/office/excel/2006/main">
          <x14:cfRule type="containsText" priority="64" operator="containsText" id="{02E36109-03E9-4795-8740-2ED274E59723}">
            <xm:f>NOT(ISERROR(SEARCH($M$136,A184)))</xm:f>
            <xm:f>$M$136</xm:f>
            <x14:dxf>
              <font>
                <b/>
                <i/>
                <color theme="0"/>
              </font>
              <fill>
                <patternFill>
                  <bgColor theme="1"/>
                </patternFill>
              </fill>
            </x14:dxf>
          </x14:cfRule>
          <x14:cfRule type="containsText" priority="65" operator="containsText" id="{763E5582-947A-4AB1-B532-46A0D8D8E01F}">
            <xm:f>NOT(ISERROR(SEARCH($M$135,A184)))</xm:f>
            <xm:f>$M$135</xm:f>
            <x14:dxf>
              <font>
                <b/>
                <i/>
                <color theme="0"/>
              </font>
              <fill>
                <patternFill>
                  <bgColor theme="1"/>
                </patternFill>
              </fill>
            </x14:dxf>
          </x14:cfRule>
          <x14:cfRule type="containsText" priority="66" operator="containsText" id="{4F44476D-C626-4E36-975D-FDC2EDFF0E08}">
            <xm:f>NOT(ISERROR(SEARCH($M$134,A184)))</xm:f>
            <xm:f>$M$134</xm:f>
            <x14:dxf>
              <font>
                <b/>
                <i/>
                <color theme="0"/>
              </font>
              <fill>
                <patternFill>
                  <bgColor theme="1"/>
                </patternFill>
              </fill>
            </x14:dxf>
          </x14:cfRule>
          <x14:cfRule type="containsText" priority="67" operator="containsText" id="{41B34F7B-3042-41B6-AF3E-038071E99A20}">
            <xm:f>NOT(ISERROR(SEARCH($M$133,A184)))</xm:f>
            <xm:f>$M$133</xm:f>
            <x14:dxf>
              <font>
                <b/>
                <i/>
                <color theme="0"/>
              </font>
              <fill>
                <patternFill>
                  <bgColor theme="1"/>
                </patternFill>
              </fill>
            </x14:dxf>
          </x14:cfRule>
          <x14:cfRule type="containsText" priority="68" operator="containsText" id="{20B87B13-BB8E-4311-97DC-BD67B6CD0F67}">
            <xm:f>NOT(ISERROR(SEARCH($M$132,A184)))</xm:f>
            <xm:f>$M$132</xm:f>
            <x14:dxf>
              <font>
                <b/>
                <i/>
                <color theme="0"/>
              </font>
              <fill>
                <patternFill>
                  <bgColor theme="1"/>
                </patternFill>
              </fill>
            </x14:dxf>
          </x14:cfRule>
          <x14:cfRule type="containsText" priority="69" operator="containsText" id="{2ED5031F-6656-4B0C-B144-D2408D4BDC27}">
            <xm:f>NOT(ISERROR(SEARCH($M$131,A184)))</xm:f>
            <xm:f>$M$131</xm:f>
            <x14:dxf>
              <font>
                <b/>
                <i/>
                <color theme="0"/>
              </font>
              <fill>
                <patternFill>
                  <bgColor theme="1"/>
                </patternFill>
              </fill>
            </x14:dxf>
          </x14:cfRule>
          <x14:cfRule type="containsText" priority="70" operator="containsText" id="{C3CC7C2F-880B-4C50-93A6-D1CAA350025B}">
            <xm:f>NOT(ISERROR(SEARCH($M$130,A184)))</xm:f>
            <xm:f>$M$130</xm:f>
            <x14:dxf>
              <font>
                <b/>
                <i/>
                <color theme="0"/>
              </font>
              <fill>
                <patternFill>
                  <bgColor theme="1"/>
                </patternFill>
              </fill>
            </x14:dxf>
          </x14:cfRule>
          <x14:cfRule type="containsText" priority="71" operator="containsText" id="{5EE734E5-E4F5-40AD-8202-9115FA51F8B3}">
            <xm:f>NOT(ISERROR(SEARCH($M$129,A184)))</xm:f>
            <xm:f>$M$129</xm:f>
            <x14:dxf>
              <font>
                <b/>
                <i/>
                <color theme="0"/>
              </font>
              <fill>
                <patternFill>
                  <bgColor theme="1"/>
                </patternFill>
              </fill>
            </x14:dxf>
          </x14:cfRule>
          <x14:cfRule type="containsText" priority="72" operator="containsText" id="{80227DF7-0F59-49CD-9815-8078DCB2A625}">
            <xm:f>NOT(ISERROR(SEARCH($M$128,A184)))</xm:f>
            <xm:f>$M$128</xm:f>
            <x14:dxf>
              <font>
                <b/>
                <i/>
                <color theme="0"/>
              </font>
              <fill>
                <patternFill>
                  <bgColor theme="1"/>
                </patternFill>
              </fill>
            </x14:dxf>
          </x14:cfRule>
          <x14:cfRule type="containsText" priority="73" operator="containsText" id="{2AD4BD2C-1AD0-4FB8-81C9-792AEAF2A3D1}">
            <xm:f>NOT(ISERROR(SEARCH($M$127,A184)))</xm:f>
            <xm:f>$M$127</xm:f>
            <x14:dxf>
              <font>
                <b/>
                <i/>
                <color theme="0"/>
              </font>
              <fill>
                <patternFill>
                  <bgColor theme="1"/>
                </patternFill>
              </fill>
            </x14:dxf>
          </x14:cfRule>
          <x14:cfRule type="containsText" priority="74" operator="containsText" id="{F61F4EB9-4861-4DAC-B838-99C646AF675F}">
            <xm:f>NOT(ISERROR(SEARCH($M$126,A184)))</xm:f>
            <xm:f>$M$126</xm:f>
            <x14:dxf>
              <font>
                <b/>
                <i/>
                <color theme="0"/>
              </font>
              <fill>
                <patternFill>
                  <bgColor theme="1"/>
                </patternFill>
              </fill>
            </x14:dxf>
          </x14:cfRule>
          <x14:cfRule type="containsText" priority="75" operator="containsText" id="{737072D8-2AC0-43C7-B8D0-A2DDC98A19AF}">
            <xm:f>NOT(ISERROR(SEARCH($M$125,A184)))</xm:f>
            <xm:f>$M$125</xm:f>
            <x14:dxf>
              <font>
                <b/>
                <i/>
                <color theme="0"/>
              </font>
              <fill>
                <patternFill>
                  <bgColor theme="1"/>
                </patternFill>
              </fill>
            </x14:dxf>
          </x14:cfRule>
          <x14:cfRule type="containsText" priority="76" operator="containsText" id="{0B16D7A6-BEAC-4753-A33A-49C2FD27C106}">
            <xm:f>NOT(ISERROR(SEARCH($M$124,A184)))</xm:f>
            <xm:f>$M$124</xm:f>
            <x14:dxf>
              <font>
                <b/>
                <i/>
                <color theme="0"/>
              </font>
              <fill>
                <patternFill>
                  <bgColor theme="1"/>
                </patternFill>
              </fill>
            </x14:dxf>
          </x14:cfRule>
          <x14:cfRule type="containsText" priority="77" operator="containsText" id="{ED08973A-7120-4D5E-8368-055E1923DAB8}">
            <xm:f>NOT(ISERROR(SEARCH($M$123,A184)))</xm:f>
            <xm:f>$M$123</xm:f>
            <x14:dxf>
              <font>
                <b/>
                <i/>
                <color theme="0"/>
              </font>
              <fill>
                <patternFill>
                  <bgColor theme="1"/>
                </patternFill>
              </fill>
            </x14:dxf>
          </x14:cfRule>
          <x14:cfRule type="containsText" priority="78" operator="containsText" id="{48FAC040-1CE3-44F5-BDCE-793E558C1DFC}">
            <xm:f>NOT(ISERROR(SEARCH($M$122,A184)))</xm:f>
            <xm:f>$M$122</xm:f>
            <x14:dxf>
              <font>
                <b/>
                <i/>
                <color theme="0"/>
              </font>
              <fill>
                <patternFill>
                  <bgColor theme="1"/>
                </patternFill>
              </fill>
            </x14:dxf>
          </x14:cfRule>
          <x14:cfRule type="containsText" priority="79" operator="containsText" id="{BD94C86C-9C5F-4C0B-AA1D-385D52D501E1}">
            <xm:f>NOT(ISERROR(SEARCH($M$121,A184)))</xm:f>
            <xm:f>$M$121</xm:f>
            <x14:dxf>
              <font>
                <b/>
                <i/>
                <color theme="0"/>
              </font>
              <fill>
                <patternFill>
                  <bgColor theme="1"/>
                </patternFill>
              </fill>
            </x14:dxf>
          </x14:cfRule>
          <x14:cfRule type="containsText" priority="80" operator="containsText" id="{0923E614-9CF7-4298-B3C3-8DF18541ADD9}">
            <xm:f>NOT(ISERROR(SEARCH($M$120,A184)))</xm:f>
            <xm:f>$M$120</xm:f>
            <x14:dxf>
              <font>
                <b/>
                <i/>
                <color theme="0"/>
              </font>
              <fill>
                <patternFill>
                  <bgColor theme="1"/>
                </patternFill>
              </fill>
            </x14:dxf>
          </x14:cfRule>
          <x14:cfRule type="containsText" priority="81" operator="containsText" id="{B9514A30-E81F-4EC3-A1B0-15DB60210913}">
            <xm:f>NOT(ISERROR(SEARCH($M$119,A184)))</xm:f>
            <xm:f>$M$119</xm:f>
            <x14:dxf>
              <font>
                <b/>
                <i/>
                <color theme="0"/>
              </font>
              <fill>
                <patternFill>
                  <bgColor theme="1"/>
                </patternFill>
              </fill>
            </x14:dxf>
          </x14:cfRule>
          <x14:cfRule type="containsText" priority="82" operator="containsText" id="{43A8AF12-68CC-4AB5-A7A5-9A5873F7C607}">
            <xm:f>NOT(ISERROR(SEARCH($M$118,A184)))</xm:f>
            <xm:f>$M$118</xm:f>
            <x14:dxf>
              <font>
                <b/>
                <i/>
                <color theme="0"/>
              </font>
              <fill>
                <patternFill>
                  <bgColor theme="1"/>
                </patternFill>
              </fill>
            </x14:dxf>
          </x14:cfRule>
          <x14:cfRule type="containsText" priority="83" operator="containsText" id="{4C0A3C84-E6CB-4272-A650-D25612EB3B78}">
            <xm:f>NOT(ISERROR(SEARCH($M$117,A184)))</xm:f>
            <xm:f>$M$117</xm:f>
            <x14:dxf>
              <font>
                <b/>
                <i/>
                <color theme="0"/>
              </font>
              <fill>
                <patternFill>
                  <bgColor theme="1"/>
                </patternFill>
              </fill>
            </x14:dxf>
          </x14:cfRule>
          <x14:cfRule type="containsText" priority="84" operator="containsText" id="{70CA64B8-149F-4468-B75B-C9CA104D9EE6}">
            <xm:f>NOT(ISERROR(SEARCH($M$116,A184)))</xm:f>
            <xm:f>$M$116</xm:f>
            <x14:dxf>
              <font>
                <b/>
                <i/>
                <color theme="0"/>
              </font>
              <fill>
                <patternFill>
                  <bgColor theme="1"/>
                </patternFill>
              </fill>
            </x14:dxf>
          </x14:cfRule>
          <x14:cfRule type="containsText" priority="85" operator="containsText" id="{3EE5AFAF-4A42-45B0-A774-9C2F081025C0}">
            <xm:f>NOT(ISERROR(SEARCH($M$115,A184)))</xm:f>
            <xm:f>$M$115</xm:f>
            <x14:dxf>
              <font>
                <b/>
                <i/>
                <color theme="0"/>
              </font>
              <fill>
                <patternFill>
                  <bgColor theme="1"/>
                </patternFill>
              </fill>
            </x14:dxf>
          </x14:cfRule>
          <x14:cfRule type="containsText" priority="86" operator="containsText" id="{95011B7F-95B3-4D4D-A5F4-CD8501CE4E66}">
            <xm:f>NOT(ISERROR(SEARCH($M$114,A184)))</xm:f>
            <xm:f>$M$114</xm:f>
            <x14:dxf>
              <font>
                <b/>
                <i/>
                <color theme="0"/>
              </font>
              <fill>
                <patternFill>
                  <bgColor theme="1"/>
                </patternFill>
              </fill>
            </x14:dxf>
          </x14:cfRule>
          <x14:cfRule type="containsText" priority="87" operator="containsText" id="{D104405F-8FBE-44D6-9038-8ED3DDBA615A}">
            <xm:f>NOT(ISERROR(SEARCH($M$113,A184)))</xm:f>
            <xm:f>$M$113</xm:f>
            <x14:dxf>
              <font>
                <b/>
                <i/>
                <color theme="0"/>
              </font>
              <fill>
                <patternFill>
                  <bgColor theme="1"/>
                </patternFill>
              </fill>
            </x14:dxf>
          </x14:cfRule>
          <x14:cfRule type="containsText" priority="88" operator="containsText" id="{6F1D03CA-03F7-414F-AB6E-B7C5F6517884}">
            <xm:f>NOT(ISERROR(SEARCH($M$112,A184)))</xm:f>
            <xm:f>$M$112</xm:f>
            <x14:dxf>
              <font>
                <b/>
                <i/>
                <color theme="0"/>
              </font>
              <fill>
                <patternFill>
                  <bgColor theme="1"/>
                </patternFill>
              </fill>
            </x14:dxf>
          </x14:cfRule>
          <x14:cfRule type="containsText" priority="89" operator="containsText" id="{57EE3E8F-33C4-4C5C-871F-FDC6981F60A8}">
            <xm:f>NOT(ISERROR(SEARCH($M$111,A184)))</xm:f>
            <xm:f>$M$111</xm:f>
            <x14:dxf>
              <font>
                <b/>
                <i/>
                <color theme="0"/>
              </font>
              <fill>
                <patternFill>
                  <bgColor theme="1"/>
                </patternFill>
              </fill>
            </x14:dxf>
          </x14:cfRule>
          <x14:cfRule type="containsText" priority="90" operator="containsText" id="{0172A3E7-8D97-49CB-86F3-0EBBBB2606C2}">
            <xm:f>NOT(ISERROR(SEARCH($M$110,A184)))</xm:f>
            <xm:f>$M$110</xm:f>
            <x14:dxf>
              <font>
                <b/>
                <i/>
                <color theme="0"/>
              </font>
              <fill>
                <patternFill>
                  <bgColor theme="1"/>
                </patternFill>
              </fill>
            </x14:dxf>
          </x14:cfRule>
          <xm:sqref>A184:A195</xm:sqref>
        </x14:conditionalFormatting>
        <x14:conditionalFormatting xmlns:xm="http://schemas.microsoft.com/office/excel/2006/main">
          <x14:cfRule type="containsText" priority="62" operator="containsText" id="{9E5C0258-2F1F-4D85-BEA4-AEA3A370F00A}">
            <xm:f>NOT(ISERROR(SEARCH($M$107,A135)))</xm:f>
            <xm:f>$M$107</xm:f>
            <x14:dxf>
              <font>
                <b/>
                <i/>
                <color theme="0"/>
              </font>
              <fill>
                <patternFill>
                  <bgColor theme="1"/>
                </patternFill>
              </fill>
            </x14:dxf>
          </x14:cfRule>
          <xm:sqref>A135:A146</xm:sqref>
        </x14:conditionalFormatting>
        <x14:conditionalFormatting xmlns:xm="http://schemas.microsoft.com/office/excel/2006/main">
          <x14:cfRule type="containsText" priority="60" operator="containsText" id="{5029BF30-6EB4-43EA-AD96-3A1EBD9A810C}">
            <xm:f>NOT(ISERROR(SEARCH($M$109,A135)))</xm:f>
            <xm:f>$M$109</xm:f>
            <x14:dxf>
              <font>
                <b/>
                <i/>
                <color theme="0"/>
              </font>
              <fill>
                <patternFill>
                  <bgColor theme="1"/>
                </patternFill>
              </fill>
            </x14:dxf>
          </x14:cfRule>
          <x14:cfRule type="containsText" priority="61" operator="containsText" id="{82F88CDC-259C-4495-A3D8-FCCF98BAD325}">
            <xm:f>NOT(ISERROR(SEARCH($M$108,A135)))</xm:f>
            <xm:f>$M$108</xm:f>
            <x14:dxf>
              <font>
                <color theme="0"/>
              </font>
              <fill>
                <patternFill>
                  <bgColor theme="1"/>
                </patternFill>
              </fill>
            </x14:dxf>
          </x14:cfRule>
          <xm:sqref>A135:A146</xm:sqref>
        </x14:conditionalFormatting>
        <x14:conditionalFormatting xmlns:xm="http://schemas.microsoft.com/office/excel/2006/main">
          <x14:cfRule type="containsText" priority="33" operator="containsText" id="{27BE1E66-DF38-427F-A558-B7441346733D}">
            <xm:f>NOT(ISERROR(SEARCH($M$136,A135)))</xm:f>
            <xm:f>$M$136</xm:f>
            <x14:dxf>
              <font>
                <b/>
                <i/>
                <color theme="0"/>
              </font>
              <fill>
                <patternFill>
                  <bgColor theme="1"/>
                </patternFill>
              </fill>
            </x14:dxf>
          </x14:cfRule>
          <x14:cfRule type="containsText" priority="34" operator="containsText" id="{BD528BE8-A92B-4D9B-8380-34D20C8F9ADC}">
            <xm:f>NOT(ISERROR(SEARCH($M$135,A135)))</xm:f>
            <xm:f>$M$135</xm:f>
            <x14:dxf>
              <font>
                <b/>
                <i/>
                <color theme="0"/>
              </font>
              <fill>
                <patternFill>
                  <bgColor theme="1"/>
                </patternFill>
              </fill>
            </x14:dxf>
          </x14:cfRule>
          <x14:cfRule type="containsText" priority="35" operator="containsText" id="{D057AF3E-923F-4DC5-8F70-F2AEC434A1DD}">
            <xm:f>NOT(ISERROR(SEARCH($M$134,A135)))</xm:f>
            <xm:f>$M$134</xm:f>
            <x14:dxf>
              <font>
                <b/>
                <i/>
                <color theme="0"/>
              </font>
              <fill>
                <patternFill>
                  <bgColor theme="1"/>
                </patternFill>
              </fill>
            </x14:dxf>
          </x14:cfRule>
          <x14:cfRule type="containsText" priority="36" operator="containsText" id="{66070E74-89E2-4646-8905-19F3C42180C7}">
            <xm:f>NOT(ISERROR(SEARCH($M$133,A135)))</xm:f>
            <xm:f>$M$133</xm:f>
            <x14:dxf>
              <font>
                <b/>
                <i/>
                <color theme="0"/>
              </font>
              <fill>
                <patternFill>
                  <bgColor theme="1"/>
                </patternFill>
              </fill>
            </x14:dxf>
          </x14:cfRule>
          <x14:cfRule type="containsText" priority="37" operator="containsText" id="{62AAA98E-4E38-41AE-837B-7D79D5901902}">
            <xm:f>NOT(ISERROR(SEARCH($M$132,A135)))</xm:f>
            <xm:f>$M$132</xm:f>
            <x14:dxf>
              <font>
                <b/>
                <i/>
                <color theme="0"/>
              </font>
              <fill>
                <patternFill>
                  <bgColor theme="1"/>
                </patternFill>
              </fill>
            </x14:dxf>
          </x14:cfRule>
          <x14:cfRule type="containsText" priority="38" operator="containsText" id="{806A4E76-220B-485C-A699-6A4E516D3B50}">
            <xm:f>NOT(ISERROR(SEARCH($M$131,A135)))</xm:f>
            <xm:f>$M$131</xm:f>
            <x14:dxf>
              <font>
                <b/>
                <i/>
                <color theme="0"/>
              </font>
              <fill>
                <patternFill>
                  <bgColor theme="1"/>
                </patternFill>
              </fill>
            </x14:dxf>
          </x14:cfRule>
          <x14:cfRule type="containsText" priority="39" operator="containsText" id="{A0F5C756-F4D2-4F46-96DD-C95B2B5A592F}">
            <xm:f>NOT(ISERROR(SEARCH($M$130,A135)))</xm:f>
            <xm:f>$M$130</xm:f>
            <x14:dxf>
              <font>
                <b/>
                <i/>
                <color theme="0"/>
              </font>
              <fill>
                <patternFill>
                  <bgColor theme="1"/>
                </patternFill>
              </fill>
            </x14:dxf>
          </x14:cfRule>
          <x14:cfRule type="containsText" priority="40" operator="containsText" id="{3EDBCF49-3C5A-491C-A7D9-E69EF20D852E}">
            <xm:f>NOT(ISERROR(SEARCH($M$129,A135)))</xm:f>
            <xm:f>$M$129</xm:f>
            <x14:dxf>
              <font>
                <b/>
                <i/>
                <color theme="0"/>
              </font>
              <fill>
                <patternFill>
                  <bgColor theme="1"/>
                </patternFill>
              </fill>
            </x14:dxf>
          </x14:cfRule>
          <x14:cfRule type="containsText" priority="41" operator="containsText" id="{A0A21415-403F-41C2-B585-B58212A44CF3}">
            <xm:f>NOT(ISERROR(SEARCH($M$128,A135)))</xm:f>
            <xm:f>$M$128</xm:f>
            <x14:dxf>
              <font>
                <b/>
                <i/>
                <color theme="0"/>
              </font>
              <fill>
                <patternFill>
                  <bgColor theme="1"/>
                </patternFill>
              </fill>
            </x14:dxf>
          </x14:cfRule>
          <x14:cfRule type="containsText" priority="42" operator="containsText" id="{3BBAFCD4-CC02-40CF-8477-325EE9ECB771}">
            <xm:f>NOT(ISERROR(SEARCH($M$127,A135)))</xm:f>
            <xm:f>$M$127</xm:f>
            <x14:dxf>
              <font>
                <b/>
                <i/>
                <color theme="0"/>
              </font>
              <fill>
                <patternFill>
                  <bgColor theme="1"/>
                </patternFill>
              </fill>
            </x14:dxf>
          </x14:cfRule>
          <x14:cfRule type="containsText" priority="43" operator="containsText" id="{773EEC3D-16E6-49A9-BC2E-4013F18400E0}">
            <xm:f>NOT(ISERROR(SEARCH($M$126,A135)))</xm:f>
            <xm:f>$M$126</xm:f>
            <x14:dxf>
              <font>
                <b/>
                <i/>
                <color theme="0"/>
              </font>
              <fill>
                <patternFill>
                  <bgColor theme="1"/>
                </patternFill>
              </fill>
            </x14:dxf>
          </x14:cfRule>
          <x14:cfRule type="containsText" priority="44" operator="containsText" id="{DB89A9E4-F1A8-4FC4-9E8D-21665FDC3E2A}">
            <xm:f>NOT(ISERROR(SEARCH($M$125,A135)))</xm:f>
            <xm:f>$M$125</xm:f>
            <x14:dxf>
              <font>
                <b/>
                <i/>
                <color theme="0"/>
              </font>
              <fill>
                <patternFill>
                  <bgColor theme="1"/>
                </patternFill>
              </fill>
            </x14:dxf>
          </x14:cfRule>
          <x14:cfRule type="containsText" priority="45" operator="containsText" id="{18BA9C6F-A50A-4178-83CE-AB300D326A27}">
            <xm:f>NOT(ISERROR(SEARCH($M$124,A135)))</xm:f>
            <xm:f>$M$124</xm:f>
            <x14:dxf>
              <font>
                <b/>
                <i/>
                <color theme="0"/>
              </font>
              <fill>
                <patternFill>
                  <bgColor theme="1"/>
                </patternFill>
              </fill>
            </x14:dxf>
          </x14:cfRule>
          <x14:cfRule type="containsText" priority="46" operator="containsText" id="{801E3C63-DA2F-434A-8D60-8C8FAD3EFB41}">
            <xm:f>NOT(ISERROR(SEARCH($M$123,A135)))</xm:f>
            <xm:f>$M$123</xm:f>
            <x14:dxf>
              <font>
                <b/>
                <i/>
                <color theme="0"/>
              </font>
              <fill>
                <patternFill>
                  <bgColor theme="1"/>
                </patternFill>
              </fill>
            </x14:dxf>
          </x14:cfRule>
          <x14:cfRule type="containsText" priority="47" operator="containsText" id="{3DCF2028-AB8C-469E-A8ED-5DE19F4C835A}">
            <xm:f>NOT(ISERROR(SEARCH($M$122,A135)))</xm:f>
            <xm:f>$M$122</xm:f>
            <x14:dxf>
              <font>
                <b/>
                <i/>
                <color theme="0"/>
              </font>
              <fill>
                <patternFill>
                  <bgColor theme="1"/>
                </patternFill>
              </fill>
            </x14:dxf>
          </x14:cfRule>
          <x14:cfRule type="containsText" priority="48" operator="containsText" id="{224BE719-91E0-4751-86A6-B3341AB72D73}">
            <xm:f>NOT(ISERROR(SEARCH($M$121,A135)))</xm:f>
            <xm:f>$M$121</xm:f>
            <x14:dxf>
              <font>
                <b/>
                <i/>
                <color theme="0"/>
              </font>
              <fill>
                <patternFill>
                  <bgColor theme="1"/>
                </patternFill>
              </fill>
            </x14:dxf>
          </x14:cfRule>
          <x14:cfRule type="containsText" priority="49" operator="containsText" id="{6B6F9A01-91A1-41C3-B161-097A1AA6EEE8}">
            <xm:f>NOT(ISERROR(SEARCH($M$120,A135)))</xm:f>
            <xm:f>$M$120</xm:f>
            <x14:dxf>
              <font>
                <b/>
                <i/>
                <color theme="0"/>
              </font>
              <fill>
                <patternFill>
                  <bgColor theme="1"/>
                </patternFill>
              </fill>
            </x14:dxf>
          </x14:cfRule>
          <x14:cfRule type="containsText" priority="50" operator="containsText" id="{61AC969A-EC7C-43DA-82B3-BF57C3874B92}">
            <xm:f>NOT(ISERROR(SEARCH($M$119,A135)))</xm:f>
            <xm:f>$M$119</xm:f>
            <x14:dxf>
              <font>
                <b/>
                <i/>
                <color theme="0"/>
              </font>
              <fill>
                <patternFill>
                  <bgColor theme="1"/>
                </patternFill>
              </fill>
            </x14:dxf>
          </x14:cfRule>
          <x14:cfRule type="containsText" priority="51" operator="containsText" id="{53BF44D2-7846-4CAC-B5DB-B771486A049E}">
            <xm:f>NOT(ISERROR(SEARCH($M$118,A135)))</xm:f>
            <xm:f>$M$118</xm:f>
            <x14:dxf>
              <font>
                <b/>
                <i/>
                <color theme="0"/>
              </font>
              <fill>
                <patternFill>
                  <bgColor theme="1"/>
                </patternFill>
              </fill>
            </x14:dxf>
          </x14:cfRule>
          <x14:cfRule type="containsText" priority="52" operator="containsText" id="{AA252A48-06BF-4AD6-966D-7461C3F19553}">
            <xm:f>NOT(ISERROR(SEARCH($M$117,A135)))</xm:f>
            <xm:f>$M$117</xm:f>
            <x14:dxf>
              <font>
                <b/>
                <i/>
                <color theme="0"/>
              </font>
              <fill>
                <patternFill>
                  <bgColor theme="1"/>
                </patternFill>
              </fill>
            </x14:dxf>
          </x14:cfRule>
          <x14:cfRule type="containsText" priority="53" operator="containsText" id="{5F620080-69D4-441F-BFCC-7F94F6CD9451}">
            <xm:f>NOT(ISERROR(SEARCH($M$116,A135)))</xm:f>
            <xm:f>$M$116</xm:f>
            <x14:dxf>
              <font>
                <b/>
                <i/>
                <color theme="0"/>
              </font>
              <fill>
                <patternFill>
                  <bgColor theme="1"/>
                </patternFill>
              </fill>
            </x14:dxf>
          </x14:cfRule>
          <x14:cfRule type="containsText" priority="54" operator="containsText" id="{BE2EE154-5D4E-4FEA-967D-94DEF99A370A}">
            <xm:f>NOT(ISERROR(SEARCH($M$115,A135)))</xm:f>
            <xm:f>$M$115</xm:f>
            <x14:dxf>
              <font>
                <b/>
                <i/>
                <color theme="0"/>
              </font>
              <fill>
                <patternFill>
                  <bgColor theme="1"/>
                </patternFill>
              </fill>
            </x14:dxf>
          </x14:cfRule>
          <x14:cfRule type="containsText" priority="55" operator="containsText" id="{96618550-4623-4162-9610-E108389FB552}">
            <xm:f>NOT(ISERROR(SEARCH($M$114,A135)))</xm:f>
            <xm:f>$M$114</xm:f>
            <x14:dxf>
              <font>
                <b/>
                <i/>
                <color theme="0"/>
              </font>
              <fill>
                <patternFill>
                  <bgColor theme="1"/>
                </patternFill>
              </fill>
            </x14:dxf>
          </x14:cfRule>
          <x14:cfRule type="containsText" priority="56" operator="containsText" id="{4B3984C4-B5F3-48AE-8F55-D3F57AFF5888}">
            <xm:f>NOT(ISERROR(SEARCH($M$113,A135)))</xm:f>
            <xm:f>$M$113</xm:f>
            <x14:dxf>
              <font>
                <b/>
                <i/>
                <color theme="0"/>
              </font>
              <fill>
                <patternFill>
                  <bgColor theme="1"/>
                </patternFill>
              </fill>
            </x14:dxf>
          </x14:cfRule>
          <x14:cfRule type="containsText" priority="57" operator="containsText" id="{C98DCC3A-6CD5-4944-B6AA-D1AF97DB1265}">
            <xm:f>NOT(ISERROR(SEARCH($M$112,A135)))</xm:f>
            <xm:f>$M$112</xm:f>
            <x14:dxf>
              <font>
                <b/>
                <i/>
                <color theme="0"/>
              </font>
              <fill>
                <patternFill>
                  <bgColor theme="1"/>
                </patternFill>
              </fill>
            </x14:dxf>
          </x14:cfRule>
          <x14:cfRule type="containsText" priority="58" operator="containsText" id="{A44000D5-E67B-426D-B2A2-1C255319993D}">
            <xm:f>NOT(ISERROR(SEARCH($M$111,A135)))</xm:f>
            <xm:f>$M$111</xm:f>
            <x14:dxf>
              <font>
                <b/>
                <i/>
                <color theme="0"/>
              </font>
              <fill>
                <patternFill>
                  <bgColor theme="1"/>
                </patternFill>
              </fill>
            </x14:dxf>
          </x14:cfRule>
          <x14:cfRule type="containsText" priority="59" operator="containsText" id="{A582D61A-A804-449C-868B-2AD4987234B9}">
            <xm:f>NOT(ISERROR(SEARCH($M$110,A135)))</xm:f>
            <xm:f>$M$110</xm:f>
            <x14:dxf>
              <font>
                <b/>
                <i/>
                <color theme="0"/>
              </font>
              <fill>
                <patternFill>
                  <bgColor theme="1"/>
                </patternFill>
              </fill>
            </x14:dxf>
          </x14:cfRule>
          <xm:sqref>A135:A146</xm:sqref>
        </x14:conditionalFormatting>
        <x14:conditionalFormatting xmlns:xm="http://schemas.microsoft.com/office/excel/2006/main">
          <x14:cfRule type="containsText" priority="31" operator="containsText" id="{B5B03B49-9A9F-4591-BCE1-E948D510428A}">
            <xm:f>NOT(ISERROR(SEARCH($M$107,A122)))</xm:f>
            <xm:f>$M$107</xm:f>
            <x14:dxf>
              <font>
                <b/>
                <i/>
                <color theme="0"/>
              </font>
              <fill>
                <patternFill>
                  <bgColor theme="1"/>
                </patternFill>
              </fill>
            </x14:dxf>
          </x14:cfRule>
          <xm:sqref>A122:A133</xm:sqref>
        </x14:conditionalFormatting>
        <x14:conditionalFormatting xmlns:xm="http://schemas.microsoft.com/office/excel/2006/main">
          <x14:cfRule type="containsText" priority="29" operator="containsText" id="{24079999-6362-4A60-ABA0-3DD311696954}">
            <xm:f>NOT(ISERROR(SEARCH($M$109,A122)))</xm:f>
            <xm:f>$M$109</xm:f>
            <x14:dxf>
              <font>
                <b/>
                <i/>
                <color theme="0"/>
              </font>
              <fill>
                <patternFill>
                  <bgColor theme="1"/>
                </patternFill>
              </fill>
            </x14:dxf>
          </x14:cfRule>
          <x14:cfRule type="containsText" priority="30" operator="containsText" id="{89EBCAD9-C78A-4A25-A408-9ABAD9E7C150}">
            <xm:f>NOT(ISERROR(SEARCH($M$108,A122)))</xm:f>
            <xm:f>$M$108</xm:f>
            <x14:dxf>
              <font>
                <color theme="0"/>
              </font>
              <fill>
                <patternFill>
                  <bgColor theme="1"/>
                </patternFill>
              </fill>
            </x14:dxf>
          </x14:cfRule>
          <xm:sqref>A122:A133</xm:sqref>
        </x14:conditionalFormatting>
        <x14:conditionalFormatting xmlns:xm="http://schemas.microsoft.com/office/excel/2006/main">
          <x14:cfRule type="containsText" priority="2" operator="containsText" id="{8D92FA61-23D3-4DE7-9E81-B4974936155D}">
            <xm:f>NOT(ISERROR(SEARCH($M$136,A122)))</xm:f>
            <xm:f>$M$136</xm:f>
            <x14:dxf>
              <font>
                <b/>
                <i/>
                <color theme="0"/>
              </font>
              <fill>
                <patternFill>
                  <bgColor theme="1"/>
                </patternFill>
              </fill>
            </x14:dxf>
          </x14:cfRule>
          <x14:cfRule type="containsText" priority="3" operator="containsText" id="{7C226A20-4864-4566-90E3-9C0DE2E49728}">
            <xm:f>NOT(ISERROR(SEARCH($M$135,A122)))</xm:f>
            <xm:f>$M$135</xm:f>
            <x14:dxf>
              <font>
                <b/>
                <i/>
                <color theme="0"/>
              </font>
              <fill>
                <patternFill>
                  <bgColor theme="1"/>
                </patternFill>
              </fill>
            </x14:dxf>
          </x14:cfRule>
          <x14:cfRule type="containsText" priority="4" operator="containsText" id="{5D2F51F6-0718-4D40-ACD1-5D90D1C07639}">
            <xm:f>NOT(ISERROR(SEARCH($M$134,A122)))</xm:f>
            <xm:f>$M$134</xm:f>
            <x14:dxf>
              <font>
                <b/>
                <i/>
                <color theme="0"/>
              </font>
              <fill>
                <patternFill>
                  <bgColor theme="1"/>
                </patternFill>
              </fill>
            </x14:dxf>
          </x14:cfRule>
          <x14:cfRule type="containsText" priority="5" operator="containsText" id="{24E6CDEA-164A-434B-BEE1-809C99B038A4}">
            <xm:f>NOT(ISERROR(SEARCH($M$133,A122)))</xm:f>
            <xm:f>$M$133</xm:f>
            <x14:dxf>
              <font>
                <b/>
                <i/>
                <color theme="0"/>
              </font>
              <fill>
                <patternFill>
                  <bgColor theme="1"/>
                </patternFill>
              </fill>
            </x14:dxf>
          </x14:cfRule>
          <x14:cfRule type="containsText" priority="6" operator="containsText" id="{BA3A5915-3DCB-4A9A-A9DC-386255E5E8B1}">
            <xm:f>NOT(ISERROR(SEARCH($M$132,A122)))</xm:f>
            <xm:f>$M$132</xm:f>
            <x14:dxf>
              <font>
                <b/>
                <i/>
                <color theme="0"/>
              </font>
              <fill>
                <patternFill>
                  <bgColor theme="1"/>
                </patternFill>
              </fill>
            </x14:dxf>
          </x14:cfRule>
          <x14:cfRule type="containsText" priority="7" operator="containsText" id="{90BF9D59-4C19-499C-A036-9C4D813C8484}">
            <xm:f>NOT(ISERROR(SEARCH($M$131,A122)))</xm:f>
            <xm:f>$M$131</xm:f>
            <x14:dxf>
              <font>
                <b/>
                <i/>
                <color theme="0"/>
              </font>
              <fill>
                <patternFill>
                  <bgColor theme="1"/>
                </patternFill>
              </fill>
            </x14:dxf>
          </x14:cfRule>
          <x14:cfRule type="containsText" priority="8" operator="containsText" id="{6E580635-73AE-43CB-97EF-03DA82482D83}">
            <xm:f>NOT(ISERROR(SEARCH($M$130,A122)))</xm:f>
            <xm:f>$M$130</xm:f>
            <x14:dxf>
              <font>
                <b/>
                <i/>
                <color theme="0"/>
              </font>
              <fill>
                <patternFill>
                  <bgColor theme="1"/>
                </patternFill>
              </fill>
            </x14:dxf>
          </x14:cfRule>
          <x14:cfRule type="containsText" priority="9" operator="containsText" id="{DD7AD2C0-E4FF-4217-A403-34F044DA869B}">
            <xm:f>NOT(ISERROR(SEARCH($M$129,A122)))</xm:f>
            <xm:f>$M$129</xm:f>
            <x14:dxf>
              <font>
                <b/>
                <i/>
                <color theme="0"/>
              </font>
              <fill>
                <patternFill>
                  <bgColor theme="1"/>
                </patternFill>
              </fill>
            </x14:dxf>
          </x14:cfRule>
          <x14:cfRule type="containsText" priority="10" operator="containsText" id="{48CEEAB9-ACF7-46C8-A75C-E11570B8CB0B}">
            <xm:f>NOT(ISERROR(SEARCH($M$128,A122)))</xm:f>
            <xm:f>$M$128</xm:f>
            <x14:dxf>
              <font>
                <b/>
                <i/>
                <color theme="0"/>
              </font>
              <fill>
                <patternFill>
                  <bgColor theme="1"/>
                </patternFill>
              </fill>
            </x14:dxf>
          </x14:cfRule>
          <x14:cfRule type="containsText" priority="11" operator="containsText" id="{1A1769BF-5F04-4DDC-8442-63435283ECA2}">
            <xm:f>NOT(ISERROR(SEARCH($M$127,A122)))</xm:f>
            <xm:f>$M$127</xm:f>
            <x14:dxf>
              <font>
                <b/>
                <i/>
                <color theme="0"/>
              </font>
              <fill>
                <patternFill>
                  <bgColor theme="1"/>
                </patternFill>
              </fill>
            </x14:dxf>
          </x14:cfRule>
          <x14:cfRule type="containsText" priority="12" operator="containsText" id="{51BAB443-4D93-4855-8E11-6C6EB086E87F}">
            <xm:f>NOT(ISERROR(SEARCH($M$126,A122)))</xm:f>
            <xm:f>$M$126</xm:f>
            <x14:dxf>
              <font>
                <b/>
                <i/>
                <color theme="0"/>
              </font>
              <fill>
                <patternFill>
                  <bgColor theme="1"/>
                </patternFill>
              </fill>
            </x14:dxf>
          </x14:cfRule>
          <x14:cfRule type="containsText" priority="13" operator="containsText" id="{D4B680AB-4ACE-4BA0-BE65-BB19E5059AA9}">
            <xm:f>NOT(ISERROR(SEARCH($M$125,A122)))</xm:f>
            <xm:f>$M$125</xm:f>
            <x14:dxf>
              <font>
                <b/>
                <i/>
                <color theme="0"/>
              </font>
              <fill>
                <patternFill>
                  <bgColor theme="1"/>
                </patternFill>
              </fill>
            </x14:dxf>
          </x14:cfRule>
          <x14:cfRule type="containsText" priority="14" operator="containsText" id="{77AFE34B-DC92-4DD1-BFBA-839D80DFE93E}">
            <xm:f>NOT(ISERROR(SEARCH($M$124,A122)))</xm:f>
            <xm:f>$M$124</xm:f>
            <x14:dxf>
              <font>
                <b/>
                <i/>
                <color theme="0"/>
              </font>
              <fill>
                <patternFill>
                  <bgColor theme="1"/>
                </patternFill>
              </fill>
            </x14:dxf>
          </x14:cfRule>
          <x14:cfRule type="containsText" priority="15" operator="containsText" id="{83434FBD-5B62-491D-B161-50D04149F0E0}">
            <xm:f>NOT(ISERROR(SEARCH($M$123,A122)))</xm:f>
            <xm:f>$M$123</xm:f>
            <x14:dxf>
              <font>
                <b/>
                <i/>
                <color theme="0"/>
              </font>
              <fill>
                <patternFill>
                  <bgColor theme="1"/>
                </patternFill>
              </fill>
            </x14:dxf>
          </x14:cfRule>
          <x14:cfRule type="containsText" priority="16" operator="containsText" id="{1F1EDB80-DE65-4C62-AF2C-1203681104E9}">
            <xm:f>NOT(ISERROR(SEARCH($M$122,A122)))</xm:f>
            <xm:f>$M$122</xm:f>
            <x14:dxf>
              <font>
                <b/>
                <i/>
                <color theme="0"/>
              </font>
              <fill>
                <patternFill>
                  <bgColor theme="1"/>
                </patternFill>
              </fill>
            </x14:dxf>
          </x14:cfRule>
          <x14:cfRule type="containsText" priority="17" operator="containsText" id="{D5E2E3C5-FA61-41DC-88B3-7945DE0F469D}">
            <xm:f>NOT(ISERROR(SEARCH($M$121,A122)))</xm:f>
            <xm:f>$M$121</xm:f>
            <x14:dxf>
              <font>
                <b/>
                <i/>
                <color theme="0"/>
              </font>
              <fill>
                <patternFill>
                  <bgColor theme="1"/>
                </patternFill>
              </fill>
            </x14:dxf>
          </x14:cfRule>
          <x14:cfRule type="containsText" priority="18" operator="containsText" id="{720E7804-B6AF-4E49-AB59-C0F26C5409CD}">
            <xm:f>NOT(ISERROR(SEARCH($M$120,A122)))</xm:f>
            <xm:f>$M$120</xm:f>
            <x14:dxf>
              <font>
                <b/>
                <i/>
                <color theme="0"/>
              </font>
              <fill>
                <patternFill>
                  <bgColor theme="1"/>
                </patternFill>
              </fill>
            </x14:dxf>
          </x14:cfRule>
          <x14:cfRule type="containsText" priority="19" operator="containsText" id="{3922341E-1AFE-489D-8525-041FAEC5AC39}">
            <xm:f>NOT(ISERROR(SEARCH($M$119,A122)))</xm:f>
            <xm:f>$M$119</xm:f>
            <x14:dxf>
              <font>
                <b/>
                <i/>
                <color theme="0"/>
              </font>
              <fill>
                <patternFill>
                  <bgColor theme="1"/>
                </patternFill>
              </fill>
            </x14:dxf>
          </x14:cfRule>
          <x14:cfRule type="containsText" priority="20" operator="containsText" id="{9D6032D2-D2CA-4755-84B9-67714E73B695}">
            <xm:f>NOT(ISERROR(SEARCH($M$118,A122)))</xm:f>
            <xm:f>$M$118</xm:f>
            <x14:dxf>
              <font>
                <b/>
                <i/>
                <color theme="0"/>
              </font>
              <fill>
                <patternFill>
                  <bgColor theme="1"/>
                </patternFill>
              </fill>
            </x14:dxf>
          </x14:cfRule>
          <x14:cfRule type="containsText" priority="21" operator="containsText" id="{89D16A03-4526-4832-A117-31BC8A5D883A}">
            <xm:f>NOT(ISERROR(SEARCH($M$117,A122)))</xm:f>
            <xm:f>$M$117</xm:f>
            <x14:dxf>
              <font>
                <b/>
                <i/>
                <color theme="0"/>
              </font>
              <fill>
                <patternFill>
                  <bgColor theme="1"/>
                </patternFill>
              </fill>
            </x14:dxf>
          </x14:cfRule>
          <x14:cfRule type="containsText" priority="22" operator="containsText" id="{7E87413D-2F92-4D58-9DE4-7FD3B364E63B}">
            <xm:f>NOT(ISERROR(SEARCH($M$116,A122)))</xm:f>
            <xm:f>$M$116</xm:f>
            <x14:dxf>
              <font>
                <b/>
                <i/>
                <color theme="0"/>
              </font>
              <fill>
                <patternFill>
                  <bgColor theme="1"/>
                </patternFill>
              </fill>
            </x14:dxf>
          </x14:cfRule>
          <x14:cfRule type="containsText" priority="23" operator="containsText" id="{6D92C088-F725-4109-8384-57F928551D9B}">
            <xm:f>NOT(ISERROR(SEARCH($M$115,A122)))</xm:f>
            <xm:f>$M$115</xm:f>
            <x14:dxf>
              <font>
                <b/>
                <i/>
                <color theme="0"/>
              </font>
              <fill>
                <patternFill>
                  <bgColor theme="1"/>
                </patternFill>
              </fill>
            </x14:dxf>
          </x14:cfRule>
          <x14:cfRule type="containsText" priority="24" operator="containsText" id="{DD17F458-C5FF-4B99-8E95-ABCAD782553A}">
            <xm:f>NOT(ISERROR(SEARCH($M$114,A122)))</xm:f>
            <xm:f>$M$114</xm:f>
            <x14:dxf>
              <font>
                <b/>
                <i/>
                <color theme="0"/>
              </font>
              <fill>
                <patternFill>
                  <bgColor theme="1"/>
                </patternFill>
              </fill>
            </x14:dxf>
          </x14:cfRule>
          <x14:cfRule type="containsText" priority="25" operator="containsText" id="{B8D93AA5-C33C-4936-A4D8-D1A5984F8717}">
            <xm:f>NOT(ISERROR(SEARCH($M$113,A122)))</xm:f>
            <xm:f>$M$113</xm:f>
            <x14:dxf>
              <font>
                <b/>
                <i/>
                <color theme="0"/>
              </font>
              <fill>
                <patternFill>
                  <bgColor theme="1"/>
                </patternFill>
              </fill>
            </x14:dxf>
          </x14:cfRule>
          <x14:cfRule type="containsText" priority="26" operator="containsText" id="{26F3E17E-B7B5-4ECE-B5F8-5408C5B78329}">
            <xm:f>NOT(ISERROR(SEARCH($M$112,A122)))</xm:f>
            <xm:f>$M$112</xm:f>
            <x14:dxf>
              <font>
                <b/>
                <i/>
                <color theme="0"/>
              </font>
              <fill>
                <patternFill>
                  <bgColor theme="1"/>
                </patternFill>
              </fill>
            </x14:dxf>
          </x14:cfRule>
          <x14:cfRule type="containsText" priority="27" operator="containsText" id="{819BAEAC-F543-4321-A643-9764166B2D25}">
            <xm:f>NOT(ISERROR(SEARCH($M$111,A122)))</xm:f>
            <xm:f>$M$111</xm:f>
            <x14:dxf>
              <font>
                <b/>
                <i/>
                <color theme="0"/>
              </font>
              <fill>
                <patternFill>
                  <bgColor theme="1"/>
                </patternFill>
              </fill>
            </x14:dxf>
          </x14:cfRule>
          <x14:cfRule type="containsText" priority="28" operator="containsText" id="{6D954742-813B-4837-92D4-F16B9AA844B9}">
            <xm:f>NOT(ISERROR(SEARCH($M$110,A122)))</xm:f>
            <xm:f>$M$110</xm:f>
            <x14:dxf>
              <font>
                <b/>
                <i/>
                <color theme="0"/>
              </font>
              <fill>
                <patternFill>
                  <bgColor theme="1"/>
                </patternFill>
              </fill>
            </x14:dxf>
          </x14:cfRule>
          <xm:sqref>A122:A133</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ACAC8-E412-4630-88B5-BD30417CF193}">
  <sheetPr codeName="Sheet20"/>
  <dimension ref="A1:N121"/>
  <sheetViews>
    <sheetView workbookViewId="0">
      <selection sqref="A1:XFD1"/>
    </sheetView>
  </sheetViews>
  <sheetFormatPr defaultRowHeight="14.4" x14ac:dyDescent="0.3"/>
  <cols>
    <col min="1" max="3" width="9.77734375" style="1" customWidth="1"/>
    <col min="4" max="8" width="9.77734375" hidden="1" customWidth="1"/>
  </cols>
  <sheetData>
    <row r="1" spans="1:14" x14ac:dyDescent="0.3">
      <c r="A1" s="1" t="s">
        <v>32</v>
      </c>
      <c r="B1" s="261" t="s">
        <v>3452</v>
      </c>
      <c r="C1" s="261" t="s">
        <v>3453</v>
      </c>
      <c r="D1" s="139" t="s">
        <v>3454</v>
      </c>
      <c r="E1" s="139" t="s">
        <v>3455</v>
      </c>
      <c r="F1" s="139" t="s">
        <v>3456</v>
      </c>
      <c r="G1" s="139" t="s">
        <v>3457</v>
      </c>
      <c r="H1" s="139" t="s">
        <v>3458</v>
      </c>
    </row>
    <row r="2" spans="1:14" x14ac:dyDescent="0.3">
      <c r="A2" t="s">
        <v>55</v>
      </c>
      <c r="B2"/>
      <c r="C2" t="s">
        <v>221</v>
      </c>
      <c r="D2" t="s">
        <v>221</v>
      </c>
      <c r="E2" t="s">
        <v>221</v>
      </c>
      <c r="F2" t="s">
        <v>266</v>
      </c>
      <c r="G2" t="s">
        <v>266</v>
      </c>
      <c r="H2" t="s">
        <v>266</v>
      </c>
    </row>
    <row r="3" spans="1:14" x14ac:dyDescent="0.3">
      <c r="A3" s="1" t="s">
        <v>1485</v>
      </c>
      <c r="B3" s="262"/>
      <c r="C3" s="1" t="s">
        <v>3202</v>
      </c>
      <c r="D3" t="s">
        <v>2075</v>
      </c>
      <c r="E3" t="s">
        <v>3046</v>
      </c>
      <c r="F3" t="s">
        <v>2070</v>
      </c>
      <c r="G3" t="s">
        <v>2072</v>
      </c>
      <c r="H3" t="s">
        <v>3202</v>
      </c>
      <c r="J3" t="str">
        <f>IFERROR(RIGHT(B3,LEN(B3)-3),"")</f>
        <v/>
      </c>
    </row>
    <row r="4" spans="1:14" x14ac:dyDescent="0.3">
      <c r="A4"/>
      <c r="B4"/>
      <c r="C4" t="s">
        <v>2090</v>
      </c>
      <c r="D4" t="s">
        <v>3460</v>
      </c>
      <c r="E4" t="s">
        <v>2083</v>
      </c>
      <c r="F4" t="s">
        <v>2108</v>
      </c>
      <c r="G4" t="s">
        <v>3462</v>
      </c>
      <c r="H4" t="s">
        <v>2090</v>
      </c>
      <c r="N4" t="e">
        <f ca="1">INDEX(B2:H121,MATCH(VLOOKUP(MainPage!H3,Formulas!$Z:$AC,4,0),Starters!A2:A121,0),MATCH(MainPage!O1,Starters!B1:H1))</f>
        <v>#N/A</v>
      </c>
    </row>
    <row r="5" spans="1:14" x14ac:dyDescent="0.3">
      <c r="A5"/>
      <c r="B5"/>
      <c r="C5" t="s">
        <v>3459</v>
      </c>
      <c r="D5" t="s">
        <v>3461</v>
      </c>
      <c r="E5" t="s">
        <v>3292</v>
      </c>
      <c r="F5" t="s">
        <v>3288</v>
      </c>
      <c r="G5" t="s">
        <v>2127</v>
      </c>
      <c r="H5" t="s">
        <v>3459</v>
      </c>
    </row>
    <row r="6" spans="1:14" x14ac:dyDescent="0.3">
      <c r="A6" t="s">
        <v>39</v>
      </c>
      <c r="B6" t="s">
        <v>311</v>
      </c>
      <c r="C6" t="s">
        <v>311</v>
      </c>
      <c r="D6" t="s">
        <v>311</v>
      </c>
      <c r="E6" t="s">
        <v>311</v>
      </c>
      <c r="F6" t="s">
        <v>1016</v>
      </c>
      <c r="G6" t="s">
        <v>1016</v>
      </c>
      <c r="H6" t="s">
        <v>1016</v>
      </c>
    </row>
    <row r="7" spans="1:14" x14ac:dyDescent="0.3">
      <c r="A7" s="1" t="s">
        <v>1490</v>
      </c>
      <c r="B7" s="262" t="s">
        <v>3463</v>
      </c>
      <c r="C7" s="1" t="s">
        <v>3465</v>
      </c>
      <c r="D7" t="s">
        <v>2082</v>
      </c>
      <c r="E7" t="s">
        <v>2080</v>
      </c>
      <c r="F7" t="s">
        <v>2078</v>
      </c>
      <c r="G7" t="s">
        <v>3047</v>
      </c>
      <c r="H7" t="s">
        <v>3465</v>
      </c>
      <c r="J7" t="str">
        <f>IFERROR(RIGHT(B7,LEN(B7)-3),"")</f>
        <v>Dodd</v>
      </c>
    </row>
    <row r="8" spans="1:14" x14ac:dyDescent="0.3">
      <c r="A8"/>
      <c r="B8" t="s">
        <v>2083</v>
      </c>
      <c r="C8" t="s">
        <v>2108</v>
      </c>
      <c r="D8" t="s">
        <v>3466</v>
      </c>
      <c r="E8" t="s">
        <v>3223</v>
      </c>
      <c r="F8" t="s">
        <v>2085</v>
      </c>
      <c r="H8" t="s">
        <v>2108</v>
      </c>
    </row>
    <row r="9" spans="1:14" x14ac:dyDescent="0.3">
      <c r="A9"/>
      <c r="B9" t="s">
        <v>3464</v>
      </c>
      <c r="C9" t="s">
        <v>3093</v>
      </c>
      <c r="D9" t="s">
        <v>3467</v>
      </c>
      <c r="E9" t="s">
        <v>3468</v>
      </c>
      <c r="F9" t="s">
        <v>3301</v>
      </c>
      <c r="H9" t="s">
        <v>3093</v>
      </c>
    </row>
    <row r="10" spans="1:14" x14ac:dyDescent="0.3">
      <c r="A10" t="s">
        <v>46</v>
      </c>
      <c r="B10" t="s">
        <v>1012</v>
      </c>
      <c r="C10" t="s">
        <v>264</v>
      </c>
      <c r="D10" t="s">
        <v>264</v>
      </c>
      <c r="E10" t="s">
        <v>264</v>
      </c>
      <c r="F10" t="s">
        <v>251</v>
      </c>
      <c r="G10" t="s">
        <v>251</v>
      </c>
      <c r="H10" t="s">
        <v>251</v>
      </c>
    </row>
    <row r="11" spans="1:14" x14ac:dyDescent="0.3">
      <c r="A11" s="1" t="s">
        <v>1511</v>
      </c>
      <c r="B11" s="262" t="s">
        <v>2084</v>
      </c>
      <c r="C11" s="1" t="s">
        <v>2086</v>
      </c>
      <c r="D11" t="s">
        <v>2088</v>
      </c>
      <c r="E11" t="s">
        <v>2993</v>
      </c>
      <c r="F11" t="s">
        <v>2089</v>
      </c>
      <c r="G11" t="s">
        <v>2084</v>
      </c>
      <c r="H11" t="s">
        <v>2086</v>
      </c>
      <c r="J11" t="str">
        <f>IFERROR(RIGHT(B11,LEN(B11)-3),"")</f>
        <v>Gibson</v>
      </c>
    </row>
    <row r="12" spans="1:14" x14ac:dyDescent="0.3">
      <c r="A12"/>
      <c r="B12" t="s">
        <v>3460</v>
      </c>
      <c r="C12" t="s">
        <v>2083</v>
      </c>
      <c r="D12" t="s">
        <v>3214</v>
      </c>
      <c r="E12" t="s">
        <v>2083</v>
      </c>
      <c r="F12" t="s">
        <v>2999</v>
      </c>
      <c r="G12" t="s">
        <v>3460</v>
      </c>
      <c r="H12" t="s">
        <v>2083</v>
      </c>
    </row>
    <row r="13" spans="1:14" x14ac:dyDescent="0.3">
      <c r="A13"/>
      <c r="B13" t="s">
        <v>3469</v>
      </c>
      <c r="C13" t="s">
        <v>3091</v>
      </c>
      <c r="D13" t="s">
        <v>3470</v>
      </c>
      <c r="E13" t="s">
        <v>3471</v>
      </c>
      <c r="F13" t="s">
        <v>3286</v>
      </c>
      <c r="G13" t="s">
        <v>3469</v>
      </c>
      <c r="H13" t="s">
        <v>3091</v>
      </c>
    </row>
    <row r="14" spans="1:14" x14ac:dyDescent="0.3">
      <c r="A14" t="s">
        <v>54</v>
      </c>
      <c r="B14"/>
      <c r="C14" t="s">
        <v>1028</v>
      </c>
      <c r="D14" t="s">
        <v>1028</v>
      </c>
      <c r="E14" t="s">
        <v>1028</v>
      </c>
      <c r="G14" t="s">
        <v>270</v>
      </c>
      <c r="H14" t="s">
        <v>270</v>
      </c>
    </row>
    <row r="15" spans="1:14" x14ac:dyDescent="0.3">
      <c r="A15" s="1" t="s">
        <v>1544</v>
      </c>
      <c r="B15" s="262"/>
      <c r="C15" s="1" t="s">
        <v>2997</v>
      </c>
      <c r="D15" t="s">
        <v>3472</v>
      </c>
      <c r="E15" t="s">
        <v>2193</v>
      </c>
      <c r="G15" t="s">
        <v>3206</v>
      </c>
      <c r="H15" t="s">
        <v>3206</v>
      </c>
      <c r="J15" t="str">
        <f>IFERROR(RIGHT(B15,LEN(B15)-3),"")</f>
        <v/>
      </c>
    </row>
    <row r="16" spans="1:14" x14ac:dyDescent="0.3">
      <c r="A16"/>
      <c r="B16"/>
      <c r="C16" t="s">
        <v>3223</v>
      </c>
      <c r="D16" t="s">
        <v>2108</v>
      </c>
      <c r="E16" t="s">
        <v>3204</v>
      </c>
      <c r="G16" t="s">
        <v>3090</v>
      </c>
      <c r="H16" t="s">
        <v>3090</v>
      </c>
    </row>
    <row r="17" spans="1:10" x14ac:dyDescent="0.3">
      <c r="A17"/>
      <c r="B17"/>
      <c r="C17" t="s">
        <v>3294</v>
      </c>
      <c r="D17" t="s">
        <v>3289</v>
      </c>
      <c r="E17" t="s">
        <v>2995</v>
      </c>
      <c r="G17" t="s">
        <v>3473</v>
      </c>
      <c r="H17" t="s">
        <v>3473</v>
      </c>
    </row>
    <row r="18" spans="1:10" x14ac:dyDescent="0.3">
      <c r="A18" t="s">
        <v>1479</v>
      </c>
      <c r="B18" t="s">
        <v>339</v>
      </c>
      <c r="C18" t="s">
        <v>270</v>
      </c>
      <c r="D18" t="s">
        <v>270</v>
      </c>
      <c r="E18" t="s">
        <v>270</v>
      </c>
      <c r="F18" t="s">
        <v>1522</v>
      </c>
      <c r="G18" t="s">
        <v>1522</v>
      </c>
      <c r="H18" t="s">
        <v>1522</v>
      </c>
    </row>
    <row r="19" spans="1:10" x14ac:dyDescent="0.3">
      <c r="A19" s="1" t="s">
        <v>1480</v>
      </c>
      <c r="B19" s="262" t="s">
        <v>3474</v>
      </c>
      <c r="C19" s="1" t="s">
        <v>2094</v>
      </c>
      <c r="D19" t="s">
        <v>3207</v>
      </c>
      <c r="E19" t="s">
        <v>2092</v>
      </c>
      <c r="F19" t="s">
        <v>2093</v>
      </c>
      <c r="G19" t="s">
        <v>3207</v>
      </c>
      <c r="H19" t="s">
        <v>3047</v>
      </c>
      <c r="J19" t="str">
        <f>IFERROR(RIGHT(B19,LEN(B19)-3),"")</f>
        <v>Hendricks</v>
      </c>
    </row>
    <row r="20" spans="1:10" x14ac:dyDescent="0.3">
      <c r="A20"/>
      <c r="B20" t="s">
        <v>2079</v>
      </c>
      <c r="C20" t="s">
        <v>3476</v>
      </c>
      <c r="D20" t="s">
        <v>2091</v>
      </c>
      <c r="E20" t="s">
        <v>3214</v>
      </c>
      <c r="F20" t="s">
        <v>3478</v>
      </c>
      <c r="G20" t="s">
        <v>2091</v>
      </c>
    </row>
    <row r="21" spans="1:10" x14ac:dyDescent="0.3">
      <c r="A21"/>
      <c r="B21" t="s">
        <v>3475</v>
      </c>
      <c r="C21" t="s">
        <v>2998</v>
      </c>
      <c r="D21" t="s">
        <v>3041</v>
      </c>
      <c r="E21" t="s">
        <v>3477</v>
      </c>
      <c r="F21" t="s">
        <v>2123</v>
      </c>
      <c r="G21" t="s">
        <v>3041</v>
      </c>
    </row>
    <row r="22" spans="1:10" x14ac:dyDescent="0.3">
      <c r="A22" t="s">
        <v>1479</v>
      </c>
      <c r="B22" t="s">
        <v>1032</v>
      </c>
      <c r="C22" t="s">
        <v>1032</v>
      </c>
      <c r="D22" t="s">
        <v>1032</v>
      </c>
      <c r="E22" t="s">
        <v>1032</v>
      </c>
      <c r="F22" t="s">
        <v>235</v>
      </c>
      <c r="G22" t="s">
        <v>235</v>
      </c>
      <c r="H22" t="s">
        <v>235</v>
      </c>
    </row>
    <row r="23" spans="1:10" x14ac:dyDescent="0.3">
      <c r="A23" s="1" t="s">
        <v>1543</v>
      </c>
      <c r="B23" s="262" t="s">
        <v>3135</v>
      </c>
      <c r="C23" s="1" t="s">
        <v>2097</v>
      </c>
      <c r="D23" t="s">
        <v>3480</v>
      </c>
      <c r="E23" t="s">
        <v>2096</v>
      </c>
      <c r="F23" t="s">
        <v>2095</v>
      </c>
      <c r="G23" t="s">
        <v>3135</v>
      </c>
      <c r="H23" t="s">
        <v>2097</v>
      </c>
      <c r="J23" t="str">
        <f>IFERROR(RIGHT(B23,LEN(B23)-3),"")</f>
        <v>Giolito</v>
      </c>
    </row>
    <row r="24" spans="1:10" x14ac:dyDescent="0.3">
      <c r="A24"/>
      <c r="B24" t="s">
        <v>3204</v>
      </c>
      <c r="C24" t="s">
        <v>3479</v>
      </c>
      <c r="D24" t="s">
        <v>2079</v>
      </c>
      <c r="E24" t="s">
        <v>3204</v>
      </c>
      <c r="F24" t="s">
        <v>3291</v>
      </c>
      <c r="G24" t="s">
        <v>3204</v>
      </c>
      <c r="H24" t="s">
        <v>3479</v>
      </c>
    </row>
    <row r="25" spans="1:10" x14ac:dyDescent="0.3">
      <c r="A25"/>
      <c r="B25" t="s">
        <v>2113</v>
      </c>
      <c r="C25" t="s">
        <v>2087</v>
      </c>
      <c r="E25" t="s">
        <v>3304</v>
      </c>
      <c r="F25" t="s">
        <v>2107</v>
      </c>
      <c r="G25" t="s">
        <v>2113</v>
      </c>
      <c r="H25" t="s">
        <v>2087</v>
      </c>
    </row>
    <row r="26" spans="1:10" x14ac:dyDescent="0.3">
      <c r="A26" t="s">
        <v>52</v>
      </c>
      <c r="B26" t="s">
        <v>255</v>
      </c>
      <c r="C26" t="s">
        <v>1008</v>
      </c>
      <c r="D26" t="s">
        <v>1008</v>
      </c>
      <c r="E26" t="s">
        <v>1008</v>
      </c>
      <c r="G26" t="s">
        <v>1013</v>
      </c>
      <c r="H26" t="s">
        <v>1013</v>
      </c>
    </row>
    <row r="27" spans="1:10" x14ac:dyDescent="0.3">
      <c r="A27" s="1" t="s">
        <v>1514</v>
      </c>
      <c r="B27" s="262" t="s">
        <v>2101</v>
      </c>
      <c r="C27" s="1" t="s">
        <v>2099</v>
      </c>
      <c r="D27" t="s">
        <v>3482</v>
      </c>
      <c r="E27" t="s">
        <v>3034</v>
      </c>
      <c r="G27" t="s">
        <v>3484</v>
      </c>
      <c r="H27" t="s">
        <v>2101</v>
      </c>
      <c r="J27" t="str">
        <f>IFERROR(RIGHT(B27,LEN(B27)-3),"")</f>
        <v>Weaver</v>
      </c>
    </row>
    <row r="28" spans="1:10" x14ac:dyDescent="0.3">
      <c r="A28"/>
      <c r="B28" t="s">
        <v>2108</v>
      </c>
      <c r="C28" t="s">
        <v>3006</v>
      </c>
      <c r="D28" t="s">
        <v>2079</v>
      </c>
      <c r="E28" t="s">
        <v>3143</v>
      </c>
      <c r="G28" t="s">
        <v>3035</v>
      </c>
      <c r="H28" t="s">
        <v>2108</v>
      </c>
    </row>
    <row r="29" spans="1:10" x14ac:dyDescent="0.3">
      <c r="A29"/>
      <c r="B29" t="s">
        <v>3481</v>
      </c>
      <c r="C29" t="s">
        <v>2187</v>
      </c>
      <c r="D29" t="s">
        <v>3483</v>
      </c>
      <c r="E29" t="s">
        <v>3220</v>
      </c>
      <c r="G29" t="s">
        <v>3485</v>
      </c>
      <c r="H29" t="s">
        <v>3481</v>
      </c>
    </row>
    <row r="30" spans="1:10" x14ac:dyDescent="0.3">
      <c r="A30" t="s">
        <v>44</v>
      </c>
      <c r="B30"/>
      <c r="C30" t="s">
        <v>255</v>
      </c>
      <c r="D30" t="s">
        <v>255</v>
      </c>
      <c r="E30" t="s">
        <v>255</v>
      </c>
      <c r="F30" t="s">
        <v>1034</v>
      </c>
      <c r="G30" t="s">
        <v>1034</v>
      </c>
      <c r="H30" t="s">
        <v>1034</v>
      </c>
    </row>
    <row r="31" spans="1:10" x14ac:dyDescent="0.3">
      <c r="A31" s="1" t="s">
        <v>1504</v>
      </c>
      <c r="B31" s="262"/>
      <c r="C31" s="1" t="s">
        <v>3211</v>
      </c>
      <c r="D31" t="s">
        <v>2102</v>
      </c>
      <c r="E31" t="s">
        <v>3488</v>
      </c>
      <c r="F31" t="s">
        <v>3210</v>
      </c>
      <c r="G31" t="s">
        <v>2103</v>
      </c>
      <c r="H31" t="s">
        <v>3211</v>
      </c>
      <c r="J31" t="str">
        <f>IFERROR(RIGHT(B31,LEN(B31)-3),"")</f>
        <v/>
      </c>
    </row>
    <row r="32" spans="1:10" x14ac:dyDescent="0.3">
      <c r="A32"/>
      <c r="B32"/>
      <c r="C32" t="s">
        <v>2073</v>
      </c>
      <c r="D32" t="s">
        <v>3204</v>
      </c>
      <c r="E32" t="s">
        <v>2073</v>
      </c>
      <c r="F32" t="s">
        <v>2108</v>
      </c>
      <c r="G32" t="s">
        <v>3143</v>
      </c>
      <c r="H32" t="s">
        <v>2073</v>
      </c>
    </row>
    <row r="33" spans="1:10" x14ac:dyDescent="0.3">
      <c r="A33"/>
      <c r="B33"/>
      <c r="C33" t="s">
        <v>3486</v>
      </c>
      <c r="D33" t="s">
        <v>3487</v>
      </c>
      <c r="E33" t="s">
        <v>3213</v>
      </c>
      <c r="F33" t="s">
        <v>3489</v>
      </c>
      <c r="G33" t="s">
        <v>3232</v>
      </c>
      <c r="H33" t="s">
        <v>3486</v>
      </c>
    </row>
    <row r="34" spans="1:10" x14ac:dyDescent="0.3">
      <c r="A34" t="s">
        <v>56</v>
      </c>
      <c r="B34" t="s">
        <v>246</v>
      </c>
      <c r="C34" t="s">
        <v>339</v>
      </c>
      <c r="D34" t="s">
        <v>339</v>
      </c>
      <c r="E34" t="s">
        <v>339</v>
      </c>
      <c r="F34" t="s">
        <v>1028</v>
      </c>
      <c r="G34" t="s">
        <v>1028</v>
      </c>
      <c r="H34" t="s">
        <v>1028</v>
      </c>
    </row>
    <row r="35" spans="1:10" x14ac:dyDescent="0.3">
      <c r="A35" s="1" t="s">
        <v>1518</v>
      </c>
      <c r="B35" s="262" t="s">
        <v>2104</v>
      </c>
      <c r="C35" s="1" t="s">
        <v>3212</v>
      </c>
      <c r="D35" t="s">
        <v>3493</v>
      </c>
      <c r="E35" t="s">
        <v>3290</v>
      </c>
      <c r="F35" t="s">
        <v>3496</v>
      </c>
      <c r="G35" t="s">
        <v>2104</v>
      </c>
      <c r="H35" t="s">
        <v>3212</v>
      </c>
      <c r="J35" t="str">
        <f>IFERROR(RIGHT(B35,LEN(B35)-3),"")</f>
        <v>Freeland</v>
      </c>
    </row>
    <row r="36" spans="1:10" x14ac:dyDescent="0.3">
      <c r="A36"/>
      <c r="B36" t="s">
        <v>3490</v>
      </c>
      <c r="C36" t="s">
        <v>2073</v>
      </c>
      <c r="D36" t="s">
        <v>2079</v>
      </c>
      <c r="E36" t="s">
        <v>3478</v>
      </c>
      <c r="F36" t="s">
        <v>2076</v>
      </c>
      <c r="G36" t="s">
        <v>3490</v>
      </c>
      <c r="H36" t="s">
        <v>2073</v>
      </c>
    </row>
    <row r="37" spans="1:10" x14ac:dyDescent="0.3">
      <c r="A37"/>
      <c r="B37" t="s">
        <v>3491</v>
      </c>
      <c r="C37" t="s">
        <v>3492</v>
      </c>
      <c r="D37" t="s">
        <v>3494</v>
      </c>
      <c r="E37" t="s">
        <v>3495</v>
      </c>
      <c r="F37" t="s">
        <v>3497</v>
      </c>
      <c r="G37" t="s">
        <v>3491</v>
      </c>
      <c r="H37" t="s">
        <v>3492</v>
      </c>
    </row>
    <row r="38" spans="1:10" x14ac:dyDescent="0.3">
      <c r="A38" t="s">
        <v>64</v>
      </c>
      <c r="B38" t="s">
        <v>1550</v>
      </c>
      <c r="C38" t="s">
        <v>1550</v>
      </c>
      <c r="D38" t="s">
        <v>1550</v>
      </c>
      <c r="E38" t="s">
        <v>1550</v>
      </c>
      <c r="F38" t="s">
        <v>264</v>
      </c>
      <c r="G38" t="s">
        <v>264</v>
      </c>
      <c r="H38" t="s">
        <v>264</v>
      </c>
    </row>
    <row r="39" spans="1:10" x14ac:dyDescent="0.3">
      <c r="A39" s="1" t="s">
        <v>1513</v>
      </c>
      <c r="B39" s="262" t="s">
        <v>3498</v>
      </c>
      <c r="C39" s="1" t="s">
        <v>3003</v>
      </c>
      <c r="D39" t="s">
        <v>3004</v>
      </c>
      <c r="E39" t="s">
        <v>2106</v>
      </c>
      <c r="F39" t="s">
        <v>2105</v>
      </c>
      <c r="G39" t="s">
        <v>3498</v>
      </c>
      <c r="H39" t="s">
        <v>3003</v>
      </c>
      <c r="J39" t="str">
        <f>IFERROR(RIGHT(B39,LEN(B39)-3),"")</f>
        <v>Faedo</v>
      </c>
    </row>
    <row r="40" spans="1:10" x14ac:dyDescent="0.3">
      <c r="A40"/>
      <c r="B40" t="s">
        <v>2076</v>
      </c>
      <c r="C40" t="s">
        <v>3114</v>
      </c>
      <c r="D40" t="s">
        <v>3035</v>
      </c>
      <c r="E40" t="s">
        <v>3478</v>
      </c>
      <c r="F40" t="s">
        <v>3204</v>
      </c>
      <c r="G40" t="s">
        <v>2076</v>
      </c>
      <c r="H40" t="s">
        <v>3114</v>
      </c>
    </row>
    <row r="41" spans="1:10" x14ac:dyDescent="0.3">
      <c r="A41"/>
      <c r="B41" t="s">
        <v>3499</v>
      </c>
      <c r="C41" t="s">
        <v>3500</v>
      </c>
      <c r="D41" t="s">
        <v>2194</v>
      </c>
      <c r="E41" t="s">
        <v>3033</v>
      </c>
      <c r="F41" t="s">
        <v>3501</v>
      </c>
      <c r="G41" t="s">
        <v>3499</v>
      </c>
      <c r="H41" t="s">
        <v>3500</v>
      </c>
    </row>
    <row r="42" spans="1:10" x14ac:dyDescent="0.3">
      <c r="A42" t="s">
        <v>59</v>
      </c>
      <c r="B42"/>
      <c r="C42" t="s">
        <v>1016</v>
      </c>
      <c r="D42" t="s">
        <v>1016</v>
      </c>
      <c r="E42" t="s">
        <v>1016</v>
      </c>
      <c r="F42" t="s">
        <v>274</v>
      </c>
      <c r="G42" t="s">
        <v>274</v>
      </c>
      <c r="H42" t="s">
        <v>274</v>
      </c>
    </row>
    <row r="43" spans="1:10" x14ac:dyDescent="0.3">
      <c r="A43" s="1" t="s">
        <v>1488</v>
      </c>
      <c r="B43" s="262"/>
      <c r="C43" s="1" t="s">
        <v>2109</v>
      </c>
      <c r="D43" t="s">
        <v>2110</v>
      </c>
      <c r="E43" t="s">
        <v>2111</v>
      </c>
      <c r="F43" t="s">
        <v>3503</v>
      </c>
      <c r="G43" t="s">
        <v>3505</v>
      </c>
      <c r="H43" t="s">
        <v>2109</v>
      </c>
      <c r="J43" t="str">
        <f>IFERROR(RIGHT(B43,LEN(B43)-3),"")</f>
        <v/>
      </c>
    </row>
    <row r="44" spans="1:10" x14ac:dyDescent="0.3">
      <c r="A44"/>
      <c r="B44"/>
      <c r="C44" t="s">
        <v>3111</v>
      </c>
      <c r="D44" t="s">
        <v>3478</v>
      </c>
      <c r="E44" t="s">
        <v>3214</v>
      </c>
      <c r="F44" t="s">
        <v>2073</v>
      </c>
      <c r="G44" t="s">
        <v>2108</v>
      </c>
      <c r="H44" t="s">
        <v>3111</v>
      </c>
    </row>
    <row r="45" spans="1:10" x14ac:dyDescent="0.3">
      <c r="A45"/>
      <c r="B45"/>
      <c r="C45" t="s">
        <v>3502</v>
      </c>
      <c r="D45" t="s">
        <v>2174</v>
      </c>
      <c r="E45" t="s">
        <v>3107</v>
      </c>
      <c r="F45" t="s">
        <v>3504</v>
      </c>
      <c r="G45" t="s">
        <v>3506</v>
      </c>
      <c r="H45" t="s">
        <v>3502</v>
      </c>
    </row>
    <row r="46" spans="1:10" x14ac:dyDescent="0.3">
      <c r="A46" t="s">
        <v>65</v>
      </c>
      <c r="B46"/>
      <c r="C46" t="s">
        <v>1524</v>
      </c>
      <c r="D46" t="s">
        <v>1524</v>
      </c>
      <c r="E46" t="s">
        <v>1524</v>
      </c>
      <c r="F46" t="s">
        <v>1017</v>
      </c>
      <c r="G46" t="s">
        <v>1017</v>
      </c>
    </row>
    <row r="47" spans="1:10" x14ac:dyDescent="0.3">
      <c r="A47" s="1" t="s">
        <v>1516</v>
      </c>
      <c r="B47" s="262"/>
      <c r="C47" s="1" t="s">
        <v>2115</v>
      </c>
      <c r="D47" t="s">
        <v>2116</v>
      </c>
      <c r="E47" t="s">
        <v>3047</v>
      </c>
      <c r="F47" t="s">
        <v>3047</v>
      </c>
      <c r="G47" t="s">
        <v>2114</v>
      </c>
      <c r="J47" t="str">
        <f>IFERROR(RIGHT(B47,LEN(B47)-3),"")</f>
        <v/>
      </c>
    </row>
    <row r="48" spans="1:10" x14ac:dyDescent="0.3">
      <c r="A48"/>
      <c r="B48"/>
      <c r="C48" t="s">
        <v>3507</v>
      </c>
      <c r="D48" t="s">
        <v>3291</v>
      </c>
      <c r="G48" t="s">
        <v>3224</v>
      </c>
    </row>
    <row r="49" spans="1:10" x14ac:dyDescent="0.3">
      <c r="A49"/>
      <c r="B49"/>
      <c r="C49" t="s">
        <v>3298</v>
      </c>
      <c r="D49" t="s">
        <v>3042</v>
      </c>
      <c r="G49" t="s">
        <v>3227</v>
      </c>
    </row>
    <row r="50" spans="1:10" x14ac:dyDescent="0.3">
      <c r="A50" t="s">
        <v>2117</v>
      </c>
      <c r="B50"/>
      <c r="C50" t="s">
        <v>246</v>
      </c>
      <c r="D50" t="s">
        <v>246</v>
      </c>
      <c r="E50" t="s">
        <v>246</v>
      </c>
      <c r="F50" t="s">
        <v>3050</v>
      </c>
      <c r="G50" t="s">
        <v>3050</v>
      </c>
      <c r="H50" t="s">
        <v>3050</v>
      </c>
    </row>
    <row r="51" spans="1:10" x14ac:dyDescent="0.3">
      <c r="A51" s="1" t="s">
        <v>1506</v>
      </c>
      <c r="B51" s="262"/>
      <c r="C51" s="1" t="s">
        <v>2119</v>
      </c>
      <c r="D51" t="s">
        <v>2122</v>
      </c>
      <c r="E51" t="s">
        <v>2120</v>
      </c>
      <c r="F51" t="s">
        <v>3508</v>
      </c>
      <c r="G51" t="s">
        <v>2994</v>
      </c>
      <c r="H51" t="s">
        <v>2118</v>
      </c>
      <c r="J51" t="str">
        <f>IFERROR(RIGHT(B51,LEN(B51)-3),"")</f>
        <v/>
      </c>
    </row>
    <row r="52" spans="1:10" x14ac:dyDescent="0.3">
      <c r="A52"/>
      <c r="B52"/>
      <c r="C52" t="s">
        <v>2091</v>
      </c>
      <c r="D52" t="s">
        <v>3204</v>
      </c>
      <c r="E52" t="s">
        <v>3214</v>
      </c>
      <c r="F52" t="s">
        <v>2079</v>
      </c>
      <c r="G52" t="s">
        <v>3090</v>
      </c>
      <c r="H52" t="s">
        <v>2077</v>
      </c>
    </row>
    <row r="53" spans="1:10" x14ac:dyDescent="0.3">
      <c r="A53"/>
      <c r="B53"/>
      <c r="C53" t="s">
        <v>3139</v>
      </c>
      <c r="D53" t="s">
        <v>3112</v>
      </c>
      <c r="E53" t="s">
        <v>2142</v>
      </c>
      <c r="G53" t="s">
        <v>3509</v>
      </c>
      <c r="H53" t="s">
        <v>3039</v>
      </c>
    </row>
    <row r="54" spans="1:10" x14ac:dyDescent="0.3">
      <c r="A54" t="s">
        <v>2117</v>
      </c>
      <c r="B54"/>
      <c r="C54" t="s">
        <v>3510</v>
      </c>
      <c r="D54" t="s">
        <v>3510</v>
      </c>
      <c r="E54" t="s">
        <v>3510</v>
      </c>
      <c r="F54" t="s">
        <v>1524</v>
      </c>
      <c r="G54" t="s">
        <v>1524</v>
      </c>
      <c r="H54" t="s">
        <v>1524</v>
      </c>
    </row>
    <row r="55" spans="1:10" x14ac:dyDescent="0.3">
      <c r="A55" s="1" t="s">
        <v>1484</v>
      </c>
      <c r="B55" s="262"/>
      <c r="C55" s="1" t="s">
        <v>3295</v>
      </c>
      <c r="D55" t="s">
        <v>2124</v>
      </c>
      <c r="E55" t="s">
        <v>3513</v>
      </c>
      <c r="F55" t="s">
        <v>3305</v>
      </c>
      <c r="G55" t="s">
        <v>3110</v>
      </c>
      <c r="H55" t="s">
        <v>3295</v>
      </c>
      <c r="J55" t="str">
        <f>IFERROR(RIGHT(B55,LEN(B55)-3),"")</f>
        <v/>
      </c>
    </row>
    <row r="56" spans="1:10" x14ac:dyDescent="0.3">
      <c r="A56"/>
      <c r="B56"/>
      <c r="C56" t="s">
        <v>3040</v>
      </c>
      <c r="D56" t="s">
        <v>3512</v>
      </c>
      <c r="E56" t="s">
        <v>2079</v>
      </c>
      <c r="F56" t="s">
        <v>2071</v>
      </c>
      <c r="G56" t="s">
        <v>2083</v>
      </c>
      <c r="H56" t="s">
        <v>3040</v>
      </c>
    </row>
    <row r="57" spans="1:10" x14ac:dyDescent="0.3">
      <c r="A57"/>
      <c r="B57"/>
      <c r="C57" t="s">
        <v>3511</v>
      </c>
      <c r="D57" t="s">
        <v>2149</v>
      </c>
      <c r="E57" t="s">
        <v>3514</v>
      </c>
      <c r="F57" t="s">
        <v>3515</v>
      </c>
      <c r="G57" t="s">
        <v>3516</v>
      </c>
      <c r="H57" t="s">
        <v>3511</v>
      </c>
    </row>
    <row r="58" spans="1:10" x14ac:dyDescent="0.3">
      <c r="A58" t="s">
        <v>58</v>
      </c>
      <c r="B58" t="s">
        <v>1031</v>
      </c>
      <c r="C58" t="s">
        <v>1038</v>
      </c>
      <c r="D58" t="s">
        <v>1038</v>
      </c>
      <c r="E58" t="s">
        <v>1038</v>
      </c>
      <c r="G58" t="s">
        <v>1523</v>
      </c>
      <c r="H58" t="s">
        <v>1523</v>
      </c>
    </row>
    <row r="59" spans="1:10" x14ac:dyDescent="0.3">
      <c r="A59" s="1" t="s">
        <v>1512</v>
      </c>
      <c r="B59" s="262" t="s">
        <v>2125</v>
      </c>
      <c r="C59" s="1" t="s">
        <v>2128</v>
      </c>
      <c r="D59" t="s">
        <v>2129</v>
      </c>
      <c r="E59" t="s">
        <v>3518</v>
      </c>
      <c r="G59" t="s">
        <v>2126</v>
      </c>
      <c r="H59" t="s">
        <v>2125</v>
      </c>
      <c r="J59" t="str">
        <f>IFERROR(RIGHT(B59,LEN(B59)-3),"")</f>
        <v>Garrett</v>
      </c>
    </row>
    <row r="60" spans="1:10" x14ac:dyDescent="0.3">
      <c r="A60"/>
      <c r="B60" t="s">
        <v>2108</v>
      </c>
      <c r="C60" t="s">
        <v>3204</v>
      </c>
      <c r="D60" t="s">
        <v>3291</v>
      </c>
      <c r="E60" t="s">
        <v>2073</v>
      </c>
      <c r="G60" t="s">
        <v>3303</v>
      </c>
      <c r="H60" t="s">
        <v>2108</v>
      </c>
    </row>
    <row r="61" spans="1:10" x14ac:dyDescent="0.3">
      <c r="A61"/>
      <c r="B61" t="s">
        <v>3517</v>
      </c>
      <c r="C61" t="s">
        <v>3297</v>
      </c>
      <c r="D61" t="s">
        <v>3209</v>
      </c>
      <c r="E61" t="s">
        <v>3519</v>
      </c>
      <c r="G61" t="s">
        <v>3109</v>
      </c>
      <c r="H61" t="s">
        <v>3517</v>
      </c>
    </row>
    <row r="62" spans="1:10" x14ac:dyDescent="0.3">
      <c r="A62" t="s">
        <v>38</v>
      </c>
      <c r="B62" t="s">
        <v>1521</v>
      </c>
      <c r="C62" t="s">
        <v>1521</v>
      </c>
      <c r="D62" t="s">
        <v>1521</v>
      </c>
      <c r="E62" t="s">
        <v>1521</v>
      </c>
      <c r="G62" t="s">
        <v>1043</v>
      </c>
      <c r="H62" t="s">
        <v>1043</v>
      </c>
    </row>
    <row r="63" spans="1:10" x14ac:dyDescent="0.3">
      <c r="A63" s="1" t="s">
        <v>1503</v>
      </c>
      <c r="B63" s="262" t="s">
        <v>2133</v>
      </c>
      <c r="C63" s="1" t="s">
        <v>2130</v>
      </c>
      <c r="D63" t="s">
        <v>2131</v>
      </c>
      <c r="E63" t="s">
        <v>2132</v>
      </c>
      <c r="G63" t="s">
        <v>3522</v>
      </c>
      <c r="H63" t="s">
        <v>3047</v>
      </c>
      <c r="J63" t="str">
        <f>IFERROR(RIGHT(B63,LEN(B63)-3),"")</f>
        <v>Lauer</v>
      </c>
    </row>
    <row r="64" spans="1:10" x14ac:dyDescent="0.3">
      <c r="A64"/>
      <c r="B64" t="s">
        <v>3490</v>
      </c>
      <c r="C64" t="s">
        <v>3460</v>
      </c>
      <c r="D64" t="s">
        <v>3478</v>
      </c>
      <c r="E64" t="s">
        <v>3040</v>
      </c>
      <c r="G64" t="s">
        <v>2071</v>
      </c>
    </row>
    <row r="65" spans="1:10" x14ac:dyDescent="0.3">
      <c r="A65"/>
      <c r="B65" t="s">
        <v>3520</v>
      </c>
      <c r="C65" t="s">
        <v>3115</v>
      </c>
      <c r="D65" t="s">
        <v>2195</v>
      </c>
      <c r="E65" t="s">
        <v>3521</v>
      </c>
      <c r="G65" t="s">
        <v>3523</v>
      </c>
    </row>
    <row r="66" spans="1:10" x14ac:dyDescent="0.3">
      <c r="A66" t="s">
        <v>40</v>
      </c>
      <c r="B66"/>
      <c r="C66" t="s">
        <v>234</v>
      </c>
      <c r="D66" t="s">
        <v>234</v>
      </c>
      <c r="E66" t="s">
        <v>234</v>
      </c>
      <c r="F66" t="s">
        <v>1014</v>
      </c>
      <c r="G66" t="s">
        <v>1014</v>
      </c>
      <c r="H66" t="s">
        <v>1014</v>
      </c>
    </row>
    <row r="67" spans="1:10" x14ac:dyDescent="0.3">
      <c r="A67" s="1" t="s">
        <v>1505</v>
      </c>
      <c r="B67" s="262"/>
      <c r="C67" s="1" t="s">
        <v>3217</v>
      </c>
      <c r="D67" t="s">
        <v>2134</v>
      </c>
      <c r="E67" t="s">
        <v>3218</v>
      </c>
      <c r="F67" t="s">
        <v>2135</v>
      </c>
      <c r="G67" t="s">
        <v>2136</v>
      </c>
      <c r="H67" t="s">
        <v>3217</v>
      </c>
      <c r="J67" t="str">
        <f>IFERROR(RIGHT(B67,LEN(B67)-3),"")</f>
        <v/>
      </c>
    </row>
    <row r="68" spans="1:10" x14ac:dyDescent="0.3">
      <c r="A68"/>
      <c r="B68"/>
      <c r="C68" t="s">
        <v>2077</v>
      </c>
      <c r="D68" t="s">
        <v>3143</v>
      </c>
      <c r="E68" t="s">
        <v>2999</v>
      </c>
      <c r="F68" t="s">
        <v>3001</v>
      </c>
      <c r="G68" t="s">
        <v>3524</v>
      </c>
      <c r="H68" t="s">
        <v>2077</v>
      </c>
    </row>
    <row r="69" spans="1:10" x14ac:dyDescent="0.3">
      <c r="A69"/>
      <c r="B69"/>
      <c r="C69" t="s">
        <v>3231</v>
      </c>
      <c r="D69" t="s">
        <v>2168</v>
      </c>
      <c r="E69" t="s">
        <v>2162</v>
      </c>
      <c r="F69" t="s">
        <v>3002</v>
      </c>
      <c r="G69" t="s">
        <v>3216</v>
      </c>
      <c r="H69" t="s">
        <v>3231</v>
      </c>
    </row>
    <row r="70" spans="1:10" x14ac:dyDescent="0.3">
      <c r="A70" t="s">
        <v>2137</v>
      </c>
      <c r="B70" t="s">
        <v>1008</v>
      </c>
      <c r="C70" t="s">
        <v>1031</v>
      </c>
      <c r="D70" t="s">
        <v>1031</v>
      </c>
      <c r="E70" t="s">
        <v>1031</v>
      </c>
      <c r="G70" t="s">
        <v>311</v>
      </c>
      <c r="H70" t="s">
        <v>311</v>
      </c>
    </row>
    <row r="71" spans="1:10" x14ac:dyDescent="0.3">
      <c r="A71" s="1" t="s">
        <v>1498</v>
      </c>
      <c r="B71" s="262" t="s">
        <v>3525</v>
      </c>
      <c r="C71" s="1" t="s">
        <v>3141</v>
      </c>
      <c r="D71" t="s">
        <v>3221</v>
      </c>
      <c r="E71" t="s">
        <v>2138</v>
      </c>
      <c r="G71" t="s">
        <v>3047</v>
      </c>
      <c r="H71" t="s">
        <v>3525</v>
      </c>
      <c r="J71" t="str">
        <f>IFERROR(RIGHT(B71,LEN(B71)-3),"")</f>
        <v>Carrasco</v>
      </c>
    </row>
    <row r="72" spans="1:10" x14ac:dyDescent="0.3">
      <c r="A72"/>
      <c r="B72" t="s">
        <v>2076</v>
      </c>
      <c r="C72" t="s">
        <v>3090</v>
      </c>
      <c r="D72" t="s">
        <v>3035</v>
      </c>
      <c r="E72" t="s">
        <v>3460</v>
      </c>
      <c r="H72" t="s">
        <v>2076</v>
      </c>
    </row>
    <row r="73" spans="1:10" x14ac:dyDescent="0.3">
      <c r="A73"/>
      <c r="B73" t="s">
        <v>3136</v>
      </c>
      <c r="C73" t="s">
        <v>2074</v>
      </c>
      <c r="D73" t="s">
        <v>3146</v>
      </c>
      <c r="E73" t="s">
        <v>3000</v>
      </c>
      <c r="H73" t="s">
        <v>3136</v>
      </c>
    </row>
    <row r="74" spans="1:10" x14ac:dyDescent="0.3">
      <c r="A74" t="s">
        <v>2137</v>
      </c>
      <c r="B74" t="s">
        <v>278</v>
      </c>
      <c r="C74" t="s">
        <v>1523</v>
      </c>
      <c r="D74" t="s">
        <v>1523</v>
      </c>
      <c r="E74" t="s">
        <v>1523</v>
      </c>
      <c r="F74" t="s">
        <v>1015</v>
      </c>
      <c r="G74" t="s">
        <v>1015</v>
      </c>
      <c r="H74" t="s">
        <v>1015</v>
      </c>
    </row>
    <row r="75" spans="1:10" x14ac:dyDescent="0.3">
      <c r="A75" s="1" t="s">
        <v>1492</v>
      </c>
      <c r="B75" s="262" t="s">
        <v>2143</v>
      </c>
      <c r="C75" s="1" t="s">
        <v>3526</v>
      </c>
      <c r="D75" t="s">
        <v>3047</v>
      </c>
      <c r="E75" t="s">
        <v>2141</v>
      </c>
      <c r="F75" t="s">
        <v>2140</v>
      </c>
      <c r="G75" t="s">
        <v>2143</v>
      </c>
      <c r="H75" t="s">
        <v>2143</v>
      </c>
      <c r="J75" t="str">
        <f>IFERROR(RIGHT(B75,LEN(B75)-3),"")</f>
        <v>Schmidt</v>
      </c>
    </row>
    <row r="76" spans="1:10" x14ac:dyDescent="0.3">
      <c r="A76"/>
      <c r="B76" t="s">
        <v>3226</v>
      </c>
      <c r="C76" t="s">
        <v>2079</v>
      </c>
      <c r="E76" t="s">
        <v>3219</v>
      </c>
      <c r="F76" t="s">
        <v>3143</v>
      </c>
      <c r="G76" t="s">
        <v>3226</v>
      </c>
      <c r="H76" t="s">
        <v>3226</v>
      </c>
    </row>
    <row r="77" spans="1:10" x14ac:dyDescent="0.3">
      <c r="A77"/>
      <c r="B77" t="s">
        <v>3208</v>
      </c>
      <c r="C77" t="s">
        <v>3302</v>
      </c>
      <c r="E77" t="s">
        <v>3307</v>
      </c>
      <c r="F77" t="s">
        <v>3203</v>
      </c>
      <c r="G77" t="s">
        <v>3208</v>
      </c>
      <c r="H77" t="s">
        <v>3208</v>
      </c>
    </row>
    <row r="78" spans="1:10" x14ac:dyDescent="0.3">
      <c r="A78" t="s">
        <v>62</v>
      </c>
      <c r="B78" t="s">
        <v>1015</v>
      </c>
      <c r="C78" t="s">
        <v>224</v>
      </c>
      <c r="D78" t="s">
        <v>224</v>
      </c>
      <c r="E78" t="s">
        <v>224</v>
      </c>
      <c r="F78" t="s">
        <v>250</v>
      </c>
      <c r="G78" t="s">
        <v>250</v>
      </c>
      <c r="H78" t="s">
        <v>250</v>
      </c>
    </row>
    <row r="79" spans="1:10" x14ac:dyDescent="0.3">
      <c r="A79" s="1" t="s">
        <v>1519</v>
      </c>
      <c r="B79" s="262" t="s">
        <v>2144</v>
      </c>
      <c r="C79" s="1" t="s">
        <v>3527</v>
      </c>
      <c r="D79" t="s">
        <v>2145</v>
      </c>
      <c r="E79" t="s">
        <v>3530</v>
      </c>
      <c r="F79" t="s">
        <v>2146</v>
      </c>
      <c r="G79" t="s">
        <v>2144</v>
      </c>
      <c r="H79" t="s">
        <v>3047</v>
      </c>
      <c r="J79" t="str">
        <f>IFERROR(RIGHT(B79,LEN(B79)-3),"")</f>
        <v>Sears</v>
      </c>
    </row>
    <row r="80" spans="1:10" x14ac:dyDescent="0.3">
      <c r="A80"/>
      <c r="B80" t="s">
        <v>2091</v>
      </c>
      <c r="C80" t="s">
        <v>3006</v>
      </c>
      <c r="D80" t="s">
        <v>3114</v>
      </c>
      <c r="E80" t="s">
        <v>2091</v>
      </c>
      <c r="F80" t="s">
        <v>3114</v>
      </c>
      <c r="G80" t="s">
        <v>2091</v>
      </c>
    </row>
    <row r="81" spans="1:10" x14ac:dyDescent="0.3">
      <c r="A81"/>
      <c r="B81" t="s">
        <v>3225</v>
      </c>
      <c r="C81" t="s">
        <v>3528</v>
      </c>
      <c r="D81" t="s">
        <v>3529</v>
      </c>
      <c r="E81" t="s">
        <v>3531</v>
      </c>
      <c r="F81" t="s">
        <v>3532</v>
      </c>
      <c r="G81" t="s">
        <v>3225</v>
      </c>
    </row>
    <row r="82" spans="1:10" x14ac:dyDescent="0.3">
      <c r="A82" t="s">
        <v>63</v>
      </c>
      <c r="B82" t="s">
        <v>1030</v>
      </c>
      <c r="C82" t="s">
        <v>1030</v>
      </c>
      <c r="D82" t="s">
        <v>1030</v>
      </c>
      <c r="E82" t="s">
        <v>1030</v>
      </c>
      <c r="G82" t="s">
        <v>1029</v>
      </c>
      <c r="H82" t="s">
        <v>1029</v>
      </c>
    </row>
    <row r="83" spans="1:10" x14ac:dyDescent="0.3">
      <c r="A83" s="1" t="s">
        <v>1501</v>
      </c>
      <c r="B83" s="262" t="s">
        <v>2147</v>
      </c>
      <c r="C83" s="1" t="s">
        <v>2150</v>
      </c>
      <c r="D83" t="s">
        <v>2148</v>
      </c>
      <c r="E83" t="s">
        <v>3533</v>
      </c>
      <c r="G83" t="s">
        <v>3534</v>
      </c>
      <c r="H83" t="s">
        <v>2147</v>
      </c>
      <c r="J83" t="str">
        <f>IFERROR(RIGHT(B83,LEN(B83)-3),"")</f>
        <v>Nola</v>
      </c>
    </row>
    <row r="84" spans="1:10" x14ac:dyDescent="0.3">
      <c r="A84"/>
      <c r="B84" t="s">
        <v>3215</v>
      </c>
      <c r="C84" t="s">
        <v>3090</v>
      </c>
      <c r="D84" t="s">
        <v>3291</v>
      </c>
      <c r="E84" t="s">
        <v>3215</v>
      </c>
      <c r="G84" t="s">
        <v>2090</v>
      </c>
      <c r="H84" t="s">
        <v>3215</v>
      </c>
    </row>
    <row r="85" spans="1:10" x14ac:dyDescent="0.3">
      <c r="A85"/>
      <c r="B85" t="s">
        <v>2121</v>
      </c>
      <c r="C85" t="s">
        <v>3140</v>
      </c>
      <c r="D85" t="s">
        <v>3287</v>
      </c>
      <c r="E85" t="s">
        <v>3032</v>
      </c>
      <c r="G85" t="s">
        <v>2192</v>
      </c>
      <c r="H85" t="s">
        <v>2121</v>
      </c>
    </row>
    <row r="86" spans="1:10" x14ac:dyDescent="0.3">
      <c r="A86" t="s">
        <v>41</v>
      </c>
      <c r="B86"/>
      <c r="C86" t="s">
        <v>1015</v>
      </c>
      <c r="D86" t="s">
        <v>1015</v>
      </c>
      <c r="E86" t="s">
        <v>1015</v>
      </c>
      <c r="F86" t="s">
        <v>2139</v>
      </c>
      <c r="G86" t="s">
        <v>2139</v>
      </c>
      <c r="H86" t="s">
        <v>2139</v>
      </c>
    </row>
    <row r="87" spans="1:10" x14ac:dyDescent="0.3">
      <c r="A87" s="1" t="s">
        <v>1515</v>
      </c>
      <c r="B87" s="262"/>
      <c r="C87" s="1" t="s">
        <v>2152</v>
      </c>
      <c r="D87" t="s">
        <v>2151</v>
      </c>
      <c r="E87" t="s">
        <v>3300</v>
      </c>
      <c r="F87" t="s">
        <v>2153</v>
      </c>
      <c r="G87" t="s">
        <v>2154</v>
      </c>
      <c r="H87" t="s">
        <v>2152</v>
      </c>
      <c r="J87" t="str">
        <f>IFERROR(RIGHT(B87,LEN(B87)-3),"")</f>
        <v/>
      </c>
    </row>
    <row r="88" spans="1:10" x14ac:dyDescent="0.3">
      <c r="A88"/>
      <c r="B88"/>
      <c r="C88" t="s">
        <v>3214</v>
      </c>
      <c r="D88" t="s">
        <v>3291</v>
      </c>
      <c r="E88" t="s">
        <v>2108</v>
      </c>
      <c r="F88" t="s">
        <v>3478</v>
      </c>
      <c r="G88" t="s">
        <v>3291</v>
      </c>
      <c r="H88" t="s">
        <v>3214</v>
      </c>
    </row>
    <row r="89" spans="1:10" x14ac:dyDescent="0.3">
      <c r="A89"/>
      <c r="B89"/>
      <c r="C89" t="s">
        <v>3535</v>
      </c>
      <c r="D89" t="s">
        <v>3306</v>
      </c>
      <c r="E89" t="s">
        <v>3536</v>
      </c>
      <c r="F89" t="s">
        <v>3537</v>
      </c>
      <c r="G89" t="s">
        <v>3538</v>
      </c>
      <c r="H89" t="s">
        <v>3535</v>
      </c>
    </row>
    <row r="90" spans="1:10" x14ac:dyDescent="0.3">
      <c r="A90" t="s">
        <v>49</v>
      </c>
      <c r="B90" t="s">
        <v>3092</v>
      </c>
      <c r="C90" t="s">
        <v>1012</v>
      </c>
      <c r="D90" t="s">
        <v>1012</v>
      </c>
      <c r="E90" t="s">
        <v>1012</v>
      </c>
      <c r="G90" t="s">
        <v>1009</v>
      </c>
      <c r="H90" t="s">
        <v>1009</v>
      </c>
    </row>
    <row r="91" spans="1:10" x14ac:dyDescent="0.3">
      <c r="A91" s="1" t="s">
        <v>1494</v>
      </c>
      <c r="B91" s="262" t="s">
        <v>2157</v>
      </c>
      <c r="C91" s="1" t="s">
        <v>3142</v>
      </c>
      <c r="D91" t="s">
        <v>2158</v>
      </c>
      <c r="E91" t="s">
        <v>2155</v>
      </c>
      <c r="G91" t="s">
        <v>3541</v>
      </c>
      <c r="H91" t="s">
        <v>2157</v>
      </c>
      <c r="J91" t="str">
        <f>IFERROR(RIGHT(B91,LEN(B91)-3),"")</f>
        <v>Snell</v>
      </c>
    </row>
    <row r="92" spans="1:10" x14ac:dyDescent="0.3">
      <c r="A92"/>
      <c r="B92" t="s">
        <v>3539</v>
      </c>
      <c r="C92" t="s">
        <v>2108</v>
      </c>
      <c r="D92" t="s">
        <v>3214</v>
      </c>
      <c r="E92" t="s">
        <v>3204</v>
      </c>
      <c r="G92" t="s">
        <v>3040</v>
      </c>
      <c r="H92" t="s">
        <v>3539</v>
      </c>
    </row>
    <row r="93" spans="1:10" x14ac:dyDescent="0.3">
      <c r="A93"/>
      <c r="B93" t="s">
        <v>2112</v>
      </c>
      <c r="C93" t="s">
        <v>2176</v>
      </c>
      <c r="D93" t="s">
        <v>3540</v>
      </c>
      <c r="E93" t="s">
        <v>3222</v>
      </c>
      <c r="G93" t="s">
        <v>3293</v>
      </c>
      <c r="H93" t="s">
        <v>2112</v>
      </c>
    </row>
    <row r="94" spans="1:10" x14ac:dyDescent="0.3">
      <c r="A94" t="s">
        <v>2159</v>
      </c>
      <c r="B94" t="s">
        <v>1022</v>
      </c>
      <c r="C94" t="s">
        <v>1022</v>
      </c>
      <c r="D94" t="s">
        <v>1022</v>
      </c>
      <c r="E94" t="s">
        <v>1022</v>
      </c>
      <c r="F94" t="s">
        <v>231</v>
      </c>
      <c r="G94" t="s">
        <v>231</v>
      </c>
      <c r="H94" t="s">
        <v>231</v>
      </c>
    </row>
    <row r="95" spans="1:10" x14ac:dyDescent="0.3">
      <c r="A95" s="1" t="s">
        <v>1507</v>
      </c>
      <c r="B95" s="262" t="s">
        <v>3542</v>
      </c>
      <c r="C95" s="1" t="s">
        <v>3544</v>
      </c>
      <c r="D95" t="s">
        <v>2160</v>
      </c>
      <c r="E95" t="s">
        <v>2161</v>
      </c>
      <c r="F95" t="s">
        <v>3005</v>
      </c>
      <c r="G95" t="s">
        <v>2160</v>
      </c>
      <c r="H95" t="s">
        <v>3544</v>
      </c>
      <c r="J95" t="str">
        <f>IFERROR(RIGHT(B95,LEN(B95)-3),"")</f>
        <v>Alexander</v>
      </c>
    </row>
    <row r="96" spans="1:10" x14ac:dyDescent="0.3">
      <c r="A96"/>
      <c r="B96" t="s">
        <v>3001</v>
      </c>
      <c r="C96" t="s">
        <v>2079</v>
      </c>
      <c r="D96" t="s">
        <v>3479</v>
      </c>
      <c r="E96" t="s">
        <v>3111</v>
      </c>
      <c r="F96" t="s">
        <v>3291</v>
      </c>
      <c r="G96" t="s">
        <v>3479</v>
      </c>
      <c r="H96" t="s">
        <v>2079</v>
      </c>
    </row>
    <row r="97" spans="1:10" x14ac:dyDescent="0.3">
      <c r="A97"/>
      <c r="B97" t="s">
        <v>3543</v>
      </c>
      <c r="C97" t="s">
        <v>3299</v>
      </c>
      <c r="D97" t="s">
        <v>3048</v>
      </c>
      <c r="E97" t="s">
        <v>2164</v>
      </c>
      <c r="F97" t="s">
        <v>3545</v>
      </c>
      <c r="G97" t="s">
        <v>3048</v>
      </c>
      <c r="H97" t="s">
        <v>3299</v>
      </c>
    </row>
    <row r="98" spans="1:10" x14ac:dyDescent="0.3">
      <c r="A98" t="s">
        <v>57</v>
      </c>
      <c r="B98" t="s">
        <v>325</v>
      </c>
      <c r="C98" t="s">
        <v>231</v>
      </c>
      <c r="D98" t="s">
        <v>231</v>
      </c>
      <c r="E98" t="s">
        <v>231</v>
      </c>
      <c r="F98" t="s">
        <v>222</v>
      </c>
      <c r="G98" t="s">
        <v>222</v>
      </c>
      <c r="H98" t="s">
        <v>222</v>
      </c>
    </row>
    <row r="99" spans="1:10" x14ac:dyDescent="0.3">
      <c r="A99" s="1" t="s">
        <v>1502</v>
      </c>
      <c r="B99" s="262" t="s">
        <v>2167</v>
      </c>
      <c r="C99" s="1" t="s">
        <v>2163</v>
      </c>
      <c r="D99" t="s">
        <v>2165</v>
      </c>
      <c r="E99" t="s">
        <v>2169</v>
      </c>
      <c r="F99" t="s">
        <v>3305</v>
      </c>
      <c r="G99" t="s">
        <v>2167</v>
      </c>
      <c r="H99" t="s">
        <v>2163</v>
      </c>
      <c r="J99" t="str">
        <f>IFERROR(RIGHT(B99,LEN(B99)-3),"")</f>
        <v>Gilbert</v>
      </c>
    </row>
    <row r="100" spans="1:10" x14ac:dyDescent="0.3">
      <c r="A100"/>
      <c r="B100" t="s">
        <v>3035</v>
      </c>
      <c r="C100" t="s">
        <v>3460</v>
      </c>
      <c r="D100" t="s">
        <v>3090</v>
      </c>
      <c r="E100" t="s">
        <v>3111</v>
      </c>
      <c r="F100" t="s">
        <v>2999</v>
      </c>
      <c r="G100" t="s">
        <v>3035</v>
      </c>
      <c r="H100" t="s">
        <v>3460</v>
      </c>
    </row>
    <row r="101" spans="1:10" x14ac:dyDescent="0.3">
      <c r="A101"/>
      <c r="B101" t="s">
        <v>3113</v>
      </c>
      <c r="C101" t="s">
        <v>3546</v>
      </c>
      <c r="D101" t="s">
        <v>2166</v>
      </c>
      <c r="E101" t="s">
        <v>3547</v>
      </c>
      <c r="F101" t="s">
        <v>3548</v>
      </c>
      <c r="G101" t="s">
        <v>3113</v>
      </c>
      <c r="H101" t="s">
        <v>3546</v>
      </c>
    </row>
    <row r="102" spans="1:10" x14ac:dyDescent="0.3">
      <c r="A102" t="s">
        <v>61</v>
      </c>
      <c r="B102" t="s">
        <v>1011</v>
      </c>
      <c r="C102" t="s">
        <v>1037</v>
      </c>
      <c r="D102" t="s">
        <v>1037</v>
      </c>
      <c r="E102" t="s">
        <v>1037</v>
      </c>
      <c r="F102" t="s">
        <v>1520</v>
      </c>
      <c r="G102" t="s">
        <v>1520</v>
      </c>
    </row>
    <row r="103" spans="1:10" x14ac:dyDescent="0.3">
      <c r="A103" s="1" t="s">
        <v>1500</v>
      </c>
      <c r="B103" s="262" t="s">
        <v>2170</v>
      </c>
      <c r="C103" s="1" t="s">
        <v>3549</v>
      </c>
      <c r="D103" t="s">
        <v>2171</v>
      </c>
      <c r="E103" t="s">
        <v>2172</v>
      </c>
      <c r="F103" t="s">
        <v>3144</v>
      </c>
      <c r="G103" t="s">
        <v>2170</v>
      </c>
      <c r="J103" t="str">
        <f>IFERROR(RIGHT(B103,LEN(B103)-3),"")</f>
        <v>Mikolas</v>
      </c>
    </row>
    <row r="104" spans="1:10" x14ac:dyDescent="0.3">
      <c r="A104"/>
      <c r="B104" t="s">
        <v>2083</v>
      </c>
      <c r="C104" t="s">
        <v>2071</v>
      </c>
      <c r="D104" t="s">
        <v>3291</v>
      </c>
      <c r="E104" t="s">
        <v>3551</v>
      </c>
      <c r="F104" t="s">
        <v>2077</v>
      </c>
      <c r="G104" t="s">
        <v>2083</v>
      </c>
    </row>
    <row r="105" spans="1:10" x14ac:dyDescent="0.3">
      <c r="A105"/>
      <c r="B105" t="s">
        <v>3036</v>
      </c>
      <c r="C105" t="s">
        <v>3550</v>
      </c>
      <c r="D105" t="s">
        <v>3049</v>
      </c>
      <c r="E105" t="s">
        <v>2100</v>
      </c>
      <c r="F105" t="s">
        <v>3089</v>
      </c>
      <c r="G105" t="s">
        <v>3036</v>
      </c>
    </row>
    <row r="106" spans="1:10" x14ac:dyDescent="0.3">
      <c r="A106" t="s">
        <v>37</v>
      </c>
      <c r="B106" t="s">
        <v>234</v>
      </c>
      <c r="C106" t="s">
        <v>226</v>
      </c>
      <c r="D106" t="s">
        <v>226</v>
      </c>
      <c r="E106" t="s">
        <v>226</v>
      </c>
      <c r="F106" t="s">
        <v>1008</v>
      </c>
      <c r="G106" t="s">
        <v>1008</v>
      </c>
      <c r="H106" t="s">
        <v>1008</v>
      </c>
    </row>
    <row r="107" spans="1:10" x14ac:dyDescent="0.3">
      <c r="A107" s="1" t="s">
        <v>1499</v>
      </c>
      <c r="B107" s="262" t="s">
        <v>2996</v>
      </c>
      <c r="C107" s="1" t="s">
        <v>3552</v>
      </c>
      <c r="D107" t="s">
        <v>3228</v>
      </c>
      <c r="E107" t="s">
        <v>3553</v>
      </c>
      <c r="F107" t="s">
        <v>2173</v>
      </c>
      <c r="G107" t="s">
        <v>2996</v>
      </c>
      <c r="H107" t="s">
        <v>3047</v>
      </c>
      <c r="J107" t="str">
        <f>IFERROR(RIGHT(B107,LEN(B107)-3),"")</f>
        <v>Eflin</v>
      </c>
    </row>
    <row r="108" spans="1:10" x14ac:dyDescent="0.3">
      <c r="A108"/>
      <c r="B108" t="s">
        <v>3476</v>
      </c>
      <c r="C108" t="s">
        <v>2079</v>
      </c>
      <c r="D108" t="s">
        <v>2071</v>
      </c>
      <c r="E108" t="s">
        <v>2999</v>
      </c>
      <c r="F108" t="s">
        <v>3555</v>
      </c>
      <c r="G108" t="s">
        <v>3476</v>
      </c>
    </row>
    <row r="109" spans="1:10" x14ac:dyDescent="0.3">
      <c r="A109"/>
      <c r="B109" t="s">
        <v>2181</v>
      </c>
      <c r="C109" t="s">
        <v>2156</v>
      </c>
      <c r="D109" t="s">
        <v>3134</v>
      </c>
      <c r="E109" t="s">
        <v>3554</v>
      </c>
      <c r="F109" t="s">
        <v>2178</v>
      </c>
      <c r="G109" t="s">
        <v>2181</v>
      </c>
    </row>
    <row r="110" spans="1:10" x14ac:dyDescent="0.3">
      <c r="A110" t="s">
        <v>45</v>
      </c>
      <c r="B110"/>
      <c r="C110" t="s">
        <v>1034</v>
      </c>
      <c r="D110" t="s">
        <v>1034</v>
      </c>
      <c r="E110" t="s">
        <v>1034</v>
      </c>
      <c r="F110" t="s">
        <v>1032</v>
      </c>
      <c r="G110" t="s">
        <v>1032</v>
      </c>
      <c r="H110" t="s">
        <v>1032</v>
      </c>
    </row>
    <row r="111" spans="1:10" x14ac:dyDescent="0.3">
      <c r="A111" s="1" t="s">
        <v>1481</v>
      </c>
      <c r="B111" s="262"/>
      <c r="C111" s="1" t="s">
        <v>2175</v>
      </c>
      <c r="D111" t="s">
        <v>2177</v>
      </c>
      <c r="E111" t="s">
        <v>3229</v>
      </c>
      <c r="F111" t="s">
        <v>2179</v>
      </c>
      <c r="G111" t="s">
        <v>2180</v>
      </c>
      <c r="H111" t="s">
        <v>2175</v>
      </c>
      <c r="J111" t="str">
        <f>IFERROR(RIGHT(B111,LEN(B111)-3),"")</f>
        <v/>
      </c>
    </row>
    <row r="112" spans="1:10" x14ac:dyDescent="0.3">
      <c r="A112"/>
      <c r="B112"/>
      <c r="C112" t="s">
        <v>3111</v>
      </c>
      <c r="D112" t="s">
        <v>3204</v>
      </c>
      <c r="E112" t="s">
        <v>3001</v>
      </c>
      <c r="F112" t="s">
        <v>3462</v>
      </c>
      <c r="G112" t="s">
        <v>3476</v>
      </c>
      <c r="H112" t="s">
        <v>3111</v>
      </c>
    </row>
    <row r="113" spans="1:10" x14ac:dyDescent="0.3">
      <c r="A113"/>
      <c r="B113"/>
      <c r="C113" t="s">
        <v>3043</v>
      </c>
      <c r="D113" t="s">
        <v>3138</v>
      </c>
      <c r="E113" t="s">
        <v>3556</v>
      </c>
      <c r="F113" t="s">
        <v>3557</v>
      </c>
      <c r="G113" t="s">
        <v>3007</v>
      </c>
      <c r="H113" t="s">
        <v>3043</v>
      </c>
    </row>
    <row r="114" spans="1:10" x14ac:dyDescent="0.3">
      <c r="A114" t="s">
        <v>47</v>
      </c>
      <c r="B114" t="s">
        <v>3510</v>
      </c>
      <c r="C114" t="s">
        <v>1033</v>
      </c>
      <c r="D114" t="s">
        <v>1033</v>
      </c>
      <c r="E114" t="s">
        <v>1033</v>
      </c>
      <c r="G114" t="s">
        <v>239</v>
      </c>
      <c r="H114" t="s">
        <v>239</v>
      </c>
    </row>
    <row r="115" spans="1:10" x14ac:dyDescent="0.3">
      <c r="A115" s="1" t="s">
        <v>1542</v>
      </c>
      <c r="B115" s="262" t="s">
        <v>2183</v>
      </c>
      <c r="C115" s="1" t="s">
        <v>2184</v>
      </c>
      <c r="D115" t="s">
        <v>2185</v>
      </c>
      <c r="E115" t="s">
        <v>2186</v>
      </c>
      <c r="G115" t="s">
        <v>2182</v>
      </c>
      <c r="H115" t="s">
        <v>2183</v>
      </c>
      <c r="J115" t="str">
        <f>IFERROR(RIGHT(B115,LEN(B115)-3),"")</f>
        <v>Manoah</v>
      </c>
    </row>
    <row r="116" spans="1:10" x14ac:dyDescent="0.3">
      <c r="A116"/>
      <c r="B116" t="s">
        <v>3114</v>
      </c>
      <c r="C116" t="s">
        <v>3143</v>
      </c>
      <c r="D116" t="s">
        <v>3460</v>
      </c>
      <c r="E116" t="s">
        <v>3478</v>
      </c>
      <c r="G116" t="s">
        <v>3296</v>
      </c>
      <c r="H116" t="s">
        <v>3114</v>
      </c>
    </row>
    <row r="117" spans="1:10" x14ac:dyDescent="0.3">
      <c r="A117"/>
      <c r="B117" t="s">
        <v>2098</v>
      </c>
      <c r="C117" t="s">
        <v>2081</v>
      </c>
      <c r="D117" t="s">
        <v>2196</v>
      </c>
      <c r="E117" t="s">
        <v>3137</v>
      </c>
      <c r="G117" t="s">
        <v>3133</v>
      </c>
      <c r="H117" t="s">
        <v>2098</v>
      </c>
    </row>
    <row r="118" spans="1:10" x14ac:dyDescent="0.3">
      <c r="A118" t="s">
        <v>66</v>
      </c>
      <c r="B118" t="s">
        <v>1523</v>
      </c>
      <c r="C118" t="s">
        <v>3205</v>
      </c>
      <c r="D118" t="s">
        <v>3205</v>
      </c>
      <c r="E118" t="s">
        <v>3205</v>
      </c>
      <c r="F118" t="s">
        <v>1007</v>
      </c>
      <c r="G118" t="s">
        <v>1007</v>
      </c>
      <c r="H118" t="s">
        <v>1007</v>
      </c>
    </row>
    <row r="119" spans="1:10" x14ac:dyDescent="0.3">
      <c r="A119" s="1" t="s">
        <v>1517</v>
      </c>
      <c r="B119" s="262" t="s">
        <v>3230</v>
      </c>
      <c r="C119" s="1" t="s">
        <v>2188</v>
      </c>
      <c r="D119" t="s">
        <v>2175</v>
      </c>
      <c r="E119" t="s">
        <v>2189</v>
      </c>
      <c r="F119" t="s">
        <v>2190</v>
      </c>
      <c r="G119" t="s">
        <v>3230</v>
      </c>
      <c r="H119" t="s">
        <v>2188</v>
      </c>
      <c r="J119" t="str">
        <f>IFERROR(RIGHT(B119,LEN(B119)-3),"")</f>
        <v>Irvin</v>
      </c>
    </row>
    <row r="120" spans="1:10" x14ac:dyDescent="0.3">
      <c r="A120"/>
      <c r="B120" t="s">
        <v>2108</v>
      </c>
      <c r="C120" t="s">
        <v>3479</v>
      </c>
      <c r="D120" t="s">
        <v>3490</v>
      </c>
      <c r="E120" t="s">
        <v>3204</v>
      </c>
      <c r="F120" t="s">
        <v>3035</v>
      </c>
      <c r="G120" t="s">
        <v>2108</v>
      </c>
      <c r="H120" t="s">
        <v>3479</v>
      </c>
    </row>
    <row r="121" spans="1:10" x14ac:dyDescent="0.3">
      <c r="A121"/>
      <c r="B121" t="s">
        <v>3558</v>
      </c>
      <c r="C121" t="s">
        <v>3559</v>
      </c>
      <c r="D121" t="s">
        <v>3145</v>
      </c>
      <c r="E121" t="s">
        <v>3560</v>
      </c>
      <c r="F121" t="s">
        <v>3108</v>
      </c>
      <c r="G121" t="s">
        <v>3558</v>
      </c>
      <c r="H121" t="s">
        <v>3559</v>
      </c>
    </row>
  </sheetData>
  <autoFilter ref="A1:H121" xr:uid="{CBEACAC8-E412-4630-88B5-BD30417CF193}">
    <sortState xmlns:xlrd2="http://schemas.microsoft.com/office/spreadsheetml/2017/richdata2" ref="A3:H119">
      <sortCondition ref="A1:A121"/>
    </sortState>
  </autoFilter>
  <conditionalFormatting sqref="A1:A1048576">
    <cfRule type="containsText" dxfId="139" priority="1" operator="containsText" text="Lineup">
      <formula>NOT(ISERROR(SEARCH("Lineup",A1)))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31" operator="containsText" id="{632DD4CD-4480-4155-938A-7547EEC5DC7E}">
            <xm:f>NOT(ISERROR(SEARCH($L$107,A1)))</xm:f>
            <xm:f>$L$107</xm:f>
            <x14:dxf>
              <font>
                <b/>
                <i/>
                <color theme="0"/>
              </font>
              <fill>
                <patternFill>
                  <bgColor theme="1"/>
                </patternFill>
              </fill>
            </x14:dxf>
          </x14:cfRule>
          <xm:sqref>A1:A1048576</xm:sqref>
        </x14:conditionalFormatting>
        <x14:conditionalFormatting xmlns:xm="http://schemas.microsoft.com/office/excel/2006/main">
          <x14:cfRule type="containsText" priority="29" operator="containsText" id="{8BCD1B16-9B1A-4D25-9473-A8B2BB6F82AE}">
            <xm:f>NOT(ISERROR(SEARCH($L$109,A1)))</xm:f>
            <xm:f>$L$109</xm:f>
            <x14:dxf>
              <font>
                <b/>
                <i/>
                <color theme="0"/>
              </font>
              <fill>
                <patternFill>
                  <bgColor theme="1"/>
                </patternFill>
              </fill>
            </x14:dxf>
          </x14:cfRule>
          <x14:cfRule type="containsText" priority="30" operator="containsText" id="{279DE986-712F-446A-87B0-CB51BEED2925}">
            <xm:f>NOT(ISERROR(SEARCH($L$108,A1)))</xm:f>
            <xm:f>$L$108</xm:f>
            <x14:dxf>
              <font>
                <color theme="0"/>
              </font>
              <fill>
                <patternFill>
                  <bgColor theme="1"/>
                </patternFill>
              </fill>
            </x14:dxf>
          </x14:cfRule>
          <xm:sqref>A1:A1048576</xm:sqref>
        </x14:conditionalFormatting>
        <x14:conditionalFormatting xmlns:xm="http://schemas.microsoft.com/office/excel/2006/main">
          <x14:cfRule type="containsText" priority="2" operator="containsText" id="{C3DB185E-9921-4884-8C68-891FD815B7AC}">
            <xm:f>NOT(ISERROR(SEARCH($L$136,A1)))</xm:f>
            <xm:f>$L$136</xm:f>
            <x14:dxf>
              <font>
                <b/>
                <i/>
                <color theme="0"/>
              </font>
              <fill>
                <patternFill>
                  <bgColor theme="1"/>
                </patternFill>
              </fill>
            </x14:dxf>
          </x14:cfRule>
          <x14:cfRule type="containsText" priority="3" operator="containsText" id="{B9F4A5B9-C15D-454C-A16F-1432906825B9}">
            <xm:f>NOT(ISERROR(SEARCH($L$135,A1)))</xm:f>
            <xm:f>$L$135</xm:f>
            <x14:dxf>
              <font>
                <b/>
                <i/>
                <color theme="0"/>
              </font>
              <fill>
                <patternFill>
                  <bgColor theme="1"/>
                </patternFill>
              </fill>
            </x14:dxf>
          </x14:cfRule>
          <x14:cfRule type="containsText" priority="4" operator="containsText" id="{704C48A6-2BA5-4B50-AC9C-A6337FAD651F}">
            <xm:f>NOT(ISERROR(SEARCH($L$134,A1)))</xm:f>
            <xm:f>$L$134</xm:f>
            <x14:dxf>
              <font>
                <b/>
                <i/>
                <color theme="0"/>
              </font>
              <fill>
                <patternFill>
                  <bgColor theme="1"/>
                </patternFill>
              </fill>
            </x14:dxf>
          </x14:cfRule>
          <x14:cfRule type="containsText" priority="5" operator="containsText" id="{502F859B-9586-4E48-8FA4-03C00BB9E2EE}">
            <xm:f>NOT(ISERROR(SEARCH($L$133,A1)))</xm:f>
            <xm:f>$L$133</xm:f>
            <x14:dxf>
              <font>
                <b/>
                <i/>
                <color theme="0"/>
              </font>
              <fill>
                <patternFill>
                  <bgColor theme="1"/>
                </patternFill>
              </fill>
            </x14:dxf>
          </x14:cfRule>
          <x14:cfRule type="containsText" priority="6" operator="containsText" id="{84059285-F247-4708-A766-092014DCCFE8}">
            <xm:f>NOT(ISERROR(SEARCH($L$132,A1)))</xm:f>
            <xm:f>$L$132</xm:f>
            <x14:dxf>
              <font>
                <b/>
                <i/>
                <color theme="0"/>
              </font>
              <fill>
                <patternFill>
                  <bgColor theme="1"/>
                </patternFill>
              </fill>
            </x14:dxf>
          </x14:cfRule>
          <x14:cfRule type="containsText" priority="7" operator="containsText" id="{51DA97A9-9B48-4F02-94A2-7CD7D43C4F5F}">
            <xm:f>NOT(ISERROR(SEARCH($L$131,A1)))</xm:f>
            <xm:f>$L$131</xm:f>
            <x14:dxf>
              <font>
                <b/>
                <i/>
                <color theme="0"/>
              </font>
              <fill>
                <patternFill>
                  <bgColor theme="1"/>
                </patternFill>
              </fill>
            </x14:dxf>
          </x14:cfRule>
          <x14:cfRule type="containsText" priority="8" operator="containsText" id="{D16F6268-3890-4147-A8DF-BADF5DC3A5DB}">
            <xm:f>NOT(ISERROR(SEARCH($L$130,A1)))</xm:f>
            <xm:f>$L$130</xm:f>
            <x14:dxf>
              <font>
                <b/>
                <i/>
                <color theme="0"/>
              </font>
              <fill>
                <patternFill>
                  <bgColor theme="1"/>
                </patternFill>
              </fill>
            </x14:dxf>
          </x14:cfRule>
          <x14:cfRule type="containsText" priority="9" operator="containsText" id="{66D55043-3E8C-4084-A234-144E1CBBBA75}">
            <xm:f>NOT(ISERROR(SEARCH($L$129,A1)))</xm:f>
            <xm:f>$L$129</xm:f>
            <x14:dxf>
              <font>
                <b/>
                <i/>
                <color theme="0"/>
              </font>
              <fill>
                <patternFill>
                  <bgColor theme="1"/>
                </patternFill>
              </fill>
            </x14:dxf>
          </x14:cfRule>
          <x14:cfRule type="containsText" priority="10" operator="containsText" id="{3F6FAC6B-0F77-49AB-8322-66108D3958D7}">
            <xm:f>NOT(ISERROR(SEARCH($L$128,A1)))</xm:f>
            <xm:f>$L$128</xm:f>
            <x14:dxf>
              <font>
                <b/>
                <i/>
                <color theme="0"/>
              </font>
              <fill>
                <patternFill>
                  <bgColor theme="1"/>
                </patternFill>
              </fill>
            </x14:dxf>
          </x14:cfRule>
          <x14:cfRule type="containsText" priority="11" operator="containsText" id="{85258CDA-2B86-44F0-9073-F53A856762D0}">
            <xm:f>NOT(ISERROR(SEARCH($L$127,A1)))</xm:f>
            <xm:f>$L$127</xm:f>
            <x14:dxf>
              <font>
                <b/>
                <i/>
                <color theme="0"/>
              </font>
              <fill>
                <patternFill>
                  <bgColor theme="1"/>
                </patternFill>
              </fill>
            </x14:dxf>
          </x14:cfRule>
          <x14:cfRule type="containsText" priority="12" operator="containsText" id="{B977307D-FBEC-4803-85B2-7F103FD2E76C}">
            <xm:f>NOT(ISERROR(SEARCH($L$126,A1)))</xm:f>
            <xm:f>$L$126</xm:f>
            <x14:dxf>
              <font>
                <b/>
                <i/>
                <color theme="0"/>
              </font>
              <fill>
                <patternFill>
                  <bgColor theme="1"/>
                </patternFill>
              </fill>
            </x14:dxf>
          </x14:cfRule>
          <x14:cfRule type="containsText" priority="13" operator="containsText" id="{7C1BDE02-E20D-417C-8939-B6CCDB402633}">
            <xm:f>NOT(ISERROR(SEARCH($L$125,A1)))</xm:f>
            <xm:f>$L$125</xm:f>
            <x14:dxf>
              <font>
                <b/>
                <i/>
                <color theme="0"/>
              </font>
              <fill>
                <patternFill>
                  <bgColor theme="1"/>
                </patternFill>
              </fill>
            </x14:dxf>
          </x14:cfRule>
          <x14:cfRule type="containsText" priority="14" operator="containsText" id="{E0E1DD3E-67EC-4C94-9A21-D6E78C4073BB}">
            <xm:f>NOT(ISERROR(SEARCH($L$124,A1)))</xm:f>
            <xm:f>$L$124</xm:f>
            <x14:dxf>
              <font>
                <b/>
                <i/>
                <color theme="0"/>
              </font>
              <fill>
                <patternFill>
                  <bgColor theme="1"/>
                </patternFill>
              </fill>
            </x14:dxf>
          </x14:cfRule>
          <x14:cfRule type="containsText" priority="15" operator="containsText" id="{323FCAA5-683E-4E0A-A0BB-EA829D8EE3C1}">
            <xm:f>NOT(ISERROR(SEARCH($L$123,A1)))</xm:f>
            <xm:f>$L$123</xm:f>
            <x14:dxf>
              <font>
                <b/>
                <i/>
                <color theme="0"/>
              </font>
              <fill>
                <patternFill>
                  <bgColor theme="1"/>
                </patternFill>
              </fill>
            </x14:dxf>
          </x14:cfRule>
          <x14:cfRule type="containsText" priority="16" operator="containsText" id="{9911B290-B285-480C-A390-9748BEC56229}">
            <xm:f>NOT(ISERROR(SEARCH($L$122,A1)))</xm:f>
            <xm:f>$L$122</xm:f>
            <x14:dxf>
              <font>
                <b/>
                <i/>
                <color theme="0"/>
              </font>
              <fill>
                <patternFill>
                  <bgColor theme="1"/>
                </patternFill>
              </fill>
            </x14:dxf>
          </x14:cfRule>
          <x14:cfRule type="containsText" priority="17" operator="containsText" id="{EFDF38CC-B627-45E2-AD82-82E82327E1A0}">
            <xm:f>NOT(ISERROR(SEARCH($L$121,A1)))</xm:f>
            <xm:f>$L$121</xm:f>
            <x14:dxf>
              <font>
                <b/>
                <i/>
                <color theme="0"/>
              </font>
              <fill>
                <patternFill>
                  <bgColor theme="1"/>
                </patternFill>
              </fill>
            </x14:dxf>
          </x14:cfRule>
          <x14:cfRule type="containsText" priority="18" operator="containsText" id="{5B9952DE-5F61-467B-BCC2-3E0DBE2BCCF2}">
            <xm:f>NOT(ISERROR(SEARCH($L$120,A1)))</xm:f>
            <xm:f>$L$120</xm:f>
            <x14:dxf>
              <font>
                <b/>
                <i/>
                <color theme="0"/>
              </font>
              <fill>
                <patternFill>
                  <bgColor theme="1"/>
                </patternFill>
              </fill>
            </x14:dxf>
          </x14:cfRule>
          <x14:cfRule type="containsText" priority="19" operator="containsText" id="{13595E7F-3A02-4995-9AF6-76903B2C5A85}">
            <xm:f>NOT(ISERROR(SEARCH($L$119,A1)))</xm:f>
            <xm:f>$L$119</xm:f>
            <x14:dxf>
              <font>
                <b/>
                <i/>
                <color theme="0"/>
              </font>
              <fill>
                <patternFill>
                  <bgColor theme="1"/>
                </patternFill>
              </fill>
            </x14:dxf>
          </x14:cfRule>
          <x14:cfRule type="containsText" priority="20" operator="containsText" id="{84299407-071A-4893-ADA1-C66A0AAF067F}">
            <xm:f>NOT(ISERROR(SEARCH($L$118,A1)))</xm:f>
            <xm:f>$L$118</xm:f>
            <x14:dxf>
              <font>
                <b/>
                <i/>
                <color theme="0"/>
              </font>
              <fill>
                <patternFill>
                  <bgColor theme="1"/>
                </patternFill>
              </fill>
            </x14:dxf>
          </x14:cfRule>
          <x14:cfRule type="containsText" priority="21" operator="containsText" id="{DA4369F9-2D5D-4F00-97BB-3E2328E765F3}">
            <xm:f>NOT(ISERROR(SEARCH($L$117,A1)))</xm:f>
            <xm:f>$L$117</xm:f>
            <x14:dxf>
              <font>
                <b/>
                <i/>
                <color theme="0"/>
              </font>
              <fill>
                <patternFill>
                  <bgColor theme="1"/>
                </patternFill>
              </fill>
            </x14:dxf>
          </x14:cfRule>
          <x14:cfRule type="containsText" priority="22" operator="containsText" id="{600BF84D-6BE4-4425-B470-272AD74C1F6D}">
            <xm:f>NOT(ISERROR(SEARCH($L$116,A1)))</xm:f>
            <xm:f>$L$116</xm:f>
            <x14:dxf>
              <font>
                <b/>
                <i/>
                <color theme="0"/>
              </font>
              <fill>
                <patternFill>
                  <bgColor theme="1"/>
                </patternFill>
              </fill>
            </x14:dxf>
          </x14:cfRule>
          <x14:cfRule type="containsText" priority="23" operator="containsText" id="{09838B3A-6970-438B-8963-D45EB0D74669}">
            <xm:f>NOT(ISERROR(SEARCH($L$115,A1)))</xm:f>
            <xm:f>$L$115</xm:f>
            <x14:dxf>
              <font>
                <b/>
                <i/>
                <color theme="0"/>
              </font>
              <fill>
                <patternFill>
                  <bgColor theme="1"/>
                </patternFill>
              </fill>
            </x14:dxf>
          </x14:cfRule>
          <x14:cfRule type="containsText" priority="24" operator="containsText" id="{1D8A4FFD-C6EF-405D-94EF-8A80D7C53983}">
            <xm:f>NOT(ISERROR(SEARCH($L$114,A1)))</xm:f>
            <xm:f>$L$114</xm:f>
            <x14:dxf>
              <font>
                <b/>
                <i/>
                <color theme="0"/>
              </font>
              <fill>
                <patternFill>
                  <bgColor theme="1"/>
                </patternFill>
              </fill>
            </x14:dxf>
          </x14:cfRule>
          <x14:cfRule type="containsText" priority="25" operator="containsText" id="{7E33AB0A-057D-457C-8F78-92ED66FA5D65}">
            <xm:f>NOT(ISERROR(SEARCH($L$113,A1)))</xm:f>
            <xm:f>$L$113</xm:f>
            <x14:dxf>
              <font>
                <b/>
                <i/>
                <color theme="0"/>
              </font>
              <fill>
                <patternFill>
                  <bgColor theme="1"/>
                </patternFill>
              </fill>
            </x14:dxf>
          </x14:cfRule>
          <x14:cfRule type="containsText" priority="26" operator="containsText" id="{6E57949B-495B-4F95-88CF-105124CEF76D}">
            <xm:f>NOT(ISERROR(SEARCH($L$112,A1)))</xm:f>
            <xm:f>$L$112</xm:f>
            <x14:dxf>
              <font>
                <b/>
                <i/>
                <color theme="0"/>
              </font>
              <fill>
                <patternFill>
                  <bgColor theme="1"/>
                </patternFill>
              </fill>
            </x14:dxf>
          </x14:cfRule>
          <x14:cfRule type="containsText" priority="27" operator="containsText" id="{C2DF1315-E972-4D01-95A1-2011148F22C0}">
            <xm:f>NOT(ISERROR(SEARCH($L$111,A1)))</xm:f>
            <xm:f>$L$111</xm:f>
            <x14:dxf>
              <font>
                <b/>
                <i/>
                <color theme="0"/>
              </font>
              <fill>
                <patternFill>
                  <bgColor theme="1"/>
                </patternFill>
              </fill>
            </x14:dxf>
          </x14:cfRule>
          <x14:cfRule type="containsText" priority="28" operator="containsText" id="{90F29017-D1A1-498A-A126-92E684886544}">
            <xm:f>NOT(ISERROR(SEARCH($L$110,A1)))</xm:f>
            <xm:f>$L$110</xm:f>
            <x14:dxf>
              <font>
                <b/>
                <i/>
                <color theme="0"/>
              </font>
              <fill>
                <patternFill>
                  <bgColor theme="1"/>
                </patternFill>
              </fill>
            </x14:dxf>
          </x14:cfRule>
          <xm:sqref>A1:A1048576</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7179B-4B14-499B-A10A-B3E945C33DCA}">
  <sheetPr codeName="Sheet19"/>
  <dimension ref="A1"/>
  <sheetViews>
    <sheetView topLeftCell="A7" workbookViewId="0"/>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48B261-0341-4289-B431-F92FC4AD3964}">
  <sheetPr codeName="Sheet4">
    <tabColor theme="1"/>
  </sheetPr>
  <dimension ref="A1:H32"/>
  <sheetViews>
    <sheetView workbookViewId="0">
      <selection activeCell="G2" sqref="G2:G31"/>
    </sheetView>
  </sheetViews>
  <sheetFormatPr defaultRowHeight="14.4" x14ac:dyDescent="0.3"/>
  <cols>
    <col min="1" max="1" width="31.6640625" bestFit="1" customWidth="1"/>
    <col min="2" max="2" width="3.77734375" customWidth="1"/>
    <col min="3" max="3" width="31.6640625" bestFit="1" customWidth="1"/>
    <col min="4" max="4" width="3.21875" customWidth="1"/>
    <col min="5" max="5" width="13.5546875" customWidth="1"/>
    <col min="6" max="6" width="6.21875" bestFit="1" customWidth="1"/>
    <col min="7" max="7" width="13.21875" customWidth="1"/>
    <col min="8" max="8" width="13.109375" bestFit="1" customWidth="1"/>
  </cols>
  <sheetData>
    <row r="1" spans="1:8" x14ac:dyDescent="0.3">
      <c r="A1" s="149" t="s">
        <v>1540</v>
      </c>
      <c r="B1" s="5"/>
      <c r="C1" t="str">
        <f>A1</f>
        <v>World Series Win Odds</v>
      </c>
      <c r="D1" s="5"/>
      <c r="E1" t="s">
        <v>1486</v>
      </c>
      <c r="F1" t="s">
        <v>1487</v>
      </c>
      <c r="G1" t="s">
        <v>1541</v>
      </c>
      <c r="H1" t="s">
        <v>1475</v>
      </c>
    </row>
    <row r="2" spans="1:8" x14ac:dyDescent="0.3">
      <c r="A2" t="str">
        <f>Lineups!A52</f>
        <v>Braves +650 MGM</v>
      </c>
      <c r="B2" s="5"/>
      <c r="C2" t="str">
        <f>A2</f>
        <v>Braves +650 MGM</v>
      </c>
      <c r="D2" s="5"/>
      <c r="E2" t="s">
        <v>1488</v>
      </c>
      <c r="G2" s="152">
        <v>700</v>
      </c>
      <c r="H2" t="s">
        <v>1489</v>
      </c>
    </row>
    <row r="3" spans="1:8" x14ac:dyDescent="0.3">
      <c r="A3" t="str">
        <f>Lineups!A53</f>
        <v>Astros +750 DRAFTKINGS</v>
      </c>
      <c r="B3" s="5"/>
      <c r="C3" t="str">
        <f t="shared" ref="C3:C31" si="0">A3</f>
        <v>Astros +750 DRAFTKINGS</v>
      </c>
      <c r="D3" s="5"/>
      <c r="E3" t="s">
        <v>1490</v>
      </c>
      <c r="G3" s="152">
        <v>750</v>
      </c>
      <c r="H3" t="s">
        <v>1491</v>
      </c>
    </row>
    <row r="4" spans="1:8" x14ac:dyDescent="0.3">
      <c r="A4" t="str">
        <f>Lineups!A54</f>
        <v>Dodgers +850 WILLIAM_HILL</v>
      </c>
      <c r="B4" s="5"/>
      <c r="C4" t="str">
        <f t="shared" si="0"/>
        <v>Dodgers +850 WILLIAM_HILL</v>
      </c>
      <c r="D4" s="5"/>
      <c r="E4" t="s">
        <v>1492</v>
      </c>
      <c r="G4" s="152">
        <v>850</v>
      </c>
      <c r="H4" t="s">
        <v>1493</v>
      </c>
    </row>
    <row r="5" spans="1:8" x14ac:dyDescent="0.3">
      <c r="A5" t="str">
        <f>Lineups!A55</f>
        <v>Yankees +900 FANDUEL</v>
      </c>
      <c r="B5" s="5"/>
      <c r="C5" t="str">
        <f t="shared" si="0"/>
        <v>Yankees +900 FANDUEL</v>
      </c>
      <c r="D5" s="5"/>
      <c r="E5" t="s">
        <v>1484</v>
      </c>
      <c r="G5" s="152">
        <v>850</v>
      </c>
      <c r="H5" t="s">
        <v>1491</v>
      </c>
    </row>
    <row r="6" spans="1:8" x14ac:dyDescent="0.3">
      <c r="A6" t="str">
        <f>Lineups!A56</f>
        <v>Padres +1000 MGM</v>
      </c>
      <c r="B6" s="5"/>
      <c r="C6" t="str">
        <f t="shared" si="0"/>
        <v>Padres +1000 MGM</v>
      </c>
      <c r="D6" s="5"/>
      <c r="E6" t="s">
        <v>1494</v>
      </c>
      <c r="G6" s="152">
        <v>1000</v>
      </c>
      <c r="H6" t="s">
        <v>1493</v>
      </c>
    </row>
    <row r="7" spans="1:8" x14ac:dyDescent="0.3">
      <c r="A7" t="str">
        <f>Lineups!A57</f>
        <v>Rays +1100 WILLIAM_HILL</v>
      </c>
      <c r="B7" s="5"/>
      <c r="C7" t="str">
        <f t="shared" si="0"/>
        <v>Rays +1100 WILLIAM_HILL</v>
      </c>
      <c r="D7" s="5"/>
      <c r="E7" t="s">
        <v>1542</v>
      </c>
      <c r="G7" s="152">
        <v>1200</v>
      </c>
      <c r="H7" t="s">
        <v>1497</v>
      </c>
    </row>
    <row r="8" spans="1:8" x14ac:dyDescent="0.3">
      <c r="A8" t="str">
        <f>Lineups!A58</f>
        <v>Mets +1300 FANDUEL</v>
      </c>
      <c r="B8" s="5"/>
      <c r="C8" t="str">
        <f t="shared" si="0"/>
        <v>Mets +1300 FANDUEL</v>
      </c>
      <c r="D8" s="5"/>
      <c r="E8" t="s">
        <v>1498</v>
      </c>
      <c r="G8" s="152">
        <v>1200</v>
      </c>
      <c r="H8" t="s">
        <v>1493</v>
      </c>
    </row>
    <row r="9" spans="1:8" x14ac:dyDescent="0.3">
      <c r="A9" t="str">
        <f>Lineups!A59</f>
        <v>Blue Jays +1300 WILLIAM_HILL</v>
      </c>
      <c r="B9" s="5"/>
      <c r="C9" t="str">
        <f t="shared" si="0"/>
        <v>Blue Jays +1300 WILLIAM_HILL</v>
      </c>
      <c r="D9" s="5"/>
      <c r="E9" t="s">
        <v>1499</v>
      </c>
      <c r="G9" s="152">
        <v>1400</v>
      </c>
      <c r="H9" t="s">
        <v>1491</v>
      </c>
    </row>
    <row r="10" spans="1:8" x14ac:dyDescent="0.3">
      <c r="A10" t="str">
        <f>Lineups!A60</f>
        <v>Cardinals +2100 FANDUEL</v>
      </c>
      <c r="B10" s="5"/>
      <c r="C10" t="str">
        <f t="shared" si="0"/>
        <v>Cardinals +2100 FANDUEL</v>
      </c>
      <c r="D10" s="5"/>
      <c r="E10" t="s">
        <v>1500</v>
      </c>
      <c r="G10" s="152">
        <v>2200</v>
      </c>
      <c r="H10" t="s">
        <v>1491</v>
      </c>
    </row>
    <row r="11" spans="1:8" x14ac:dyDescent="0.3">
      <c r="A11" t="str">
        <f>Lineups!A61</f>
        <v>Brewers +2200 WILLIAM_HILL</v>
      </c>
      <c r="B11" s="5"/>
      <c r="C11" t="str">
        <f t="shared" si="0"/>
        <v>Brewers +2200 WILLIAM_HILL</v>
      </c>
      <c r="D11" s="5"/>
      <c r="E11" t="s">
        <v>1501</v>
      </c>
      <c r="G11" s="152">
        <v>2200</v>
      </c>
      <c r="H11" t="s">
        <v>1489</v>
      </c>
    </row>
    <row r="12" spans="1:8" x14ac:dyDescent="0.3">
      <c r="A12" t="str">
        <f>Lineups!A62</f>
        <v>Phillies +2500 DRAFTKINGS</v>
      </c>
      <c r="B12" s="5"/>
      <c r="C12" t="str">
        <f t="shared" si="0"/>
        <v>Phillies +2500 DRAFTKINGS</v>
      </c>
      <c r="D12" s="5"/>
      <c r="E12" t="s">
        <v>1502</v>
      </c>
      <c r="G12" s="152">
        <v>2500</v>
      </c>
      <c r="H12" t="s">
        <v>1493</v>
      </c>
    </row>
    <row r="13" spans="1:8" x14ac:dyDescent="0.3">
      <c r="A13" t="str">
        <f>Lineups!A63</f>
        <v>Mariners +2800 FANDUEL</v>
      </c>
      <c r="B13" s="5"/>
      <c r="C13" t="str">
        <f t="shared" si="0"/>
        <v>Mariners +2800 FANDUEL</v>
      </c>
      <c r="D13" s="5"/>
      <c r="E13" t="s">
        <v>1503</v>
      </c>
      <c r="G13" s="152">
        <v>2800</v>
      </c>
      <c r="H13" t="s">
        <v>1491</v>
      </c>
    </row>
    <row r="14" spans="1:8" x14ac:dyDescent="0.3">
      <c r="A14" t="str">
        <f>Lineups!A64</f>
        <v>Guardians +3200 FANDUEL</v>
      </c>
      <c r="B14" s="5"/>
      <c r="C14" t="str">
        <f t="shared" si="0"/>
        <v>Guardians +3200 FANDUEL</v>
      </c>
      <c r="D14" s="5"/>
      <c r="E14" t="s">
        <v>1504</v>
      </c>
      <c r="G14" s="152">
        <v>3000</v>
      </c>
      <c r="H14" t="s">
        <v>1491</v>
      </c>
    </row>
    <row r="15" spans="1:8" x14ac:dyDescent="0.3">
      <c r="A15" t="str">
        <f>Lineups!A65</f>
        <v>Twins +3300 WILLIAM_HILL</v>
      </c>
      <c r="B15" s="5"/>
      <c r="C15" t="str">
        <f t="shared" si="0"/>
        <v>Twins +3300 WILLIAM_HILL</v>
      </c>
      <c r="D15" s="5"/>
      <c r="E15" t="s">
        <v>1505</v>
      </c>
      <c r="G15" s="152">
        <v>4000</v>
      </c>
      <c r="H15" t="s">
        <v>1491</v>
      </c>
    </row>
    <row r="16" spans="1:8" x14ac:dyDescent="0.3">
      <c r="A16" t="str">
        <f>Lineups!A66</f>
        <v>Angels +4000 WILLIAM_HILL</v>
      </c>
      <c r="B16" s="5"/>
      <c r="C16" t="str">
        <f t="shared" si="0"/>
        <v>Angels +4000 WILLIAM_HILL</v>
      </c>
      <c r="D16" s="5"/>
      <c r="E16" t="s">
        <v>1506</v>
      </c>
      <c r="G16" s="152">
        <v>4000</v>
      </c>
      <c r="H16" t="s">
        <v>1497</v>
      </c>
    </row>
    <row r="17" spans="1:8" x14ac:dyDescent="0.3">
      <c r="A17" t="str">
        <f>Lineups!A67</f>
        <v>Rangers +4500 FANDUEL</v>
      </c>
      <c r="B17" s="5"/>
      <c r="C17" t="str">
        <f t="shared" si="0"/>
        <v>Rangers +4500 FANDUEL</v>
      </c>
      <c r="D17" s="5"/>
      <c r="E17" t="s">
        <v>1481</v>
      </c>
      <c r="G17" s="152">
        <v>5000</v>
      </c>
      <c r="H17" t="s">
        <v>1497</v>
      </c>
    </row>
    <row r="18" spans="1:8" x14ac:dyDescent="0.3">
      <c r="A18" t="str">
        <f>Lineups!A68</f>
        <v>Giants +5500 DRAFTKINGS</v>
      </c>
      <c r="B18" s="5"/>
      <c r="C18" t="str">
        <f t="shared" si="0"/>
        <v>Giants +5500 DRAFTKINGS</v>
      </c>
      <c r="D18" s="5"/>
      <c r="E18" t="s">
        <v>1507</v>
      </c>
      <c r="G18" s="152">
        <v>6000</v>
      </c>
      <c r="H18" t="s">
        <v>1489</v>
      </c>
    </row>
    <row r="19" spans="1:8" x14ac:dyDescent="0.3">
      <c r="A19" t="str">
        <f>Lineups!A69</f>
        <v>Red Sox +8500 FANDUEL</v>
      </c>
      <c r="B19" s="5"/>
      <c r="C19" t="str">
        <f t="shared" si="0"/>
        <v>Red Sox +8500 FANDUEL</v>
      </c>
      <c r="D19" s="5"/>
      <c r="E19" t="s">
        <v>1544</v>
      </c>
      <c r="G19" s="152">
        <v>8000</v>
      </c>
      <c r="H19" t="s">
        <v>1491</v>
      </c>
    </row>
    <row r="20" spans="1:8" x14ac:dyDescent="0.3">
      <c r="A20" t="str">
        <f>Lineups!A70</f>
        <v>White Sox +10000 FANDUEL</v>
      </c>
      <c r="B20" s="5"/>
      <c r="C20" t="str">
        <f t="shared" si="0"/>
        <v>White Sox +10000 FANDUEL</v>
      </c>
      <c r="D20" s="5"/>
      <c r="E20" t="s">
        <v>1543</v>
      </c>
      <c r="G20" s="152">
        <v>8000</v>
      </c>
      <c r="H20" t="s">
        <v>1493</v>
      </c>
    </row>
    <row r="21" spans="1:8" x14ac:dyDescent="0.3">
      <c r="A21" t="str">
        <f>Lineups!A71</f>
        <v>Orioles +13000 DRAFTKINGS</v>
      </c>
      <c r="B21" s="5"/>
      <c r="C21" t="str">
        <f t="shared" si="0"/>
        <v>Orioles +13000 DRAFTKINGS</v>
      </c>
      <c r="D21" s="5"/>
      <c r="E21" t="s">
        <v>1511</v>
      </c>
      <c r="G21" s="152">
        <v>12000</v>
      </c>
      <c r="H21" t="s">
        <v>1493</v>
      </c>
    </row>
    <row r="22" spans="1:8" x14ac:dyDescent="0.3">
      <c r="A22" t="str">
        <f>Lineups!A72</f>
        <v>Diamondbacks +13000 DRAFTKINGS</v>
      </c>
      <c r="B22" s="5"/>
      <c r="C22" t="str">
        <f t="shared" si="0"/>
        <v>Diamondbacks +13000 DRAFTKINGS</v>
      </c>
      <c r="D22" s="5"/>
      <c r="E22" t="s">
        <v>1480</v>
      </c>
      <c r="G22" s="152">
        <v>12000</v>
      </c>
      <c r="H22" t="s">
        <v>1493</v>
      </c>
    </row>
    <row r="23" spans="1:8" x14ac:dyDescent="0.3">
      <c r="A23" t="str">
        <f>Lineups!A73</f>
        <v>Cubs +15000 MGM</v>
      </c>
      <c r="B23" s="5"/>
      <c r="C23" t="str">
        <f t="shared" si="0"/>
        <v>Cubs +15000 MGM</v>
      </c>
      <c r="D23" s="5"/>
      <c r="E23" t="s">
        <v>1512</v>
      </c>
      <c r="G23" s="152">
        <v>12000</v>
      </c>
      <c r="H23" t="s">
        <v>1493</v>
      </c>
    </row>
    <row r="24" spans="1:8" x14ac:dyDescent="0.3">
      <c r="A24" t="str">
        <f>Lineups!A74</f>
        <v>Marlins +20000 FANDUEL</v>
      </c>
      <c r="B24" s="5"/>
      <c r="C24" t="str">
        <f t="shared" si="0"/>
        <v>Marlins +20000 FANDUEL</v>
      </c>
      <c r="D24" s="5"/>
      <c r="E24" t="s">
        <v>1485</v>
      </c>
      <c r="G24" s="152">
        <v>18000</v>
      </c>
      <c r="H24" t="s">
        <v>1489</v>
      </c>
    </row>
    <row r="25" spans="1:8" x14ac:dyDescent="0.3">
      <c r="A25" t="str">
        <f>Lineups!A75</f>
        <v>Pirates +25000 DRAFTKINGS</v>
      </c>
      <c r="B25" s="5"/>
      <c r="C25" t="str">
        <f t="shared" si="0"/>
        <v>Pirates +25000 DRAFTKINGS</v>
      </c>
      <c r="D25" s="5"/>
      <c r="E25" t="s">
        <v>1513</v>
      </c>
      <c r="G25" s="152">
        <v>25000</v>
      </c>
      <c r="H25" t="s">
        <v>1489</v>
      </c>
    </row>
    <row r="26" spans="1:8" x14ac:dyDescent="0.3">
      <c r="A26" t="str">
        <f>Lineups!A76</f>
        <v>Tigers +25000 MGM</v>
      </c>
      <c r="B26" s="5"/>
      <c r="C26" t="str">
        <f t="shared" si="0"/>
        <v>Tigers +25000 MGM</v>
      </c>
      <c r="D26" s="5"/>
      <c r="E26" t="s">
        <v>1514</v>
      </c>
      <c r="G26" s="152">
        <v>25000</v>
      </c>
      <c r="H26" t="s">
        <v>1493</v>
      </c>
    </row>
    <row r="27" spans="1:8" x14ac:dyDescent="0.3">
      <c r="A27" t="str">
        <f>Lineups!A77</f>
        <v>Royals +25000 MGM</v>
      </c>
      <c r="B27" s="5"/>
      <c r="C27" t="str">
        <f t="shared" si="0"/>
        <v>Royals +25000 MGM</v>
      </c>
      <c r="D27" s="5"/>
      <c r="E27" t="s">
        <v>1515</v>
      </c>
      <c r="G27" s="152">
        <v>25000</v>
      </c>
      <c r="H27" t="s">
        <v>1489</v>
      </c>
    </row>
    <row r="28" spans="1:8" x14ac:dyDescent="0.3">
      <c r="A28" t="str">
        <f>Lineups!A78</f>
        <v>Reds +50000 FANDUEL</v>
      </c>
      <c r="B28" s="5"/>
      <c r="C28" t="str">
        <f t="shared" si="0"/>
        <v>Reds +50000 FANDUEL</v>
      </c>
      <c r="D28" s="5"/>
      <c r="E28" t="s">
        <v>1516</v>
      </c>
      <c r="G28" s="152">
        <v>25000</v>
      </c>
      <c r="H28" t="s">
        <v>1497</v>
      </c>
    </row>
    <row r="29" spans="1:8" x14ac:dyDescent="0.3">
      <c r="A29" t="str">
        <f>Lineups!A79</f>
        <v>Athletics +100000 MGM</v>
      </c>
      <c r="B29" s="5"/>
      <c r="C29" t="str">
        <f t="shared" si="0"/>
        <v>Athletics +100000 MGM</v>
      </c>
      <c r="D29" s="5"/>
      <c r="E29" t="s">
        <v>1517</v>
      </c>
      <c r="G29" s="152">
        <v>50000</v>
      </c>
      <c r="H29" t="s">
        <v>1493</v>
      </c>
    </row>
    <row r="30" spans="1:8" x14ac:dyDescent="0.3">
      <c r="A30" t="str">
        <f>Lineups!A80</f>
        <v>Rockies +100000 FANDUEL</v>
      </c>
      <c r="B30" s="5"/>
      <c r="C30" t="str">
        <f t="shared" si="0"/>
        <v>Rockies +100000 FANDUEL</v>
      </c>
      <c r="D30" s="5"/>
      <c r="E30" t="s">
        <v>1518</v>
      </c>
      <c r="G30" s="152">
        <v>50000</v>
      </c>
      <c r="H30" t="s">
        <v>1489</v>
      </c>
    </row>
    <row r="31" spans="1:8" x14ac:dyDescent="0.3">
      <c r="A31" t="str">
        <f>Lineups!A81</f>
        <v>Nationals +100000 FANDUEL</v>
      </c>
      <c r="B31" s="5"/>
      <c r="C31" t="str">
        <f t="shared" si="0"/>
        <v>Nationals +100000 FANDUEL</v>
      </c>
      <c r="D31" s="5"/>
      <c r="E31" t="s">
        <v>1519</v>
      </c>
      <c r="G31" s="152">
        <v>100000</v>
      </c>
      <c r="H31" t="s">
        <v>1493</v>
      </c>
    </row>
    <row r="32" spans="1:8" x14ac:dyDescent="0.3">
      <c r="A32" s="5"/>
      <c r="B32" s="5"/>
      <c r="C32" s="5"/>
      <c r="D32" s="5"/>
      <c r="E32" s="5"/>
      <c r="F32" s="5"/>
      <c r="G32" s="5"/>
      <c r="H32" s="5"/>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E2DB4-B3F6-45F7-96C5-25DCF8E49282}">
  <sheetPr codeName="Sheet7">
    <tabColor theme="1"/>
  </sheetPr>
  <dimension ref="A2:AG248"/>
  <sheetViews>
    <sheetView topLeftCell="A49" workbookViewId="0">
      <selection activeCell="AE69" sqref="AE69"/>
    </sheetView>
  </sheetViews>
  <sheetFormatPr defaultRowHeight="14.4" x14ac:dyDescent="0.3"/>
  <cols>
    <col min="1" max="1" width="9.109375" customWidth="1"/>
    <col min="2" max="2" width="8.6640625" customWidth="1"/>
    <col min="3" max="17" width="7.6640625" customWidth="1"/>
    <col min="18" max="18" width="8.6640625" customWidth="1"/>
    <col min="19" max="33" width="7.6640625" customWidth="1"/>
  </cols>
  <sheetData>
    <row r="2" spans="1:33" x14ac:dyDescent="0.3">
      <c r="B2" t="s">
        <v>1005</v>
      </c>
    </row>
    <row r="4" spans="1:33" ht="15" thickBot="1" x14ac:dyDescent="0.35"/>
    <row r="5" spans="1:33" x14ac:dyDescent="0.3">
      <c r="B5" s="6" t="s">
        <v>3</v>
      </c>
      <c r="C5" s="112" t="s">
        <v>286</v>
      </c>
      <c r="D5" s="112" t="s">
        <v>250</v>
      </c>
      <c r="E5" s="112" t="s">
        <v>248</v>
      </c>
      <c r="F5" s="112" t="s">
        <v>270</v>
      </c>
      <c r="G5" s="112" t="s">
        <v>266</v>
      </c>
      <c r="H5" s="112" t="s">
        <v>226</v>
      </c>
      <c r="I5" s="112" t="s">
        <v>246</v>
      </c>
      <c r="J5" s="112" t="s">
        <v>239</v>
      </c>
      <c r="K5" s="112" t="s">
        <v>339</v>
      </c>
      <c r="L5" s="112" t="s">
        <v>311</v>
      </c>
      <c r="M5" s="112" t="s">
        <v>231</v>
      </c>
      <c r="N5" s="112" t="s">
        <v>241</v>
      </c>
      <c r="O5" s="112" t="s">
        <v>268</v>
      </c>
      <c r="P5" s="112" t="s">
        <v>255</v>
      </c>
      <c r="Q5" s="113" t="s">
        <v>392</v>
      </c>
      <c r="R5" s="6" t="s">
        <v>1</v>
      </c>
      <c r="S5" s="112" t="s">
        <v>278</v>
      </c>
      <c r="T5" s="112" t="s">
        <v>221</v>
      </c>
      <c r="U5" s="112" t="s">
        <v>243</v>
      </c>
      <c r="V5" s="112" t="s">
        <v>251</v>
      </c>
      <c r="W5" s="112" t="s">
        <v>346</v>
      </c>
      <c r="X5" s="112" t="s">
        <v>224</v>
      </c>
      <c r="Y5" s="112" t="s">
        <v>287</v>
      </c>
      <c r="Z5" s="112" t="s">
        <v>235</v>
      </c>
      <c r="AA5" s="112" t="s">
        <v>274</v>
      </c>
      <c r="AB5" s="112" t="s">
        <v>222</v>
      </c>
      <c r="AC5" s="112" t="s">
        <v>325</v>
      </c>
      <c r="AD5" s="112" t="s">
        <v>244</v>
      </c>
      <c r="AE5" s="112" t="s">
        <v>228</v>
      </c>
      <c r="AF5" s="112" t="s">
        <v>264</v>
      </c>
      <c r="AG5" s="113" t="s">
        <v>234</v>
      </c>
    </row>
    <row r="6" spans="1:33" x14ac:dyDescent="0.3">
      <c r="B6" s="114"/>
      <c r="C6" s="115">
        <v>4</v>
      </c>
      <c r="D6" s="115">
        <v>3</v>
      </c>
      <c r="E6" s="115">
        <v>3</v>
      </c>
      <c r="F6" s="115">
        <v>3</v>
      </c>
      <c r="G6" s="115">
        <v>4</v>
      </c>
      <c r="H6" s="115">
        <v>4</v>
      </c>
      <c r="I6" s="115">
        <v>4</v>
      </c>
      <c r="J6" s="115">
        <v>3</v>
      </c>
      <c r="K6" s="115">
        <v>4</v>
      </c>
      <c r="L6" s="115">
        <v>3</v>
      </c>
      <c r="M6" s="115">
        <v>3</v>
      </c>
      <c r="N6" s="115">
        <v>4</v>
      </c>
      <c r="O6" s="115">
        <v>3</v>
      </c>
      <c r="P6" s="115">
        <v>3</v>
      </c>
      <c r="Q6" s="116">
        <v>3</v>
      </c>
      <c r="R6" s="114"/>
      <c r="S6" s="115">
        <v>3</v>
      </c>
      <c r="T6" s="115">
        <v>3</v>
      </c>
      <c r="U6" s="115">
        <v>4</v>
      </c>
      <c r="V6" s="115">
        <v>4</v>
      </c>
      <c r="W6" s="115">
        <v>3</v>
      </c>
      <c r="X6" s="115">
        <v>4</v>
      </c>
      <c r="Y6" s="115">
        <v>3</v>
      </c>
      <c r="Z6" s="115">
        <v>3</v>
      </c>
      <c r="AA6" s="115">
        <v>3</v>
      </c>
      <c r="AB6" s="115">
        <v>3</v>
      </c>
      <c r="AC6" s="115">
        <v>3</v>
      </c>
      <c r="AD6" s="115">
        <v>4</v>
      </c>
      <c r="AE6" s="115">
        <v>3</v>
      </c>
      <c r="AF6" s="115">
        <v>3</v>
      </c>
      <c r="AG6" s="116">
        <v>3</v>
      </c>
    </row>
    <row r="7" spans="1:33" x14ac:dyDescent="0.3">
      <c r="A7" s="139">
        <v>45015</v>
      </c>
      <c r="B7" s="114" t="s">
        <v>1006</v>
      </c>
      <c r="C7" s="115" t="s">
        <v>1007</v>
      </c>
      <c r="D7" s="115" t="s">
        <v>1232</v>
      </c>
      <c r="E7" s="115" t="s">
        <v>239</v>
      </c>
      <c r="F7" s="115" t="s">
        <v>231</v>
      </c>
      <c r="G7" s="115" t="s">
        <v>1230</v>
      </c>
      <c r="H7" s="115" t="s">
        <v>286</v>
      </c>
      <c r="I7" s="115" t="s">
        <v>339</v>
      </c>
      <c r="J7" s="115" t="s">
        <v>1008</v>
      </c>
      <c r="K7" s="115" t="s">
        <v>1009</v>
      </c>
      <c r="L7" s="115" t="s">
        <v>1010</v>
      </c>
      <c r="M7" s="115" t="s">
        <v>1011</v>
      </c>
      <c r="N7" s="115" t="s">
        <v>266</v>
      </c>
      <c r="O7" s="115" t="s">
        <v>1012</v>
      </c>
      <c r="P7" s="115" t="s">
        <v>234</v>
      </c>
      <c r="Q7" s="116" t="s">
        <v>250</v>
      </c>
      <c r="R7" s="114" t="s">
        <v>1006</v>
      </c>
      <c r="S7" s="115" t="s">
        <v>1013</v>
      </c>
      <c r="T7" s="115" t="s">
        <v>278</v>
      </c>
      <c r="U7" s="115" t="s">
        <v>1014</v>
      </c>
      <c r="V7" s="115" t="s">
        <v>1015</v>
      </c>
      <c r="W7" s="115" t="s">
        <v>1228</v>
      </c>
      <c r="X7" s="115" t="s">
        <v>243</v>
      </c>
      <c r="Y7" s="115" t="s">
        <v>274</v>
      </c>
      <c r="Z7" s="115" t="s">
        <v>1016</v>
      </c>
      <c r="AA7" s="115" t="s">
        <v>1229</v>
      </c>
      <c r="AB7" s="115" t="s">
        <v>268</v>
      </c>
      <c r="AC7" s="115" t="s">
        <v>235</v>
      </c>
      <c r="AD7" s="115" t="s">
        <v>251</v>
      </c>
      <c r="AE7" s="115" t="s">
        <v>346</v>
      </c>
      <c r="AF7" s="115" t="s">
        <v>311</v>
      </c>
      <c r="AG7" s="116" t="s">
        <v>1017</v>
      </c>
    </row>
    <row r="8" spans="1:33" x14ac:dyDescent="0.3">
      <c r="A8" s="90">
        <v>45016</v>
      </c>
      <c r="B8" s="114" t="s">
        <v>1018</v>
      </c>
      <c r="C8" s="115" t="s">
        <v>1007</v>
      </c>
      <c r="D8" s="115"/>
      <c r="E8" s="115"/>
      <c r="F8" s="115"/>
      <c r="G8" s="115" t="s">
        <v>1230</v>
      </c>
      <c r="H8" s="115" t="s">
        <v>286</v>
      </c>
      <c r="I8" s="115" t="s">
        <v>339</v>
      </c>
      <c r="J8" s="115"/>
      <c r="K8" s="115" t="s">
        <v>1009</v>
      </c>
      <c r="L8" s="115"/>
      <c r="M8" s="115"/>
      <c r="N8" s="115" t="s">
        <v>266</v>
      </c>
      <c r="O8" s="115"/>
      <c r="P8" s="115"/>
      <c r="Q8" s="116"/>
      <c r="R8" s="114" t="s">
        <v>1018</v>
      </c>
      <c r="S8" s="115"/>
      <c r="T8" s="115"/>
      <c r="U8" s="115" t="s">
        <v>1014</v>
      </c>
      <c r="V8" s="115" t="s">
        <v>1015</v>
      </c>
      <c r="W8" s="115"/>
      <c r="X8" s="115" t="s">
        <v>243</v>
      </c>
      <c r="Y8" s="115"/>
      <c r="Z8" s="115"/>
      <c r="AA8" s="115"/>
      <c r="AB8" s="115"/>
      <c r="AC8" s="115"/>
      <c r="AD8" s="115" t="s">
        <v>251</v>
      </c>
      <c r="AE8" s="115"/>
      <c r="AF8" s="115"/>
      <c r="AG8" s="116"/>
    </row>
    <row r="9" spans="1:33" x14ac:dyDescent="0.3">
      <c r="A9" s="90">
        <v>45017</v>
      </c>
      <c r="B9" s="114" t="s">
        <v>1019</v>
      </c>
      <c r="C9" s="115" t="s">
        <v>1007</v>
      </c>
      <c r="D9" s="115" t="s">
        <v>1232</v>
      </c>
      <c r="E9" s="115" t="s">
        <v>239</v>
      </c>
      <c r="F9" s="115" t="s">
        <v>231</v>
      </c>
      <c r="G9" s="115" t="s">
        <v>1230</v>
      </c>
      <c r="H9" s="115" t="s">
        <v>286</v>
      </c>
      <c r="I9" s="115" t="s">
        <v>339</v>
      </c>
      <c r="J9" s="115" t="s">
        <v>1008</v>
      </c>
      <c r="K9" s="115" t="s">
        <v>1009</v>
      </c>
      <c r="L9" s="115" t="s">
        <v>1010</v>
      </c>
      <c r="M9" s="115" t="s">
        <v>1011</v>
      </c>
      <c r="N9" s="115" t="s">
        <v>266</v>
      </c>
      <c r="O9" s="115" t="s">
        <v>1012</v>
      </c>
      <c r="P9" s="115" t="s">
        <v>234</v>
      </c>
      <c r="Q9" s="116" t="s">
        <v>250</v>
      </c>
      <c r="R9" s="114" t="s">
        <v>1019</v>
      </c>
      <c r="S9" s="115" t="s">
        <v>1013</v>
      </c>
      <c r="T9" s="115" t="s">
        <v>278</v>
      </c>
      <c r="U9" s="115" t="s">
        <v>1014</v>
      </c>
      <c r="V9" s="115" t="s">
        <v>1015</v>
      </c>
      <c r="W9" s="115" t="s">
        <v>1228</v>
      </c>
      <c r="X9" s="115" t="s">
        <v>243</v>
      </c>
      <c r="Y9" s="115" t="s">
        <v>274</v>
      </c>
      <c r="Z9" s="115" t="s">
        <v>1016</v>
      </c>
      <c r="AA9" s="115" t="s">
        <v>1229</v>
      </c>
      <c r="AB9" s="115" t="s">
        <v>268</v>
      </c>
      <c r="AC9" s="115" t="s">
        <v>235</v>
      </c>
      <c r="AD9" s="115" t="s">
        <v>251</v>
      </c>
      <c r="AE9" s="115" t="s">
        <v>346</v>
      </c>
      <c r="AF9" s="115" t="s">
        <v>311</v>
      </c>
      <c r="AG9" s="116" t="s">
        <v>1017</v>
      </c>
    </row>
    <row r="10" spans="1:33" ht="15" thickBot="1" x14ac:dyDescent="0.35">
      <c r="A10" s="90">
        <v>45018</v>
      </c>
      <c r="B10" s="117" t="s">
        <v>1020</v>
      </c>
      <c r="C10" s="118" t="s">
        <v>1007</v>
      </c>
      <c r="D10" s="118" t="s">
        <v>1232</v>
      </c>
      <c r="E10" s="118" t="s">
        <v>239</v>
      </c>
      <c r="F10" s="118" t="s">
        <v>231</v>
      </c>
      <c r="G10" s="118" t="s">
        <v>1230</v>
      </c>
      <c r="H10" s="118" t="s">
        <v>286</v>
      </c>
      <c r="I10" s="118" t="s">
        <v>339</v>
      </c>
      <c r="J10" s="118" t="s">
        <v>1008</v>
      </c>
      <c r="K10" s="118" t="s">
        <v>1009</v>
      </c>
      <c r="L10" s="118" t="s">
        <v>1010</v>
      </c>
      <c r="M10" s="118" t="s">
        <v>1011</v>
      </c>
      <c r="N10" s="118" t="s">
        <v>266</v>
      </c>
      <c r="O10" s="118" t="s">
        <v>1012</v>
      </c>
      <c r="P10" s="118" t="s">
        <v>234</v>
      </c>
      <c r="Q10" s="119" t="s">
        <v>250</v>
      </c>
      <c r="R10" s="117" t="s">
        <v>1020</v>
      </c>
      <c r="S10" s="118" t="s">
        <v>1013</v>
      </c>
      <c r="T10" s="118" t="s">
        <v>278</v>
      </c>
      <c r="U10" s="118" t="s">
        <v>1014</v>
      </c>
      <c r="V10" s="118" t="s">
        <v>1015</v>
      </c>
      <c r="W10" s="118" t="s">
        <v>1228</v>
      </c>
      <c r="X10" s="118" t="s">
        <v>243</v>
      </c>
      <c r="Y10" s="118" t="s">
        <v>274</v>
      </c>
      <c r="Z10" s="118" t="s">
        <v>1016</v>
      </c>
      <c r="AA10" s="118" t="s">
        <v>1229</v>
      </c>
      <c r="AB10" s="118" t="s">
        <v>268</v>
      </c>
      <c r="AC10" s="118" t="s">
        <v>235</v>
      </c>
      <c r="AD10" s="118" t="s">
        <v>251</v>
      </c>
      <c r="AE10" s="118" t="s">
        <v>346</v>
      </c>
      <c r="AF10" s="118" t="s">
        <v>311</v>
      </c>
      <c r="AG10" s="119" t="s">
        <v>1017</v>
      </c>
    </row>
    <row r="11" spans="1:33" x14ac:dyDescent="0.3">
      <c r="A11" s="90" t="s">
        <v>3</v>
      </c>
      <c r="B11" s="6" t="s">
        <v>3</v>
      </c>
      <c r="C11" s="112" t="s">
        <v>286</v>
      </c>
      <c r="D11" s="112" t="s">
        <v>250</v>
      </c>
      <c r="E11" s="112" t="s">
        <v>248</v>
      </c>
      <c r="F11" s="112" t="s">
        <v>270</v>
      </c>
      <c r="G11" s="112" t="s">
        <v>266</v>
      </c>
      <c r="H11" s="112" t="s">
        <v>226</v>
      </c>
      <c r="I11" s="112" t="s">
        <v>246</v>
      </c>
      <c r="J11" s="112" t="s">
        <v>239</v>
      </c>
      <c r="K11" s="112" t="s">
        <v>339</v>
      </c>
      <c r="L11" s="112" t="s">
        <v>311</v>
      </c>
      <c r="M11" s="112" t="s">
        <v>231</v>
      </c>
      <c r="N11" s="112" t="s">
        <v>241</v>
      </c>
      <c r="O11" s="112" t="s">
        <v>268</v>
      </c>
      <c r="P11" s="112" t="s">
        <v>255</v>
      </c>
      <c r="Q11" s="113" t="s">
        <v>392</v>
      </c>
      <c r="R11" s="6" t="s">
        <v>1</v>
      </c>
      <c r="S11" s="112" t="s">
        <v>278</v>
      </c>
      <c r="T11" s="112" t="s">
        <v>221</v>
      </c>
      <c r="U11" s="112" t="s">
        <v>243</v>
      </c>
      <c r="V11" s="112" t="s">
        <v>251</v>
      </c>
      <c r="W11" s="112" t="s">
        <v>346</v>
      </c>
      <c r="X11" s="112" t="s">
        <v>224</v>
      </c>
      <c r="Y11" s="112" t="s">
        <v>287</v>
      </c>
      <c r="Z11" s="112" t="s">
        <v>235</v>
      </c>
      <c r="AA11" s="112" t="s">
        <v>274</v>
      </c>
      <c r="AB11" s="112" t="s">
        <v>222</v>
      </c>
      <c r="AC11" s="112" t="s">
        <v>325</v>
      </c>
      <c r="AD11" s="112" t="s">
        <v>244</v>
      </c>
      <c r="AE11" s="112" t="s">
        <v>228</v>
      </c>
      <c r="AF11" s="112" t="s">
        <v>264</v>
      </c>
      <c r="AG11" s="113" t="s">
        <v>234</v>
      </c>
    </row>
    <row r="12" spans="1:33" x14ac:dyDescent="0.3">
      <c r="A12" s="90"/>
      <c r="B12" s="120"/>
      <c r="C12" s="121">
        <v>6</v>
      </c>
      <c r="D12" s="121">
        <v>7</v>
      </c>
      <c r="E12" s="121">
        <v>6</v>
      </c>
      <c r="F12" s="121">
        <v>6</v>
      </c>
      <c r="G12" s="121">
        <v>6</v>
      </c>
      <c r="H12" s="121">
        <v>6</v>
      </c>
      <c r="I12" s="121">
        <v>6</v>
      </c>
      <c r="J12" s="121">
        <v>6</v>
      </c>
      <c r="K12" s="121">
        <v>6</v>
      </c>
      <c r="L12" s="121">
        <v>6</v>
      </c>
      <c r="M12" s="121">
        <v>6</v>
      </c>
      <c r="N12" s="121">
        <v>6</v>
      </c>
      <c r="O12" s="121">
        <v>6</v>
      </c>
      <c r="P12" s="121">
        <v>6</v>
      </c>
      <c r="Q12" s="122">
        <v>7</v>
      </c>
      <c r="R12" s="120"/>
      <c r="S12" s="121">
        <v>6</v>
      </c>
      <c r="T12" s="121">
        <v>6</v>
      </c>
      <c r="U12" s="121">
        <v>6</v>
      </c>
      <c r="V12" s="121">
        <v>6</v>
      </c>
      <c r="W12" s="121">
        <v>6</v>
      </c>
      <c r="X12" s="121">
        <v>6</v>
      </c>
      <c r="Y12" s="121">
        <v>7</v>
      </c>
      <c r="Z12" s="121">
        <v>6</v>
      </c>
      <c r="AA12" s="121">
        <v>6</v>
      </c>
      <c r="AB12" s="121">
        <v>6</v>
      </c>
      <c r="AC12" s="121">
        <v>6</v>
      </c>
      <c r="AD12" s="121">
        <v>6</v>
      </c>
      <c r="AE12" s="121">
        <v>6</v>
      </c>
      <c r="AF12" s="121">
        <v>6</v>
      </c>
      <c r="AG12" s="122">
        <v>7</v>
      </c>
    </row>
    <row r="13" spans="1:33" x14ac:dyDescent="0.3">
      <c r="A13" s="90">
        <v>45019</v>
      </c>
      <c r="B13" s="120" t="s">
        <v>1021</v>
      </c>
      <c r="C13" s="121" t="s">
        <v>1230</v>
      </c>
      <c r="D13" s="121" t="s">
        <v>1017</v>
      </c>
      <c r="E13" s="121" t="s">
        <v>1011</v>
      </c>
      <c r="F13" s="121" t="s">
        <v>248</v>
      </c>
      <c r="G13" s="121" t="s">
        <v>1007</v>
      </c>
      <c r="H13" s="121" t="s">
        <v>266</v>
      </c>
      <c r="I13" s="121" t="s">
        <v>274</v>
      </c>
      <c r="J13" s="121" t="s">
        <v>339</v>
      </c>
      <c r="K13" s="121" t="s">
        <v>1022</v>
      </c>
      <c r="L13" s="121" t="s">
        <v>1012</v>
      </c>
      <c r="M13" s="121" t="s">
        <v>1013</v>
      </c>
      <c r="N13" s="121" t="s">
        <v>286</v>
      </c>
      <c r="O13" s="121" t="s">
        <v>1023</v>
      </c>
      <c r="P13" s="121" t="s">
        <v>250</v>
      </c>
      <c r="Q13" s="122" t="s">
        <v>228</v>
      </c>
      <c r="R13" s="120" t="s">
        <v>1021</v>
      </c>
      <c r="S13" s="121" t="s">
        <v>1010</v>
      </c>
      <c r="T13" s="121" t="s">
        <v>231</v>
      </c>
      <c r="U13" s="121" t="s">
        <v>268</v>
      </c>
      <c r="V13" s="121" t="s">
        <v>1016</v>
      </c>
      <c r="W13" s="121" t="s">
        <v>1014</v>
      </c>
      <c r="X13" s="121" t="s">
        <v>346</v>
      </c>
      <c r="Y13" s="121" t="s">
        <v>234</v>
      </c>
      <c r="Z13" s="121" t="s">
        <v>1015</v>
      </c>
      <c r="AA13" s="121" t="s">
        <v>1009</v>
      </c>
      <c r="AB13" s="121" t="s">
        <v>311</v>
      </c>
      <c r="AC13" s="121" t="s">
        <v>251</v>
      </c>
      <c r="AD13" s="121" t="s">
        <v>235</v>
      </c>
      <c r="AE13" s="121" t="s">
        <v>1232</v>
      </c>
      <c r="AF13" s="121" t="s">
        <v>278</v>
      </c>
      <c r="AG13" s="122" t="s">
        <v>1229</v>
      </c>
    </row>
    <row r="14" spans="1:33" x14ac:dyDescent="0.3">
      <c r="A14" s="90">
        <v>45020</v>
      </c>
      <c r="B14" s="120" t="s">
        <v>1024</v>
      </c>
      <c r="C14" s="121" t="s">
        <v>1230</v>
      </c>
      <c r="D14" s="121" t="s">
        <v>1017</v>
      </c>
      <c r="E14" s="121" t="s">
        <v>1011</v>
      </c>
      <c r="F14" s="121" t="s">
        <v>248</v>
      </c>
      <c r="G14" s="121" t="s">
        <v>1007</v>
      </c>
      <c r="H14" s="121" t="s">
        <v>266</v>
      </c>
      <c r="I14" s="121" t="s">
        <v>274</v>
      </c>
      <c r="J14" s="121" t="s">
        <v>339</v>
      </c>
      <c r="K14" s="121" t="s">
        <v>1022</v>
      </c>
      <c r="L14" s="121" t="s">
        <v>1012</v>
      </c>
      <c r="M14" s="121" t="s">
        <v>1013</v>
      </c>
      <c r="N14" s="121" t="s">
        <v>286</v>
      </c>
      <c r="O14" s="121"/>
      <c r="P14" s="123" t="s">
        <v>250</v>
      </c>
      <c r="Q14" s="124" t="s">
        <v>228</v>
      </c>
      <c r="R14" s="120" t="s">
        <v>1024</v>
      </c>
      <c r="S14" s="121" t="s">
        <v>1010</v>
      </c>
      <c r="T14" s="121" t="s">
        <v>231</v>
      </c>
      <c r="U14" s="121"/>
      <c r="V14" s="121" t="s">
        <v>1016</v>
      </c>
      <c r="W14" s="121" t="s">
        <v>1014</v>
      </c>
      <c r="X14" s="121" t="s">
        <v>346</v>
      </c>
      <c r="Y14" s="121" t="s">
        <v>234</v>
      </c>
      <c r="Z14" s="121" t="s">
        <v>1015</v>
      </c>
      <c r="AA14" s="121" t="s">
        <v>1009</v>
      </c>
      <c r="AB14" s="121" t="s">
        <v>311</v>
      </c>
      <c r="AC14" s="121" t="s">
        <v>251</v>
      </c>
      <c r="AD14" s="121" t="s">
        <v>235</v>
      </c>
      <c r="AE14" s="121" t="s">
        <v>1232</v>
      </c>
      <c r="AF14" s="123" t="s">
        <v>278</v>
      </c>
      <c r="AG14" s="124" t="s">
        <v>1229</v>
      </c>
    </row>
    <row r="15" spans="1:33" x14ac:dyDescent="0.3">
      <c r="A15" s="90">
        <v>45021</v>
      </c>
      <c r="B15" s="120" t="s">
        <v>1025</v>
      </c>
      <c r="C15" s="121"/>
      <c r="D15" s="121" t="s">
        <v>1017</v>
      </c>
      <c r="E15" s="121" t="s">
        <v>1011</v>
      </c>
      <c r="F15" s="121" t="s">
        <v>248</v>
      </c>
      <c r="G15" s="121"/>
      <c r="H15" s="121"/>
      <c r="I15" s="121" t="s">
        <v>274</v>
      </c>
      <c r="J15" s="121" t="s">
        <v>339</v>
      </c>
      <c r="K15" s="121" t="s">
        <v>1022</v>
      </c>
      <c r="L15" s="121" t="s">
        <v>1012</v>
      </c>
      <c r="M15" s="121" t="s">
        <v>1013</v>
      </c>
      <c r="N15" s="121"/>
      <c r="O15" s="121" t="s">
        <v>1023</v>
      </c>
      <c r="P15" s="123" t="s">
        <v>250</v>
      </c>
      <c r="Q15" s="124" t="s">
        <v>228</v>
      </c>
      <c r="R15" s="120" t="s">
        <v>1025</v>
      </c>
      <c r="S15" s="121" t="s">
        <v>1010</v>
      </c>
      <c r="T15" s="121" t="s">
        <v>231</v>
      </c>
      <c r="U15" s="121" t="s">
        <v>268</v>
      </c>
      <c r="V15" s="121" t="s">
        <v>1016</v>
      </c>
      <c r="W15" s="121" t="s">
        <v>1014</v>
      </c>
      <c r="X15" s="121" t="s">
        <v>346</v>
      </c>
      <c r="Y15" s="121" t="s">
        <v>234</v>
      </c>
      <c r="Z15" s="121" t="s">
        <v>1015</v>
      </c>
      <c r="AA15" s="121" t="s">
        <v>1009</v>
      </c>
      <c r="AB15" s="121" t="s">
        <v>311</v>
      </c>
      <c r="AC15" s="121" t="s">
        <v>251</v>
      </c>
      <c r="AD15" s="121" t="s">
        <v>235</v>
      </c>
      <c r="AE15" s="121" t="s">
        <v>1232</v>
      </c>
      <c r="AF15" s="123" t="s">
        <v>278</v>
      </c>
      <c r="AG15" s="124" t="s">
        <v>1229</v>
      </c>
    </row>
    <row r="16" spans="1:33" x14ac:dyDescent="0.3">
      <c r="A16" s="90">
        <v>45022</v>
      </c>
      <c r="B16" s="120" t="s">
        <v>1026</v>
      </c>
      <c r="C16" s="121" t="s">
        <v>226</v>
      </c>
      <c r="D16" s="121" t="s">
        <v>241</v>
      </c>
      <c r="E16" s="121"/>
      <c r="F16" s="125" t="s">
        <v>1027</v>
      </c>
      <c r="G16" s="121" t="s">
        <v>392</v>
      </c>
      <c r="H16" s="121" t="s">
        <v>1028</v>
      </c>
      <c r="I16" s="125" t="s">
        <v>1029</v>
      </c>
      <c r="J16" s="121"/>
      <c r="K16" s="125" t="s">
        <v>246</v>
      </c>
      <c r="L16" s="125" t="s">
        <v>270</v>
      </c>
      <c r="M16" s="121"/>
      <c r="N16" s="121" t="s">
        <v>1030</v>
      </c>
      <c r="O16" s="121" t="s">
        <v>1023</v>
      </c>
      <c r="P16" s="123"/>
      <c r="Q16" s="124" t="s">
        <v>1031</v>
      </c>
      <c r="R16" s="120" t="s">
        <v>1026</v>
      </c>
      <c r="S16" s="121" t="s">
        <v>222</v>
      </c>
      <c r="T16" s="121" t="s">
        <v>1032</v>
      </c>
      <c r="U16" s="121" t="s">
        <v>268</v>
      </c>
      <c r="V16" s="125"/>
      <c r="W16" s="121" t="s">
        <v>221</v>
      </c>
      <c r="X16" s="121" t="s">
        <v>1033</v>
      </c>
      <c r="Y16" s="125" t="s">
        <v>234</v>
      </c>
      <c r="Z16" s="121"/>
      <c r="AA16" s="125" t="s">
        <v>224</v>
      </c>
      <c r="AB16" s="125" t="s">
        <v>1034</v>
      </c>
      <c r="AC16" s="121"/>
      <c r="AD16" s="121"/>
      <c r="AE16" s="121"/>
      <c r="AF16" s="123"/>
      <c r="AG16" s="124" t="s">
        <v>1229</v>
      </c>
    </row>
    <row r="17" spans="1:33" x14ac:dyDescent="0.3">
      <c r="A17" s="90">
        <v>45023</v>
      </c>
      <c r="B17" s="120" t="s">
        <v>1035</v>
      </c>
      <c r="C17" s="121" t="s">
        <v>226</v>
      </c>
      <c r="D17" s="121" t="s">
        <v>241</v>
      </c>
      <c r="E17" s="121" t="s">
        <v>264</v>
      </c>
      <c r="F17" s="126" t="s">
        <v>1027</v>
      </c>
      <c r="G17" s="121" t="s">
        <v>392</v>
      </c>
      <c r="H17" s="121" t="s">
        <v>1028</v>
      </c>
      <c r="I17" s="126" t="s">
        <v>1029</v>
      </c>
      <c r="J17" s="121" t="s">
        <v>255</v>
      </c>
      <c r="K17" s="121" t="s">
        <v>246</v>
      </c>
      <c r="L17" s="121" t="s">
        <v>270</v>
      </c>
      <c r="M17" s="121" t="s">
        <v>243</v>
      </c>
      <c r="N17" s="121" t="s">
        <v>1030</v>
      </c>
      <c r="O17" s="121" t="s">
        <v>287</v>
      </c>
      <c r="P17" s="123" t="s">
        <v>1022</v>
      </c>
      <c r="Q17" s="124" t="s">
        <v>1031</v>
      </c>
      <c r="R17" s="120" t="s">
        <v>1035</v>
      </c>
      <c r="S17" s="121" t="s">
        <v>222</v>
      </c>
      <c r="T17" s="121"/>
      <c r="U17" s="121" t="s">
        <v>1036</v>
      </c>
      <c r="V17" s="126" t="s">
        <v>244</v>
      </c>
      <c r="W17" s="121"/>
      <c r="X17" s="121" t="s">
        <v>1033</v>
      </c>
      <c r="Y17" s="126" t="s">
        <v>1227</v>
      </c>
      <c r="Z17" s="121" t="s">
        <v>234</v>
      </c>
      <c r="AA17" s="121" t="s">
        <v>224</v>
      </c>
      <c r="AB17" s="121" t="s">
        <v>1034</v>
      </c>
      <c r="AC17" s="121" t="s">
        <v>1228</v>
      </c>
      <c r="AD17" s="121" t="s">
        <v>1037</v>
      </c>
      <c r="AE17" s="121" t="s">
        <v>325</v>
      </c>
      <c r="AF17" s="123" t="s">
        <v>1008</v>
      </c>
      <c r="AG17" s="124" t="s">
        <v>1038</v>
      </c>
    </row>
    <row r="18" spans="1:33" x14ac:dyDescent="0.3">
      <c r="A18" s="90">
        <v>45024</v>
      </c>
      <c r="B18" s="120" t="s">
        <v>1039</v>
      </c>
      <c r="C18" s="121" t="s">
        <v>226</v>
      </c>
      <c r="D18" s="121" t="s">
        <v>241</v>
      </c>
      <c r="E18" s="121" t="s">
        <v>264</v>
      </c>
      <c r="F18" s="121" t="s">
        <v>1027</v>
      </c>
      <c r="G18" s="121" t="s">
        <v>392</v>
      </c>
      <c r="H18" s="121" t="s">
        <v>1028</v>
      </c>
      <c r="I18" s="121" t="s">
        <v>1029</v>
      </c>
      <c r="J18" s="121" t="s">
        <v>255</v>
      </c>
      <c r="K18" s="121" t="s">
        <v>246</v>
      </c>
      <c r="L18" s="121" t="s">
        <v>270</v>
      </c>
      <c r="M18" s="121" t="s">
        <v>243</v>
      </c>
      <c r="N18" s="121" t="s">
        <v>1030</v>
      </c>
      <c r="O18" s="121" t="s">
        <v>287</v>
      </c>
      <c r="P18" s="123" t="s">
        <v>1022</v>
      </c>
      <c r="Q18" s="124" t="s">
        <v>1031</v>
      </c>
      <c r="R18" s="120" t="s">
        <v>1039</v>
      </c>
      <c r="S18" s="121" t="s">
        <v>222</v>
      </c>
      <c r="T18" s="121" t="s">
        <v>1032</v>
      </c>
      <c r="U18" s="121" t="s">
        <v>1036</v>
      </c>
      <c r="V18" s="121" t="s">
        <v>244</v>
      </c>
      <c r="W18" s="121" t="s">
        <v>221</v>
      </c>
      <c r="X18" s="121" t="s">
        <v>1033</v>
      </c>
      <c r="Y18" s="121" t="s">
        <v>1227</v>
      </c>
      <c r="Z18" s="121" t="s">
        <v>234</v>
      </c>
      <c r="AA18" s="121" t="s">
        <v>224</v>
      </c>
      <c r="AB18" s="121" t="s">
        <v>1034</v>
      </c>
      <c r="AC18" s="121" t="s">
        <v>1228</v>
      </c>
      <c r="AD18" s="121" t="s">
        <v>1037</v>
      </c>
      <c r="AE18" s="121" t="s">
        <v>325</v>
      </c>
      <c r="AF18" s="123" t="s">
        <v>1008</v>
      </c>
      <c r="AG18" s="124" t="s">
        <v>1038</v>
      </c>
    </row>
    <row r="19" spans="1:33" ht="15" thickBot="1" x14ac:dyDescent="0.35">
      <c r="A19" s="90">
        <v>45025</v>
      </c>
      <c r="B19" s="127" t="s">
        <v>1040</v>
      </c>
      <c r="C19" s="128" t="s">
        <v>226</v>
      </c>
      <c r="D19" s="128" t="s">
        <v>241</v>
      </c>
      <c r="E19" s="128" t="s">
        <v>264</v>
      </c>
      <c r="F19" s="128" t="s">
        <v>1027</v>
      </c>
      <c r="G19" s="128" t="s">
        <v>392</v>
      </c>
      <c r="H19" s="128" t="s">
        <v>1028</v>
      </c>
      <c r="I19" s="128" t="s">
        <v>1029</v>
      </c>
      <c r="J19" s="128" t="s">
        <v>255</v>
      </c>
      <c r="K19" s="128" t="s">
        <v>246</v>
      </c>
      <c r="L19" s="128" t="s">
        <v>270</v>
      </c>
      <c r="M19" s="128" t="s">
        <v>243</v>
      </c>
      <c r="N19" s="128" t="s">
        <v>1030</v>
      </c>
      <c r="O19" s="128" t="s">
        <v>287</v>
      </c>
      <c r="P19" s="129" t="s">
        <v>1022</v>
      </c>
      <c r="Q19" s="130" t="s">
        <v>1031</v>
      </c>
      <c r="R19" s="127" t="s">
        <v>1040</v>
      </c>
      <c r="S19" s="128" t="s">
        <v>222</v>
      </c>
      <c r="T19" s="128" t="s">
        <v>1032</v>
      </c>
      <c r="U19" s="128" t="s">
        <v>1036</v>
      </c>
      <c r="V19" s="128" t="s">
        <v>244</v>
      </c>
      <c r="W19" s="128" t="s">
        <v>221</v>
      </c>
      <c r="X19" s="128" t="s">
        <v>1033</v>
      </c>
      <c r="Y19" s="128" t="s">
        <v>1227</v>
      </c>
      <c r="Z19" s="128" t="s">
        <v>234</v>
      </c>
      <c r="AA19" s="128" t="s">
        <v>224</v>
      </c>
      <c r="AB19" s="128" t="s">
        <v>1034</v>
      </c>
      <c r="AC19" s="128" t="s">
        <v>1228</v>
      </c>
      <c r="AD19" s="128" t="s">
        <v>1037</v>
      </c>
      <c r="AE19" s="128" t="s">
        <v>325</v>
      </c>
      <c r="AF19" s="129" t="s">
        <v>1008</v>
      </c>
      <c r="AG19" s="130" t="s">
        <v>1038</v>
      </c>
    </row>
    <row r="20" spans="1:33" x14ac:dyDescent="0.3">
      <c r="A20" s="90" t="s">
        <v>3</v>
      </c>
      <c r="B20" s="6" t="s">
        <v>3</v>
      </c>
      <c r="C20" s="112" t="s">
        <v>286</v>
      </c>
      <c r="D20" s="112" t="s">
        <v>250</v>
      </c>
      <c r="E20" s="112" t="s">
        <v>248</v>
      </c>
      <c r="F20" s="112" t="s">
        <v>270</v>
      </c>
      <c r="G20" s="112" t="s">
        <v>266</v>
      </c>
      <c r="H20" s="112" t="s">
        <v>226</v>
      </c>
      <c r="I20" s="112" t="s">
        <v>246</v>
      </c>
      <c r="J20" s="112" t="s">
        <v>239</v>
      </c>
      <c r="K20" s="112" t="s">
        <v>339</v>
      </c>
      <c r="L20" s="112" t="s">
        <v>311</v>
      </c>
      <c r="M20" s="112" t="s">
        <v>231</v>
      </c>
      <c r="N20" s="112" t="s">
        <v>241</v>
      </c>
      <c r="O20" s="112" t="s">
        <v>268</v>
      </c>
      <c r="P20" s="112" t="s">
        <v>255</v>
      </c>
      <c r="Q20" s="113" t="s">
        <v>392</v>
      </c>
      <c r="R20" s="6" t="s">
        <v>1</v>
      </c>
      <c r="S20" s="112" t="s">
        <v>278</v>
      </c>
      <c r="T20" s="112" t="s">
        <v>221</v>
      </c>
      <c r="U20" s="112" t="s">
        <v>243</v>
      </c>
      <c r="V20" s="112" t="s">
        <v>251</v>
      </c>
      <c r="W20" s="112" t="s">
        <v>346</v>
      </c>
      <c r="X20" s="112" t="s">
        <v>224</v>
      </c>
      <c r="Y20" s="112" t="s">
        <v>287</v>
      </c>
      <c r="Z20" s="112" t="s">
        <v>235</v>
      </c>
      <c r="AA20" s="112" t="s">
        <v>274</v>
      </c>
      <c r="AB20" s="112" t="s">
        <v>222</v>
      </c>
      <c r="AC20" s="112" t="s">
        <v>325</v>
      </c>
      <c r="AD20" s="112" t="s">
        <v>244</v>
      </c>
      <c r="AE20" s="112" t="s">
        <v>228</v>
      </c>
      <c r="AF20" s="112" t="s">
        <v>264</v>
      </c>
      <c r="AG20" s="113" t="s">
        <v>234</v>
      </c>
    </row>
    <row r="21" spans="1:33" x14ac:dyDescent="0.3">
      <c r="A21" s="90"/>
      <c r="B21" s="114"/>
      <c r="C21" s="115">
        <v>6</v>
      </c>
      <c r="D21" s="115">
        <v>6</v>
      </c>
      <c r="E21" s="115">
        <v>6</v>
      </c>
      <c r="F21" s="115">
        <v>7</v>
      </c>
      <c r="G21" s="115">
        <v>6</v>
      </c>
      <c r="H21" s="115">
        <v>6</v>
      </c>
      <c r="I21" s="115">
        <v>6</v>
      </c>
      <c r="J21" s="115">
        <v>7</v>
      </c>
      <c r="K21" s="115">
        <v>6</v>
      </c>
      <c r="L21" s="115">
        <v>7</v>
      </c>
      <c r="M21" s="115">
        <v>7</v>
      </c>
      <c r="N21" s="115">
        <v>7</v>
      </c>
      <c r="O21" s="115">
        <v>6</v>
      </c>
      <c r="P21" s="115">
        <v>7</v>
      </c>
      <c r="Q21" s="116">
        <v>6</v>
      </c>
      <c r="R21" s="114"/>
      <c r="S21" s="115">
        <v>7</v>
      </c>
      <c r="T21" s="115">
        <v>7</v>
      </c>
      <c r="U21" s="115">
        <v>6</v>
      </c>
      <c r="V21" s="115">
        <v>6</v>
      </c>
      <c r="W21" s="115">
        <v>6</v>
      </c>
      <c r="X21" s="115">
        <v>6</v>
      </c>
      <c r="Y21" s="115">
        <v>6</v>
      </c>
      <c r="Z21" s="115">
        <v>6</v>
      </c>
      <c r="AA21" s="115">
        <v>7</v>
      </c>
      <c r="AB21" s="115">
        <v>7</v>
      </c>
      <c r="AC21" s="115">
        <v>7</v>
      </c>
      <c r="AD21" s="115">
        <v>6</v>
      </c>
      <c r="AE21" s="115">
        <v>7</v>
      </c>
      <c r="AF21" s="115">
        <v>6</v>
      </c>
      <c r="AG21" s="116">
        <v>6</v>
      </c>
    </row>
    <row r="22" spans="1:33" x14ac:dyDescent="0.3">
      <c r="A22" s="90">
        <v>45026</v>
      </c>
      <c r="B22" s="131" t="s">
        <v>1041</v>
      </c>
      <c r="C22" s="132" t="s">
        <v>239</v>
      </c>
      <c r="D22" s="132" t="s">
        <v>270</v>
      </c>
      <c r="E22" s="132" t="s">
        <v>244</v>
      </c>
      <c r="F22" s="132" t="s">
        <v>1030</v>
      </c>
      <c r="G22" s="132" t="s">
        <v>255</v>
      </c>
      <c r="H22" s="132" t="s">
        <v>1227</v>
      </c>
      <c r="I22" s="132" t="s">
        <v>1027</v>
      </c>
      <c r="J22" s="132" t="s">
        <v>1028</v>
      </c>
      <c r="K22" s="132" t="s">
        <v>241</v>
      </c>
      <c r="L22" s="132" t="s">
        <v>246</v>
      </c>
      <c r="M22" s="132" t="s">
        <v>224</v>
      </c>
      <c r="N22" s="132" t="s">
        <v>1029</v>
      </c>
      <c r="O22" s="132" t="s">
        <v>226</v>
      </c>
      <c r="P22" s="132" t="s">
        <v>1031</v>
      </c>
      <c r="Q22" s="133" t="s">
        <v>1038</v>
      </c>
      <c r="R22" s="131" t="s">
        <v>1041</v>
      </c>
      <c r="S22" s="132" t="s">
        <v>325</v>
      </c>
      <c r="T22" s="132" t="s">
        <v>1228</v>
      </c>
      <c r="U22" s="132" t="s">
        <v>1033</v>
      </c>
      <c r="V22" s="132" t="s">
        <v>222</v>
      </c>
      <c r="W22" s="132"/>
      <c r="X22" s="132" t="s">
        <v>1036</v>
      </c>
      <c r="Y22" s="132" t="s">
        <v>1010</v>
      </c>
      <c r="Z22" s="132" t="s">
        <v>392</v>
      </c>
      <c r="AA22" s="132" t="s">
        <v>243</v>
      </c>
      <c r="AB22" s="132" t="s">
        <v>1037</v>
      </c>
      <c r="AC22" s="132" t="s">
        <v>1034</v>
      </c>
      <c r="AD22" s="132" t="s">
        <v>1008</v>
      </c>
      <c r="AE22" s="132" t="s">
        <v>221</v>
      </c>
      <c r="AF22" s="132" t="s">
        <v>287</v>
      </c>
      <c r="AG22" s="133"/>
    </row>
    <row r="23" spans="1:33" x14ac:dyDescent="0.3">
      <c r="A23" s="90">
        <v>45027</v>
      </c>
      <c r="B23" s="131" t="s">
        <v>1042</v>
      </c>
      <c r="C23" s="132" t="s">
        <v>239</v>
      </c>
      <c r="D23" s="132" t="s">
        <v>270</v>
      </c>
      <c r="E23" s="132" t="s">
        <v>244</v>
      </c>
      <c r="F23" s="132" t="s">
        <v>1030</v>
      </c>
      <c r="G23" s="132" t="s">
        <v>255</v>
      </c>
      <c r="H23" s="132" t="s">
        <v>1227</v>
      </c>
      <c r="I23" s="132" t="s">
        <v>1027</v>
      </c>
      <c r="J23" s="132" t="s">
        <v>1028</v>
      </c>
      <c r="K23" s="132" t="s">
        <v>241</v>
      </c>
      <c r="L23" s="132" t="s">
        <v>246</v>
      </c>
      <c r="M23" s="132" t="s">
        <v>224</v>
      </c>
      <c r="N23" s="132" t="s">
        <v>1029</v>
      </c>
      <c r="O23" s="132" t="s">
        <v>226</v>
      </c>
      <c r="P23" s="132" t="s">
        <v>1031</v>
      </c>
      <c r="Q23" s="133" t="s">
        <v>1038</v>
      </c>
      <c r="R23" s="131" t="s">
        <v>1042</v>
      </c>
      <c r="S23" s="132" t="s">
        <v>325</v>
      </c>
      <c r="T23" s="132" t="s">
        <v>1228</v>
      </c>
      <c r="U23" s="132" t="s">
        <v>1033</v>
      </c>
      <c r="V23" s="132" t="s">
        <v>222</v>
      </c>
      <c r="W23" s="132" t="s">
        <v>1043</v>
      </c>
      <c r="X23" s="132" t="s">
        <v>1036</v>
      </c>
      <c r="Y23" s="132" t="s">
        <v>1010</v>
      </c>
      <c r="Z23" s="132" t="s">
        <v>392</v>
      </c>
      <c r="AA23" s="132" t="s">
        <v>243</v>
      </c>
      <c r="AB23" s="132" t="s">
        <v>1037</v>
      </c>
      <c r="AC23" s="132" t="s">
        <v>1034</v>
      </c>
      <c r="AD23" s="132" t="s">
        <v>1008</v>
      </c>
      <c r="AE23" s="132" t="s">
        <v>221</v>
      </c>
      <c r="AF23" s="132" t="s">
        <v>287</v>
      </c>
      <c r="AG23" s="133" t="s">
        <v>346</v>
      </c>
    </row>
    <row r="24" spans="1:33" x14ac:dyDescent="0.3">
      <c r="A24" s="90">
        <v>45028</v>
      </c>
      <c r="B24" s="131" t="s">
        <v>1044</v>
      </c>
      <c r="C24" s="132" t="s">
        <v>239</v>
      </c>
      <c r="D24" s="132" t="s">
        <v>270</v>
      </c>
      <c r="E24" s="132" t="s">
        <v>244</v>
      </c>
      <c r="F24" s="132" t="s">
        <v>1030</v>
      </c>
      <c r="G24" s="132" t="s">
        <v>255</v>
      </c>
      <c r="H24" s="132" t="s">
        <v>1227</v>
      </c>
      <c r="I24" s="132" t="s">
        <v>1027</v>
      </c>
      <c r="J24" s="132" t="s">
        <v>1028</v>
      </c>
      <c r="K24" s="132" t="s">
        <v>241</v>
      </c>
      <c r="L24" s="132" t="s">
        <v>246</v>
      </c>
      <c r="M24" s="132" t="s">
        <v>224</v>
      </c>
      <c r="N24" s="132" t="s">
        <v>1029</v>
      </c>
      <c r="O24" s="132" t="s">
        <v>226</v>
      </c>
      <c r="P24" s="132" t="s">
        <v>1031</v>
      </c>
      <c r="Q24" s="133" t="s">
        <v>1038</v>
      </c>
      <c r="R24" s="131" t="s">
        <v>1044</v>
      </c>
      <c r="S24" s="132" t="s">
        <v>325</v>
      </c>
      <c r="T24" s="132" t="s">
        <v>1228</v>
      </c>
      <c r="U24" s="132" t="s">
        <v>1033</v>
      </c>
      <c r="V24" s="132" t="s">
        <v>222</v>
      </c>
      <c r="W24" s="132" t="s">
        <v>1043</v>
      </c>
      <c r="X24" s="132" t="s">
        <v>1036</v>
      </c>
      <c r="Y24" s="132" t="s">
        <v>1010</v>
      </c>
      <c r="Z24" s="132" t="s">
        <v>392</v>
      </c>
      <c r="AA24" s="132" t="s">
        <v>243</v>
      </c>
      <c r="AB24" s="132" t="s">
        <v>1037</v>
      </c>
      <c r="AC24" s="132" t="s">
        <v>1034</v>
      </c>
      <c r="AD24" s="132" t="s">
        <v>1008</v>
      </c>
      <c r="AE24" s="132" t="s">
        <v>221</v>
      </c>
      <c r="AF24" s="132" t="s">
        <v>287</v>
      </c>
      <c r="AG24" s="133" t="s">
        <v>346</v>
      </c>
    </row>
    <row r="25" spans="1:33" x14ac:dyDescent="0.3">
      <c r="A25" s="90">
        <v>45029</v>
      </c>
      <c r="B25" s="131" t="s">
        <v>1045</v>
      </c>
      <c r="C25" s="132"/>
      <c r="D25" s="132"/>
      <c r="E25" s="132"/>
      <c r="F25" s="134" t="s">
        <v>311</v>
      </c>
      <c r="G25" s="132"/>
      <c r="H25" s="132"/>
      <c r="I25" s="132"/>
      <c r="J25" s="132" t="s">
        <v>1230</v>
      </c>
      <c r="K25" s="132"/>
      <c r="L25" s="132" t="s">
        <v>1011</v>
      </c>
      <c r="M25" s="132" t="s">
        <v>1017</v>
      </c>
      <c r="N25" s="132" t="s">
        <v>239</v>
      </c>
      <c r="O25" s="132"/>
      <c r="P25" s="132" t="s">
        <v>231</v>
      </c>
      <c r="Q25" s="133"/>
      <c r="R25" s="131" t="s">
        <v>1045</v>
      </c>
      <c r="S25" s="132" t="s">
        <v>325</v>
      </c>
      <c r="T25" s="132" t="s">
        <v>1228</v>
      </c>
      <c r="U25" s="132"/>
      <c r="V25" s="134"/>
      <c r="W25" s="132" t="s">
        <v>1043</v>
      </c>
      <c r="X25" s="132"/>
      <c r="Y25" s="132"/>
      <c r="Z25" s="132"/>
      <c r="AA25" s="132" t="s">
        <v>1012</v>
      </c>
      <c r="AB25" s="132" t="s">
        <v>274</v>
      </c>
      <c r="AC25" s="132" t="s">
        <v>1034</v>
      </c>
      <c r="AD25" s="132"/>
      <c r="AE25" s="132" t="s">
        <v>221</v>
      </c>
      <c r="AF25" s="132"/>
      <c r="AG25" s="133" t="s">
        <v>346</v>
      </c>
    </row>
    <row r="26" spans="1:33" x14ac:dyDescent="0.3">
      <c r="A26" s="90">
        <v>45030</v>
      </c>
      <c r="B26" s="131" t="s">
        <v>1046</v>
      </c>
      <c r="C26" s="132" t="s">
        <v>1009</v>
      </c>
      <c r="D26" s="132" t="s">
        <v>1229</v>
      </c>
      <c r="E26" s="132" t="s">
        <v>1007</v>
      </c>
      <c r="F26" s="132" t="s">
        <v>311</v>
      </c>
      <c r="G26" s="132" t="s">
        <v>1015</v>
      </c>
      <c r="H26" s="132" t="s">
        <v>248</v>
      </c>
      <c r="I26" s="132" t="s">
        <v>286</v>
      </c>
      <c r="J26" s="132" t="s">
        <v>1230</v>
      </c>
      <c r="K26" s="132" t="s">
        <v>1016</v>
      </c>
      <c r="L26" s="132" t="s">
        <v>1011</v>
      </c>
      <c r="M26" s="132" t="s">
        <v>1017</v>
      </c>
      <c r="N26" s="132" t="s">
        <v>239</v>
      </c>
      <c r="O26" s="132" t="s">
        <v>1032</v>
      </c>
      <c r="P26" s="132" t="s">
        <v>231</v>
      </c>
      <c r="Q26" s="133" t="s">
        <v>251</v>
      </c>
      <c r="R26" s="131" t="s">
        <v>1046</v>
      </c>
      <c r="S26" s="132" t="s">
        <v>1023</v>
      </c>
      <c r="T26" s="132" t="s">
        <v>235</v>
      </c>
      <c r="U26" s="132" t="s">
        <v>278</v>
      </c>
      <c r="V26" s="132" t="s">
        <v>1232</v>
      </c>
      <c r="W26" s="132" t="s">
        <v>268</v>
      </c>
      <c r="X26" s="132" t="s">
        <v>264</v>
      </c>
      <c r="Y26" s="132" t="s">
        <v>250</v>
      </c>
      <c r="Z26" s="132" t="s">
        <v>1013</v>
      </c>
      <c r="AA26" s="132" t="s">
        <v>1012</v>
      </c>
      <c r="AB26" s="132" t="s">
        <v>274</v>
      </c>
      <c r="AC26" s="132" t="s">
        <v>339</v>
      </c>
      <c r="AD26" s="132" t="s">
        <v>266</v>
      </c>
      <c r="AE26" s="132" t="s">
        <v>1043</v>
      </c>
      <c r="AF26" s="132" t="s">
        <v>1014</v>
      </c>
      <c r="AG26" s="133" t="s">
        <v>228</v>
      </c>
    </row>
    <row r="27" spans="1:33" x14ac:dyDescent="0.3">
      <c r="A27" s="90">
        <v>45031</v>
      </c>
      <c r="B27" s="131" t="s">
        <v>1047</v>
      </c>
      <c r="C27" s="132" t="s">
        <v>1009</v>
      </c>
      <c r="D27" s="132" t="s">
        <v>1229</v>
      </c>
      <c r="E27" s="132" t="s">
        <v>1007</v>
      </c>
      <c r="F27" s="132" t="s">
        <v>311</v>
      </c>
      <c r="G27" s="132" t="s">
        <v>1015</v>
      </c>
      <c r="H27" s="132" t="s">
        <v>248</v>
      </c>
      <c r="I27" s="132" t="s">
        <v>286</v>
      </c>
      <c r="J27" s="132" t="s">
        <v>1230</v>
      </c>
      <c r="K27" s="134" t="s">
        <v>1016</v>
      </c>
      <c r="L27" s="132" t="s">
        <v>1011</v>
      </c>
      <c r="M27" s="132" t="s">
        <v>1017</v>
      </c>
      <c r="N27" s="132" t="s">
        <v>239</v>
      </c>
      <c r="O27" s="132" t="s">
        <v>1032</v>
      </c>
      <c r="P27" s="132" t="s">
        <v>231</v>
      </c>
      <c r="Q27" s="133" t="s">
        <v>251</v>
      </c>
      <c r="R27" s="131" t="s">
        <v>1047</v>
      </c>
      <c r="S27" s="132" t="s">
        <v>1023</v>
      </c>
      <c r="T27" s="132" t="s">
        <v>235</v>
      </c>
      <c r="U27" s="132" t="s">
        <v>278</v>
      </c>
      <c r="V27" s="132" t="s">
        <v>1232</v>
      </c>
      <c r="W27" s="132" t="s">
        <v>268</v>
      </c>
      <c r="X27" s="132" t="s">
        <v>264</v>
      </c>
      <c r="Y27" s="132" t="s">
        <v>250</v>
      </c>
      <c r="Z27" s="132" t="s">
        <v>1013</v>
      </c>
      <c r="AA27" s="134" t="s">
        <v>1012</v>
      </c>
      <c r="AB27" s="132" t="s">
        <v>274</v>
      </c>
      <c r="AC27" s="132" t="s">
        <v>339</v>
      </c>
      <c r="AD27" s="132" t="s">
        <v>266</v>
      </c>
      <c r="AE27" s="132" t="s">
        <v>1043</v>
      </c>
      <c r="AF27" s="132" t="s">
        <v>1014</v>
      </c>
      <c r="AG27" s="133" t="s">
        <v>228</v>
      </c>
    </row>
    <row r="28" spans="1:33" ht="15" thickBot="1" x14ac:dyDescent="0.35">
      <c r="A28" s="90">
        <v>45032</v>
      </c>
      <c r="B28" s="135" t="s">
        <v>1048</v>
      </c>
      <c r="C28" s="136" t="s">
        <v>1009</v>
      </c>
      <c r="D28" s="136" t="s">
        <v>1229</v>
      </c>
      <c r="E28" s="136" t="s">
        <v>1007</v>
      </c>
      <c r="F28" s="136" t="s">
        <v>311</v>
      </c>
      <c r="G28" s="136" t="s">
        <v>1015</v>
      </c>
      <c r="H28" s="136" t="s">
        <v>248</v>
      </c>
      <c r="I28" s="136" t="s">
        <v>286</v>
      </c>
      <c r="J28" s="136" t="s">
        <v>1230</v>
      </c>
      <c r="K28" s="136" t="s">
        <v>1016</v>
      </c>
      <c r="L28" s="136" t="s">
        <v>1011</v>
      </c>
      <c r="M28" s="136" t="s">
        <v>1017</v>
      </c>
      <c r="N28" s="136" t="s">
        <v>239</v>
      </c>
      <c r="O28" s="136" t="s">
        <v>1032</v>
      </c>
      <c r="P28" s="136" t="s">
        <v>231</v>
      </c>
      <c r="Q28" s="137" t="s">
        <v>251</v>
      </c>
      <c r="R28" s="135" t="s">
        <v>1048</v>
      </c>
      <c r="S28" s="136" t="s">
        <v>1023</v>
      </c>
      <c r="T28" s="136" t="s">
        <v>235</v>
      </c>
      <c r="U28" s="136" t="s">
        <v>278</v>
      </c>
      <c r="V28" s="136" t="s">
        <v>1232</v>
      </c>
      <c r="W28" s="136" t="s">
        <v>268</v>
      </c>
      <c r="X28" s="136" t="s">
        <v>264</v>
      </c>
      <c r="Y28" s="136" t="s">
        <v>250</v>
      </c>
      <c r="Z28" s="136" t="s">
        <v>1013</v>
      </c>
      <c r="AA28" s="136" t="s">
        <v>1012</v>
      </c>
      <c r="AB28" s="136" t="s">
        <v>274</v>
      </c>
      <c r="AC28" s="136" t="s">
        <v>339</v>
      </c>
      <c r="AD28" s="136" t="s">
        <v>266</v>
      </c>
      <c r="AE28" s="136" t="s">
        <v>1043</v>
      </c>
      <c r="AF28" s="136" t="s">
        <v>1014</v>
      </c>
      <c r="AG28" s="137" t="s">
        <v>228</v>
      </c>
    </row>
    <row r="29" spans="1:33" x14ac:dyDescent="0.3">
      <c r="A29" s="90" t="s">
        <v>3</v>
      </c>
      <c r="B29" s="6" t="s">
        <v>3</v>
      </c>
      <c r="C29" s="112" t="s">
        <v>286</v>
      </c>
      <c r="D29" s="112" t="s">
        <v>250</v>
      </c>
      <c r="E29" s="112" t="s">
        <v>248</v>
      </c>
      <c r="F29" s="112" t="s">
        <v>270</v>
      </c>
      <c r="G29" s="112" t="s">
        <v>266</v>
      </c>
      <c r="H29" s="112" t="s">
        <v>226</v>
      </c>
      <c r="I29" s="112" t="s">
        <v>246</v>
      </c>
      <c r="J29" s="112" t="s">
        <v>239</v>
      </c>
      <c r="K29" s="112" t="s">
        <v>339</v>
      </c>
      <c r="L29" s="112" t="s">
        <v>311</v>
      </c>
      <c r="M29" s="112" t="s">
        <v>231</v>
      </c>
      <c r="N29" s="112" t="s">
        <v>241</v>
      </c>
      <c r="O29" s="112" t="s">
        <v>268</v>
      </c>
      <c r="P29" s="112" t="s">
        <v>255</v>
      </c>
      <c r="Q29" s="113" t="s">
        <v>392</v>
      </c>
      <c r="R29" s="6" t="s">
        <v>1</v>
      </c>
      <c r="S29" s="112" t="s">
        <v>278</v>
      </c>
      <c r="T29" s="112" t="s">
        <v>221</v>
      </c>
      <c r="U29" s="112" t="s">
        <v>243</v>
      </c>
      <c r="V29" s="112" t="s">
        <v>251</v>
      </c>
      <c r="W29" s="112" t="s">
        <v>346</v>
      </c>
      <c r="X29" s="112" t="s">
        <v>224</v>
      </c>
      <c r="Y29" s="112" t="s">
        <v>287</v>
      </c>
      <c r="Z29" s="112" t="s">
        <v>235</v>
      </c>
      <c r="AA29" s="112" t="s">
        <v>274</v>
      </c>
      <c r="AB29" s="112" t="s">
        <v>222</v>
      </c>
      <c r="AC29" s="112" t="s">
        <v>325</v>
      </c>
      <c r="AD29" s="112" t="s">
        <v>244</v>
      </c>
      <c r="AE29" s="112" t="s">
        <v>228</v>
      </c>
      <c r="AF29" s="112" t="s">
        <v>264</v>
      </c>
      <c r="AG29" s="113" t="s">
        <v>234</v>
      </c>
    </row>
    <row r="30" spans="1:33" x14ac:dyDescent="0.3">
      <c r="A30" s="90"/>
      <c r="B30" s="120"/>
      <c r="C30" s="121">
        <v>7</v>
      </c>
      <c r="D30" s="121">
        <v>6</v>
      </c>
      <c r="E30" s="121">
        <v>7</v>
      </c>
      <c r="F30" s="121">
        <v>7</v>
      </c>
      <c r="G30" s="121">
        <v>7</v>
      </c>
      <c r="H30" s="121">
        <v>7</v>
      </c>
      <c r="I30" s="121">
        <v>6</v>
      </c>
      <c r="J30" s="121">
        <v>6</v>
      </c>
      <c r="K30" s="121">
        <v>7</v>
      </c>
      <c r="L30" s="121">
        <v>7</v>
      </c>
      <c r="M30" s="121">
        <v>7</v>
      </c>
      <c r="N30" s="121">
        <v>7</v>
      </c>
      <c r="O30" s="121">
        <v>7</v>
      </c>
      <c r="P30" s="121">
        <v>6</v>
      </c>
      <c r="Q30" s="122">
        <v>5</v>
      </c>
      <c r="R30" s="120"/>
      <c r="S30" s="121">
        <v>5</v>
      </c>
      <c r="T30" s="121">
        <v>7</v>
      </c>
      <c r="U30" s="121">
        <v>6</v>
      </c>
      <c r="V30" s="121">
        <v>6</v>
      </c>
      <c r="W30" s="121">
        <v>6</v>
      </c>
      <c r="X30" s="121">
        <v>6</v>
      </c>
      <c r="Y30" s="121">
        <v>6</v>
      </c>
      <c r="Z30" s="121">
        <v>7</v>
      </c>
      <c r="AA30" s="121">
        <v>6</v>
      </c>
      <c r="AB30" s="121">
        <v>6</v>
      </c>
      <c r="AC30" s="121">
        <v>6</v>
      </c>
      <c r="AD30" s="121">
        <v>6</v>
      </c>
      <c r="AE30" s="121">
        <v>6</v>
      </c>
      <c r="AF30" s="121">
        <v>6</v>
      </c>
      <c r="AG30" s="122">
        <v>6</v>
      </c>
    </row>
    <row r="31" spans="1:33" x14ac:dyDescent="0.3">
      <c r="A31" s="90">
        <v>45033</v>
      </c>
      <c r="B31" s="120" t="s">
        <v>1049</v>
      </c>
      <c r="C31" s="121" t="s">
        <v>1017</v>
      </c>
      <c r="D31" s="121" t="s">
        <v>1230</v>
      </c>
      <c r="E31" s="121" t="s">
        <v>1016</v>
      </c>
      <c r="F31" s="121" t="s">
        <v>228</v>
      </c>
      <c r="G31" s="121" t="s">
        <v>231</v>
      </c>
      <c r="H31" s="121" t="s">
        <v>339</v>
      </c>
      <c r="I31" s="121" t="s">
        <v>268</v>
      </c>
      <c r="J31" s="121" t="s">
        <v>1015</v>
      </c>
      <c r="K31" s="121" t="s">
        <v>1007</v>
      </c>
      <c r="L31" s="121" t="s">
        <v>1023</v>
      </c>
      <c r="M31" s="121" t="s">
        <v>1031</v>
      </c>
      <c r="N31" s="121" t="s">
        <v>250</v>
      </c>
      <c r="O31" s="121" t="s">
        <v>1009</v>
      </c>
      <c r="P31" s="121" t="s">
        <v>286</v>
      </c>
      <c r="Q31" s="122"/>
      <c r="R31" s="120" t="s">
        <v>1049</v>
      </c>
      <c r="S31" s="121"/>
      <c r="T31" s="121" t="s">
        <v>235</v>
      </c>
      <c r="U31" s="121" t="s">
        <v>311</v>
      </c>
      <c r="V31" s="121" t="s">
        <v>1032</v>
      </c>
      <c r="W31" s="121" t="s">
        <v>251</v>
      </c>
      <c r="X31" s="121" t="s">
        <v>234</v>
      </c>
      <c r="Y31" s="121" t="s">
        <v>264</v>
      </c>
      <c r="Z31" s="121" t="s">
        <v>1013</v>
      </c>
      <c r="AA31" s="121"/>
      <c r="AB31" s="121"/>
      <c r="AC31" s="121" t="s">
        <v>248</v>
      </c>
      <c r="AD31" s="121" t="s">
        <v>239</v>
      </c>
      <c r="AE31" s="121" t="s">
        <v>1011</v>
      </c>
      <c r="AF31" s="121" t="s">
        <v>1229</v>
      </c>
      <c r="AG31" s="122" t="s">
        <v>1014</v>
      </c>
    </row>
    <row r="32" spans="1:33" x14ac:dyDescent="0.3">
      <c r="A32" s="90">
        <v>45034</v>
      </c>
      <c r="B32" s="120" t="s">
        <v>1050</v>
      </c>
      <c r="C32" s="121" t="s">
        <v>1017</v>
      </c>
      <c r="D32" s="121" t="s">
        <v>1230</v>
      </c>
      <c r="E32" s="121" t="s">
        <v>1016</v>
      </c>
      <c r="F32" s="121" t="s">
        <v>228</v>
      </c>
      <c r="G32" s="121" t="s">
        <v>231</v>
      </c>
      <c r="H32" s="121" t="s">
        <v>339</v>
      </c>
      <c r="I32" s="121" t="s">
        <v>268</v>
      </c>
      <c r="J32" s="121" t="s">
        <v>1015</v>
      </c>
      <c r="K32" s="121" t="s">
        <v>1007</v>
      </c>
      <c r="L32" s="121" t="s">
        <v>1023</v>
      </c>
      <c r="M32" s="121" t="s">
        <v>1031</v>
      </c>
      <c r="N32" s="121" t="s">
        <v>250</v>
      </c>
      <c r="O32" s="121" t="s">
        <v>1009</v>
      </c>
      <c r="P32" s="123" t="s">
        <v>286</v>
      </c>
      <c r="Q32" s="124" t="s">
        <v>278</v>
      </c>
      <c r="R32" s="120" t="s">
        <v>1050</v>
      </c>
      <c r="S32" s="121" t="s">
        <v>1232</v>
      </c>
      <c r="T32" s="121" t="s">
        <v>274</v>
      </c>
      <c r="U32" s="121" t="s">
        <v>311</v>
      </c>
      <c r="V32" s="121" t="s">
        <v>1032</v>
      </c>
      <c r="W32" s="121" t="s">
        <v>251</v>
      </c>
      <c r="X32" s="121" t="s">
        <v>234</v>
      </c>
      <c r="Y32" s="121" t="s">
        <v>264</v>
      </c>
      <c r="Z32" s="121" t="s">
        <v>1012</v>
      </c>
      <c r="AA32" s="121" t="s">
        <v>1013</v>
      </c>
      <c r="AB32" s="121" t="s">
        <v>235</v>
      </c>
      <c r="AC32" s="121" t="s">
        <v>248</v>
      </c>
      <c r="AD32" s="121" t="s">
        <v>239</v>
      </c>
      <c r="AE32" s="121" t="s">
        <v>1011</v>
      </c>
      <c r="AF32" s="123" t="s">
        <v>1229</v>
      </c>
      <c r="AG32" s="124" t="s">
        <v>1014</v>
      </c>
    </row>
    <row r="33" spans="1:33" x14ac:dyDescent="0.3">
      <c r="A33" s="90">
        <v>45035</v>
      </c>
      <c r="B33" s="120" t="s">
        <v>1051</v>
      </c>
      <c r="C33" s="121" t="s">
        <v>1017</v>
      </c>
      <c r="D33" s="121" t="s">
        <v>1230</v>
      </c>
      <c r="E33" s="121" t="s">
        <v>1016</v>
      </c>
      <c r="F33" s="121" t="s">
        <v>228</v>
      </c>
      <c r="G33" s="121" t="s">
        <v>231</v>
      </c>
      <c r="H33" s="121" t="s">
        <v>339</v>
      </c>
      <c r="I33" s="121" t="s">
        <v>268</v>
      </c>
      <c r="J33" s="121" t="s">
        <v>1015</v>
      </c>
      <c r="K33" s="121" t="s">
        <v>1007</v>
      </c>
      <c r="L33" s="121" t="s">
        <v>1023</v>
      </c>
      <c r="M33" s="121" t="s">
        <v>1031</v>
      </c>
      <c r="N33" s="121" t="s">
        <v>250</v>
      </c>
      <c r="O33" s="121" t="s">
        <v>1009</v>
      </c>
      <c r="P33" s="123" t="s">
        <v>286</v>
      </c>
      <c r="Q33" s="124" t="s">
        <v>278</v>
      </c>
      <c r="R33" s="120" t="s">
        <v>1051</v>
      </c>
      <c r="S33" s="121" t="s">
        <v>1232</v>
      </c>
      <c r="T33" s="121" t="s">
        <v>274</v>
      </c>
      <c r="U33" s="121" t="s">
        <v>311</v>
      </c>
      <c r="V33" s="121" t="s">
        <v>1032</v>
      </c>
      <c r="W33" s="121" t="s">
        <v>251</v>
      </c>
      <c r="X33" s="121" t="s">
        <v>234</v>
      </c>
      <c r="Y33" s="121" t="s">
        <v>264</v>
      </c>
      <c r="Z33" s="121" t="s">
        <v>1012</v>
      </c>
      <c r="AA33" s="121" t="s">
        <v>1013</v>
      </c>
      <c r="AB33" s="121" t="s">
        <v>235</v>
      </c>
      <c r="AC33" s="121" t="s">
        <v>248</v>
      </c>
      <c r="AD33" s="121" t="s">
        <v>239</v>
      </c>
      <c r="AE33" s="121" t="s">
        <v>1011</v>
      </c>
      <c r="AF33" s="123" t="s">
        <v>1229</v>
      </c>
      <c r="AG33" s="124" t="s">
        <v>1014</v>
      </c>
    </row>
    <row r="34" spans="1:33" x14ac:dyDescent="0.3">
      <c r="A34" s="90">
        <v>45036</v>
      </c>
      <c r="B34" s="120" t="s">
        <v>1052</v>
      </c>
      <c r="C34" s="121" t="s">
        <v>241</v>
      </c>
      <c r="D34" s="121"/>
      <c r="E34" s="121" t="s">
        <v>226</v>
      </c>
      <c r="F34" s="121" t="s">
        <v>1036</v>
      </c>
      <c r="G34" s="121" t="s">
        <v>1027</v>
      </c>
      <c r="H34" s="121" t="s">
        <v>1008</v>
      </c>
      <c r="I34" s="121"/>
      <c r="J34" s="121"/>
      <c r="K34" s="121" t="s">
        <v>1227</v>
      </c>
      <c r="L34" s="121" t="s">
        <v>266</v>
      </c>
      <c r="M34" s="121" t="s">
        <v>270</v>
      </c>
      <c r="N34" s="121" t="s">
        <v>1028</v>
      </c>
      <c r="O34" s="121" t="s">
        <v>339</v>
      </c>
      <c r="P34" s="123"/>
      <c r="Q34" s="124"/>
      <c r="R34" s="120" t="s">
        <v>1052</v>
      </c>
      <c r="S34" s="121"/>
      <c r="T34" s="121" t="s">
        <v>274</v>
      </c>
      <c r="U34" s="121"/>
      <c r="V34" s="121"/>
      <c r="W34" s="121"/>
      <c r="X34" s="121"/>
      <c r="Y34" s="121"/>
      <c r="Z34" s="121" t="s">
        <v>1012</v>
      </c>
      <c r="AA34" s="121" t="s">
        <v>1013</v>
      </c>
      <c r="AB34" s="121" t="s">
        <v>235</v>
      </c>
      <c r="AC34" s="121"/>
      <c r="AD34" s="121"/>
      <c r="AE34" s="121"/>
      <c r="AF34" s="123"/>
      <c r="AG34" s="124"/>
    </row>
    <row r="35" spans="1:33" x14ac:dyDescent="0.3">
      <c r="A35" s="90">
        <v>45037</v>
      </c>
      <c r="B35" s="120" t="s">
        <v>1053</v>
      </c>
      <c r="C35" s="121" t="s">
        <v>241</v>
      </c>
      <c r="D35" s="121" t="s">
        <v>224</v>
      </c>
      <c r="E35" s="121" t="s">
        <v>226</v>
      </c>
      <c r="F35" s="121" t="s">
        <v>1036</v>
      </c>
      <c r="G35" s="121" t="s">
        <v>1027</v>
      </c>
      <c r="H35" s="121" t="s">
        <v>1008</v>
      </c>
      <c r="I35" s="121" t="s">
        <v>1037</v>
      </c>
      <c r="J35" s="121" t="s">
        <v>221</v>
      </c>
      <c r="K35" s="121" t="s">
        <v>1227</v>
      </c>
      <c r="L35" s="121" t="s">
        <v>266</v>
      </c>
      <c r="M35" s="121" t="s">
        <v>270</v>
      </c>
      <c r="N35" s="121" t="s">
        <v>1028</v>
      </c>
      <c r="O35" s="121" t="s">
        <v>339</v>
      </c>
      <c r="P35" s="123" t="s">
        <v>1015</v>
      </c>
      <c r="Q35" s="124" t="s">
        <v>1033</v>
      </c>
      <c r="R35" s="120" t="s">
        <v>1053</v>
      </c>
      <c r="S35" s="121" t="s">
        <v>346</v>
      </c>
      <c r="T35" s="121" t="s">
        <v>1022</v>
      </c>
      <c r="U35" s="121" t="s">
        <v>1228</v>
      </c>
      <c r="V35" s="121" t="s">
        <v>246</v>
      </c>
      <c r="W35" s="121" t="s">
        <v>1034</v>
      </c>
      <c r="X35" s="121" t="s">
        <v>1030</v>
      </c>
      <c r="Y35" s="121" t="s">
        <v>1038</v>
      </c>
      <c r="Z35" s="121" t="s">
        <v>287</v>
      </c>
      <c r="AA35" s="121" t="s">
        <v>392</v>
      </c>
      <c r="AB35" s="121" t="s">
        <v>234</v>
      </c>
      <c r="AC35" s="121" t="s">
        <v>1010</v>
      </c>
      <c r="AD35" s="121" t="s">
        <v>255</v>
      </c>
      <c r="AE35" s="121" t="s">
        <v>243</v>
      </c>
      <c r="AF35" s="123" t="s">
        <v>325</v>
      </c>
      <c r="AG35" s="124" t="s">
        <v>1012</v>
      </c>
    </row>
    <row r="36" spans="1:33" x14ac:dyDescent="0.3">
      <c r="A36" s="90">
        <v>45038</v>
      </c>
      <c r="B36" s="120" t="s">
        <v>1054</v>
      </c>
      <c r="C36" s="121" t="s">
        <v>241</v>
      </c>
      <c r="D36" s="121" t="s">
        <v>224</v>
      </c>
      <c r="E36" s="121" t="s">
        <v>226</v>
      </c>
      <c r="F36" s="121" t="s">
        <v>1036</v>
      </c>
      <c r="G36" s="121" t="s">
        <v>1027</v>
      </c>
      <c r="H36" s="121" t="s">
        <v>1008</v>
      </c>
      <c r="I36" s="121" t="s">
        <v>1037</v>
      </c>
      <c r="J36" s="121" t="s">
        <v>221</v>
      </c>
      <c r="K36" s="121" t="s">
        <v>1227</v>
      </c>
      <c r="L36" s="121" t="s">
        <v>266</v>
      </c>
      <c r="M36" s="121" t="s">
        <v>270</v>
      </c>
      <c r="N36" s="121" t="s">
        <v>1028</v>
      </c>
      <c r="O36" s="121" t="s">
        <v>339</v>
      </c>
      <c r="P36" s="123" t="s">
        <v>1015</v>
      </c>
      <c r="Q36" s="124" t="s">
        <v>1033</v>
      </c>
      <c r="R36" s="120" t="s">
        <v>1054</v>
      </c>
      <c r="S36" s="121" t="s">
        <v>346</v>
      </c>
      <c r="T36" s="121" t="s">
        <v>1022</v>
      </c>
      <c r="U36" s="121" t="s">
        <v>1228</v>
      </c>
      <c r="V36" s="121" t="s">
        <v>246</v>
      </c>
      <c r="W36" s="121" t="s">
        <v>1034</v>
      </c>
      <c r="X36" s="121" t="s">
        <v>1030</v>
      </c>
      <c r="Y36" s="121" t="s">
        <v>1038</v>
      </c>
      <c r="Z36" s="121" t="s">
        <v>287</v>
      </c>
      <c r="AA36" s="121" t="s">
        <v>392</v>
      </c>
      <c r="AB36" s="121" t="s">
        <v>234</v>
      </c>
      <c r="AC36" s="121" t="s">
        <v>1010</v>
      </c>
      <c r="AD36" s="121" t="s">
        <v>255</v>
      </c>
      <c r="AE36" s="121" t="s">
        <v>243</v>
      </c>
      <c r="AF36" s="123" t="s">
        <v>325</v>
      </c>
      <c r="AG36" s="124" t="s">
        <v>1012</v>
      </c>
    </row>
    <row r="37" spans="1:33" ht="15" thickBot="1" x14ac:dyDescent="0.35">
      <c r="A37" s="90">
        <v>45039</v>
      </c>
      <c r="B37" s="127" t="s">
        <v>1055</v>
      </c>
      <c r="C37" s="128" t="s">
        <v>241</v>
      </c>
      <c r="D37" s="128" t="s">
        <v>224</v>
      </c>
      <c r="E37" s="128" t="s">
        <v>226</v>
      </c>
      <c r="F37" s="128" t="s">
        <v>1036</v>
      </c>
      <c r="G37" s="128" t="s">
        <v>1027</v>
      </c>
      <c r="H37" s="128" t="s">
        <v>1008</v>
      </c>
      <c r="I37" s="128" t="s">
        <v>1037</v>
      </c>
      <c r="J37" s="128" t="s">
        <v>221</v>
      </c>
      <c r="K37" s="128" t="s">
        <v>1227</v>
      </c>
      <c r="L37" s="128" t="s">
        <v>266</v>
      </c>
      <c r="M37" s="128" t="s">
        <v>270</v>
      </c>
      <c r="N37" s="128" t="s">
        <v>1028</v>
      </c>
      <c r="O37" s="128" t="s">
        <v>339</v>
      </c>
      <c r="P37" s="129" t="s">
        <v>1015</v>
      </c>
      <c r="Q37" s="130" t="s">
        <v>1033</v>
      </c>
      <c r="R37" s="127" t="s">
        <v>1055</v>
      </c>
      <c r="S37" s="128" t="s">
        <v>346</v>
      </c>
      <c r="T37" s="128" t="s">
        <v>1022</v>
      </c>
      <c r="U37" s="128" t="s">
        <v>1228</v>
      </c>
      <c r="V37" s="128" t="s">
        <v>246</v>
      </c>
      <c r="W37" s="128" t="s">
        <v>1034</v>
      </c>
      <c r="X37" s="128" t="s">
        <v>1030</v>
      </c>
      <c r="Y37" s="128" t="s">
        <v>1038</v>
      </c>
      <c r="Z37" s="128" t="s">
        <v>287</v>
      </c>
      <c r="AA37" s="128" t="s">
        <v>392</v>
      </c>
      <c r="AB37" s="128" t="s">
        <v>234</v>
      </c>
      <c r="AC37" s="128" t="s">
        <v>1010</v>
      </c>
      <c r="AD37" s="128" t="s">
        <v>255</v>
      </c>
      <c r="AE37" s="128" t="s">
        <v>243</v>
      </c>
      <c r="AF37" s="129" t="s">
        <v>325</v>
      </c>
      <c r="AG37" s="130" t="s">
        <v>1012</v>
      </c>
    </row>
    <row r="38" spans="1:33" x14ac:dyDescent="0.3">
      <c r="A38" s="90" t="s">
        <v>3</v>
      </c>
      <c r="B38" s="6" t="s">
        <v>3</v>
      </c>
      <c r="C38" s="112" t="s">
        <v>286</v>
      </c>
      <c r="D38" s="112" t="s">
        <v>250</v>
      </c>
      <c r="E38" s="112" t="s">
        <v>248</v>
      </c>
      <c r="F38" s="112" t="s">
        <v>270</v>
      </c>
      <c r="G38" s="112" t="s">
        <v>266</v>
      </c>
      <c r="H38" s="112" t="s">
        <v>226</v>
      </c>
      <c r="I38" s="112" t="s">
        <v>246</v>
      </c>
      <c r="J38" s="112" t="s">
        <v>239</v>
      </c>
      <c r="K38" s="112" t="s">
        <v>339</v>
      </c>
      <c r="L38" s="112" t="s">
        <v>311</v>
      </c>
      <c r="M38" s="112" t="s">
        <v>231</v>
      </c>
      <c r="N38" s="112" t="s">
        <v>241</v>
      </c>
      <c r="O38" s="112" t="s">
        <v>268</v>
      </c>
      <c r="P38" s="112" t="s">
        <v>255</v>
      </c>
      <c r="Q38" s="113" t="s">
        <v>392</v>
      </c>
      <c r="R38" s="6" t="s">
        <v>1</v>
      </c>
      <c r="S38" s="112" t="s">
        <v>278</v>
      </c>
      <c r="T38" s="112" t="s">
        <v>221</v>
      </c>
      <c r="U38" s="112" t="s">
        <v>243</v>
      </c>
      <c r="V38" s="112" t="s">
        <v>251</v>
      </c>
      <c r="W38" s="112" t="s">
        <v>346</v>
      </c>
      <c r="X38" s="112" t="s">
        <v>224</v>
      </c>
      <c r="Y38" s="112" t="s">
        <v>287</v>
      </c>
      <c r="Z38" s="112" t="s">
        <v>235</v>
      </c>
      <c r="AA38" s="112" t="s">
        <v>274</v>
      </c>
      <c r="AB38" s="112" t="s">
        <v>222</v>
      </c>
      <c r="AC38" s="112" t="s">
        <v>325</v>
      </c>
      <c r="AD38" s="112" t="s">
        <v>244</v>
      </c>
      <c r="AE38" s="112" t="s">
        <v>228</v>
      </c>
      <c r="AF38" s="112" t="s">
        <v>264</v>
      </c>
      <c r="AG38" s="113" t="s">
        <v>234</v>
      </c>
    </row>
    <row r="39" spans="1:33" x14ac:dyDescent="0.3">
      <c r="A39" s="90"/>
      <c r="B39" s="114"/>
      <c r="C39" s="115">
        <v>6</v>
      </c>
      <c r="D39" s="115">
        <v>7</v>
      </c>
      <c r="E39" s="115">
        <v>6</v>
      </c>
      <c r="F39" s="115">
        <v>6</v>
      </c>
      <c r="G39" s="115">
        <v>6</v>
      </c>
      <c r="H39" s="115">
        <v>6</v>
      </c>
      <c r="I39" s="115">
        <v>7</v>
      </c>
      <c r="J39" s="115">
        <v>6</v>
      </c>
      <c r="K39" s="115">
        <v>6</v>
      </c>
      <c r="L39" s="115">
        <v>6</v>
      </c>
      <c r="M39" s="115">
        <v>6</v>
      </c>
      <c r="N39" s="115">
        <v>5</v>
      </c>
      <c r="O39" s="115">
        <v>6</v>
      </c>
      <c r="P39" s="115">
        <v>7</v>
      </c>
      <c r="Q39" s="116">
        <v>6</v>
      </c>
      <c r="R39" s="114"/>
      <c r="S39" s="115">
        <v>7</v>
      </c>
      <c r="T39" s="115">
        <v>6</v>
      </c>
      <c r="U39" s="115">
        <v>7</v>
      </c>
      <c r="V39" s="115">
        <v>6</v>
      </c>
      <c r="W39" s="115">
        <v>7</v>
      </c>
      <c r="X39" s="115">
        <v>6</v>
      </c>
      <c r="Y39" s="115">
        <v>7</v>
      </c>
      <c r="Z39" s="115">
        <v>7</v>
      </c>
      <c r="AA39" s="115">
        <v>7</v>
      </c>
      <c r="AB39" s="115">
        <v>7</v>
      </c>
      <c r="AC39" s="115">
        <v>7</v>
      </c>
      <c r="AD39" s="115">
        <v>6</v>
      </c>
      <c r="AE39" s="115">
        <v>7</v>
      </c>
      <c r="AF39" s="115">
        <v>7</v>
      </c>
      <c r="AG39" s="116">
        <v>6</v>
      </c>
    </row>
    <row r="40" spans="1:33" x14ac:dyDescent="0.3">
      <c r="A40" s="90">
        <v>45040</v>
      </c>
      <c r="B40" s="131" t="s">
        <v>1056</v>
      </c>
      <c r="C40" s="132" t="s">
        <v>287</v>
      </c>
      <c r="D40" s="132" t="s">
        <v>246</v>
      </c>
      <c r="E40" s="132"/>
      <c r="F40" s="132" t="s">
        <v>264</v>
      </c>
      <c r="G40" s="132" t="s">
        <v>1037</v>
      </c>
      <c r="H40" s="132"/>
      <c r="I40" s="132" t="s">
        <v>1030</v>
      </c>
      <c r="J40" s="132" t="s">
        <v>346</v>
      </c>
      <c r="K40" s="132"/>
      <c r="L40" s="132"/>
      <c r="M40" s="132"/>
      <c r="N40" s="132"/>
      <c r="O40" s="132" t="s">
        <v>255</v>
      </c>
      <c r="P40" s="132" t="s">
        <v>1227</v>
      </c>
      <c r="Q40" s="133"/>
      <c r="R40" s="131" t="s">
        <v>1056</v>
      </c>
      <c r="S40" s="132" t="s">
        <v>221</v>
      </c>
      <c r="T40" s="132" t="s">
        <v>1034</v>
      </c>
      <c r="U40" s="132" t="s">
        <v>1043</v>
      </c>
      <c r="V40" s="132" t="s">
        <v>266</v>
      </c>
      <c r="W40" s="132" t="s">
        <v>1022</v>
      </c>
      <c r="X40" s="132" t="s">
        <v>1228</v>
      </c>
      <c r="Y40" s="132" t="s">
        <v>1028</v>
      </c>
      <c r="Z40" s="132" t="s">
        <v>325</v>
      </c>
      <c r="AA40" s="132" t="s">
        <v>222</v>
      </c>
      <c r="AB40" s="132" t="s">
        <v>1033</v>
      </c>
      <c r="AC40" s="132" t="s">
        <v>1038</v>
      </c>
      <c r="AD40" s="132"/>
      <c r="AE40" s="132" t="s">
        <v>224</v>
      </c>
      <c r="AF40" s="132" t="s">
        <v>1011</v>
      </c>
      <c r="AG40" s="133" t="s">
        <v>243</v>
      </c>
    </row>
    <row r="41" spans="1:33" x14ac:dyDescent="0.3">
      <c r="A41" s="90">
        <v>45041</v>
      </c>
      <c r="B41" s="131" t="s">
        <v>1057</v>
      </c>
      <c r="C41" s="132" t="s">
        <v>287</v>
      </c>
      <c r="D41" s="132" t="s">
        <v>246</v>
      </c>
      <c r="E41" s="132" t="s">
        <v>241</v>
      </c>
      <c r="F41" s="132" t="s">
        <v>264</v>
      </c>
      <c r="G41" s="132" t="s">
        <v>1037</v>
      </c>
      <c r="H41" s="132" t="s">
        <v>1036</v>
      </c>
      <c r="I41" s="132" t="s">
        <v>1030</v>
      </c>
      <c r="J41" s="132" t="s">
        <v>346</v>
      </c>
      <c r="K41" s="132" t="s">
        <v>392</v>
      </c>
      <c r="L41" s="132" t="s">
        <v>244</v>
      </c>
      <c r="M41" s="132" t="s">
        <v>226</v>
      </c>
      <c r="N41" s="132" t="s">
        <v>1008</v>
      </c>
      <c r="O41" s="132" t="s">
        <v>255</v>
      </c>
      <c r="P41" s="132" t="s">
        <v>1227</v>
      </c>
      <c r="Q41" s="133" t="s">
        <v>1029</v>
      </c>
      <c r="R41" s="131" t="s">
        <v>1057</v>
      </c>
      <c r="S41" s="132" t="s">
        <v>221</v>
      </c>
      <c r="T41" s="132" t="s">
        <v>1034</v>
      </c>
      <c r="U41" s="132" t="s">
        <v>1043</v>
      </c>
      <c r="V41" s="132" t="s">
        <v>266</v>
      </c>
      <c r="W41" s="132" t="s">
        <v>1022</v>
      </c>
      <c r="X41" s="132" t="s">
        <v>1228</v>
      </c>
      <c r="Y41" s="132" t="s">
        <v>1028</v>
      </c>
      <c r="Z41" s="132" t="s">
        <v>325</v>
      </c>
      <c r="AA41" s="132" t="s">
        <v>222</v>
      </c>
      <c r="AB41" s="132" t="s">
        <v>1033</v>
      </c>
      <c r="AC41" s="132" t="s">
        <v>1038</v>
      </c>
      <c r="AD41" s="132" t="s">
        <v>1027</v>
      </c>
      <c r="AE41" s="132" t="s">
        <v>224</v>
      </c>
      <c r="AF41" s="132" t="s">
        <v>1011</v>
      </c>
      <c r="AG41" s="133" t="s">
        <v>243</v>
      </c>
    </row>
    <row r="42" spans="1:33" x14ac:dyDescent="0.3">
      <c r="A42" s="90">
        <v>45042</v>
      </c>
      <c r="B42" s="131" t="s">
        <v>1058</v>
      </c>
      <c r="C42" s="132" t="s">
        <v>287</v>
      </c>
      <c r="D42" s="132" t="s">
        <v>246</v>
      </c>
      <c r="E42" s="132" t="s">
        <v>241</v>
      </c>
      <c r="F42" s="132" t="s">
        <v>264</v>
      </c>
      <c r="G42" s="132" t="s">
        <v>1037</v>
      </c>
      <c r="H42" s="132" t="s">
        <v>1036</v>
      </c>
      <c r="I42" s="132" t="s">
        <v>1030</v>
      </c>
      <c r="J42" s="132" t="s">
        <v>346</v>
      </c>
      <c r="K42" s="132" t="s">
        <v>392</v>
      </c>
      <c r="L42" s="132" t="s">
        <v>244</v>
      </c>
      <c r="M42" s="132" t="s">
        <v>226</v>
      </c>
      <c r="N42" s="132" t="s">
        <v>1008</v>
      </c>
      <c r="O42" s="132" t="s">
        <v>255</v>
      </c>
      <c r="P42" s="132" t="s">
        <v>1227</v>
      </c>
      <c r="Q42" s="133" t="s">
        <v>1029</v>
      </c>
      <c r="R42" s="131" t="s">
        <v>1058</v>
      </c>
      <c r="S42" s="132" t="s">
        <v>221</v>
      </c>
      <c r="T42" s="132" t="s">
        <v>1034</v>
      </c>
      <c r="U42" s="132" t="s">
        <v>1043</v>
      </c>
      <c r="V42" s="132" t="s">
        <v>266</v>
      </c>
      <c r="W42" s="132" t="s">
        <v>1022</v>
      </c>
      <c r="X42" s="132" t="s">
        <v>1228</v>
      </c>
      <c r="Y42" s="132" t="s">
        <v>1028</v>
      </c>
      <c r="Z42" s="132" t="s">
        <v>325</v>
      </c>
      <c r="AA42" s="132" t="s">
        <v>222</v>
      </c>
      <c r="AB42" s="132" t="s">
        <v>1033</v>
      </c>
      <c r="AC42" s="132" t="s">
        <v>1038</v>
      </c>
      <c r="AD42" s="132" t="s">
        <v>1027</v>
      </c>
      <c r="AE42" s="132" t="s">
        <v>224</v>
      </c>
      <c r="AF42" s="132" t="s">
        <v>1011</v>
      </c>
      <c r="AG42" s="133" t="s">
        <v>243</v>
      </c>
    </row>
    <row r="43" spans="1:33" x14ac:dyDescent="0.3">
      <c r="A43" s="90">
        <v>45043</v>
      </c>
      <c r="B43" s="131" t="s">
        <v>1059</v>
      </c>
      <c r="C43" s="132"/>
      <c r="D43" s="132" t="s">
        <v>246</v>
      </c>
      <c r="E43" s="132" t="s">
        <v>241</v>
      </c>
      <c r="F43" s="134"/>
      <c r="G43" s="132"/>
      <c r="H43" s="132" t="s">
        <v>1036</v>
      </c>
      <c r="I43" s="132" t="s">
        <v>1030</v>
      </c>
      <c r="J43" s="132"/>
      <c r="K43" s="132" t="s">
        <v>392</v>
      </c>
      <c r="L43" s="132" t="s">
        <v>244</v>
      </c>
      <c r="M43" s="132" t="s">
        <v>226</v>
      </c>
      <c r="N43" s="132" t="s">
        <v>1008</v>
      </c>
      <c r="O43" s="132" t="s">
        <v>255</v>
      </c>
      <c r="P43" s="132" t="s">
        <v>1227</v>
      </c>
      <c r="Q43" s="133" t="s">
        <v>1029</v>
      </c>
      <c r="R43" s="131" t="s">
        <v>1059</v>
      </c>
      <c r="S43" s="132" t="s">
        <v>1032</v>
      </c>
      <c r="T43" s="132"/>
      <c r="U43" s="132" t="s">
        <v>228</v>
      </c>
      <c r="V43" s="134"/>
      <c r="W43" s="132" t="s">
        <v>278</v>
      </c>
      <c r="X43" s="132"/>
      <c r="Y43" s="132" t="s">
        <v>1033</v>
      </c>
      <c r="Z43" s="132" t="s">
        <v>325</v>
      </c>
      <c r="AA43" s="132" t="s">
        <v>287</v>
      </c>
      <c r="AB43" s="132" t="s">
        <v>1010</v>
      </c>
      <c r="AC43" s="132" t="s">
        <v>1038</v>
      </c>
      <c r="AD43" s="132" t="s">
        <v>1027</v>
      </c>
      <c r="AE43" s="132" t="s">
        <v>1023</v>
      </c>
      <c r="AF43" s="132" t="s">
        <v>222</v>
      </c>
      <c r="AG43" s="133"/>
    </row>
    <row r="44" spans="1:33" x14ac:dyDescent="0.3">
      <c r="A44" s="90">
        <v>45044</v>
      </c>
      <c r="B44" s="131" t="s">
        <v>1060</v>
      </c>
      <c r="C44" s="132" t="s">
        <v>1031</v>
      </c>
      <c r="D44" s="132" t="s">
        <v>1029</v>
      </c>
      <c r="E44" s="132" t="s">
        <v>1009</v>
      </c>
      <c r="F44" s="132" t="s">
        <v>1016</v>
      </c>
      <c r="G44" s="132" t="s">
        <v>286</v>
      </c>
      <c r="H44" s="132" t="s">
        <v>255</v>
      </c>
      <c r="I44" s="132" t="s">
        <v>248</v>
      </c>
      <c r="J44" s="132" t="s">
        <v>235</v>
      </c>
      <c r="K44" s="132" t="s">
        <v>250</v>
      </c>
      <c r="L44" s="132" t="s">
        <v>1014</v>
      </c>
      <c r="M44" s="132" t="s">
        <v>1232</v>
      </c>
      <c r="N44" s="132"/>
      <c r="O44" s="132"/>
      <c r="P44" s="132" t="s">
        <v>1007</v>
      </c>
      <c r="Q44" s="133" t="s">
        <v>231</v>
      </c>
      <c r="R44" s="131" t="s">
        <v>1060</v>
      </c>
      <c r="S44" s="132" t="s">
        <v>1032</v>
      </c>
      <c r="T44" s="132" t="s">
        <v>251</v>
      </c>
      <c r="U44" s="132" t="s">
        <v>228</v>
      </c>
      <c r="V44" s="132" t="s">
        <v>1013</v>
      </c>
      <c r="W44" s="132" t="s">
        <v>278</v>
      </c>
      <c r="X44" s="132" t="s">
        <v>311</v>
      </c>
      <c r="Y44" s="132" t="s">
        <v>1033</v>
      </c>
      <c r="Z44" s="132" t="s">
        <v>1022</v>
      </c>
      <c r="AA44" s="132" t="s">
        <v>287</v>
      </c>
      <c r="AB44" s="132" t="s">
        <v>1010</v>
      </c>
      <c r="AC44" s="132" t="s">
        <v>270</v>
      </c>
      <c r="AD44" s="132" t="s">
        <v>1043</v>
      </c>
      <c r="AE44" s="132" t="s">
        <v>1023</v>
      </c>
      <c r="AF44" s="132" t="s">
        <v>222</v>
      </c>
      <c r="AG44" s="133" t="s">
        <v>244</v>
      </c>
    </row>
    <row r="45" spans="1:33" x14ac:dyDescent="0.3">
      <c r="A45" s="90">
        <v>45045</v>
      </c>
      <c r="B45" s="131" t="s">
        <v>1061</v>
      </c>
      <c r="C45" s="132" t="s">
        <v>1031</v>
      </c>
      <c r="D45" s="132" t="s">
        <v>1029</v>
      </c>
      <c r="E45" s="132" t="s">
        <v>1009</v>
      </c>
      <c r="F45" s="132" t="s">
        <v>1016</v>
      </c>
      <c r="G45" s="132" t="s">
        <v>286</v>
      </c>
      <c r="H45" s="132" t="s">
        <v>255</v>
      </c>
      <c r="I45" s="132" t="s">
        <v>248</v>
      </c>
      <c r="J45" s="132" t="s">
        <v>235</v>
      </c>
      <c r="K45" s="134" t="s">
        <v>250</v>
      </c>
      <c r="L45" s="132" t="s">
        <v>1014</v>
      </c>
      <c r="M45" s="132" t="s">
        <v>1232</v>
      </c>
      <c r="N45" s="132" t="s">
        <v>268</v>
      </c>
      <c r="O45" s="132" t="s">
        <v>1230</v>
      </c>
      <c r="P45" s="132" t="s">
        <v>1007</v>
      </c>
      <c r="Q45" s="133" t="s">
        <v>231</v>
      </c>
      <c r="R45" s="131" t="s">
        <v>1061</v>
      </c>
      <c r="S45" s="132" t="s">
        <v>1032</v>
      </c>
      <c r="T45" s="132" t="s">
        <v>251</v>
      </c>
      <c r="U45" s="132" t="s">
        <v>228</v>
      </c>
      <c r="V45" s="132" t="s">
        <v>1013</v>
      </c>
      <c r="W45" s="132" t="s">
        <v>278</v>
      </c>
      <c r="X45" s="132" t="s">
        <v>311</v>
      </c>
      <c r="Y45" s="132" t="s">
        <v>1033</v>
      </c>
      <c r="Z45" s="132" t="s">
        <v>1022</v>
      </c>
      <c r="AA45" s="134" t="s">
        <v>287</v>
      </c>
      <c r="AB45" s="132" t="s">
        <v>1010</v>
      </c>
      <c r="AC45" s="132" t="s">
        <v>270</v>
      </c>
      <c r="AD45" s="132" t="s">
        <v>1043</v>
      </c>
      <c r="AE45" s="132" t="s">
        <v>1023</v>
      </c>
      <c r="AF45" s="132" t="s">
        <v>222</v>
      </c>
      <c r="AG45" s="133" t="s">
        <v>244</v>
      </c>
    </row>
    <row r="46" spans="1:33" ht="15" thickBot="1" x14ac:dyDescent="0.35">
      <c r="A46" s="90">
        <v>45046</v>
      </c>
      <c r="B46" s="135" t="s">
        <v>1062</v>
      </c>
      <c r="C46" s="136" t="s">
        <v>1031</v>
      </c>
      <c r="D46" s="136" t="s">
        <v>1029</v>
      </c>
      <c r="E46" s="136" t="s">
        <v>1009</v>
      </c>
      <c r="F46" s="136" t="s">
        <v>1016</v>
      </c>
      <c r="G46" s="136" t="s">
        <v>286</v>
      </c>
      <c r="H46" s="136" t="s">
        <v>255</v>
      </c>
      <c r="I46" s="136" t="s">
        <v>248</v>
      </c>
      <c r="J46" s="136" t="s">
        <v>235</v>
      </c>
      <c r="K46" s="136" t="s">
        <v>250</v>
      </c>
      <c r="L46" s="136" t="s">
        <v>1014</v>
      </c>
      <c r="M46" s="136" t="s">
        <v>1232</v>
      </c>
      <c r="N46" s="136" t="s">
        <v>268</v>
      </c>
      <c r="O46" s="136" t="s">
        <v>1230</v>
      </c>
      <c r="P46" s="136" t="s">
        <v>1007</v>
      </c>
      <c r="Q46" s="137" t="s">
        <v>231</v>
      </c>
      <c r="R46" s="135" t="s">
        <v>1062</v>
      </c>
      <c r="S46" s="136" t="s">
        <v>1032</v>
      </c>
      <c r="T46" s="136" t="s">
        <v>251</v>
      </c>
      <c r="U46" s="136" t="s">
        <v>228</v>
      </c>
      <c r="V46" s="136" t="s">
        <v>1013</v>
      </c>
      <c r="W46" s="136" t="s">
        <v>278</v>
      </c>
      <c r="X46" s="136" t="s">
        <v>311</v>
      </c>
      <c r="Y46" s="136" t="s">
        <v>1033</v>
      </c>
      <c r="Z46" s="136" t="s">
        <v>1022</v>
      </c>
      <c r="AA46" s="136" t="s">
        <v>287</v>
      </c>
      <c r="AB46" s="136" t="s">
        <v>1010</v>
      </c>
      <c r="AC46" s="136" t="s">
        <v>270</v>
      </c>
      <c r="AD46" s="136" t="s">
        <v>1043</v>
      </c>
      <c r="AE46" s="136" t="s">
        <v>1023</v>
      </c>
      <c r="AF46" s="136" t="s">
        <v>222</v>
      </c>
      <c r="AG46" s="137" t="s">
        <v>244</v>
      </c>
    </row>
    <row r="47" spans="1:33" x14ac:dyDescent="0.3">
      <c r="A47" s="90" t="s">
        <v>3</v>
      </c>
      <c r="B47" s="6" t="s">
        <v>3</v>
      </c>
      <c r="C47" s="112" t="s">
        <v>286</v>
      </c>
      <c r="D47" s="112" t="s">
        <v>250</v>
      </c>
      <c r="E47" s="112" t="s">
        <v>248</v>
      </c>
      <c r="F47" s="112" t="s">
        <v>270</v>
      </c>
      <c r="G47" s="112" t="s">
        <v>266</v>
      </c>
      <c r="H47" s="112" t="s">
        <v>226</v>
      </c>
      <c r="I47" s="112" t="s">
        <v>246</v>
      </c>
      <c r="J47" s="112" t="s">
        <v>239</v>
      </c>
      <c r="K47" s="112" t="s">
        <v>339</v>
      </c>
      <c r="L47" s="112" t="s">
        <v>311</v>
      </c>
      <c r="M47" s="112" t="s">
        <v>231</v>
      </c>
      <c r="N47" s="112" t="s">
        <v>241</v>
      </c>
      <c r="O47" s="112" t="s">
        <v>268</v>
      </c>
      <c r="P47" s="112" t="s">
        <v>255</v>
      </c>
      <c r="Q47" s="113" t="s">
        <v>392</v>
      </c>
      <c r="R47" s="6" t="s">
        <v>1</v>
      </c>
      <c r="S47" s="112" t="s">
        <v>278</v>
      </c>
      <c r="T47" s="112" t="s">
        <v>221</v>
      </c>
      <c r="U47" s="112" t="s">
        <v>243</v>
      </c>
      <c r="V47" s="112" t="s">
        <v>251</v>
      </c>
      <c r="W47" s="112" t="s">
        <v>346</v>
      </c>
      <c r="X47" s="112" t="s">
        <v>224</v>
      </c>
      <c r="Y47" s="112" t="s">
        <v>287</v>
      </c>
      <c r="Z47" s="112" t="s">
        <v>235</v>
      </c>
      <c r="AA47" s="112" t="s">
        <v>274</v>
      </c>
      <c r="AB47" s="112" t="s">
        <v>222</v>
      </c>
      <c r="AC47" s="112" t="s">
        <v>325</v>
      </c>
      <c r="AD47" s="112" t="s">
        <v>244</v>
      </c>
      <c r="AE47" s="112" t="s">
        <v>228</v>
      </c>
      <c r="AF47" s="112" t="s">
        <v>264</v>
      </c>
      <c r="AG47" s="113" t="s">
        <v>234</v>
      </c>
    </row>
    <row r="48" spans="1:33" x14ac:dyDescent="0.3">
      <c r="A48" s="90"/>
      <c r="B48" s="120"/>
      <c r="C48" s="121">
        <v>5</v>
      </c>
      <c r="D48" s="121">
        <v>7</v>
      </c>
      <c r="E48" s="121">
        <v>7</v>
      </c>
      <c r="F48" s="121">
        <v>6</v>
      </c>
      <c r="G48" s="121">
        <v>6</v>
      </c>
      <c r="H48" s="121">
        <v>6</v>
      </c>
      <c r="I48" s="121">
        <v>6</v>
      </c>
      <c r="J48" s="121">
        <v>6</v>
      </c>
      <c r="K48" s="121">
        <v>7</v>
      </c>
      <c r="L48" s="121">
        <v>6</v>
      </c>
      <c r="M48" s="121">
        <v>6</v>
      </c>
      <c r="N48" s="121">
        <v>6</v>
      </c>
      <c r="O48" s="121">
        <v>6</v>
      </c>
      <c r="P48" s="121">
        <v>6</v>
      </c>
      <c r="Q48" s="122">
        <v>7</v>
      </c>
      <c r="R48" s="120"/>
      <c r="S48" s="121">
        <v>6</v>
      </c>
      <c r="T48" s="121">
        <v>7</v>
      </c>
      <c r="U48" s="121">
        <v>6</v>
      </c>
      <c r="V48" s="121">
        <v>6</v>
      </c>
      <c r="W48" s="121">
        <v>6</v>
      </c>
      <c r="X48" s="121">
        <v>6</v>
      </c>
      <c r="Y48" s="121">
        <v>6</v>
      </c>
      <c r="Z48" s="121">
        <v>6</v>
      </c>
      <c r="AA48" s="121">
        <v>6</v>
      </c>
      <c r="AB48" s="121">
        <v>6</v>
      </c>
      <c r="AC48" s="121">
        <v>6</v>
      </c>
      <c r="AD48" s="121">
        <v>6</v>
      </c>
      <c r="AE48" s="121">
        <v>6</v>
      </c>
      <c r="AF48" s="121">
        <v>5</v>
      </c>
      <c r="AG48" s="122">
        <v>7</v>
      </c>
    </row>
    <row r="49" spans="1:33" x14ac:dyDescent="0.3">
      <c r="A49" s="90">
        <v>45047</v>
      </c>
      <c r="B49" s="120" t="s">
        <v>1063</v>
      </c>
      <c r="C49" s="121"/>
      <c r="D49" s="121" t="s">
        <v>1029</v>
      </c>
      <c r="E49" s="121" t="s">
        <v>1232</v>
      </c>
      <c r="F49" s="121" t="s">
        <v>1230</v>
      </c>
      <c r="G49" s="121"/>
      <c r="H49" s="121" t="s">
        <v>311</v>
      </c>
      <c r="I49" s="121"/>
      <c r="J49" s="121"/>
      <c r="K49" s="121" t="s">
        <v>250</v>
      </c>
      <c r="L49" s="121" t="s">
        <v>1007</v>
      </c>
      <c r="M49" s="121"/>
      <c r="N49" s="121" t="s">
        <v>270</v>
      </c>
      <c r="O49" s="121" t="s">
        <v>1014</v>
      </c>
      <c r="P49" s="121"/>
      <c r="Q49" s="122" t="s">
        <v>248</v>
      </c>
      <c r="R49" s="120" t="s">
        <v>1063</v>
      </c>
      <c r="S49" s="121"/>
      <c r="T49" s="121" t="s">
        <v>234</v>
      </c>
      <c r="U49" s="121"/>
      <c r="V49" s="121" t="s">
        <v>1012</v>
      </c>
      <c r="W49" s="121"/>
      <c r="X49" s="121" t="s">
        <v>268</v>
      </c>
      <c r="Y49" s="121"/>
      <c r="Z49" s="121"/>
      <c r="AA49" s="121"/>
      <c r="AB49" s="121" t="s">
        <v>251</v>
      </c>
      <c r="AC49" s="121"/>
      <c r="AD49" s="121"/>
      <c r="AE49" s="121"/>
      <c r="AF49" s="121"/>
      <c r="AG49" s="122" t="s">
        <v>1013</v>
      </c>
    </row>
    <row r="50" spans="1:33" x14ac:dyDescent="0.3">
      <c r="A50" s="90">
        <v>45048</v>
      </c>
      <c r="B50" s="120" t="s">
        <v>1064</v>
      </c>
      <c r="C50" s="121" t="s">
        <v>1010</v>
      </c>
      <c r="D50" s="121" t="s">
        <v>1009</v>
      </c>
      <c r="E50" s="121" t="s">
        <v>1232</v>
      </c>
      <c r="F50" s="121" t="s">
        <v>1230</v>
      </c>
      <c r="G50" s="121" t="s">
        <v>239</v>
      </c>
      <c r="H50" s="121" t="s">
        <v>311</v>
      </c>
      <c r="I50" s="121" t="s">
        <v>250</v>
      </c>
      <c r="J50" s="121" t="s">
        <v>1031</v>
      </c>
      <c r="K50" s="121" t="s">
        <v>1032</v>
      </c>
      <c r="L50" s="121" t="s">
        <v>1007</v>
      </c>
      <c r="M50" s="121" t="s">
        <v>1228</v>
      </c>
      <c r="N50" s="121" t="s">
        <v>270</v>
      </c>
      <c r="O50" s="121" t="s">
        <v>1014</v>
      </c>
      <c r="P50" s="123" t="s">
        <v>235</v>
      </c>
      <c r="Q50" s="124" t="s">
        <v>248</v>
      </c>
      <c r="R50" s="120" t="s">
        <v>1064</v>
      </c>
      <c r="S50" s="121" t="s">
        <v>1229</v>
      </c>
      <c r="T50" s="121" t="s">
        <v>234</v>
      </c>
      <c r="U50" s="121" t="s">
        <v>274</v>
      </c>
      <c r="V50" s="121" t="s">
        <v>1012</v>
      </c>
      <c r="W50" s="121" t="s">
        <v>339</v>
      </c>
      <c r="X50" s="121" t="s">
        <v>268</v>
      </c>
      <c r="Y50" s="121" t="s">
        <v>278</v>
      </c>
      <c r="Z50" s="121" t="s">
        <v>1017</v>
      </c>
      <c r="AA50" s="121" t="s">
        <v>1023</v>
      </c>
      <c r="AB50" s="121" t="s">
        <v>251</v>
      </c>
      <c r="AC50" s="121" t="s">
        <v>244</v>
      </c>
      <c r="AD50" s="121" t="s">
        <v>1016</v>
      </c>
      <c r="AE50" s="121" t="s">
        <v>231</v>
      </c>
      <c r="AF50" s="123" t="s">
        <v>286</v>
      </c>
      <c r="AG50" s="124" t="s">
        <v>1013</v>
      </c>
    </row>
    <row r="51" spans="1:33" x14ac:dyDescent="0.3">
      <c r="A51" s="90">
        <v>45049</v>
      </c>
      <c r="B51" s="120" t="s">
        <v>1065</v>
      </c>
      <c r="C51" s="121" t="s">
        <v>1010</v>
      </c>
      <c r="D51" s="121" t="s">
        <v>1009</v>
      </c>
      <c r="E51" s="121" t="s">
        <v>1232</v>
      </c>
      <c r="F51" s="121" t="s">
        <v>1230</v>
      </c>
      <c r="G51" s="121" t="s">
        <v>239</v>
      </c>
      <c r="H51" s="121" t="s">
        <v>311</v>
      </c>
      <c r="I51" s="121" t="s">
        <v>250</v>
      </c>
      <c r="J51" s="121" t="s">
        <v>1031</v>
      </c>
      <c r="K51" s="121" t="s">
        <v>1032</v>
      </c>
      <c r="L51" s="121" t="s">
        <v>1007</v>
      </c>
      <c r="M51" s="121" t="s">
        <v>1228</v>
      </c>
      <c r="N51" s="121" t="s">
        <v>270</v>
      </c>
      <c r="O51" s="121" t="s">
        <v>1014</v>
      </c>
      <c r="P51" s="123" t="s">
        <v>235</v>
      </c>
      <c r="Q51" s="124" t="s">
        <v>248</v>
      </c>
      <c r="R51" s="120" t="s">
        <v>1065</v>
      </c>
      <c r="S51" s="121" t="s">
        <v>1229</v>
      </c>
      <c r="T51" s="121" t="s">
        <v>234</v>
      </c>
      <c r="U51" s="121" t="s">
        <v>274</v>
      </c>
      <c r="V51" s="121" t="s">
        <v>1012</v>
      </c>
      <c r="W51" s="121" t="s">
        <v>339</v>
      </c>
      <c r="X51" s="121" t="s">
        <v>268</v>
      </c>
      <c r="Y51" s="121" t="s">
        <v>278</v>
      </c>
      <c r="Z51" s="121" t="s">
        <v>1017</v>
      </c>
      <c r="AA51" s="121" t="s">
        <v>1023</v>
      </c>
      <c r="AB51" s="121" t="s">
        <v>251</v>
      </c>
      <c r="AC51" s="121" t="s">
        <v>244</v>
      </c>
      <c r="AD51" s="121" t="s">
        <v>1016</v>
      </c>
      <c r="AE51" s="121" t="s">
        <v>231</v>
      </c>
      <c r="AF51" s="123" t="s">
        <v>286</v>
      </c>
      <c r="AG51" s="124" t="s">
        <v>1013</v>
      </c>
    </row>
    <row r="52" spans="1:33" x14ac:dyDescent="0.3">
      <c r="A52" s="90">
        <v>45050</v>
      </c>
      <c r="B52" s="120" t="s">
        <v>1066</v>
      </c>
      <c r="C52" s="121"/>
      <c r="D52" s="121" t="s">
        <v>1009</v>
      </c>
      <c r="E52" s="121" t="s">
        <v>1232</v>
      </c>
      <c r="F52" s="121"/>
      <c r="G52" s="121" t="s">
        <v>239</v>
      </c>
      <c r="H52" s="121"/>
      <c r="I52" s="121" t="s">
        <v>250</v>
      </c>
      <c r="J52" s="121" t="s">
        <v>1031</v>
      </c>
      <c r="K52" s="121" t="s">
        <v>1032</v>
      </c>
      <c r="L52" s="121"/>
      <c r="M52" s="121" t="s">
        <v>1228</v>
      </c>
      <c r="N52" s="121"/>
      <c r="O52" s="121"/>
      <c r="P52" s="123" t="s">
        <v>235</v>
      </c>
      <c r="Q52" s="124" t="s">
        <v>248</v>
      </c>
      <c r="R52" s="120" t="s">
        <v>1066</v>
      </c>
      <c r="S52" s="121" t="s">
        <v>1229</v>
      </c>
      <c r="T52" s="121" t="s">
        <v>234</v>
      </c>
      <c r="U52" s="121" t="s">
        <v>274</v>
      </c>
      <c r="V52" s="121"/>
      <c r="W52" s="121" t="s">
        <v>339</v>
      </c>
      <c r="X52" s="121"/>
      <c r="Y52" s="121" t="s">
        <v>278</v>
      </c>
      <c r="Z52" s="121" t="s">
        <v>1017</v>
      </c>
      <c r="AA52" s="121" t="s">
        <v>1023</v>
      </c>
      <c r="AB52" s="121"/>
      <c r="AC52" s="121" t="s">
        <v>244</v>
      </c>
      <c r="AD52" s="121" t="s">
        <v>1016</v>
      </c>
      <c r="AE52" s="121" t="s">
        <v>231</v>
      </c>
      <c r="AF52" s="123"/>
      <c r="AG52" s="124" t="s">
        <v>1013</v>
      </c>
    </row>
    <row r="53" spans="1:33" x14ac:dyDescent="0.3">
      <c r="A53" s="90">
        <v>45051</v>
      </c>
      <c r="B53" s="120" t="s">
        <v>1067</v>
      </c>
      <c r="C53" s="121" t="s">
        <v>392</v>
      </c>
      <c r="D53" s="121" t="s">
        <v>278</v>
      </c>
      <c r="E53" s="121" t="s">
        <v>246</v>
      </c>
      <c r="F53" s="121" t="s">
        <v>243</v>
      </c>
      <c r="G53" s="121" t="s">
        <v>1029</v>
      </c>
      <c r="H53" s="121" t="s">
        <v>1230</v>
      </c>
      <c r="I53" s="121" t="s">
        <v>1008</v>
      </c>
      <c r="J53" s="121" t="s">
        <v>1227</v>
      </c>
      <c r="K53" s="121" t="s">
        <v>266</v>
      </c>
      <c r="L53" s="121" t="s">
        <v>221</v>
      </c>
      <c r="M53" s="121" t="s">
        <v>234</v>
      </c>
      <c r="N53" s="121" t="s">
        <v>226</v>
      </c>
      <c r="O53" s="121" t="s">
        <v>239</v>
      </c>
      <c r="P53" s="123" t="s">
        <v>346</v>
      </c>
      <c r="Q53" s="124" t="s">
        <v>1028</v>
      </c>
      <c r="R53" s="120" t="s">
        <v>1067</v>
      </c>
      <c r="S53" s="121" t="s">
        <v>1030</v>
      </c>
      <c r="T53" s="121" t="s">
        <v>1027</v>
      </c>
      <c r="U53" s="121" t="s">
        <v>1011</v>
      </c>
      <c r="V53" s="121" t="s">
        <v>274</v>
      </c>
      <c r="W53" s="121" t="s">
        <v>1017</v>
      </c>
      <c r="X53" s="121" t="s">
        <v>1015</v>
      </c>
      <c r="Y53" s="121" t="s">
        <v>325</v>
      </c>
      <c r="Z53" s="121" t="s">
        <v>264</v>
      </c>
      <c r="AA53" s="121" t="s">
        <v>1037</v>
      </c>
      <c r="AB53" s="121" t="s">
        <v>1228</v>
      </c>
      <c r="AC53" s="121" t="s">
        <v>1229</v>
      </c>
      <c r="AD53" s="121" t="s">
        <v>224</v>
      </c>
      <c r="AE53" s="121" t="s">
        <v>222</v>
      </c>
      <c r="AF53" s="123" t="s">
        <v>1038</v>
      </c>
      <c r="AG53" s="124" t="s">
        <v>1036</v>
      </c>
    </row>
    <row r="54" spans="1:33" x14ac:dyDescent="0.3">
      <c r="A54" s="90">
        <v>45052</v>
      </c>
      <c r="B54" s="120" t="s">
        <v>1068</v>
      </c>
      <c r="C54" s="121" t="s">
        <v>392</v>
      </c>
      <c r="D54" s="121" t="s">
        <v>278</v>
      </c>
      <c r="E54" s="121" t="s">
        <v>246</v>
      </c>
      <c r="F54" s="121" t="s">
        <v>243</v>
      </c>
      <c r="G54" s="121" t="s">
        <v>1029</v>
      </c>
      <c r="H54" s="121" t="s">
        <v>1230</v>
      </c>
      <c r="I54" s="121" t="s">
        <v>1008</v>
      </c>
      <c r="J54" s="121" t="s">
        <v>1227</v>
      </c>
      <c r="K54" s="121" t="s">
        <v>266</v>
      </c>
      <c r="L54" s="121" t="s">
        <v>221</v>
      </c>
      <c r="M54" s="121" t="s">
        <v>234</v>
      </c>
      <c r="N54" s="121" t="s">
        <v>226</v>
      </c>
      <c r="O54" s="121" t="s">
        <v>239</v>
      </c>
      <c r="P54" s="123" t="s">
        <v>346</v>
      </c>
      <c r="Q54" s="124" t="s">
        <v>1028</v>
      </c>
      <c r="R54" s="120" t="s">
        <v>1068</v>
      </c>
      <c r="S54" s="121" t="s">
        <v>1030</v>
      </c>
      <c r="T54" s="121" t="s">
        <v>1027</v>
      </c>
      <c r="U54" s="121" t="s">
        <v>1011</v>
      </c>
      <c r="V54" s="121" t="s">
        <v>274</v>
      </c>
      <c r="W54" s="121" t="s">
        <v>1017</v>
      </c>
      <c r="X54" s="121" t="s">
        <v>1015</v>
      </c>
      <c r="Y54" s="121" t="s">
        <v>325</v>
      </c>
      <c r="Z54" s="121" t="s">
        <v>264</v>
      </c>
      <c r="AA54" s="121" t="s">
        <v>1037</v>
      </c>
      <c r="AB54" s="121" t="s">
        <v>1228</v>
      </c>
      <c r="AC54" s="121" t="s">
        <v>1229</v>
      </c>
      <c r="AD54" s="121" t="s">
        <v>224</v>
      </c>
      <c r="AE54" s="121" t="s">
        <v>222</v>
      </c>
      <c r="AF54" s="123" t="s">
        <v>1038</v>
      </c>
      <c r="AG54" s="124" t="s">
        <v>1036</v>
      </c>
    </row>
    <row r="55" spans="1:33" ht="15" thickBot="1" x14ac:dyDescent="0.35">
      <c r="A55" s="90">
        <v>45053</v>
      </c>
      <c r="B55" s="127" t="s">
        <v>1069</v>
      </c>
      <c r="C55" s="128" t="s">
        <v>392</v>
      </c>
      <c r="D55" s="128" t="s">
        <v>278</v>
      </c>
      <c r="E55" s="128" t="s">
        <v>246</v>
      </c>
      <c r="F55" s="128" t="s">
        <v>243</v>
      </c>
      <c r="G55" s="128" t="s">
        <v>1029</v>
      </c>
      <c r="H55" s="128" t="s">
        <v>1230</v>
      </c>
      <c r="I55" s="128" t="s">
        <v>1008</v>
      </c>
      <c r="J55" s="128" t="s">
        <v>1227</v>
      </c>
      <c r="K55" s="128" t="s">
        <v>266</v>
      </c>
      <c r="L55" s="128" t="s">
        <v>221</v>
      </c>
      <c r="M55" s="128" t="s">
        <v>234</v>
      </c>
      <c r="N55" s="128" t="s">
        <v>226</v>
      </c>
      <c r="O55" s="128" t="s">
        <v>239</v>
      </c>
      <c r="P55" s="129" t="s">
        <v>346</v>
      </c>
      <c r="Q55" s="130" t="s">
        <v>1028</v>
      </c>
      <c r="R55" s="127" t="s">
        <v>1069</v>
      </c>
      <c r="S55" s="128" t="s">
        <v>1030</v>
      </c>
      <c r="T55" s="128" t="s">
        <v>1027</v>
      </c>
      <c r="U55" s="128" t="s">
        <v>1011</v>
      </c>
      <c r="V55" s="128" t="s">
        <v>274</v>
      </c>
      <c r="W55" s="128" t="s">
        <v>1017</v>
      </c>
      <c r="X55" s="128" t="s">
        <v>1015</v>
      </c>
      <c r="Y55" s="128" t="s">
        <v>325</v>
      </c>
      <c r="Z55" s="128" t="s">
        <v>264</v>
      </c>
      <c r="AA55" s="128" t="s">
        <v>1037</v>
      </c>
      <c r="AB55" s="128" t="s">
        <v>1228</v>
      </c>
      <c r="AC55" s="128" t="s">
        <v>1229</v>
      </c>
      <c r="AD55" s="128" t="s">
        <v>224</v>
      </c>
      <c r="AE55" s="128" t="s">
        <v>222</v>
      </c>
      <c r="AF55" s="129" t="s">
        <v>1038</v>
      </c>
      <c r="AG55" s="130" t="s">
        <v>1036</v>
      </c>
    </row>
    <row r="56" spans="1:33" x14ac:dyDescent="0.3">
      <c r="A56" s="90" t="s">
        <v>3</v>
      </c>
      <c r="B56" s="6" t="s">
        <v>3</v>
      </c>
      <c r="C56" s="112" t="s">
        <v>286</v>
      </c>
      <c r="D56" s="112" t="s">
        <v>250</v>
      </c>
      <c r="E56" s="112" t="s">
        <v>248</v>
      </c>
      <c r="F56" s="112" t="s">
        <v>270</v>
      </c>
      <c r="G56" s="112" t="s">
        <v>266</v>
      </c>
      <c r="H56" s="112" t="s">
        <v>226</v>
      </c>
      <c r="I56" s="112" t="s">
        <v>246</v>
      </c>
      <c r="J56" s="112" t="s">
        <v>239</v>
      </c>
      <c r="K56" s="112" t="s">
        <v>339</v>
      </c>
      <c r="L56" s="112" t="s">
        <v>311</v>
      </c>
      <c r="M56" s="112" t="s">
        <v>231</v>
      </c>
      <c r="N56" s="112" t="s">
        <v>241</v>
      </c>
      <c r="O56" s="112" t="s">
        <v>268</v>
      </c>
      <c r="P56" s="112" t="s">
        <v>255</v>
      </c>
      <c r="Q56" s="113" t="s">
        <v>392</v>
      </c>
      <c r="R56" s="6" t="s">
        <v>1</v>
      </c>
      <c r="S56" s="112" t="s">
        <v>278</v>
      </c>
      <c r="T56" s="112" t="s">
        <v>221</v>
      </c>
      <c r="U56" s="112" t="s">
        <v>243</v>
      </c>
      <c r="V56" s="112" t="s">
        <v>251</v>
      </c>
      <c r="W56" s="112" t="s">
        <v>346</v>
      </c>
      <c r="X56" s="112" t="s">
        <v>224</v>
      </c>
      <c r="Y56" s="112" t="s">
        <v>287</v>
      </c>
      <c r="Z56" s="112" t="s">
        <v>235</v>
      </c>
      <c r="AA56" s="112" t="s">
        <v>274</v>
      </c>
      <c r="AB56" s="112" t="s">
        <v>222</v>
      </c>
      <c r="AC56" s="112" t="s">
        <v>325</v>
      </c>
      <c r="AD56" s="112" t="s">
        <v>244</v>
      </c>
      <c r="AE56" s="112" t="s">
        <v>228</v>
      </c>
      <c r="AF56" s="112" t="s">
        <v>264</v>
      </c>
      <c r="AG56" s="113" t="s">
        <v>234</v>
      </c>
    </row>
    <row r="57" spans="1:33" x14ac:dyDescent="0.3">
      <c r="A57" s="90"/>
      <c r="B57" s="114"/>
      <c r="C57" s="115">
        <v>7</v>
      </c>
      <c r="D57" s="115">
        <v>5</v>
      </c>
      <c r="E57" s="115">
        <v>6</v>
      </c>
      <c r="F57" s="115">
        <v>6</v>
      </c>
      <c r="G57" s="115">
        <v>6</v>
      </c>
      <c r="H57" s="115">
        <v>6</v>
      </c>
      <c r="I57" s="115">
        <v>6</v>
      </c>
      <c r="J57" s="115">
        <v>6</v>
      </c>
      <c r="K57" s="115">
        <v>6</v>
      </c>
      <c r="L57" s="115">
        <v>5</v>
      </c>
      <c r="M57" s="115">
        <v>6</v>
      </c>
      <c r="N57" s="115">
        <v>6</v>
      </c>
      <c r="O57" s="115">
        <v>7</v>
      </c>
      <c r="P57" s="115">
        <v>6</v>
      </c>
      <c r="Q57" s="116">
        <v>6</v>
      </c>
      <c r="R57" s="114"/>
      <c r="S57" s="115">
        <v>6</v>
      </c>
      <c r="T57" s="115">
        <v>5</v>
      </c>
      <c r="U57" s="115">
        <v>7</v>
      </c>
      <c r="V57" s="115">
        <v>6</v>
      </c>
      <c r="W57" s="115">
        <v>6</v>
      </c>
      <c r="X57" s="115">
        <v>6</v>
      </c>
      <c r="Y57" s="115">
        <v>7</v>
      </c>
      <c r="Z57" s="115">
        <v>6</v>
      </c>
      <c r="AA57" s="115">
        <v>6</v>
      </c>
      <c r="AB57" s="115">
        <v>7</v>
      </c>
      <c r="AC57" s="115">
        <v>7</v>
      </c>
      <c r="AD57" s="115">
        <v>6</v>
      </c>
      <c r="AE57" s="115">
        <v>7</v>
      </c>
      <c r="AF57" s="115">
        <v>7</v>
      </c>
      <c r="AG57" s="116">
        <v>5</v>
      </c>
    </row>
    <row r="58" spans="1:33" x14ac:dyDescent="0.3">
      <c r="A58" s="90">
        <v>45054</v>
      </c>
      <c r="B58" s="131" t="s">
        <v>1070</v>
      </c>
      <c r="C58" s="132" t="s">
        <v>246</v>
      </c>
      <c r="D58" s="132"/>
      <c r="E58" s="132" t="s">
        <v>255</v>
      </c>
      <c r="F58" s="132"/>
      <c r="G58" s="132" t="s">
        <v>1036</v>
      </c>
      <c r="H58" s="132" t="s">
        <v>1022</v>
      </c>
      <c r="I58" s="132" t="s">
        <v>1028</v>
      </c>
      <c r="J58" s="132" t="s">
        <v>226</v>
      </c>
      <c r="K58" s="132"/>
      <c r="L58" s="132"/>
      <c r="M58" s="132" t="s">
        <v>266</v>
      </c>
      <c r="N58" s="132"/>
      <c r="O58" s="132" t="s">
        <v>392</v>
      </c>
      <c r="P58" s="132" t="s">
        <v>1008</v>
      </c>
      <c r="Q58" s="133" t="s">
        <v>1227</v>
      </c>
      <c r="R58" s="131" t="s">
        <v>1070</v>
      </c>
      <c r="S58" s="132" t="s">
        <v>228</v>
      </c>
      <c r="T58" s="132"/>
      <c r="U58" s="132" t="s">
        <v>1229</v>
      </c>
      <c r="V58" s="132" t="s">
        <v>346</v>
      </c>
      <c r="W58" s="132" t="s">
        <v>1037</v>
      </c>
      <c r="X58" s="132" t="s">
        <v>1038</v>
      </c>
      <c r="Y58" s="132" t="s">
        <v>243</v>
      </c>
      <c r="Z58" s="132" t="s">
        <v>224</v>
      </c>
      <c r="AA58" s="132"/>
      <c r="AB58" s="132" t="s">
        <v>325</v>
      </c>
      <c r="AC58" s="132" t="s">
        <v>1012</v>
      </c>
      <c r="AD58" s="132" t="s">
        <v>264</v>
      </c>
      <c r="AE58" s="132" t="s">
        <v>1034</v>
      </c>
      <c r="AF58" s="132" t="s">
        <v>1015</v>
      </c>
      <c r="AG58" s="133"/>
    </row>
    <row r="59" spans="1:33" x14ac:dyDescent="0.3">
      <c r="A59" s="90">
        <v>45055</v>
      </c>
      <c r="B59" s="131" t="s">
        <v>1071</v>
      </c>
      <c r="C59" s="132" t="s">
        <v>246</v>
      </c>
      <c r="D59" s="132" t="s">
        <v>221</v>
      </c>
      <c r="E59" s="132" t="s">
        <v>255</v>
      </c>
      <c r="F59" s="132" t="s">
        <v>339</v>
      </c>
      <c r="G59" s="132" t="s">
        <v>1036</v>
      </c>
      <c r="H59" s="132" t="s">
        <v>1022</v>
      </c>
      <c r="I59" s="132" t="s">
        <v>1028</v>
      </c>
      <c r="J59" s="132" t="s">
        <v>226</v>
      </c>
      <c r="K59" s="132" t="s">
        <v>1011</v>
      </c>
      <c r="L59" s="132" t="s">
        <v>234</v>
      </c>
      <c r="M59" s="132" t="s">
        <v>266</v>
      </c>
      <c r="N59" s="132" t="s">
        <v>1033</v>
      </c>
      <c r="O59" s="132" t="s">
        <v>392</v>
      </c>
      <c r="P59" s="132" t="s">
        <v>1008</v>
      </c>
      <c r="Q59" s="133" t="s">
        <v>1227</v>
      </c>
      <c r="R59" s="131" t="s">
        <v>1071</v>
      </c>
      <c r="S59" s="132" t="s">
        <v>228</v>
      </c>
      <c r="T59" s="132" t="s">
        <v>1030</v>
      </c>
      <c r="U59" s="132" t="s">
        <v>1229</v>
      </c>
      <c r="V59" s="132" t="s">
        <v>346</v>
      </c>
      <c r="W59" s="132" t="s">
        <v>1037</v>
      </c>
      <c r="X59" s="132" t="s">
        <v>1038</v>
      </c>
      <c r="Y59" s="132" t="s">
        <v>243</v>
      </c>
      <c r="Z59" s="132" t="s">
        <v>224</v>
      </c>
      <c r="AA59" s="132" t="s">
        <v>241</v>
      </c>
      <c r="AB59" s="132" t="s">
        <v>325</v>
      </c>
      <c r="AC59" s="132" t="s">
        <v>1012</v>
      </c>
      <c r="AD59" s="132" t="s">
        <v>264</v>
      </c>
      <c r="AE59" s="132" t="s">
        <v>1034</v>
      </c>
      <c r="AF59" s="132" t="s">
        <v>1015</v>
      </c>
      <c r="AG59" s="133" t="s">
        <v>1027</v>
      </c>
    </row>
    <row r="60" spans="1:33" x14ac:dyDescent="0.3">
      <c r="A60" s="90">
        <v>45056</v>
      </c>
      <c r="B60" s="131" t="s">
        <v>1072</v>
      </c>
      <c r="C60" s="132" t="s">
        <v>246</v>
      </c>
      <c r="D60" s="132" t="s">
        <v>221</v>
      </c>
      <c r="E60" s="132" t="s">
        <v>255</v>
      </c>
      <c r="F60" s="132" t="s">
        <v>339</v>
      </c>
      <c r="G60" s="132" t="s">
        <v>1036</v>
      </c>
      <c r="H60" s="132" t="s">
        <v>1022</v>
      </c>
      <c r="I60" s="132" t="s">
        <v>1028</v>
      </c>
      <c r="J60" s="132" t="s">
        <v>226</v>
      </c>
      <c r="K60" s="132" t="s">
        <v>1011</v>
      </c>
      <c r="L60" s="132" t="s">
        <v>234</v>
      </c>
      <c r="M60" s="132" t="s">
        <v>266</v>
      </c>
      <c r="N60" s="132" t="s">
        <v>1033</v>
      </c>
      <c r="O60" s="132" t="s">
        <v>392</v>
      </c>
      <c r="P60" s="132" t="s">
        <v>1008</v>
      </c>
      <c r="Q60" s="133" t="s">
        <v>1227</v>
      </c>
      <c r="R60" s="131" t="s">
        <v>1072</v>
      </c>
      <c r="S60" s="132" t="s">
        <v>228</v>
      </c>
      <c r="T60" s="132" t="s">
        <v>1030</v>
      </c>
      <c r="U60" s="132" t="s">
        <v>1229</v>
      </c>
      <c r="V60" s="132" t="s">
        <v>346</v>
      </c>
      <c r="W60" s="132" t="s">
        <v>1037</v>
      </c>
      <c r="X60" s="132" t="s">
        <v>1038</v>
      </c>
      <c r="Y60" s="132" t="s">
        <v>243</v>
      </c>
      <c r="Z60" s="132" t="s">
        <v>224</v>
      </c>
      <c r="AA60" s="132" t="s">
        <v>241</v>
      </c>
      <c r="AB60" s="132" t="s">
        <v>325</v>
      </c>
      <c r="AC60" s="132" t="s">
        <v>1012</v>
      </c>
      <c r="AD60" s="132" t="s">
        <v>264</v>
      </c>
      <c r="AE60" s="132" t="s">
        <v>1034</v>
      </c>
      <c r="AF60" s="132" t="s">
        <v>1015</v>
      </c>
      <c r="AG60" s="133" t="s">
        <v>1027</v>
      </c>
    </row>
    <row r="61" spans="1:33" x14ac:dyDescent="0.3">
      <c r="A61" s="90">
        <v>45057</v>
      </c>
      <c r="B61" s="131" t="s">
        <v>1073</v>
      </c>
      <c r="C61" s="132" t="s">
        <v>268</v>
      </c>
      <c r="D61" s="132"/>
      <c r="E61" s="132"/>
      <c r="F61" s="134" t="s">
        <v>339</v>
      </c>
      <c r="G61" s="132"/>
      <c r="H61" s="132"/>
      <c r="I61" s="132"/>
      <c r="J61" s="132"/>
      <c r="K61" s="132" t="s">
        <v>1011</v>
      </c>
      <c r="L61" s="132"/>
      <c r="M61" s="132"/>
      <c r="N61" s="132" t="s">
        <v>1033</v>
      </c>
      <c r="O61" s="132" t="s">
        <v>1028</v>
      </c>
      <c r="P61" s="132"/>
      <c r="Q61" s="133"/>
      <c r="R61" s="131" t="s">
        <v>1073</v>
      </c>
      <c r="S61" s="132"/>
      <c r="T61" s="132"/>
      <c r="U61" s="132" t="s">
        <v>1229</v>
      </c>
      <c r="V61" s="134"/>
      <c r="W61" s="132"/>
      <c r="X61" s="132"/>
      <c r="Y61" s="132" t="s">
        <v>243</v>
      </c>
      <c r="Z61" s="132"/>
      <c r="AA61" s="132" t="s">
        <v>241</v>
      </c>
      <c r="AB61" s="132" t="s">
        <v>228</v>
      </c>
      <c r="AC61" s="132" t="s">
        <v>264</v>
      </c>
      <c r="AD61" s="132"/>
      <c r="AE61" s="132" t="s">
        <v>1012</v>
      </c>
      <c r="AF61" s="132" t="s">
        <v>1016</v>
      </c>
      <c r="AG61" s="133"/>
    </row>
    <row r="62" spans="1:33" x14ac:dyDescent="0.3">
      <c r="A62" s="90">
        <v>45058</v>
      </c>
      <c r="B62" s="131" t="s">
        <v>1074</v>
      </c>
      <c r="C62" s="132" t="s">
        <v>268</v>
      </c>
      <c r="D62" s="132" t="s">
        <v>1043</v>
      </c>
      <c r="E62" s="132" t="s">
        <v>1033</v>
      </c>
      <c r="F62" s="132" t="s">
        <v>1009</v>
      </c>
      <c r="G62" s="132" t="s">
        <v>311</v>
      </c>
      <c r="H62" s="132" t="s">
        <v>241</v>
      </c>
      <c r="I62" s="132" t="s">
        <v>270</v>
      </c>
      <c r="J62" s="132" t="s">
        <v>287</v>
      </c>
      <c r="K62" s="132" t="s">
        <v>1232</v>
      </c>
      <c r="L62" s="132" t="s">
        <v>1031</v>
      </c>
      <c r="M62" s="132" t="s">
        <v>1034</v>
      </c>
      <c r="N62" s="132" t="s">
        <v>1007</v>
      </c>
      <c r="O62" s="132" t="s">
        <v>1028</v>
      </c>
      <c r="P62" s="132" t="s">
        <v>1013</v>
      </c>
      <c r="Q62" s="133" t="s">
        <v>339</v>
      </c>
      <c r="R62" s="131" t="s">
        <v>1074</v>
      </c>
      <c r="S62" s="132" t="s">
        <v>231</v>
      </c>
      <c r="T62" s="132" t="s">
        <v>255</v>
      </c>
      <c r="U62" s="132" t="s">
        <v>224</v>
      </c>
      <c r="V62" s="132" t="s">
        <v>235</v>
      </c>
      <c r="W62" s="132" t="s">
        <v>244</v>
      </c>
      <c r="X62" s="132" t="s">
        <v>1023</v>
      </c>
      <c r="Y62" s="132" t="s">
        <v>1022</v>
      </c>
      <c r="Z62" s="132" t="s">
        <v>1037</v>
      </c>
      <c r="AA62" s="132" t="s">
        <v>248</v>
      </c>
      <c r="AB62" s="132" t="s">
        <v>228</v>
      </c>
      <c r="AC62" s="132" t="s">
        <v>264</v>
      </c>
      <c r="AD62" s="132" t="s">
        <v>1032</v>
      </c>
      <c r="AE62" s="132" t="s">
        <v>1012</v>
      </c>
      <c r="AF62" s="132" t="s">
        <v>1016</v>
      </c>
      <c r="AG62" s="133" t="s">
        <v>250</v>
      </c>
    </row>
    <row r="63" spans="1:33" x14ac:dyDescent="0.3">
      <c r="A63" s="90">
        <v>45059</v>
      </c>
      <c r="B63" s="131" t="s">
        <v>1075</v>
      </c>
      <c r="C63" s="132" t="s">
        <v>268</v>
      </c>
      <c r="D63" s="132" t="s">
        <v>1043</v>
      </c>
      <c r="E63" s="132" t="s">
        <v>1033</v>
      </c>
      <c r="F63" s="132" t="s">
        <v>1009</v>
      </c>
      <c r="G63" s="132" t="s">
        <v>311</v>
      </c>
      <c r="H63" s="132" t="s">
        <v>241</v>
      </c>
      <c r="I63" s="132" t="s">
        <v>270</v>
      </c>
      <c r="J63" s="132" t="s">
        <v>287</v>
      </c>
      <c r="K63" s="134" t="s">
        <v>1232</v>
      </c>
      <c r="L63" s="132" t="s">
        <v>1031</v>
      </c>
      <c r="M63" s="132" t="s">
        <v>1034</v>
      </c>
      <c r="N63" s="132" t="s">
        <v>1007</v>
      </c>
      <c r="O63" s="132" t="s">
        <v>1028</v>
      </c>
      <c r="P63" s="132" t="s">
        <v>1013</v>
      </c>
      <c r="Q63" s="133" t="s">
        <v>339</v>
      </c>
      <c r="R63" s="131" t="s">
        <v>1075</v>
      </c>
      <c r="S63" s="132" t="s">
        <v>231</v>
      </c>
      <c r="T63" s="132" t="s">
        <v>255</v>
      </c>
      <c r="U63" s="132" t="s">
        <v>224</v>
      </c>
      <c r="V63" s="132" t="s">
        <v>235</v>
      </c>
      <c r="W63" s="132" t="s">
        <v>244</v>
      </c>
      <c r="X63" s="132" t="s">
        <v>1023</v>
      </c>
      <c r="Y63" s="132" t="s">
        <v>1022</v>
      </c>
      <c r="Z63" s="132" t="s">
        <v>1037</v>
      </c>
      <c r="AA63" s="134" t="s">
        <v>248</v>
      </c>
      <c r="AB63" s="132" t="s">
        <v>228</v>
      </c>
      <c r="AC63" s="132" t="s">
        <v>264</v>
      </c>
      <c r="AD63" s="132" t="s">
        <v>1032</v>
      </c>
      <c r="AE63" s="132" t="s">
        <v>1012</v>
      </c>
      <c r="AF63" s="132" t="s">
        <v>1016</v>
      </c>
      <c r="AG63" s="133" t="s">
        <v>250</v>
      </c>
    </row>
    <row r="64" spans="1:33" ht="15" thickBot="1" x14ac:dyDescent="0.35">
      <c r="A64" s="90">
        <v>45060</v>
      </c>
      <c r="B64" s="135" t="s">
        <v>1076</v>
      </c>
      <c r="C64" s="136" t="s">
        <v>268</v>
      </c>
      <c r="D64" s="136" t="s">
        <v>1043</v>
      </c>
      <c r="E64" s="136" t="s">
        <v>1033</v>
      </c>
      <c r="F64" s="136" t="s">
        <v>1009</v>
      </c>
      <c r="G64" s="136" t="s">
        <v>311</v>
      </c>
      <c r="H64" s="136" t="s">
        <v>241</v>
      </c>
      <c r="I64" s="136" t="s">
        <v>270</v>
      </c>
      <c r="J64" s="136" t="s">
        <v>287</v>
      </c>
      <c r="K64" s="136" t="s">
        <v>1232</v>
      </c>
      <c r="L64" s="136" t="s">
        <v>1031</v>
      </c>
      <c r="M64" s="136" t="s">
        <v>1034</v>
      </c>
      <c r="N64" s="136" t="s">
        <v>1007</v>
      </c>
      <c r="O64" s="136" t="s">
        <v>1028</v>
      </c>
      <c r="P64" s="136" t="s">
        <v>1013</v>
      </c>
      <c r="Q64" s="137" t="s">
        <v>339</v>
      </c>
      <c r="R64" s="135" t="s">
        <v>1076</v>
      </c>
      <c r="S64" s="136" t="s">
        <v>231</v>
      </c>
      <c r="T64" s="136" t="s">
        <v>255</v>
      </c>
      <c r="U64" s="136" t="s">
        <v>224</v>
      </c>
      <c r="V64" s="136" t="s">
        <v>235</v>
      </c>
      <c r="W64" s="136" t="s">
        <v>244</v>
      </c>
      <c r="X64" s="136" t="s">
        <v>1023</v>
      </c>
      <c r="Y64" s="136" t="s">
        <v>1022</v>
      </c>
      <c r="Z64" s="136" t="s">
        <v>1037</v>
      </c>
      <c r="AA64" s="136" t="s">
        <v>248</v>
      </c>
      <c r="AB64" s="136" t="s">
        <v>228</v>
      </c>
      <c r="AC64" s="136" t="s">
        <v>264</v>
      </c>
      <c r="AD64" s="136" t="s">
        <v>1032</v>
      </c>
      <c r="AE64" s="136" t="s">
        <v>1012</v>
      </c>
      <c r="AF64" s="136" t="s">
        <v>1016</v>
      </c>
      <c r="AG64" s="137" t="s">
        <v>250</v>
      </c>
    </row>
    <row r="65" spans="1:33" x14ac:dyDescent="0.3">
      <c r="A65" s="90" t="s">
        <v>3</v>
      </c>
      <c r="B65" s="6" t="s">
        <v>3</v>
      </c>
      <c r="C65" s="112" t="s">
        <v>286</v>
      </c>
      <c r="D65" s="112" t="s">
        <v>250</v>
      </c>
      <c r="E65" s="112" t="s">
        <v>248</v>
      </c>
      <c r="F65" s="112" t="s">
        <v>270</v>
      </c>
      <c r="G65" s="112" t="s">
        <v>266</v>
      </c>
      <c r="H65" s="112" t="s">
        <v>226</v>
      </c>
      <c r="I65" s="112" t="s">
        <v>246</v>
      </c>
      <c r="J65" s="112" t="s">
        <v>239</v>
      </c>
      <c r="K65" s="112" t="s">
        <v>339</v>
      </c>
      <c r="L65" s="112" t="s">
        <v>311</v>
      </c>
      <c r="M65" s="112" t="s">
        <v>231</v>
      </c>
      <c r="N65" s="112" t="s">
        <v>241</v>
      </c>
      <c r="O65" s="112" t="s">
        <v>268</v>
      </c>
      <c r="P65" s="112" t="s">
        <v>255</v>
      </c>
      <c r="Q65" s="113" t="s">
        <v>392</v>
      </c>
      <c r="R65" s="6" t="s">
        <v>1</v>
      </c>
      <c r="S65" s="112" t="s">
        <v>278</v>
      </c>
      <c r="T65" s="112" t="s">
        <v>221</v>
      </c>
      <c r="U65" s="112" t="s">
        <v>243</v>
      </c>
      <c r="V65" s="112" t="s">
        <v>251</v>
      </c>
      <c r="W65" s="112" t="s">
        <v>346</v>
      </c>
      <c r="X65" s="112" t="s">
        <v>224</v>
      </c>
      <c r="Y65" s="112" t="s">
        <v>287</v>
      </c>
      <c r="Z65" s="112" t="s">
        <v>235</v>
      </c>
      <c r="AA65" s="112" t="s">
        <v>274</v>
      </c>
      <c r="AB65" s="112" t="s">
        <v>222</v>
      </c>
      <c r="AC65" s="112" t="s">
        <v>325</v>
      </c>
      <c r="AD65" s="112" t="s">
        <v>244</v>
      </c>
      <c r="AE65" s="112" t="s">
        <v>228</v>
      </c>
      <c r="AF65" s="112" t="s">
        <v>264</v>
      </c>
      <c r="AG65" s="113" t="s">
        <v>234</v>
      </c>
    </row>
    <row r="66" spans="1:33" x14ac:dyDescent="0.3">
      <c r="A66" s="90"/>
      <c r="B66" s="120"/>
      <c r="C66" s="121">
        <v>6</v>
      </c>
      <c r="D66" s="121">
        <v>6</v>
      </c>
      <c r="E66" s="121">
        <v>6</v>
      </c>
      <c r="F66" s="121">
        <v>6</v>
      </c>
      <c r="G66" s="121">
        <v>6</v>
      </c>
      <c r="H66" s="121">
        <v>7</v>
      </c>
      <c r="I66" s="121">
        <v>6</v>
      </c>
      <c r="J66" s="121">
        <v>6</v>
      </c>
      <c r="K66" s="121">
        <v>7</v>
      </c>
      <c r="L66" s="121">
        <v>6</v>
      </c>
      <c r="M66" s="121">
        <v>5</v>
      </c>
      <c r="N66" s="121">
        <v>6</v>
      </c>
      <c r="O66" s="121">
        <v>6</v>
      </c>
      <c r="P66" s="121">
        <v>7</v>
      </c>
      <c r="Q66" s="122">
        <v>7</v>
      </c>
      <c r="R66" s="120"/>
      <c r="S66" s="121">
        <v>7</v>
      </c>
      <c r="T66" s="121">
        <v>6</v>
      </c>
      <c r="U66" s="121">
        <v>6</v>
      </c>
      <c r="V66" s="121">
        <v>6</v>
      </c>
      <c r="W66" s="121">
        <v>5</v>
      </c>
      <c r="X66" s="121">
        <v>6</v>
      </c>
      <c r="Y66" s="121">
        <v>6</v>
      </c>
      <c r="Z66" s="121">
        <v>7</v>
      </c>
      <c r="AA66" s="121">
        <v>6</v>
      </c>
      <c r="AB66" s="121">
        <v>7</v>
      </c>
      <c r="AC66" s="121">
        <v>6</v>
      </c>
      <c r="AD66" s="121">
        <v>6</v>
      </c>
      <c r="AE66" s="121">
        <v>6</v>
      </c>
      <c r="AF66" s="121">
        <v>6</v>
      </c>
      <c r="AG66" s="122">
        <v>7</v>
      </c>
    </row>
    <row r="67" spans="1:33" x14ac:dyDescent="0.3">
      <c r="A67" s="90">
        <v>45061</v>
      </c>
      <c r="B67" s="120" t="s">
        <v>1077</v>
      </c>
      <c r="C67" s="121" t="s">
        <v>1016</v>
      </c>
      <c r="D67" s="121" t="s">
        <v>1010</v>
      </c>
      <c r="E67" s="121" t="s">
        <v>1014</v>
      </c>
      <c r="F67" s="121" t="s">
        <v>1031</v>
      </c>
      <c r="G67" s="121" t="s">
        <v>270</v>
      </c>
      <c r="H67" s="121" t="s">
        <v>274</v>
      </c>
      <c r="I67" s="121"/>
      <c r="J67" s="121" t="s">
        <v>1017</v>
      </c>
      <c r="K67" s="121" t="s">
        <v>1232</v>
      </c>
      <c r="L67" s="121" t="s">
        <v>1227</v>
      </c>
      <c r="M67" s="121"/>
      <c r="N67" s="121" t="s">
        <v>287</v>
      </c>
      <c r="O67" s="121" t="s">
        <v>311</v>
      </c>
      <c r="P67" s="121" t="s">
        <v>239</v>
      </c>
      <c r="Q67" s="122" t="s">
        <v>339</v>
      </c>
      <c r="R67" s="120" t="s">
        <v>1077</v>
      </c>
      <c r="S67" s="121" t="s">
        <v>235</v>
      </c>
      <c r="T67" s="121" t="s">
        <v>244</v>
      </c>
      <c r="U67" s="121"/>
      <c r="V67" s="121"/>
      <c r="W67" s="121"/>
      <c r="X67" s="121" t="s">
        <v>248</v>
      </c>
      <c r="Y67" s="121" t="s">
        <v>1230</v>
      </c>
      <c r="Z67" s="121" t="s">
        <v>1034</v>
      </c>
      <c r="AA67" s="121" t="s">
        <v>1007</v>
      </c>
      <c r="AB67" s="121" t="s">
        <v>1043</v>
      </c>
      <c r="AC67" s="121" t="s">
        <v>286</v>
      </c>
      <c r="AD67" s="121" t="s">
        <v>1013</v>
      </c>
      <c r="AE67" s="121"/>
      <c r="AF67" s="121" t="s">
        <v>250</v>
      </c>
      <c r="AG67" s="122" t="s">
        <v>222</v>
      </c>
    </row>
    <row r="68" spans="1:33" x14ac:dyDescent="0.3">
      <c r="A68" s="90">
        <v>45062</v>
      </c>
      <c r="B68" s="120" t="s">
        <v>1078</v>
      </c>
      <c r="C68" s="121" t="s">
        <v>1016</v>
      </c>
      <c r="D68" s="121" t="s">
        <v>1010</v>
      </c>
      <c r="E68" s="121" t="s">
        <v>1014</v>
      </c>
      <c r="F68" s="121" t="s">
        <v>1031</v>
      </c>
      <c r="G68" s="121" t="s">
        <v>270</v>
      </c>
      <c r="H68" s="121" t="s">
        <v>274</v>
      </c>
      <c r="I68" s="121" t="s">
        <v>392</v>
      </c>
      <c r="J68" s="121" t="s">
        <v>1017</v>
      </c>
      <c r="K68" s="121" t="s">
        <v>228</v>
      </c>
      <c r="L68" s="121" t="s">
        <v>1227</v>
      </c>
      <c r="M68" s="121" t="s">
        <v>1032</v>
      </c>
      <c r="N68" s="121" t="s">
        <v>287</v>
      </c>
      <c r="O68" s="121" t="s">
        <v>311</v>
      </c>
      <c r="P68" s="123" t="s">
        <v>239</v>
      </c>
      <c r="Q68" s="124" t="s">
        <v>1009</v>
      </c>
      <c r="R68" s="120" t="s">
        <v>1078</v>
      </c>
      <c r="S68" s="121" t="s">
        <v>235</v>
      </c>
      <c r="T68" s="121" t="s">
        <v>244</v>
      </c>
      <c r="U68" s="121" t="s">
        <v>251</v>
      </c>
      <c r="V68" s="121" t="s">
        <v>1023</v>
      </c>
      <c r="W68" s="121" t="s">
        <v>231</v>
      </c>
      <c r="X68" s="121" t="s">
        <v>248</v>
      </c>
      <c r="Y68" s="121" t="s">
        <v>1230</v>
      </c>
      <c r="Z68" s="121" t="s">
        <v>1034</v>
      </c>
      <c r="AA68" s="121" t="s">
        <v>1007</v>
      </c>
      <c r="AB68" s="121" t="s">
        <v>1043</v>
      </c>
      <c r="AC68" s="121" t="s">
        <v>286</v>
      </c>
      <c r="AD68" s="121" t="s">
        <v>1013</v>
      </c>
      <c r="AE68" s="121" t="s">
        <v>1029</v>
      </c>
      <c r="AF68" s="123" t="s">
        <v>250</v>
      </c>
      <c r="AG68" s="124" t="s">
        <v>222</v>
      </c>
    </row>
    <row r="69" spans="1:33" x14ac:dyDescent="0.3">
      <c r="A69" s="90">
        <v>45063</v>
      </c>
      <c r="B69" s="120" t="s">
        <v>1079</v>
      </c>
      <c r="C69" s="121" t="s">
        <v>1016</v>
      </c>
      <c r="D69" s="121" t="s">
        <v>1010</v>
      </c>
      <c r="E69" s="121" t="s">
        <v>1014</v>
      </c>
      <c r="F69" s="121" t="s">
        <v>1031</v>
      </c>
      <c r="G69" s="121" t="s">
        <v>270</v>
      </c>
      <c r="H69" s="121" t="s">
        <v>274</v>
      </c>
      <c r="I69" s="121" t="s">
        <v>392</v>
      </c>
      <c r="J69" s="121" t="s">
        <v>1017</v>
      </c>
      <c r="K69" s="121" t="s">
        <v>228</v>
      </c>
      <c r="L69" s="121" t="s">
        <v>1227</v>
      </c>
      <c r="M69" s="121" t="s">
        <v>1032</v>
      </c>
      <c r="N69" s="121" t="s">
        <v>287</v>
      </c>
      <c r="O69" s="121" t="s">
        <v>311</v>
      </c>
      <c r="P69" s="123" t="s">
        <v>239</v>
      </c>
      <c r="Q69" s="124" t="s">
        <v>1009</v>
      </c>
      <c r="R69" s="120" t="s">
        <v>1079</v>
      </c>
      <c r="S69" s="121" t="s">
        <v>235</v>
      </c>
      <c r="T69" s="121" t="s">
        <v>244</v>
      </c>
      <c r="U69" s="121" t="s">
        <v>251</v>
      </c>
      <c r="V69" s="121" t="s">
        <v>1023</v>
      </c>
      <c r="W69" s="121" t="s">
        <v>231</v>
      </c>
      <c r="X69" s="121" t="s">
        <v>248</v>
      </c>
      <c r="Y69" s="121" t="s">
        <v>1230</v>
      </c>
      <c r="Z69" s="121" t="s">
        <v>1034</v>
      </c>
      <c r="AA69" s="121" t="s">
        <v>1007</v>
      </c>
      <c r="AB69" s="121" t="s">
        <v>1043</v>
      </c>
      <c r="AC69" s="121" t="s">
        <v>286</v>
      </c>
      <c r="AD69" s="121" t="s">
        <v>1013</v>
      </c>
      <c r="AE69" s="121" t="s">
        <v>1029</v>
      </c>
      <c r="AF69" s="123" t="s">
        <v>250</v>
      </c>
      <c r="AG69" s="124" t="s">
        <v>222</v>
      </c>
    </row>
    <row r="70" spans="1:33" x14ac:dyDescent="0.3">
      <c r="A70" s="90">
        <v>45064</v>
      </c>
      <c r="B70" s="120" t="s">
        <v>1080</v>
      </c>
      <c r="C70" s="121"/>
      <c r="D70" s="121"/>
      <c r="E70" s="121"/>
      <c r="F70" s="121"/>
      <c r="G70" s="121"/>
      <c r="H70" s="121" t="s">
        <v>1017</v>
      </c>
      <c r="I70" s="121" t="s">
        <v>392</v>
      </c>
      <c r="J70" s="121"/>
      <c r="K70" s="121" t="s">
        <v>228</v>
      </c>
      <c r="L70" s="121"/>
      <c r="M70" s="121"/>
      <c r="N70" s="121"/>
      <c r="O70" s="121"/>
      <c r="P70" s="123" t="s">
        <v>226</v>
      </c>
      <c r="Q70" s="124" t="s">
        <v>1009</v>
      </c>
      <c r="R70" s="120" t="s">
        <v>1080</v>
      </c>
      <c r="S70" s="121" t="s">
        <v>235</v>
      </c>
      <c r="T70" s="121"/>
      <c r="U70" s="121" t="s">
        <v>251</v>
      </c>
      <c r="V70" s="121" t="s">
        <v>1023</v>
      </c>
      <c r="W70" s="121"/>
      <c r="X70" s="121"/>
      <c r="Y70" s="121"/>
      <c r="Z70" s="121" t="s">
        <v>1034</v>
      </c>
      <c r="AA70" s="121"/>
      <c r="AB70" s="121" t="s">
        <v>1043</v>
      </c>
      <c r="AC70" s="121"/>
      <c r="AD70" s="121"/>
      <c r="AE70" s="121" t="s">
        <v>1029</v>
      </c>
      <c r="AF70" s="123"/>
      <c r="AG70" s="124" t="s">
        <v>222</v>
      </c>
    </row>
    <row r="71" spans="1:33" x14ac:dyDescent="0.3">
      <c r="A71" s="90">
        <v>45065</v>
      </c>
      <c r="B71" s="120" t="s">
        <v>1081</v>
      </c>
      <c r="C71" s="121" t="s">
        <v>1036</v>
      </c>
      <c r="D71" s="121" t="s">
        <v>244</v>
      </c>
      <c r="E71" s="121" t="s">
        <v>1027</v>
      </c>
      <c r="F71" s="121" t="s">
        <v>222</v>
      </c>
      <c r="G71" s="121" t="s">
        <v>1010</v>
      </c>
      <c r="H71" s="121" t="s">
        <v>1017</v>
      </c>
      <c r="I71" s="121" t="s">
        <v>1227</v>
      </c>
      <c r="J71" s="121" t="s">
        <v>1228</v>
      </c>
      <c r="K71" s="121" t="s">
        <v>251</v>
      </c>
      <c r="L71" s="121" t="s">
        <v>248</v>
      </c>
      <c r="M71" s="121" t="s">
        <v>286</v>
      </c>
      <c r="N71" s="121" t="s">
        <v>221</v>
      </c>
      <c r="O71" s="121" t="s">
        <v>246</v>
      </c>
      <c r="P71" s="123" t="s">
        <v>226</v>
      </c>
      <c r="Q71" s="124" t="s">
        <v>346</v>
      </c>
      <c r="R71" s="120" t="s">
        <v>1081</v>
      </c>
      <c r="S71" s="121" t="s">
        <v>1043</v>
      </c>
      <c r="T71" s="121" t="s">
        <v>1230</v>
      </c>
      <c r="U71" s="121" t="s">
        <v>287</v>
      </c>
      <c r="V71" s="121" t="s">
        <v>1029</v>
      </c>
      <c r="W71" s="121" t="s">
        <v>1232</v>
      </c>
      <c r="X71" s="121" t="s">
        <v>325</v>
      </c>
      <c r="Y71" s="121" t="s">
        <v>1023</v>
      </c>
      <c r="Z71" s="121" t="s">
        <v>274</v>
      </c>
      <c r="AA71" s="121" t="s">
        <v>1038</v>
      </c>
      <c r="AB71" s="121" t="s">
        <v>1011</v>
      </c>
      <c r="AC71" s="121" t="s">
        <v>1014</v>
      </c>
      <c r="AD71" s="121" t="s">
        <v>1030</v>
      </c>
      <c r="AE71" s="121" t="s">
        <v>239</v>
      </c>
      <c r="AF71" s="123" t="s">
        <v>266</v>
      </c>
      <c r="AG71" s="124" t="s">
        <v>278</v>
      </c>
    </row>
    <row r="72" spans="1:33" x14ac:dyDescent="0.3">
      <c r="A72" s="90">
        <v>45066</v>
      </c>
      <c r="B72" s="120" t="s">
        <v>1082</v>
      </c>
      <c r="C72" s="121" t="s">
        <v>1036</v>
      </c>
      <c r="D72" s="121" t="s">
        <v>244</v>
      </c>
      <c r="E72" s="121" t="s">
        <v>1027</v>
      </c>
      <c r="F72" s="121" t="s">
        <v>222</v>
      </c>
      <c r="G72" s="121" t="s">
        <v>1010</v>
      </c>
      <c r="H72" s="121" t="s">
        <v>1017</v>
      </c>
      <c r="I72" s="121" t="s">
        <v>1227</v>
      </c>
      <c r="J72" s="121" t="s">
        <v>1228</v>
      </c>
      <c r="K72" s="121" t="s">
        <v>251</v>
      </c>
      <c r="L72" s="121" t="s">
        <v>248</v>
      </c>
      <c r="M72" s="121" t="s">
        <v>286</v>
      </c>
      <c r="N72" s="121" t="s">
        <v>221</v>
      </c>
      <c r="O72" s="121" t="s">
        <v>246</v>
      </c>
      <c r="P72" s="123" t="s">
        <v>226</v>
      </c>
      <c r="Q72" s="124" t="s">
        <v>346</v>
      </c>
      <c r="R72" s="120" t="s">
        <v>1082</v>
      </c>
      <c r="S72" s="121" t="s">
        <v>1043</v>
      </c>
      <c r="T72" s="121" t="s">
        <v>1230</v>
      </c>
      <c r="U72" s="121" t="s">
        <v>287</v>
      </c>
      <c r="V72" s="121" t="s">
        <v>1029</v>
      </c>
      <c r="W72" s="121" t="s">
        <v>1232</v>
      </c>
      <c r="X72" s="121" t="s">
        <v>325</v>
      </c>
      <c r="Y72" s="121" t="s">
        <v>1023</v>
      </c>
      <c r="Z72" s="121" t="s">
        <v>274</v>
      </c>
      <c r="AA72" s="121" t="s">
        <v>1038</v>
      </c>
      <c r="AB72" s="121" t="s">
        <v>1011</v>
      </c>
      <c r="AC72" s="121" t="s">
        <v>1014</v>
      </c>
      <c r="AD72" s="121" t="s">
        <v>1030</v>
      </c>
      <c r="AE72" s="121" t="s">
        <v>239</v>
      </c>
      <c r="AF72" s="123" t="s">
        <v>266</v>
      </c>
      <c r="AG72" s="124" t="s">
        <v>278</v>
      </c>
    </row>
    <row r="73" spans="1:33" ht="15" thickBot="1" x14ac:dyDescent="0.35">
      <c r="A73" s="90">
        <v>45067</v>
      </c>
      <c r="B73" s="127" t="s">
        <v>1083</v>
      </c>
      <c r="C73" s="128" t="s">
        <v>1036</v>
      </c>
      <c r="D73" s="128" t="s">
        <v>244</v>
      </c>
      <c r="E73" s="128" t="s">
        <v>1027</v>
      </c>
      <c r="F73" s="128" t="s">
        <v>222</v>
      </c>
      <c r="G73" s="128" t="s">
        <v>1010</v>
      </c>
      <c r="H73" s="128" t="s">
        <v>1017</v>
      </c>
      <c r="I73" s="128" t="s">
        <v>1227</v>
      </c>
      <c r="J73" s="128" t="s">
        <v>1228</v>
      </c>
      <c r="K73" s="128" t="s">
        <v>251</v>
      </c>
      <c r="L73" s="128" t="s">
        <v>248</v>
      </c>
      <c r="M73" s="128" t="s">
        <v>286</v>
      </c>
      <c r="N73" s="128" t="s">
        <v>221</v>
      </c>
      <c r="O73" s="128" t="s">
        <v>246</v>
      </c>
      <c r="P73" s="129" t="s">
        <v>226</v>
      </c>
      <c r="Q73" s="130" t="s">
        <v>346</v>
      </c>
      <c r="R73" s="127" t="s">
        <v>1083</v>
      </c>
      <c r="S73" s="128" t="s">
        <v>1043</v>
      </c>
      <c r="T73" s="128" t="s">
        <v>1230</v>
      </c>
      <c r="U73" s="128" t="s">
        <v>287</v>
      </c>
      <c r="V73" s="128" t="s">
        <v>1029</v>
      </c>
      <c r="W73" s="128" t="s">
        <v>1232</v>
      </c>
      <c r="X73" s="128" t="s">
        <v>325</v>
      </c>
      <c r="Y73" s="128" t="s">
        <v>1023</v>
      </c>
      <c r="Z73" s="128" t="s">
        <v>274</v>
      </c>
      <c r="AA73" s="128" t="s">
        <v>1038</v>
      </c>
      <c r="AB73" s="128" t="s">
        <v>1011</v>
      </c>
      <c r="AC73" s="128" t="s">
        <v>1014</v>
      </c>
      <c r="AD73" s="128" t="s">
        <v>1030</v>
      </c>
      <c r="AE73" s="128" t="s">
        <v>239</v>
      </c>
      <c r="AF73" s="129" t="s">
        <v>266</v>
      </c>
      <c r="AG73" s="130" t="s">
        <v>278</v>
      </c>
    </row>
    <row r="74" spans="1:33" x14ac:dyDescent="0.3">
      <c r="A74" s="90" t="s">
        <v>3</v>
      </c>
      <c r="B74" s="6" t="s">
        <v>3</v>
      </c>
      <c r="C74" s="112" t="s">
        <v>286</v>
      </c>
      <c r="D74" s="112" t="s">
        <v>250</v>
      </c>
      <c r="E74" s="112" t="s">
        <v>248</v>
      </c>
      <c r="F74" s="112" t="s">
        <v>270</v>
      </c>
      <c r="G74" s="112" t="s">
        <v>266</v>
      </c>
      <c r="H74" s="112" t="s">
        <v>226</v>
      </c>
      <c r="I74" s="112" t="s">
        <v>246</v>
      </c>
      <c r="J74" s="112" t="s">
        <v>239</v>
      </c>
      <c r="K74" s="112" t="s">
        <v>339</v>
      </c>
      <c r="L74" s="112" t="s">
        <v>311</v>
      </c>
      <c r="M74" s="112" t="s">
        <v>231</v>
      </c>
      <c r="N74" s="112" t="s">
        <v>241</v>
      </c>
      <c r="O74" s="112" t="s">
        <v>268</v>
      </c>
      <c r="P74" s="112" t="s">
        <v>255</v>
      </c>
      <c r="Q74" s="113" t="s">
        <v>392</v>
      </c>
      <c r="R74" s="6" t="s">
        <v>1</v>
      </c>
      <c r="S74" s="112" t="s">
        <v>278</v>
      </c>
      <c r="T74" s="112" t="s">
        <v>221</v>
      </c>
      <c r="U74" s="112" t="s">
        <v>243</v>
      </c>
      <c r="V74" s="112" t="s">
        <v>251</v>
      </c>
      <c r="W74" s="112" t="s">
        <v>346</v>
      </c>
      <c r="X74" s="112" t="s">
        <v>224</v>
      </c>
      <c r="Y74" s="112" t="s">
        <v>287</v>
      </c>
      <c r="Z74" s="112" t="s">
        <v>235</v>
      </c>
      <c r="AA74" s="112" t="s">
        <v>274</v>
      </c>
      <c r="AB74" s="112" t="s">
        <v>222</v>
      </c>
      <c r="AC74" s="112" t="s">
        <v>325</v>
      </c>
      <c r="AD74" s="112" t="s">
        <v>244</v>
      </c>
      <c r="AE74" s="112" t="s">
        <v>228</v>
      </c>
      <c r="AF74" s="112" t="s">
        <v>264</v>
      </c>
      <c r="AG74" s="113" t="s">
        <v>234</v>
      </c>
    </row>
    <row r="75" spans="1:33" x14ac:dyDescent="0.3">
      <c r="A75" s="90"/>
      <c r="B75" s="114"/>
      <c r="C75" s="115">
        <v>6</v>
      </c>
      <c r="D75" s="115">
        <v>7</v>
      </c>
      <c r="E75" s="115">
        <v>6</v>
      </c>
      <c r="F75" s="115">
        <v>7</v>
      </c>
      <c r="G75" s="115">
        <v>7</v>
      </c>
      <c r="H75" s="115">
        <v>6</v>
      </c>
      <c r="I75" s="115">
        <v>7</v>
      </c>
      <c r="J75" s="115">
        <v>7</v>
      </c>
      <c r="K75" s="115">
        <v>6</v>
      </c>
      <c r="L75" s="115">
        <v>7</v>
      </c>
      <c r="M75" s="115">
        <v>6</v>
      </c>
      <c r="N75" s="115">
        <v>6</v>
      </c>
      <c r="O75" s="115">
        <v>7</v>
      </c>
      <c r="P75" s="115">
        <v>7</v>
      </c>
      <c r="Q75" s="116">
        <v>6</v>
      </c>
      <c r="R75" s="114"/>
      <c r="S75" s="115">
        <v>6</v>
      </c>
      <c r="T75" s="115">
        <v>6</v>
      </c>
      <c r="U75" s="115">
        <v>7</v>
      </c>
      <c r="V75" s="115">
        <v>6</v>
      </c>
      <c r="W75" s="115">
        <v>7</v>
      </c>
      <c r="X75" s="115">
        <v>6</v>
      </c>
      <c r="Y75" s="115">
        <v>6</v>
      </c>
      <c r="Z75" s="115">
        <v>6</v>
      </c>
      <c r="AA75" s="115">
        <v>6</v>
      </c>
      <c r="AB75" s="115">
        <v>6</v>
      </c>
      <c r="AC75" s="115">
        <v>7</v>
      </c>
      <c r="AD75" s="115">
        <v>7</v>
      </c>
      <c r="AE75" s="115">
        <v>7</v>
      </c>
      <c r="AF75" s="115">
        <v>6</v>
      </c>
      <c r="AG75" s="116">
        <v>7</v>
      </c>
    </row>
    <row r="76" spans="1:33" x14ac:dyDescent="0.3">
      <c r="A76" s="90">
        <v>45068</v>
      </c>
      <c r="B76" s="131" t="s">
        <v>1084</v>
      </c>
      <c r="C76" s="132" t="s">
        <v>1027</v>
      </c>
      <c r="D76" s="132" t="s">
        <v>226</v>
      </c>
      <c r="E76" s="132"/>
      <c r="F76" s="132" t="s">
        <v>255</v>
      </c>
      <c r="G76" s="132" t="s">
        <v>246</v>
      </c>
      <c r="H76" s="132" t="s">
        <v>1030</v>
      </c>
      <c r="I76" s="132" t="s">
        <v>1031</v>
      </c>
      <c r="J76" s="132" t="s">
        <v>224</v>
      </c>
      <c r="K76" s="132"/>
      <c r="L76" s="132" t="s">
        <v>286</v>
      </c>
      <c r="M76" s="132" t="s">
        <v>264</v>
      </c>
      <c r="N76" s="132"/>
      <c r="O76" s="132" t="s">
        <v>1033</v>
      </c>
      <c r="P76" s="132" t="s">
        <v>1011</v>
      </c>
      <c r="Q76" s="133"/>
      <c r="R76" s="131" t="s">
        <v>1084</v>
      </c>
      <c r="S76" s="132"/>
      <c r="T76" s="132" t="s">
        <v>1038</v>
      </c>
      <c r="U76" s="132" t="s">
        <v>1037</v>
      </c>
      <c r="V76" s="132" t="s">
        <v>243</v>
      </c>
      <c r="W76" s="132" t="s">
        <v>1229</v>
      </c>
      <c r="X76" s="132" t="s">
        <v>1022</v>
      </c>
      <c r="Y76" s="132" t="s">
        <v>346</v>
      </c>
      <c r="Z76" s="132" t="s">
        <v>221</v>
      </c>
      <c r="AA76" s="132" t="s">
        <v>268</v>
      </c>
      <c r="AB76" s="132"/>
      <c r="AC76" s="132" t="s">
        <v>1015</v>
      </c>
      <c r="AD76" s="132" t="s">
        <v>325</v>
      </c>
      <c r="AE76" s="132" t="s">
        <v>234</v>
      </c>
      <c r="AF76" s="132" t="s">
        <v>1036</v>
      </c>
      <c r="AG76" s="133" t="s">
        <v>1228</v>
      </c>
    </row>
    <row r="77" spans="1:33" x14ac:dyDescent="0.3">
      <c r="A77" s="90">
        <v>45069</v>
      </c>
      <c r="B77" s="131" t="s">
        <v>1085</v>
      </c>
      <c r="C77" s="132" t="s">
        <v>1027</v>
      </c>
      <c r="D77" s="132" t="s">
        <v>226</v>
      </c>
      <c r="E77" s="132" t="s">
        <v>339</v>
      </c>
      <c r="F77" s="132" t="s">
        <v>255</v>
      </c>
      <c r="G77" s="132" t="s">
        <v>246</v>
      </c>
      <c r="H77" s="132" t="s">
        <v>1030</v>
      </c>
      <c r="I77" s="132" t="s">
        <v>1031</v>
      </c>
      <c r="J77" s="132" t="s">
        <v>224</v>
      </c>
      <c r="K77" s="132" t="s">
        <v>1008</v>
      </c>
      <c r="L77" s="132" t="s">
        <v>286</v>
      </c>
      <c r="M77" s="132" t="s">
        <v>264</v>
      </c>
      <c r="N77" s="132" t="s">
        <v>1232</v>
      </c>
      <c r="O77" s="132" t="s">
        <v>1033</v>
      </c>
      <c r="P77" s="132" t="s">
        <v>1011</v>
      </c>
      <c r="Q77" s="133" t="s">
        <v>241</v>
      </c>
      <c r="R77" s="131" t="s">
        <v>1085</v>
      </c>
      <c r="S77" s="132" t="s">
        <v>1012</v>
      </c>
      <c r="T77" s="132" t="s">
        <v>1038</v>
      </c>
      <c r="U77" s="132" t="s">
        <v>1037</v>
      </c>
      <c r="V77" s="132" t="s">
        <v>243</v>
      </c>
      <c r="W77" s="132" t="s">
        <v>1229</v>
      </c>
      <c r="X77" s="132" t="s">
        <v>1022</v>
      </c>
      <c r="Y77" s="132" t="s">
        <v>346</v>
      </c>
      <c r="Z77" s="132" t="s">
        <v>221</v>
      </c>
      <c r="AA77" s="132" t="s">
        <v>268</v>
      </c>
      <c r="AB77" s="132" t="s">
        <v>278</v>
      </c>
      <c r="AC77" s="132" t="s">
        <v>1015</v>
      </c>
      <c r="AD77" s="132" t="s">
        <v>325</v>
      </c>
      <c r="AE77" s="132" t="s">
        <v>234</v>
      </c>
      <c r="AF77" s="132" t="s">
        <v>1036</v>
      </c>
      <c r="AG77" s="133" t="s">
        <v>1228</v>
      </c>
    </row>
    <row r="78" spans="1:33" x14ac:dyDescent="0.3">
      <c r="A78" s="90">
        <v>45070</v>
      </c>
      <c r="B78" s="131" t="s">
        <v>1086</v>
      </c>
      <c r="C78" s="132" t="s">
        <v>1027</v>
      </c>
      <c r="D78" s="132" t="s">
        <v>226</v>
      </c>
      <c r="E78" s="132" t="s">
        <v>339</v>
      </c>
      <c r="F78" s="132" t="s">
        <v>255</v>
      </c>
      <c r="G78" s="132" t="s">
        <v>246</v>
      </c>
      <c r="H78" s="132" t="s">
        <v>1030</v>
      </c>
      <c r="I78" s="132" t="s">
        <v>1031</v>
      </c>
      <c r="J78" s="132" t="s">
        <v>224</v>
      </c>
      <c r="K78" s="132" t="s">
        <v>1008</v>
      </c>
      <c r="L78" s="132" t="s">
        <v>286</v>
      </c>
      <c r="M78" s="132" t="s">
        <v>264</v>
      </c>
      <c r="N78" s="132" t="s">
        <v>1232</v>
      </c>
      <c r="O78" s="132" t="s">
        <v>1033</v>
      </c>
      <c r="P78" s="132" t="s">
        <v>1011</v>
      </c>
      <c r="Q78" s="133" t="s">
        <v>241</v>
      </c>
      <c r="R78" s="131" t="s">
        <v>1086</v>
      </c>
      <c r="S78" s="132" t="s">
        <v>1012</v>
      </c>
      <c r="T78" s="132" t="s">
        <v>1038</v>
      </c>
      <c r="U78" s="132" t="s">
        <v>1037</v>
      </c>
      <c r="V78" s="132" t="s">
        <v>243</v>
      </c>
      <c r="W78" s="132" t="s">
        <v>1229</v>
      </c>
      <c r="X78" s="132" t="s">
        <v>1022</v>
      </c>
      <c r="Y78" s="132" t="s">
        <v>346</v>
      </c>
      <c r="Z78" s="132" t="s">
        <v>221</v>
      </c>
      <c r="AA78" s="132" t="s">
        <v>268</v>
      </c>
      <c r="AB78" s="132" t="s">
        <v>278</v>
      </c>
      <c r="AC78" s="132" t="s">
        <v>1015</v>
      </c>
      <c r="AD78" s="132" t="s">
        <v>325</v>
      </c>
      <c r="AE78" s="132" t="s">
        <v>234</v>
      </c>
      <c r="AF78" s="132" t="s">
        <v>1036</v>
      </c>
      <c r="AG78" s="133" t="s">
        <v>1228</v>
      </c>
    </row>
    <row r="79" spans="1:33" x14ac:dyDescent="0.3">
      <c r="A79" s="90">
        <v>45071</v>
      </c>
      <c r="B79" s="131" t="s">
        <v>1087</v>
      </c>
      <c r="C79" s="132"/>
      <c r="D79" s="132" t="s">
        <v>311</v>
      </c>
      <c r="E79" s="132" t="s">
        <v>339</v>
      </c>
      <c r="F79" s="134" t="s">
        <v>255</v>
      </c>
      <c r="G79" s="132" t="s">
        <v>246</v>
      </c>
      <c r="H79" s="132"/>
      <c r="I79" s="132" t="s">
        <v>1031</v>
      </c>
      <c r="J79" s="132" t="s">
        <v>268</v>
      </c>
      <c r="K79" s="132" t="s">
        <v>1008</v>
      </c>
      <c r="L79" s="132" t="s">
        <v>1030</v>
      </c>
      <c r="M79" s="132"/>
      <c r="N79" s="132" t="s">
        <v>1232</v>
      </c>
      <c r="O79" s="132" t="s">
        <v>1022</v>
      </c>
      <c r="P79" s="132" t="s">
        <v>1011</v>
      </c>
      <c r="Q79" s="133" t="s">
        <v>241</v>
      </c>
      <c r="R79" s="131" t="s">
        <v>1087</v>
      </c>
      <c r="S79" s="132" t="s">
        <v>1012</v>
      </c>
      <c r="T79" s="132"/>
      <c r="U79" s="132" t="s">
        <v>1032</v>
      </c>
      <c r="V79" s="134"/>
      <c r="W79" s="132" t="s">
        <v>243</v>
      </c>
      <c r="X79" s="132"/>
      <c r="Y79" s="132"/>
      <c r="Z79" s="132"/>
      <c r="AA79" s="132"/>
      <c r="AB79" s="132" t="s">
        <v>278</v>
      </c>
      <c r="AC79" s="132" t="s">
        <v>1015</v>
      </c>
      <c r="AD79" s="132" t="s">
        <v>325</v>
      </c>
      <c r="AE79" s="132" t="s">
        <v>234</v>
      </c>
      <c r="AF79" s="132"/>
      <c r="AG79" s="133" t="s">
        <v>1228</v>
      </c>
    </row>
    <row r="80" spans="1:33" x14ac:dyDescent="0.3">
      <c r="A80" s="90">
        <v>45072</v>
      </c>
      <c r="B80" s="131" t="s">
        <v>1088</v>
      </c>
      <c r="C80" s="132" t="s">
        <v>221</v>
      </c>
      <c r="D80" s="132" t="s">
        <v>311</v>
      </c>
      <c r="E80" s="132" t="s">
        <v>270</v>
      </c>
      <c r="F80" s="132" t="s">
        <v>1008</v>
      </c>
      <c r="G80" s="132" t="s">
        <v>339</v>
      </c>
      <c r="H80" s="132" t="s">
        <v>1228</v>
      </c>
      <c r="I80" s="132" t="s">
        <v>1038</v>
      </c>
      <c r="J80" s="132" t="s">
        <v>268</v>
      </c>
      <c r="K80" s="132" t="s">
        <v>1031</v>
      </c>
      <c r="L80" s="132" t="s">
        <v>1030</v>
      </c>
      <c r="M80" s="132" t="s">
        <v>1015</v>
      </c>
      <c r="N80" s="132" t="s">
        <v>1012</v>
      </c>
      <c r="O80" s="132" t="s">
        <v>1022</v>
      </c>
      <c r="P80" s="132" t="s">
        <v>1037</v>
      </c>
      <c r="Q80" s="133" t="s">
        <v>1229</v>
      </c>
      <c r="R80" s="131" t="s">
        <v>1088</v>
      </c>
      <c r="S80" s="132" t="s">
        <v>264</v>
      </c>
      <c r="T80" s="132" t="s">
        <v>1028</v>
      </c>
      <c r="U80" s="132" t="s">
        <v>1032</v>
      </c>
      <c r="V80" s="132" t="s">
        <v>255</v>
      </c>
      <c r="W80" s="132" t="s">
        <v>243</v>
      </c>
      <c r="X80" s="132" t="s">
        <v>1016</v>
      </c>
      <c r="Y80" s="132" t="s">
        <v>392</v>
      </c>
      <c r="Z80" s="132" t="s">
        <v>246</v>
      </c>
      <c r="AA80" s="132" t="s">
        <v>234</v>
      </c>
      <c r="AB80" s="132" t="s">
        <v>241</v>
      </c>
      <c r="AC80" s="132" t="s">
        <v>224</v>
      </c>
      <c r="AD80" s="132" t="s">
        <v>231</v>
      </c>
      <c r="AE80" s="132" t="s">
        <v>226</v>
      </c>
      <c r="AF80" s="132" t="s">
        <v>1034</v>
      </c>
      <c r="AG80" s="133" t="s">
        <v>1033</v>
      </c>
    </row>
    <row r="81" spans="1:33" x14ac:dyDescent="0.3">
      <c r="A81" s="90">
        <v>45073</v>
      </c>
      <c r="B81" s="131" t="s">
        <v>1089</v>
      </c>
      <c r="C81" s="132" t="s">
        <v>221</v>
      </c>
      <c r="D81" s="132" t="s">
        <v>311</v>
      </c>
      <c r="E81" s="132" t="s">
        <v>270</v>
      </c>
      <c r="F81" s="132" t="s">
        <v>1008</v>
      </c>
      <c r="G81" s="132" t="s">
        <v>339</v>
      </c>
      <c r="H81" s="132" t="s">
        <v>1228</v>
      </c>
      <c r="I81" s="132" t="s">
        <v>1038</v>
      </c>
      <c r="J81" s="132" t="s">
        <v>268</v>
      </c>
      <c r="K81" s="134" t="s">
        <v>1031</v>
      </c>
      <c r="L81" s="132" t="s">
        <v>1030</v>
      </c>
      <c r="M81" s="132" t="s">
        <v>1015</v>
      </c>
      <c r="N81" s="132" t="s">
        <v>1012</v>
      </c>
      <c r="O81" s="132" t="s">
        <v>1022</v>
      </c>
      <c r="P81" s="132" t="s">
        <v>1037</v>
      </c>
      <c r="Q81" s="133" t="s">
        <v>1229</v>
      </c>
      <c r="R81" s="131" t="s">
        <v>1089</v>
      </c>
      <c r="S81" s="132" t="s">
        <v>264</v>
      </c>
      <c r="T81" s="132" t="s">
        <v>1028</v>
      </c>
      <c r="U81" s="132" t="s">
        <v>1032</v>
      </c>
      <c r="V81" s="132" t="s">
        <v>255</v>
      </c>
      <c r="W81" s="132" t="s">
        <v>243</v>
      </c>
      <c r="X81" s="132" t="s">
        <v>1016</v>
      </c>
      <c r="Y81" s="132" t="s">
        <v>392</v>
      </c>
      <c r="Z81" s="132" t="s">
        <v>246</v>
      </c>
      <c r="AA81" s="134" t="s">
        <v>234</v>
      </c>
      <c r="AB81" s="132" t="s">
        <v>241</v>
      </c>
      <c r="AC81" s="132" t="s">
        <v>224</v>
      </c>
      <c r="AD81" s="132" t="s">
        <v>231</v>
      </c>
      <c r="AE81" s="132" t="s">
        <v>226</v>
      </c>
      <c r="AF81" s="132" t="s">
        <v>1034</v>
      </c>
      <c r="AG81" s="133" t="s">
        <v>1033</v>
      </c>
    </row>
    <row r="82" spans="1:33" ht="15" thickBot="1" x14ac:dyDescent="0.35">
      <c r="A82" s="90">
        <v>45074</v>
      </c>
      <c r="B82" s="135" t="s">
        <v>1090</v>
      </c>
      <c r="C82" s="136" t="s">
        <v>221</v>
      </c>
      <c r="D82" s="136" t="s">
        <v>311</v>
      </c>
      <c r="E82" s="136" t="s">
        <v>270</v>
      </c>
      <c r="F82" s="136" t="s">
        <v>1008</v>
      </c>
      <c r="G82" s="136" t="s">
        <v>339</v>
      </c>
      <c r="H82" s="136" t="s">
        <v>1228</v>
      </c>
      <c r="I82" s="136" t="s">
        <v>1038</v>
      </c>
      <c r="J82" s="136" t="s">
        <v>268</v>
      </c>
      <c r="K82" s="136" t="s">
        <v>1031</v>
      </c>
      <c r="L82" s="136" t="s">
        <v>1030</v>
      </c>
      <c r="M82" s="136" t="s">
        <v>1015</v>
      </c>
      <c r="N82" s="136" t="s">
        <v>1012</v>
      </c>
      <c r="O82" s="136" t="s">
        <v>1022</v>
      </c>
      <c r="P82" s="136" t="s">
        <v>1037</v>
      </c>
      <c r="Q82" s="137" t="s">
        <v>1229</v>
      </c>
      <c r="R82" s="135" t="s">
        <v>1090</v>
      </c>
      <c r="S82" s="136" t="s">
        <v>264</v>
      </c>
      <c r="T82" s="136" t="s">
        <v>1028</v>
      </c>
      <c r="U82" s="136" t="s">
        <v>1032</v>
      </c>
      <c r="V82" s="136" t="s">
        <v>255</v>
      </c>
      <c r="W82" s="136" t="s">
        <v>243</v>
      </c>
      <c r="X82" s="136" t="s">
        <v>1016</v>
      </c>
      <c r="Y82" s="136" t="s">
        <v>392</v>
      </c>
      <c r="Z82" s="136" t="s">
        <v>246</v>
      </c>
      <c r="AA82" s="136" t="s">
        <v>234</v>
      </c>
      <c r="AB82" s="136" t="s">
        <v>241</v>
      </c>
      <c r="AC82" s="136" t="s">
        <v>224</v>
      </c>
      <c r="AD82" s="136" t="s">
        <v>231</v>
      </c>
      <c r="AE82" s="136" t="s">
        <v>226</v>
      </c>
      <c r="AF82" s="136" t="s">
        <v>1034</v>
      </c>
      <c r="AG82" s="137" t="s">
        <v>1033</v>
      </c>
    </row>
    <row r="83" spans="1:33" x14ac:dyDescent="0.3">
      <c r="A83" s="90" t="s">
        <v>3</v>
      </c>
      <c r="B83" s="6" t="s">
        <v>3</v>
      </c>
      <c r="C83" s="112" t="s">
        <v>286</v>
      </c>
      <c r="D83" s="112" t="s">
        <v>250</v>
      </c>
      <c r="E83" s="112" t="s">
        <v>248</v>
      </c>
      <c r="F83" s="112" t="s">
        <v>270</v>
      </c>
      <c r="G83" s="112" t="s">
        <v>266</v>
      </c>
      <c r="H83" s="112" t="s">
        <v>226</v>
      </c>
      <c r="I83" s="112" t="s">
        <v>246</v>
      </c>
      <c r="J83" s="112" t="s">
        <v>239</v>
      </c>
      <c r="K83" s="112" t="s">
        <v>339</v>
      </c>
      <c r="L83" s="112" t="s">
        <v>311</v>
      </c>
      <c r="M83" s="112" t="s">
        <v>231</v>
      </c>
      <c r="N83" s="112" t="s">
        <v>241</v>
      </c>
      <c r="O83" s="112" t="s">
        <v>268</v>
      </c>
      <c r="P83" s="112" t="s">
        <v>255</v>
      </c>
      <c r="Q83" s="113" t="s">
        <v>392</v>
      </c>
      <c r="R83" s="6" t="s">
        <v>1</v>
      </c>
      <c r="S83" s="112" t="s">
        <v>278</v>
      </c>
      <c r="T83" s="112" t="s">
        <v>221</v>
      </c>
      <c r="U83" s="112" t="s">
        <v>243</v>
      </c>
      <c r="V83" s="112" t="s">
        <v>251</v>
      </c>
      <c r="W83" s="112" t="s">
        <v>346</v>
      </c>
      <c r="X83" s="112" t="s">
        <v>224</v>
      </c>
      <c r="Y83" s="112" t="s">
        <v>287</v>
      </c>
      <c r="Z83" s="112" t="s">
        <v>235</v>
      </c>
      <c r="AA83" s="112" t="s">
        <v>274</v>
      </c>
      <c r="AB83" s="112" t="s">
        <v>222</v>
      </c>
      <c r="AC83" s="112" t="s">
        <v>325</v>
      </c>
      <c r="AD83" s="112" t="s">
        <v>244</v>
      </c>
      <c r="AE83" s="112" t="s">
        <v>228</v>
      </c>
      <c r="AF83" s="112" t="s">
        <v>264</v>
      </c>
      <c r="AG83" s="113" t="s">
        <v>234</v>
      </c>
    </row>
    <row r="84" spans="1:33" x14ac:dyDescent="0.3">
      <c r="A84" s="90"/>
      <c r="B84" s="120"/>
      <c r="C84" s="121">
        <v>7</v>
      </c>
      <c r="D84" s="121">
        <v>6</v>
      </c>
      <c r="E84" s="121">
        <v>6</v>
      </c>
      <c r="F84" s="121">
        <v>6</v>
      </c>
      <c r="G84" s="121">
        <v>7</v>
      </c>
      <c r="H84" s="121">
        <v>6</v>
      </c>
      <c r="I84" s="121">
        <v>6</v>
      </c>
      <c r="J84" s="121">
        <v>6</v>
      </c>
      <c r="K84" s="121">
        <v>6</v>
      </c>
      <c r="L84" s="121">
        <v>6</v>
      </c>
      <c r="M84" s="121">
        <v>6</v>
      </c>
      <c r="N84" s="121">
        <v>6</v>
      </c>
      <c r="O84" s="121">
        <v>6</v>
      </c>
      <c r="P84" s="121">
        <v>5</v>
      </c>
      <c r="Q84" s="122">
        <v>6</v>
      </c>
      <c r="R84" s="120"/>
      <c r="S84" s="121">
        <v>6</v>
      </c>
      <c r="T84" s="121">
        <v>6</v>
      </c>
      <c r="U84" s="121">
        <v>6</v>
      </c>
      <c r="V84" s="121">
        <v>7</v>
      </c>
      <c r="W84" s="121">
        <v>6</v>
      </c>
      <c r="X84" s="121">
        <v>7</v>
      </c>
      <c r="Y84" s="121">
        <v>5</v>
      </c>
      <c r="Z84" s="121">
        <v>7</v>
      </c>
      <c r="AA84" s="121">
        <v>7</v>
      </c>
      <c r="AB84" s="121">
        <v>6</v>
      </c>
      <c r="AC84" s="121">
        <v>6</v>
      </c>
      <c r="AD84" s="121">
        <v>6</v>
      </c>
      <c r="AE84" s="121">
        <v>6</v>
      </c>
      <c r="AF84" s="121">
        <v>6</v>
      </c>
      <c r="AG84" s="122">
        <v>6</v>
      </c>
    </row>
    <row r="85" spans="1:33" x14ac:dyDescent="0.3">
      <c r="A85" s="90">
        <v>45075</v>
      </c>
      <c r="B85" s="120" t="s">
        <v>1091</v>
      </c>
      <c r="C85" s="121" t="s">
        <v>266</v>
      </c>
      <c r="D85" s="121" t="s">
        <v>1016</v>
      </c>
      <c r="E85" s="121" t="s">
        <v>228</v>
      </c>
      <c r="F85" s="121"/>
      <c r="G85" s="121" t="s">
        <v>1028</v>
      </c>
      <c r="H85" s="121" t="s">
        <v>392</v>
      </c>
      <c r="I85" s="121"/>
      <c r="J85" s="121"/>
      <c r="K85" s="121"/>
      <c r="L85" s="121"/>
      <c r="M85" s="121" t="s">
        <v>1227</v>
      </c>
      <c r="N85" s="121"/>
      <c r="O85" s="121" t="s">
        <v>231</v>
      </c>
      <c r="P85" s="121" t="s">
        <v>287</v>
      </c>
      <c r="Q85" s="122" t="s">
        <v>1007</v>
      </c>
      <c r="R85" s="120" t="s">
        <v>1091</v>
      </c>
      <c r="S85" s="121" t="s">
        <v>251</v>
      </c>
      <c r="T85" s="121"/>
      <c r="U85" s="121" t="s">
        <v>235</v>
      </c>
      <c r="V85" s="121" t="s">
        <v>1034</v>
      </c>
      <c r="W85" s="121" t="s">
        <v>264</v>
      </c>
      <c r="X85" s="121" t="s">
        <v>274</v>
      </c>
      <c r="Y85" s="121" t="s">
        <v>1017</v>
      </c>
      <c r="Z85" s="121" t="s">
        <v>1023</v>
      </c>
      <c r="AA85" s="121" t="s">
        <v>1014</v>
      </c>
      <c r="AB85" s="121" t="s">
        <v>1015</v>
      </c>
      <c r="AC85" s="121" t="s">
        <v>250</v>
      </c>
      <c r="AD85" s="121" t="s">
        <v>222</v>
      </c>
      <c r="AE85" s="121" t="s">
        <v>1008</v>
      </c>
      <c r="AF85" s="121" t="s">
        <v>1032</v>
      </c>
      <c r="AG85" s="122"/>
    </row>
    <row r="86" spans="1:33" x14ac:dyDescent="0.3">
      <c r="A86" s="90">
        <v>45076</v>
      </c>
      <c r="B86" s="120" t="s">
        <v>1092</v>
      </c>
      <c r="C86" s="121" t="s">
        <v>266</v>
      </c>
      <c r="D86" s="121" t="s">
        <v>1016</v>
      </c>
      <c r="E86" s="121" t="s">
        <v>228</v>
      </c>
      <c r="F86" s="121" t="s">
        <v>1013</v>
      </c>
      <c r="G86" s="121" t="s">
        <v>1028</v>
      </c>
      <c r="H86" s="121" t="s">
        <v>392</v>
      </c>
      <c r="I86" s="121" t="s">
        <v>241</v>
      </c>
      <c r="J86" s="121" t="s">
        <v>1043</v>
      </c>
      <c r="K86" s="121" t="s">
        <v>311</v>
      </c>
      <c r="L86" s="121" t="s">
        <v>1029</v>
      </c>
      <c r="M86" s="121" t="s">
        <v>1227</v>
      </c>
      <c r="N86" s="121" t="s">
        <v>1009</v>
      </c>
      <c r="O86" s="121" t="s">
        <v>231</v>
      </c>
      <c r="P86" s="123" t="s">
        <v>287</v>
      </c>
      <c r="Q86" s="124" t="s">
        <v>1007</v>
      </c>
      <c r="R86" s="120" t="s">
        <v>1092</v>
      </c>
      <c r="S86" s="121" t="s">
        <v>251</v>
      </c>
      <c r="T86" s="121" t="s">
        <v>270</v>
      </c>
      <c r="U86" s="121" t="s">
        <v>235</v>
      </c>
      <c r="V86" s="121" t="s">
        <v>1034</v>
      </c>
      <c r="W86" s="121" t="s">
        <v>264</v>
      </c>
      <c r="X86" s="121" t="s">
        <v>274</v>
      </c>
      <c r="Y86" s="121" t="s">
        <v>1017</v>
      </c>
      <c r="Z86" s="121" t="s">
        <v>1023</v>
      </c>
      <c r="AA86" s="121" t="s">
        <v>1014</v>
      </c>
      <c r="AB86" s="121" t="s">
        <v>1015</v>
      </c>
      <c r="AC86" s="121" t="s">
        <v>250</v>
      </c>
      <c r="AD86" s="121" t="s">
        <v>222</v>
      </c>
      <c r="AE86" s="121" t="s">
        <v>1008</v>
      </c>
      <c r="AF86" s="123" t="s">
        <v>1032</v>
      </c>
      <c r="AG86" s="124" t="s">
        <v>239</v>
      </c>
    </row>
    <row r="87" spans="1:33" x14ac:dyDescent="0.3">
      <c r="A87" s="90">
        <v>45077</v>
      </c>
      <c r="B87" s="120" t="s">
        <v>1093</v>
      </c>
      <c r="C87" s="121" t="s">
        <v>266</v>
      </c>
      <c r="D87" s="121" t="s">
        <v>1016</v>
      </c>
      <c r="E87" s="121" t="s">
        <v>228</v>
      </c>
      <c r="F87" s="121" t="s">
        <v>1013</v>
      </c>
      <c r="G87" s="121" t="s">
        <v>1028</v>
      </c>
      <c r="H87" s="121" t="s">
        <v>392</v>
      </c>
      <c r="I87" s="121" t="s">
        <v>241</v>
      </c>
      <c r="J87" s="121" t="s">
        <v>1043</v>
      </c>
      <c r="K87" s="121" t="s">
        <v>311</v>
      </c>
      <c r="L87" s="121" t="s">
        <v>1029</v>
      </c>
      <c r="M87" s="121" t="s">
        <v>1227</v>
      </c>
      <c r="N87" s="121" t="s">
        <v>1009</v>
      </c>
      <c r="O87" s="121" t="s">
        <v>231</v>
      </c>
      <c r="P87" s="123"/>
      <c r="Q87" s="124" t="s">
        <v>1007</v>
      </c>
      <c r="R87" s="120" t="s">
        <v>1093</v>
      </c>
      <c r="S87" s="121" t="s">
        <v>251</v>
      </c>
      <c r="T87" s="121" t="s">
        <v>270</v>
      </c>
      <c r="U87" s="121" t="s">
        <v>235</v>
      </c>
      <c r="V87" s="121" t="s">
        <v>1034</v>
      </c>
      <c r="W87" s="121" t="s">
        <v>264</v>
      </c>
      <c r="X87" s="121" t="s">
        <v>274</v>
      </c>
      <c r="Y87" s="121"/>
      <c r="Z87" s="121" t="s">
        <v>1023</v>
      </c>
      <c r="AA87" s="121" t="s">
        <v>1014</v>
      </c>
      <c r="AB87" s="121" t="s">
        <v>1015</v>
      </c>
      <c r="AC87" s="121" t="s">
        <v>250</v>
      </c>
      <c r="AD87" s="121" t="s">
        <v>222</v>
      </c>
      <c r="AE87" s="121" t="s">
        <v>1008</v>
      </c>
      <c r="AF87" s="123" t="s">
        <v>1032</v>
      </c>
      <c r="AG87" s="124" t="s">
        <v>239</v>
      </c>
    </row>
    <row r="88" spans="1:33" x14ac:dyDescent="0.3">
      <c r="A88" s="90">
        <v>45078</v>
      </c>
      <c r="B88" s="120" t="s">
        <v>1094</v>
      </c>
      <c r="C88" s="121" t="s">
        <v>266</v>
      </c>
      <c r="D88" s="121"/>
      <c r="E88" s="121"/>
      <c r="F88" s="121" t="s">
        <v>1013</v>
      </c>
      <c r="G88" s="121" t="s">
        <v>1028</v>
      </c>
      <c r="H88" s="121"/>
      <c r="I88" s="121" t="s">
        <v>241</v>
      </c>
      <c r="J88" s="121" t="s">
        <v>1043</v>
      </c>
      <c r="K88" s="121" t="s">
        <v>311</v>
      </c>
      <c r="L88" s="121" t="s">
        <v>1029</v>
      </c>
      <c r="M88" s="121"/>
      <c r="N88" s="121" t="s">
        <v>1009</v>
      </c>
      <c r="O88" s="121"/>
      <c r="P88" s="123"/>
      <c r="Q88" s="124"/>
      <c r="R88" s="120" t="s">
        <v>1094</v>
      </c>
      <c r="S88" s="121"/>
      <c r="T88" s="121" t="s">
        <v>270</v>
      </c>
      <c r="U88" s="121"/>
      <c r="V88" s="121" t="s">
        <v>1033</v>
      </c>
      <c r="W88" s="121"/>
      <c r="X88" s="121" t="s">
        <v>235</v>
      </c>
      <c r="Y88" s="121"/>
      <c r="Z88" s="121" t="s">
        <v>1014</v>
      </c>
      <c r="AA88" s="121" t="s">
        <v>251</v>
      </c>
      <c r="AB88" s="121"/>
      <c r="AC88" s="121"/>
      <c r="AD88" s="121"/>
      <c r="AE88" s="121"/>
      <c r="AF88" s="123"/>
      <c r="AG88" s="124" t="s">
        <v>239</v>
      </c>
    </row>
    <row r="89" spans="1:33" x14ac:dyDescent="0.3">
      <c r="A89" s="90">
        <v>45079</v>
      </c>
      <c r="B89" s="120" t="s">
        <v>1095</v>
      </c>
      <c r="C89" s="121" t="s">
        <v>250</v>
      </c>
      <c r="D89" s="121" t="s">
        <v>1028</v>
      </c>
      <c r="E89" s="121" t="s">
        <v>1230</v>
      </c>
      <c r="F89" s="121" t="s">
        <v>239</v>
      </c>
      <c r="G89" s="121" t="s">
        <v>1229</v>
      </c>
      <c r="H89" s="121" t="s">
        <v>222</v>
      </c>
      <c r="I89" s="121" t="s">
        <v>325</v>
      </c>
      <c r="J89" s="121" t="s">
        <v>1011</v>
      </c>
      <c r="K89" s="121" t="s">
        <v>234</v>
      </c>
      <c r="L89" s="121" t="s">
        <v>1232</v>
      </c>
      <c r="M89" s="121" t="s">
        <v>255</v>
      </c>
      <c r="N89" s="121" t="s">
        <v>248</v>
      </c>
      <c r="O89" s="121" t="s">
        <v>278</v>
      </c>
      <c r="P89" s="123" t="s">
        <v>1036</v>
      </c>
      <c r="Q89" s="124" t="s">
        <v>311</v>
      </c>
      <c r="R89" s="120" t="s">
        <v>1095</v>
      </c>
      <c r="S89" s="121" t="s">
        <v>1227</v>
      </c>
      <c r="T89" s="121" t="s">
        <v>228</v>
      </c>
      <c r="U89" s="121" t="s">
        <v>346</v>
      </c>
      <c r="V89" s="121" t="s">
        <v>1033</v>
      </c>
      <c r="W89" s="121" t="s">
        <v>1023</v>
      </c>
      <c r="X89" s="121" t="s">
        <v>235</v>
      </c>
      <c r="Y89" s="121" t="s">
        <v>266</v>
      </c>
      <c r="Z89" s="121" t="s">
        <v>1014</v>
      </c>
      <c r="AA89" s="121" t="s">
        <v>251</v>
      </c>
      <c r="AB89" s="121" t="s">
        <v>1007</v>
      </c>
      <c r="AC89" s="121" t="s">
        <v>1009</v>
      </c>
      <c r="AD89" s="121" t="s">
        <v>1010</v>
      </c>
      <c r="AE89" s="121" t="s">
        <v>1013</v>
      </c>
      <c r="AF89" s="123" t="s">
        <v>244</v>
      </c>
      <c r="AG89" s="124" t="s">
        <v>1029</v>
      </c>
    </row>
    <row r="90" spans="1:33" x14ac:dyDescent="0.3">
      <c r="A90" s="90">
        <v>45080</v>
      </c>
      <c r="B90" s="120" t="s">
        <v>1096</v>
      </c>
      <c r="C90" s="121" t="s">
        <v>250</v>
      </c>
      <c r="D90" s="121" t="s">
        <v>1028</v>
      </c>
      <c r="E90" s="121" t="s">
        <v>1230</v>
      </c>
      <c r="F90" s="121" t="s">
        <v>239</v>
      </c>
      <c r="G90" s="121" t="s">
        <v>1229</v>
      </c>
      <c r="H90" s="121" t="s">
        <v>222</v>
      </c>
      <c r="I90" s="121" t="s">
        <v>325</v>
      </c>
      <c r="J90" s="121" t="s">
        <v>1011</v>
      </c>
      <c r="K90" s="121" t="s">
        <v>234</v>
      </c>
      <c r="L90" s="121" t="s">
        <v>1232</v>
      </c>
      <c r="M90" s="121" t="s">
        <v>255</v>
      </c>
      <c r="N90" s="121" t="s">
        <v>248</v>
      </c>
      <c r="O90" s="121" t="s">
        <v>278</v>
      </c>
      <c r="P90" s="123" t="s">
        <v>1036</v>
      </c>
      <c r="Q90" s="124" t="s">
        <v>311</v>
      </c>
      <c r="R90" s="120" t="s">
        <v>1096</v>
      </c>
      <c r="S90" s="121" t="s">
        <v>1227</v>
      </c>
      <c r="T90" s="121" t="s">
        <v>228</v>
      </c>
      <c r="U90" s="121" t="s">
        <v>346</v>
      </c>
      <c r="V90" s="121" t="s">
        <v>1033</v>
      </c>
      <c r="W90" s="121" t="s">
        <v>1023</v>
      </c>
      <c r="X90" s="121" t="s">
        <v>235</v>
      </c>
      <c r="Y90" s="121" t="s">
        <v>266</v>
      </c>
      <c r="Z90" s="121" t="s">
        <v>1014</v>
      </c>
      <c r="AA90" s="121" t="s">
        <v>251</v>
      </c>
      <c r="AB90" s="121" t="s">
        <v>1007</v>
      </c>
      <c r="AC90" s="121" t="s">
        <v>1009</v>
      </c>
      <c r="AD90" s="121" t="s">
        <v>1010</v>
      </c>
      <c r="AE90" s="121" t="s">
        <v>1013</v>
      </c>
      <c r="AF90" s="123" t="s">
        <v>244</v>
      </c>
      <c r="AG90" s="124" t="s">
        <v>1029</v>
      </c>
    </row>
    <row r="91" spans="1:33" ht="15" thickBot="1" x14ac:dyDescent="0.35">
      <c r="A91" s="90">
        <v>45081</v>
      </c>
      <c r="B91" s="127" t="s">
        <v>1097</v>
      </c>
      <c r="C91" s="128" t="s">
        <v>250</v>
      </c>
      <c r="D91" s="128" t="s">
        <v>1028</v>
      </c>
      <c r="E91" s="128" t="s">
        <v>1230</v>
      </c>
      <c r="F91" s="128" t="s">
        <v>239</v>
      </c>
      <c r="G91" s="128" t="s">
        <v>1229</v>
      </c>
      <c r="H91" s="128" t="s">
        <v>222</v>
      </c>
      <c r="I91" s="128" t="s">
        <v>325</v>
      </c>
      <c r="J91" s="128" t="s">
        <v>1011</v>
      </c>
      <c r="K91" s="128" t="s">
        <v>234</v>
      </c>
      <c r="L91" s="128" t="s">
        <v>1232</v>
      </c>
      <c r="M91" s="128" t="s">
        <v>255</v>
      </c>
      <c r="N91" s="128" t="s">
        <v>248</v>
      </c>
      <c r="O91" s="128" t="s">
        <v>278</v>
      </c>
      <c r="P91" s="129" t="s">
        <v>1036</v>
      </c>
      <c r="Q91" s="130" t="s">
        <v>311</v>
      </c>
      <c r="R91" s="127" t="s">
        <v>1097</v>
      </c>
      <c r="S91" s="128" t="s">
        <v>1227</v>
      </c>
      <c r="T91" s="128" t="s">
        <v>228</v>
      </c>
      <c r="U91" s="128" t="s">
        <v>346</v>
      </c>
      <c r="V91" s="128" t="s">
        <v>1033</v>
      </c>
      <c r="W91" s="128" t="s">
        <v>1023</v>
      </c>
      <c r="X91" s="128" t="s">
        <v>235</v>
      </c>
      <c r="Y91" s="128" t="s">
        <v>266</v>
      </c>
      <c r="Z91" s="128" t="s">
        <v>1014</v>
      </c>
      <c r="AA91" s="128" t="s">
        <v>251</v>
      </c>
      <c r="AB91" s="128" t="s">
        <v>1007</v>
      </c>
      <c r="AC91" s="128" t="s">
        <v>1009</v>
      </c>
      <c r="AD91" s="128" t="s">
        <v>1010</v>
      </c>
      <c r="AE91" s="128" t="s">
        <v>1013</v>
      </c>
      <c r="AF91" s="129" t="s">
        <v>244</v>
      </c>
      <c r="AG91" s="130" t="s">
        <v>1029</v>
      </c>
    </row>
    <row r="92" spans="1:33" x14ac:dyDescent="0.3">
      <c r="A92" s="90" t="s">
        <v>3</v>
      </c>
      <c r="B92" s="6" t="s">
        <v>3</v>
      </c>
      <c r="C92" s="112" t="s">
        <v>286</v>
      </c>
      <c r="D92" s="112" t="s">
        <v>250</v>
      </c>
      <c r="E92" s="112" t="s">
        <v>248</v>
      </c>
      <c r="F92" s="112" t="s">
        <v>270</v>
      </c>
      <c r="G92" s="112" t="s">
        <v>266</v>
      </c>
      <c r="H92" s="112" t="s">
        <v>226</v>
      </c>
      <c r="I92" s="112" t="s">
        <v>246</v>
      </c>
      <c r="J92" s="112" t="s">
        <v>239</v>
      </c>
      <c r="K92" s="112" t="s">
        <v>339</v>
      </c>
      <c r="L92" s="112" t="s">
        <v>311</v>
      </c>
      <c r="M92" s="112" t="s">
        <v>231</v>
      </c>
      <c r="N92" s="112" t="s">
        <v>241</v>
      </c>
      <c r="O92" s="112" t="s">
        <v>268</v>
      </c>
      <c r="P92" s="112" t="s">
        <v>255</v>
      </c>
      <c r="Q92" s="113" t="s">
        <v>392</v>
      </c>
      <c r="R92" s="6" t="s">
        <v>1</v>
      </c>
      <c r="S92" s="112" t="s">
        <v>278</v>
      </c>
      <c r="T92" s="112" t="s">
        <v>221</v>
      </c>
      <c r="U92" s="112" t="s">
        <v>243</v>
      </c>
      <c r="V92" s="112" t="s">
        <v>251</v>
      </c>
      <c r="W92" s="112" t="s">
        <v>346</v>
      </c>
      <c r="X92" s="112" t="s">
        <v>224</v>
      </c>
      <c r="Y92" s="112" t="s">
        <v>287</v>
      </c>
      <c r="Z92" s="112" t="s">
        <v>235</v>
      </c>
      <c r="AA92" s="112" t="s">
        <v>274</v>
      </c>
      <c r="AB92" s="112" t="s">
        <v>222</v>
      </c>
      <c r="AC92" s="112" t="s">
        <v>325</v>
      </c>
      <c r="AD92" s="112" t="s">
        <v>244</v>
      </c>
      <c r="AE92" s="112" t="s">
        <v>228</v>
      </c>
      <c r="AF92" s="112" t="s">
        <v>264</v>
      </c>
      <c r="AG92" s="113" t="s">
        <v>234</v>
      </c>
    </row>
    <row r="93" spans="1:33" x14ac:dyDescent="0.3">
      <c r="A93" s="90"/>
      <c r="B93" s="114"/>
      <c r="C93" s="115">
        <v>6</v>
      </c>
      <c r="D93" s="115">
        <v>6</v>
      </c>
      <c r="E93" s="115">
        <v>7</v>
      </c>
      <c r="F93" s="115">
        <v>7</v>
      </c>
      <c r="G93" s="115">
        <v>6</v>
      </c>
      <c r="H93" s="115">
        <v>6</v>
      </c>
      <c r="I93" s="115">
        <v>6</v>
      </c>
      <c r="J93" s="115">
        <v>7</v>
      </c>
      <c r="K93" s="115">
        <v>6</v>
      </c>
      <c r="L93" s="115">
        <v>6</v>
      </c>
      <c r="M93" s="115">
        <v>6</v>
      </c>
      <c r="N93" s="115">
        <v>6</v>
      </c>
      <c r="O93" s="115">
        <v>6</v>
      </c>
      <c r="P93" s="115">
        <v>6</v>
      </c>
      <c r="Q93" s="116">
        <v>6</v>
      </c>
      <c r="R93" s="114"/>
      <c r="S93" s="115">
        <v>6</v>
      </c>
      <c r="T93" s="115">
        <v>7</v>
      </c>
      <c r="U93" s="115">
        <v>6</v>
      </c>
      <c r="V93" s="115">
        <v>6</v>
      </c>
      <c r="W93" s="115">
        <v>6</v>
      </c>
      <c r="X93" s="115">
        <v>7</v>
      </c>
      <c r="Y93" s="115">
        <v>6</v>
      </c>
      <c r="Z93" s="115">
        <v>6</v>
      </c>
      <c r="AA93" s="115">
        <v>6</v>
      </c>
      <c r="AB93" s="115">
        <v>6</v>
      </c>
      <c r="AC93" s="115">
        <v>6</v>
      </c>
      <c r="AD93" s="115">
        <v>5</v>
      </c>
      <c r="AE93" s="115">
        <v>7</v>
      </c>
      <c r="AF93" s="115">
        <v>6</v>
      </c>
      <c r="AG93" s="116">
        <v>7</v>
      </c>
    </row>
    <row r="94" spans="1:33" x14ac:dyDescent="0.3">
      <c r="A94" s="90">
        <v>45082</v>
      </c>
      <c r="B94" s="131" t="s">
        <v>1098</v>
      </c>
      <c r="C94" s="132"/>
      <c r="D94" s="132"/>
      <c r="E94" s="132" t="s">
        <v>1230</v>
      </c>
      <c r="F94" s="132" t="s">
        <v>239</v>
      </c>
      <c r="G94" s="132"/>
      <c r="H94" s="132"/>
      <c r="I94" s="132" t="s">
        <v>287</v>
      </c>
      <c r="J94" s="132" t="s">
        <v>1011</v>
      </c>
      <c r="K94" s="132"/>
      <c r="L94" s="132" t="s">
        <v>346</v>
      </c>
      <c r="M94" s="132" t="s">
        <v>325</v>
      </c>
      <c r="N94" s="132" t="s">
        <v>248</v>
      </c>
      <c r="O94" s="132"/>
      <c r="P94" s="132" t="s">
        <v>1010</v>
      </c>
      <c r="Q94" s="133"/>
      <c r="R94" s="131" t="s">
        <v>1098</v>
      </c>
      <c r="S94" s="132"/>
      <c r="T94" s="132" t="s">
        <v>228</v>
      </c>
      <c r="U94" s="132"/>
      <c r="V94" s="132"/>
      <c r="W94" s="132" t="s">
        <v>1027</v>
      </c>
      <c r="X94" s="132" t="s">
        <v>1043</v>
      </c>
      <c r="Y94" s="132" t="s">
        <v>1009</v>
      </c>
      <c r="Z94" s="132"/>
      <c r="AA94" s="132"/>
      <c r="AB94" s="132"/>
      <c r="AC94" s="132" t="s">
        <v>1036</v>
      </c>
      <c r="AD94" s="132"/>
      <c r="AE94" s="132" t="s">
        <v>1013</v>
      </c>
      <c r="AF94" s="132" t="s">
        <v>255</v>
      </c>
      <c r="AG94" s="133" t="s">
        <v>224</v>
      </c>
    </row>
    <row r="95" spans="1:33" x14ac:dyDescent="0.3">
      <c r="A95" s="90">
        <v>45083</v>
      </c>
      <c r="B95" s="131" t="s">
        <v>1099</v>
      </c>
      <c r="C95" s="132" t="s">
        <v>1232</v>
      </c>
      <c r="D95" s="132" t="s">
        <v>339</v>
      </c>
      <c r="E95" s="132" t="s">
        <v>1038</v>
      </c>
      <c r="F95" s="132" t="s">
        <v>226</v>
      </c>
      <c r="G95" s="132" t="s">
        <v>268</v>
      </c>
      <c r="H95" s="132" t="s">
        <v>1011</v>
      </c>
      <c r="I95" s="132" t="s">
        <v>287</v>
      </c>
      <c r="J95" s="132" t="s">
        <v>278</v>
      </c>
      <c r="K95" s="132" t="s">
        <v>1030</v>
      </c>
      <c r="L95" s="132" t="s">
        <v>346</v>
      </c>
      <c r="M95" s="132" t="s">
        <v>325</v>
      </c>
      <c r="N95" s="132" t="s">
        <v>244</v>
      </c>
      <c r="O95" s="132" t="s">
        <v>1031</v>
      </c>
      <c r="P95" s="132" t="s">
        <v>1010</v>
      </c>
      <c r="Q95" s="133" t="s">
        <v>286</v>
      </c>
      <c r="R95" s="131" t="s">
        <v>1099</v>
      </c>
      <c r="S95" s="132" t="s">
        <v>1022</v>
      </c>
      <c r="T95" s="132" t="s">
        <v>1037</v>
      </c>
      <c r="U95" s="132" t="s">
        <v>1012</v>
      </c>
      <c r="V95" s="132" t="s">
        <v>221</v>
      </c>
      <c r="W95" s="132" t="s">
        <v>1027</v>
      </c>
      <c r="X95" s="132" t="s">
        <v>1043</v>
      </c>
      <c r="Y95" s="132" t="s">
        <v>1009</v>
      </c>
      <c r="Z95" s="132" t="s">
        <v>248</v>
      </c>
      <c r="AA95" s="132" t="s">
        <v>1228</v>
      </c>
      <c r="AB95" s="132" t="s">
        <v>243</v>
      </c>
      <c r="AC95" s="132" t="s">
        <v>1036</v>
      </c>
      <c r="AD95" s="132" t="s">
        <v>1230</v>
      </c>
      <c r="AE95" s="132" t="s">
        <v>274</v>
      </c>
      <c r="AF95" s="132" t="s">
        <v>255</v>
      </c>
      <c r="AG95" s="133" t="s">
        <v>224</v>
      </c>
    </row>
    <row r="96" spans="1:33" x14ac:dyDescent="0.3">
      <c r="A96" s="90">
        <v>45084</v>
      </c>
      <c r="B96" s="131" t="s">
        <v>1100</v>
      </c>
      <c r="C96" s="132" t="s">
        <v>1232</v>
      </c>
      <c r="D96" s="132" t="s">
        <v>339</v>
      </c>
      <c r="E96" s="132" t="s">
        <v>1038</v>
      </c>
      <c r="F96" s="132" t="s">
        <v>226</v>
      </c>
      <c r="G96" s="132" t="s">
        <v>268</v>
      </c>
      <c r="H96" s="132" t="s">
        <v>1011</v>
      </c>
      <c r="I96" s="132" t="s">
        <v>287</v>
      </c>
      <c r="J96" s="132" t="s">
        <v>278</v>
      </c>
      <c r="K96" s="132" t="s">
        <v>1030</v>
      </c>
      <c r="L96" s="132" t="s">
        <v>346</v>
      </c>
      <c r="M96" s="132" t="s">
        <v>325</v>
      </c>
      <c r="N96" s="132" t="s">
        <v>244</v>
      </c>
      <c r="O96" s="132" t="s">
        <v>1031</v>
      </c>
      <c r="P96" s="132" t="s">
        <v>1010</v>
      </c>
      <c r="Q96" s="133" t="s">
        <v>286</v>
      </c>
      <c r="R96" s="131" t="s">
        <v>1100</v>
      </c>
      <c r="S96" s="132" t="s">
        <v>1022</v>
      </c>
      <c r="T96" s="132" t="s">
        <v>1037</v>
      </c>
      <c r="U96" s="132" t="s">
        <v>1012</v>
      </c>
      <c r="V96" s="132" t="s">
        <v>221</v>
      </c>
      <c r="W96" s="132" t="s">
        <v>1027</v>
      </c>
      <c r="X96" s="132" t="s">
        <v>1043</v>
      </c>
      <c r="Y96" s="132" t="s">
        <v>1009</v>
      </c>
      <c r="Z96" s="132" t="s">
        <v>248</v>
      </c>
      <c r="AA96" s="132" t="s">
        <v>1228</v>
      </c>
      <c r="AB96" s="132" t="s">
        <v>243</v>
      </c>
      <c r="AC96" s="132" t="s">
        <v>1036</v>
      </c>
      <c r="AD96" s="132" t="s">
        <v>1230</v>
      </c>
      <c r="AE96" s="132" t="s">
        <v>274</v>
      </c>
      <c r="AF96" s="132" t="s">
        <v>255</v>
      </c>
      <c r="AG96" s="133" t="s">
        <v>224</v>
      </c>
    </row>
    <row r="97" spans="1:33" x14ac:dyDescent="0.3">
      <c r="A97" s="90">
        <v>45085</v>
      </c>
      <c r="B97" s="131" t="s">
        <v>1101</v>
      </c>
      <c r="C97" s="132" t="s">
        <v>1232</v>
      </c>
      <c r="D97" s="132" t="s">
        <v>339</v>
      </c>
      <c r="E97" s="132" t="s">
        <v>1038</v>
      </c>
      <c r="F97" s="134" t="s">
        <v>226</v>
      </c>
      <c r="G97" s="132" t="s">
        <v>268</v>
      </c>
      <c r="H97" s="132" t="s">
        <v>1011</v>
      </c>
      <c r="I97" s="132"/>
      <c r="J97" s="132" t="s">
        <v>278</v>
      </c>
      <c r="K97" s="132" t="s">
        <v>1030</v>
      </c>
      <c r="L97" s="132"/>
      <c r="M97" s="132"/>
      <c r="N97" s="132"/>
      <c r="O97" s="132" t="s">
        <v>1031</v>
      </c>
      <c r="P97" s="132"/>
      <c r="Q97" s="133" t="s">
        <v>286</v>
      </c>
      <c r="R97" s="131" t="s">
        <v>1101</v>
      </c>
      <c r="S97" s="132" t="s">
        <v>1022</v>
      </c>
      <c r="T97" s="132" t="s">
        <v>1037</v>
      </c>
      <c r="U97" s="132" t="s">
        <v>1012</v>
      </c>
      <c r="V97" s="134" t="s">
        <v>221</v>
      </c>
      <c r="W97" s="132"/>
      <c r="X97" s="132" t="s">
        <v>1043</v>
      </c>
      <c r="Y97" s="132"/>
      <c r="Z97" s="132" t="s">
        <v>248</v>
      </c>
      <c r="AA97" s="132" t="s">
        <v>1228</v>
      </c>
      <c r="AB97" s="132" t="s">
        <v>243</v>
      </c>
      <c r="AC97" s="132"/>
      <c r="AD97" s="132"/>
      <c r="AE97" s="132" t="s">
        <v>274</v>
      </c>
      <c r="AF97" s="132"/>
      <c r="AG97" s="133" t="s">
        <v>224</v>
      </c>
    </row>
    <row r="98" spans="1:33" x14ac:dyDescent="0.3">
      <c r="A98" s="90">
        <v>45086</v>
      </c>
      <c r="B98" s="131" t="s">
        <v>1102</v>
      </c>
      <c r="C98" s="132" t="s">
        <v>1032</v>
      </c>
      <c r="D98" s="132" t="s">
        <v>392</v>
      </c>
      <c r="E98" s="132" t="s">
        <v>1227</v>
      </c>
      <c r="F98" s="132" t="s">
        <v>1017</v>
      </c>
      <c r="G98" s="132" t="s">
        <v>241</v>
      </c>
      <c r="H98" s="132" t="s">
        <v>1027</v>
      </c>
      <c r="I98" s="132" t="s">
        <v>1023</v>
      </c>
      <c r="J98" s="132" t="s">
        <v>325</v>
      </c>
      <c r="K98" s="132" t="s">
        <v>1036</v>
      </c>
      <c r="L98" s="132" t="s">
        <v>226</v>
      </c>
      <c r="M98" s="132" t="s">
        <v>339</v>
      </c>
      <c r="N98" s="132" t="s">
        <v>1031</v>
      </c>
      <c r="O98" s="132" t="s">
        <v>248</v>
      </c>
      <c r="P98" s="132" t="s">
        <v>270</v>
      </c>
      <c r="Q98" s="133" t="s">
        <v>1030</v>
      </c>
      <c r="R98" s="131" t="s">
        <v>1102</v>
      </c>
      <c r="S98" s="132" t="s">
        <v>287</v>
      </c>
      <c r="T98" s="132" t="s">
        <v>1012</v>
      </c>
      <c r="U98" s="132" t="s">
        <v>246</v>
      </c>
      <c r="V98" s="132" t="s">
        <v>224</v>
      </c>
      <c r="W98" s="132" t="s">
        <v>286</v>
      </c>
      <c r="X98" s="132" t="s">
        <v>1037</v>
      </c>
      <c r="Y98" s="132" t="s">
        <v>1034</v>
      </c>
      <c r="Z98" s="132" t="s">
        <v>244</v>
      </c>
      <c r="AA98" s="132" t="s">
        <v>1043</v>
      </c>
      <c r="AB98" s="132" t="s">
        <v>221</v>
      </c>
      <c r="AC98" s="132" t="s">
        <v>1022</v>
      </c>
      <c r="AD98" s="132" t="s">
        <v>1038</v>
      </c>
      <c r="AE98" s="132" t="s">
        <v>264</v>
      </c>
      <c r="AF98" s="132" t="s">
        <v>1228</v>
      </c>
      <c r="AG98" s="133" t="s">
        <v>274</v>
      </c>
    </row>
    <row r="99" spans="1:33" x14ac:dyDescent="0.3">
      <c r="A99" s="90">
        <v>45087</v>
      </c>
      <c r="B99" s="131" t="s">
        <v>1103</v>
      </c>
      <c r="C99" s="132" t="s">
        <v>1032</v>
      </c>
      <c r="D99" s="132" t="s">
        <v>392</v>
      </c>
      <c r="E99" s="132" t="s">
        <v>1227</v>
      </c>
      <c r="F99" s="132" t="s">
        <v>1017</v>
      </c>
      <c r="G99" s="132" t="s">
        <v>241</v>
      </c>
      <c r="H99" s="132" t="s">
        <v>1027</v>
      </c>
      <c r="I99" s="132" t="s">
        <v>1023</v>
      </c>
      <c r="J99" s="132" t="s">
        <v>325</v>
      </c>
      <c r="K99" s="134" t="s">
        <v>1036</v>
      </c>
      <c r="L99" s="132" t="s">
        <v>226</v>
      </c>
      <c r="M99" s="132" t="s">
        <v>339</v>
      </c>
      <c r="N99" s="132" t="s">
        <v>1031</v>
      </c>
      <c r="O99" s="132" t="s">
        <v>248</v>
      </c>
      <c r="P99" s="132" t="s">
        <v>270</v>
      </c>
      <c r="Q99" s="133" t="s">
        <v>1030</v>
      </c>
      <c r="R99" s="131" t="s">
        <v>1103</v>
      </c>
      <c r="S99" s="132" t="s">
        <v>287</v>
      </c>
      <c r="T99" s="132" t="s">
        <v>1012</v>
      </c>
      <c r="U99" s="132" t="s">
        <v>246</v>
      </c>
      <c r="V99" s="132" t="s">
        <v>224</v>
      </c>
      <c r="W99" s="132" t="s">
        <v>286</v>
      </c>
      <c r="X99" s="132" t="s">
        <v>1037</v>
      </c>
      <c r="Y99" s="132" t="s">
        <v>1034</v>
      </c>
      <c r="Z99" s="132" t="s">
        <v>244</v>
      </c>
      <c r="AA99" s="134" t="s">
        <v>1043</v>
      </c>
      <c r="AB99" s="132" t="s">
        <v>221</v>
      </c>
      <c r="AC99" s="132" t="s">
        <v>1022</v>
      </c>
      <c r="AD99" s="132" t="s">
        <v>1038</v>
      </c>
      <c r="AE99" s="132" t="s">
        <v>264</v>
      </c>
      <c r="AF99" s="132" t="s">
        <v>1228</v>
      </c>
      <c r="AG99" s="133" t="s">
        <v>274</v>
      </c>
    </row>
    <row r="100" spans="1:33" ht="15" thickBot="1" x14ac:dyDescent="0.35">
      <c r="A100" s="90">
        <v>45088</v>
      </c>
      <c r="B100" s="135" t="s">
        <v>1104</v>
      </c>
      <c r="C100" s="136" t="s">
        <v>1032</v>
      </c>
      <c r="D100" s="136" t="s">
        <v>392</v>
      </c>
      <c r="E100" s="136" t="s">
        <v>1227</v>
      </c>
      <c r="F100" s="136" t="s">
        <v>1017</v>
      </c>
      <c r="G100" s="136" t="s">
        <v>241</v>
      </c>
      <c r="H100" s="136" t="s">
        <v>1027</v>
      </c>
      <c r="I100" s="136" t="s">
        <v>1023</v>
      </c>
      <c r="J100" s="136" t="s">
        <v>325</v>
      </c>
      <c r="K100" s="136" t="s">
        <v>1036</v>
      </c>
      <c r="L100" s="136" t="s">
        <v>226</v>
      </c>
      <c r="M100" s="136" t="s">
        <v>339</v>
      </c>
      <c r="N100" s="136" t="s">
        <v>1031</v>
      </c>
      <c r="O100" s="136" t="s">
        <v>248</v>
      </c>
      <c r="P100" s="136" t="s">
        <v>270</v>
      </c>
      <c r="Q100" s="137" t="s">
        <v>1030</v>
      </c>
      <c r="R100" s="135" t="s">
        <v>1104</v>
      </c>
      <c r="S100" s="136" t="s">
        <v>287</v>
      </c>
      <c r="T100" s="136" t="s">
        <v>1012</v>
      </c>
      <c r="U100" s="136" t="s">
        <v>246</v>
      </c>
      <c r="V100" s="136" t="s">
        <v>224</v>
      </c>
      <c r="W100" s="136" t="s">
        <v>286</v>
      </c>
      <c r="X100" s="136" t="s">
        <v>1037</v>
      </c>
      <c r="Y100" s="136" t="s">
        <v>1034</v>
      </c>
      <c r="Z100" s="136" t="s">
        <v>244</v>
      </c>
      <c r="AA100" s="136" t="s">
        <v>1043</v>
      </c>
      <c r="AB100" s="136" t="s">
        <v>221</v>
      </c>
      <c r="AC100" s="136" t="s">
        <v>1022</v>
      </c>
      <c r="AD100" s="136" t="s">
        <v>1038</v>
      </c>
      <c r="AE100" s="136" t="s">
        <v>264</v>
      </c>
      <c r="AF100" s="136" t="s">
        <v>1228</v>
      </c>
      <c r="AG100" s="137" t="s">
        <v>274</v>
      </c>
    </row>
    <row r="101" spans="1:33" x14ac:dyDescent="0.3">
      <c r="A101" s="90" t="s">
        <v>3</v>
      </c>
      <c r="B101" s="6" t="s">
        <v>3</v>
      </c>
      <c r="C101" s="112" t="s">
        <v>286</v>
      </c>
      <c r="D101" s="112" t="s">
        <v>250</v>
      </c>
      <c r="E101" s="112" t="s">
        <v>248</v>
      </c>
      <c r="F101" s="112" t="s">
        <v>270</v>
      </c>
      <c r="G101" s="112" t="s">
        <v>266</v>
      </c>
      <c r="H101" s="112" t="s">
        <v>226</v>
      </c>
      <c r="I101" s="112" t="s">
        <v>246</v>
      </c>
      <c r="J101" s="112" t="s">
        <v>239</v>
      </c>
      <c r="K101" s="112" t="s">
        <v>339</v>
      </c>
      <c r="L101" s="112" t="s">
        <v>311</v>
      </c>
      <c r="M101" s="112" t="s">
        <v>231</v>
      </c>
      <c r="N101" s="112" t="s">
        <v>241</v>
      </c>
      <c r="O101" s="112" t="s">
        <v>268</v>
      </c>
      <c r="P101" s="112" t="s">
        <v>255</v>
      </c>
      <c r="Q101" s="113" t="s">
        <v>392</v>
      </c>
      <c r="R101" s="6" t="s">
        <v>1</v>
      </c>
      <c r="S101" s="112" t="s">
        <v>278</v>
      </c>
      <c r="T101" s="112" t="s">
        <v>221</v>
      </c>
      <c r="U101" s="112" t="s">
        <v>243</v>
      </c>
      <c r="V101" s="112" t="s">
        <v>251</v>
      </c>
      <c r="W101" s="112" t="s">
        <v>346</v>
      </c>
      <c r="X101" s="112" t="s">
        <v>224</v>
      </c>
      <c r="Y101" s="112" t="s">
        <v>287</v>
      </c>
      <c r="Z101" s="112" t="s">
        <v>235</v>
      </c>
      <c r="AA101" s="112" t="s">
        <v>274</v>
      </c>
      <c r="AB101" s="112" t="s">
        <v>222</v>
      </c>
      <c r="AC101" s="112" t="s">
        <v>325</v>
      </c>
      <c r="AD101" s="112" t="s">
        <v>244</v>
      </c>
      <c r="AE101" s="112" t="s">
        <v>228</v>
      </c>
      <c r="AF101" s="112" t="s">
        <v>264</v>
      </c>
      <c r="AG101" s="113" t="s">
        <v>234</v>
      </c>
    </row>
    <row r="102" spans="1:33" x14ac:dyDescent="0.3">
      <c r="A102" s="90"/>
      <c r="B102" s="120"/>
      <c r="C102" s="121">
        <v>7</v>
      </c>
      <c r="D102" s="121">
        <v>7</v>
      </c>
      <c r="E102" s="121">
        <v>6</v>
      </c>
      <c r="F102" s="121">
        <v>6</v>
      </c>
      <c r="G102" s="121">
        <v>7</v>
      </c>
      <c r="H102" s="121">
        <v>6</v>
      </c>
      <c r="I102" s="121">
        <v>6</v>
      </c>
      <c r="J102" s="121">
        <v>5</v>
      </c>
      <c r="K102" s="121">
        <v>5</v>
      </c>
      <c r="L102" s="121">
        <v>7</v>
      </c>
      <c r="M102" s="121">
        <v>6</v>
      </c>
      <c r="N102" s="121">
        <v>6</v>
      </c>
      <c r="O102" s="121">
        <v>6</v>
      </c>
      <c r="P102" s="121">
        <v>6</v>
      </c>
      <c r="Q102" s="122">
        <v>6</v>
      </c>
      <c r="R102" s="120"/>
      <c r="S102" s="121">
        <v>6</v>
      </c>
      <c r="T102" s="121">
        <v>6</v>
      </c>
      <c r="U102" s="121">
        <v>6</v>
      </c>
      <c r="V102" s="121">
        <v>6</v>
      </c>
      <c r="W102" s="121">
        <v>7</v>
      </c>
      <c r="X102" s="121">
        <v>6</v>
      </c>
      <c r="Y102" s="121">
        <v>6</v>
      </c>
      <c r="Z102" s="121">
        <v>7</v>
      </c>
      <c r="AA102" s="121">
        <v>6</v>
      </c>
      <c r="AB102" s="121">
        <v>5</v>
      </c>
      <c r="AC102" s="121">
        <v>7</v>
      </c>
      <c r="AD102" s="121">
        <v>6</v>
      </c>
      <c r="AE102" s="121">
        <v>7</v>
      </c>
      <c r="AF102" s="121">
        <v>7</v>
      </c>
      <c r="AG102" s="122">
        <v>6</v>
      </c>
    </row>
    <row r="103" spans="1:33" x14ac:dyDescent="0.3">
      <c r="A103" s="90">
        <v>45089</v>
      </c>
      <c r="B103" s="120" t="s">
        <v>1105</v>
      </c>
      <c r="C103" s="121" t="s">
        <v>311</v>
      </c>
      <c r="D103" s="121" t="s">
        <v>1032</v>
      </c>
      <c r="E103" s="121"/>
      <c r="F103" s="121" t="s">
        <v>1229</v>
      </c>
      <c r="G103" s="121" t="s">
        <v>1013</v>
      </c>
      <c r="H103" s="121"/>
      <c r="I103" s="121" t="s">
        <v>1015</v>
      </c>
      <c r="J103" s="121"/>
      <c r="K103" s="121"/>
      <c r="L103" s="121" t="s">
        <v>1028</v>
      </c>
      <c r="M103" s="121"/>
      <c r="N103" s="121"/>
      <c r="O103" s="121" t="s">
        <v>1017</v>
      </c>
      <c r="P103" s="121" t="s">
        <v>268</v>
      </c>
      <c r="Q103" s="122"/>
      <c r="R103" s="120" t="s">
        <v>1105</v>
      </c>
      <c r="S103" s="121"/>
      <c r="T103" s="121" t="s">
        <v>266</v>
      </c>
      <c r="U103" s="121"/>
      <c r="V103" s="121"/>
      <c r="W103" s="121" t="s">
        <v>250</v>
      </c>
      <c r="X103" s="121"/>
      <c r="Y103" s="121" t="s">
        <v>270</v>
      </c>
      <c r="Z103" s="121" t="s">
        <v>1010</v>
      </c>
      <c r="AA103" s="121"/>
      <c r="AB103" s="121"/>
      <c r="AC103" s="121" t="s">
        <v>228</v>
      </c>
      <c r="AD103" s="121" t="s">
        <v>246</v>
      </c>
      <c r="AE103" s="121" t="s">
        <v>1016</v>
      </c>
      <c r="AF103" s="121" t="s">
        <v>235</v>
      </c>
      <c r="AG103" s="122"/>
    </row>
    <row r="104" spans="1:33" x14ac:dyDescent="0.3">
      <c r="A104" s="90">
        <v>45090</v>
      </c>
      <c r="B104" s="120" t="s">
        <v>1106</v>
      </c>
      <c r="C104" s="121" t="s">
        <v>311</v>
      </c>
      <c r="D104" s="121" t="s">
        <v>1032</v>
      </c>
      <c r="E104" s="121" t="s">
        <v>231</v>
      </c>
      <c r="F104" s="121" t="s">
        <v>1229</v>
      </c>
      <c r="G104" s="121" t="s">
        <v>1013</v>
      </c>
      <c r="H104" s="121" t="s">
        <v>243</v>
      </c>
      <c r="I104" s="121" t="s">
        <v>1015</v>
      </c>
      <c r="J104" s="121" t="s">
        <v>1033</v>
      </c>
      <c r="K104" s="121" t="s">
        <v>222</v>
      </c>
      <c r="L104" s="121" t="s">
        <v>1028</v>
      </c>
      <c r="M104" s="121" t="s">
        <v>1008</v>
      </c>
      <c r="N104" s="121" t="s">
        <v>251</v>
      </c>
      <c r="O104" s="121" t="s">
        <v>1017</v>
      </c>
      <c r="P104" s="123" t="s">
        <v>268</v>
      </c>
      <c r="Q104" s="124" t="s">
        <v>1014</v>
      </c>
      <c r="R104" s="120" t="s">
        <v>1106</v>
      </c>
      <c r="S104" s="121" t="s">
        <v>234</v>
      </c>
      <c r="T104" s="121" t="s">
        <v>266</v>
      </c>
      <c r="U104" s="121" t="s">
        <v>1007</v>
      </c>
      <c r="V104" s="121" t="s">
        <v>1230</v>
      </c>
      <c r="W104" s="121" t="s">
        <v>250</v>
      </c>
      <c r="X104" s="121" t="s">
        <v>392</v>
      </c>
      <c r="Y104" s="121" t="s">
        <v>270</v>
      </c>
      <c r="Z104" s="121" t="s">
        <v>1010</v>
      </c>
      <c r="AA104" s="121" t="s">
        <v>239</v>
      </c>
      <c r="AB104" s="121" t="s">
        <v>1029</v>
      </c>
      <c r="AC104" s="121" t="s">
        <v>228</v>
      </c>
      <c r="AD104" s="121" t="s">
        <v>246</v>
      </c>
      <c r="AE104" s="121" t="s">
        <v>1016</v>
      </c>
      <c r="AF104" s="123" t="s">
        <v>235</v>
      </c>
      <c r="AG104" s="124" t="s">
        <v>1034</v>
      </c>
    </row>
    <row r="105" spans="1:33" x14ac:dyDescent="0.3">
      <c r="A105" s="90">
        <v>45091</v>
      </c>
      <c r="B105" s="120" t="s">
        <v>1107</v>
      </c>
      <c r="C105" s="121" t="s">
        <v>311</v>
      </c>
      <c r="D105" s="121" t="s">
        <v>1032</v>
      </c>
      <c r="E105" s="121" t="s">
        <v>231</v>
      </c>
      <c r="F105" s="121" t="s">
        <v>1229</v>
      </c>
      <c r="G105" s="121" t="s">
        <v>1013</v>
      </c>
      <c r="H105" s="121" t="s">
        <v>243</v>
      </c>
      <c r="I105" s="121" t="s">
        <v>1015</v>
      </c>
      <c r="J105" s="121" t="s">
        <v>1033</v>
      </c>
      <c r="K105" s="121" t="s">
        <v>222</v>
      </c>
      <c r="L105" s="121" t="s">
        <v>1028</v>
      </c>
      <c r="M105" s="121" t="s">
        <v>1008</v>
      </c>
      <c r="N105" s="121" t="s">
        <v>251</v>
      </c>
      <c r="O105" s="121" t="s">
        <v>1017</v>
      </c>
      <c r="P105" s="123" t="s">
        <v>268</v>
      </c>
      <c r="Q105" s="124" t="s">
        <v>1014</v>
      </c>
      <c r="R105" s="120" t="s">
        <v>1107</v>
      </c>
      <c r="S105" s="121" t="s">
        <v>234</v>
      </c>
      <c r="T105" s="121" t="s">
        <v>266</v>
      </c>
      <c r="U105" s="121" t="s">
        <v>1007</v>
      </c>
      <c r="V105" s="121" t="s">
        <v>1230</v>
      </c>
      <c r="W105" s="121" t="s">
        <v>250</v>
      </c>
      <c r="X105" s="121" t="s">
        <v>392</v>
      </c>
      <c r="Y105" s="121" t="s">
        <v>270</v>
      </c>
      <c r="Z105" s="121" t="s">
        <v>1010</v>
      </c>
      <c r="AA105" s="121" t="s">
        <v>239</v>
      </c>
      <c r="AB105" s="121" t="s">
        <v>1029</v>
      </c>
      <c r="AC105" s="121" t="s">
        <v>228</v>
      </c>
      <c r="AD105" s="121" t="s">
        <v>246</v>
      </c>
      <c r="AE105" s="121" t="s">
        <v>1016</v>
      </c>
      <c r="AF105" s="123" t="s">
        <v>235</v>
      </c>
      <c r="AG105" s="124" t="s">
        <v>1034</v>
      </c>
    </row>
    <row r="106" spans="1:33" x14ac:dyDescent="0.3">
      <c r="A106" s="90">
        <v>45092</v>
      </c>
      <c r="B106" s="120" t="s">
        <v>1108</v>
      </c>
      <c r="C106" s="121" t="s">
        <v>311</v>
      </c>
      <c r="D106" s="121" t="s">
        <v>266</v>
      </c>
      <c r="E106" s="121" t="s">
        <v>231</v>
      </c>
      <c r="F106" s="121"/>
      <c r="G106" s="121" t="s">
        <v>1030</v>
      </c>
      <c r="H106" s="121" t="s">
        <v>243</v>
      </c>
      <c r="I106" s="121"/>
      <c r="J106" s="121"/>
      <c r="K106" s="121"/>
      <c r="L106" s="121" t="s">
        <v>1028</v>
      </c>
      <c r="M106" s="121" t="s">
        <v>1008</v>
      </c>
      <c r="N106" s="121" t="s">
        <v>251</v>
      </c>
      <c r="O106" s="121"/>
      <c r="P106" s="123"/>
      <c r="Q106" s="124" t="s">
        <v>1014</v>
      </c>
      <c r="R106" s="120" t="s">
        <v>1108</v>
      </c>
      <c r="S106" s="121" t="s">
        <v>234</v>
      </c>
      <c r="T106" s="121"/>
      <c r="U106" s="121" t="s">
        <v>1007</v>
      </c>
      <c r="V106" s="121" t="s">
        <v>1230</v>
      </c>
      <c r="W106" s="121" t="s">
        <v>1033</v>
      </c>
      <c r="X106" s="121" t="s">
        <v>392</v>
      </c>
      <c r="Y106" s="121"/>
      <c r="Z106" s="121" t="s">
        <v>1010</v>
      </c>
      <c r="AA106" s="121" t="s">
        <v>346</v>
      </c>
      <c r="AB106" s="121"/>
      <c r="AC106" s="121" t="s">
        <v>228</v>
      </c>
      <c r="AD106" s="121"/>
      <c r="AE106" s="121" t="s">
        <v>1016</v>
      </c>
      <c r="AF106" s="123" t="s">
        <v>235</v>
      </c>
      <c r="AG106" s="124" t="s">
        <v>1034</v>
      </c>
    </row>
    <row r="107" spans="1:33" x14ac:dyDescent="0.3">
      <c r="A107" s="90">
        <v>45093</v>
      </c>
      <c r="B107" s="120" t="s">
        <v>1109</v>
      </c>
      <c r="C107" s="121" t="s">
        <v>251</v>
      </c>
      <c r="D107" s="121" t="s">
        <v>266</v>
      </c>
      <c r="E107" s="121" t="s">
        <v>278</v>
      </c>
      <c r="F107" s="121" t="s">
        <v>1014</v>
      </c>
      <c r="G107" s="121" t="s">
        <v>1030</v>
      </c>
      <c r="H107" s="121" t="s">
        <v>268</v>
      </c>
      <c r="I107" s="121" t="s">
        <v>1232</v>
      </c>
      <c r="J107" s="121" t="s">
        <v>231</v>
      </c>
      <c r="K107" s="121" t="s">
        <v>255</v>
      </c>
      <c r="L107" s="121" t="s">
        <v>1016</v>
      </c>
      <c r="M107" s="121" t="s">
        <v>1022</v>
      </c>
      <c r="N107" s="121" t="s">
        <v>228</v>
      </c>
      <c r="O107" s="121" t="s">
        <v>1007</v>
      </c>
      <c r="P107" s="123" t="s">
        <v>1029</v>
      </c>
      <c r="Q107" s="124" t="s">
        <v>246</v>
      </c>
      <c r="R107" s="120" t="s">
        <v>1109</v>
      </c>
      <c r="S107" s="121" t="s">
        <v>1008</v>
      </c>
      <c r="T107" s="121" t="s">
        <v>222</v>
      </c>
      <c r="U107" s="121" t="s">
        <v>1015</v>
      </c>
      <c r="V107" s="121" t="s">
        <v>1028</v>
      </c>
      <c r="W107" s="121" t="s">
        <v>1033</v>
      </c>
      <c r="X107" s="121" t="s">
        <v>270</v>
      </c>
      <c r="Y107" s="121" t="s">
        <v>235</v>
      </c>
      <c r="Z107" s="121" t="s">
        <v>1229</v>
      </c>
      <c r="AA107" s="121" t="s">
        <v>346</v>
      </c>
      <c r="AB107" s="121" t="s">
        <v>1013</v>
      </c>
      <c r="AC107" s="121" t="s">
        <v>311</v>
      </c>
      <c r="AD107" s="121" t="s">
        <v>243</v>
      </c>
      <c r="AE107" s="121" t="s">
        <v>1230</v>
      </c>
      <c r="AF107" s="123" t="s">
        <v>234</v>
      </c>
      <c r="AG107" s="124" t="s">
        <v>1010</v>
      </c>
    </row>
    <row r="108" spans="1:33" x14ac:dyDescent="0.3">
      <c r="A108" s="90">
        <v>45094</v>
      </c>
      <c r="B108" s="120" t="s">
        <v>1110</v>
      </c>
      <c r="C108" s="121" t="s">
        <v>251</v>
      </c>
      <c r="D108" s="121" t="s">
        <v>266</v>
      </c>
      <c r="E108" s="121" t="s">
        <v>278</v>
      </c>
      <c r="F108" s="121" t="s">
        <v>1014</v>
      </c>
      <c r="G108" s="121" t="s">
        <v>1030</v>
      </c>
      <c r="H108" s="121" t="s">
        <v>268</v>
      </c>
      <c r="I108" s="121" t="s">
        <v>1232</v>
      </c>
      <c r="J108" s="121" t="s">
        <v>231</v>
      </c>
      <c r="K108" s="121" t="s">
        <v>255</v>
      </c>
      <c r="L108" s="121" t="s">
        <v>1016</v>
      </c>
      <c r="M108" s="121" t="s">
        <v>1022</v>
      </c>
      <c r="N108" s="121" t="s">
        <v>228</v>
      </c>
      <c r="O108" s="121" t="s">
        <v>1007</v>
      </c>
      <c r="P108" s="123" t="s">
        <v>1029</v>
      </c>
      <c r="Q108" s="124" t="s">
        <v>246</v>
      </c>
      <c r="R108" s="120" t="s">
        <v>1110</v>
      </c>
      <c r="S108" s="121" t="s">
        <v>1008</v>
      </c>
      <c r="T108" s="121" t="s">
        <v>222</v>
      </c>
      <c r="U108" s="121" t="s">
        <v>1015</v>
      </c>
      <c r="V108" s="121" t="s">
        <v>1028</v>
      </c>
      <c r="W108" s="121" t="s">
        <v>1033</v>
      </c>
      <c r="X108" s="121" t="s">
        <v>270</v>
      </c>
      <c r="Y108" s="121" t="s">
        <v>235</v>
      </c>
      <c r="Z108" s="121" t="s">
        <v>1229</v>
      </c>
      <c r="AA108" s="121" t="s">
        <v>346</v>
      </c>
      <c r="AB108" s="121" t="s">
        <v>1013</v>
      </c>
      <c r="AC108" s="121" t="s">
        <v>311</v>
      </c>
      <c r="AD108" s="121" t="s">
        <v>243</v>
      </c>
      <c r="AE108" s="121" t="s">
        <v>1230</v>
      </c>
      <c r="AF108" s="123" t="s">
        <v>234</v>
      </c>
      <c r="AG108" s="124" t="s">
        <v>1010</v>
      </c>
    </row>
    <row r="109" spans="1:33" ht="15" thickBot="1" x14ac:dyDescent="0.35">
      <c r="A109" s="90">
        <v>45095</v>
      </c>
      <c r="B109" s="127" t="s">
        <v>1111</v>
      </c>
      <c r="C109" s="128" t="s">
        <v>251</v>
      </c>
      <c r="D109" s="128" t="s">
        <v>266</v>
      </c>
      <c r="E109" s="128" t="s">
        <v>278</v>
      </c>
      <c r="F109" s="128" t="s">
        <v>1014</v>
      </c>
      <c r="G109" s="128" t="s">
        <v>1030</v>
      </c>
      <c r="H109" s="128" t="s">
        <v>268</v>
      </c>
      <c r="I109" s="128" t="s">
        <v>1232</v>
      </c>
      <c r="J109" s="128" t="s">
        <v>231</v>
      </c>
      <c r="K109" s="128" t="s">
        <v>255</v>
      </c>
      <c r="L109" s="128" t="s">
        <v>1016</v>
      </c>
      <c r="M109" s="128" t="s">
        <v>1022</v>
      </c>
      <c r="N109" s="128" t="s">
        <v>228</v>
      </c>
      <c r="O109" s="128" t="s">
        <v>1007</v>
      </c>
      <c r="P109" s="129" t="s">
        <v>1029</v>
      </c>
      <c r="Q109" s="130" t="s">
        <v>246</v>
      </c>
      <c r="R109" s="127" t="s">
        <v>1111</v>
      </c>
      <c r="S109" s="128" t="s">
        <v>1008</v>
      </c>
      <c r="T109" s="128" t="s">
        <v>222</v>
      </c>
      <c r="U109" s="128" t="s">
        <v>1015</v>
      </c>
      <c r="V109" s="128" t="s">
        <v>1028</v>
      </c>
      <c r="W109" s="128" t="s">
        <v>1033</v>
      </c>
      <c r="X109" s="128" t="s">
        <v>270</v>
      </c>
      <c r="Y109" s="128" t="s">
        <v>235</v>
      </c>
      <c r="Z109" s="128" t="s">
        <v>1229</v>
      </c>
      <c r="AA109" s="128" t="s">
        <v>346</v>
      </c>
      <c r="AB109" s="128" t="s">
        <v>1013</v>
      </c>
      <c r="AC109" s="128" t="s">
        <v>311</v>
      </c>
      <c r="AD109" s="128" t="s">
        <v>243</v>
      </c>
      <c r="AE109" s="128" t="s">
        <v>1230</v>
      </c>
      <c r="AF109" s="129" t="s">
        <v>234</v>
      </c>
      <c r="AG109" s="130" t="s">
        <v>1010</v>
      </c>
    </row>
    <row r="110" spans="1:33" x14ac:dyDescent="0.3">
      <c r="A110" s="90" t="s">
        <v>3</v>
      </c>
      <c r="B110" s="6" t="s">
        <v>3</v>
      </c>
      <c r="C110" s="112" t="s">
        <v>286</v>
      </c>
      <c r="D110" s="112" t="s">
        <v>250</v>
      </c>
      <c r="E110" s="112" t="s">
        <v>248</v>
      </c>
      <c r="F110" s="112" t="s">
        <v>270</v>
      </c>
      <c r="G110" s="112" t="s">
        <v>266</v>
      </c>
      <c r="H110" s="112" t="s">
        <v>226</v>
      </c>
      <c r="I110" s="112" t="s">
        <v>246</v>
      </c>
      <c r="J110" s="112" t="s">
        <v>239</v>
      </c>
      <c r="K110" s="112" t="s">
        <v>339</v>
      </c>
      <c r="L110" s="112" t="s">
        <v>311</v>
      </c>
      <c r="M110" s="112" t="s">
        <v>231</v>
      </c>
      <c r="N110" s="112" t="s">
        <v>241</v>
      </c>
      <c r="O110" s="112" t="s">
        <v>268</v>
      </c>
      <c r="P110" s="112" t="s">
        <v>255</v>
      </c>
      <c r="Q110" s="113" t="s">
        <v>392</v>
      </c>
      <c r="R110" s="6" t="s">
        <v>1</v>
      </c>
      <c r="S110" s="112" t="s">
        <v>278</v>
      </c>
      <c r="T110" s="112" t="s">
        <v>221</v>
      </c>
      <c r="U110" s="112" t="s">
        <v>243</v>
      </c>
      <c r="V110" s="112" t="s">
        <v>251</v>
      </c>
      <c r="W110" s="112" t="s">
        <v>346</v>
      </c>
      <c r="X110" s="112" t="s">
        <v>224</v>
      </c>
      <c r="Y110" s="112" t="s">
        <v>287</v>
      </c>
      <c r="Z110" s="112" t="s">
        <v>235</v>
      </c>
      <c r="AA110" s="112" t="s">
        <v>274</v>
      </c>
      <c r="AB110" s="112" t="s">
        <v>222</v>
      </c>
      <c r="AC110" s="112" t="s">
        <v>325</v>
      </c>
      <c r="AD110" s="112" t="s">
        <v>244</v>
      </c>
      <c r="AE110" s="112" t="s">
        <v>228</v>
      </c>
      <c r="AF110" s="112" t="s">
        <v>264</v>
      </c>
      <c r="AG110" s="113" t="s">
        <v>234</v>
      </c>
    </row>
    <row r="111" spans="1:33" x14ac:dyDescent="0.3">
      <c r="A111" s="90"/>
      <c r="B111" s="114"/>
      <c r="C111" s="115">
        <v>6</v>
      </c>
      <c r="D111" s="115">
        <v>6</v>
      </c>
      <c r="E111" s="115">
        <v>5</v>
      </c>
      <c r="F111" s="115">
        <v>6</v>
      </c>
      <c r="G111" s="115">
        <v>6</v>
      </c>
      <c r="H111" s="115">
        <v>5</v>
      </c>
      <c r="I111" s="115">
        <v>7</v>
      </c>
      <c r="J111" s="115">
        <v>6</v>
      </c>
      <c r="K111" s="115">
        <v>6</v>
      </c>
      <c r="L111" s="115">
        <v>6</v>
      </c>
      <c r="M111" s="115">
        <v>7</v>
      </c>
      <c r="N111" s="115">
        <v>7</v>
      </c>
      <c r="O111" s="115">
        <v>7</v>
      </c>
      <c r="P111" s="115">
        <v>5</v>
      </c>
      <c r="Q111" s="116">
        <v>6</v>
      </c>
      <c r="R111" s="114"/>
      <c r="S111" s="115">
        <v>5</v>
      </c>
      <c r="T111" s="115">
        <v>7</v>
      </c>
      <c r="U111" s="115">
        <v>6</v>
      </c>
      <c r="V111" s="115">
        <v>6</v>
      </c>
      <c r="W111" s="115">
        <v>6</v>
      </c>
      <c r="X111" s="115">
        <v>6</v>
      </c>
      <c r="Y111" s="115">
        <v>7</v>
      </c>
      <c r="Z111" s="115">
        <v>5</v>
      </c>
      <c r="AA111" s="115">
        <v>7</v>
      </c>
      <c r="AB111" s="115">
        <v>6</v>
      </c>
      <c r="AC111" s="115">
        <v>6</v>
      </c>
      <c r="AD111" s="115">
        <v>6</v>
      </c>
      <c r="AE111" s="115">
        <v>6</v>
      </c>
      <c r="AF111" s="115">
        <v>6</v>
      </c>
      <c r="AG111" s="116">
        <v>6</v>
      </c>
    </row>
    <row r="112" spans="1:33" x14ac:dyDescent="0.3">
      <c r="A112" s="90">
        <v>45096</v>
      </c>
      <c r="B112" s="131" t="s">
        <v>1112</v>
      </c>
      <c r="C112" s="132" t="s">
        <v>1022</v>
      </c>
      <c r="D112" s="132"/>
      <c r="E112" s="132" t="s">
        <v>1036</v>
      </c>
      <c r="F112" s="132" t="s">
        <v>266</v>
      </c>
      <c r="G112" s="132" t="s">
        <v>1011</v>
      </c>
      <c r="H112" s="132"/>
      <c r="I112" s="132" t="s">
        <v>234</v>
      </c>
      <c r="J112" s="132" t="s">
        <v>286</v>
      </c>
      <c r="K112" s="132" t="s">
        <v>1014</v>
      </c>
      <c r="L112" s="132"/>
      <c r="M112" s="132" t="s">
        <v>248</v>
      </c>
      <c r="N112" s="132" t="s">
        <v>1227</v>
      </c>
      <c r="O112" s="132" t="s">
        <v>241</v>
      </c>
      <c r="P112" s="132" t="s">
        <v>1232</v>
      </c>
      <c r="Q112" s="133" t="s">
        <v>255</v>
      </c>
      <c r="R112" s="131" t="s">
        <v>1112</v>
      </c>
      <c r="S112" s="132"/>
      <c r="T112" s="132" t="s">
        <v>1033</v>
      </c>
      <c r="U112" s="132" t="s">
        <v>264</v>
      </c>
      <c r="V112" s="132"/>
      <c r="W112" s="132" t="s">
        <v>287</v>
      </c>
      <c r="X112" s="132" t="s">
        <v>339</v>
      </c>
      <c r="Y112" s="132" t="s">
        <v>1032</v>
      </c>
      <c r="Z112" s="132"/>
      <c r="AA112" s="132" t="s">
        <v>221</v>
      </c>
      <c r="AB112" s="132"/>
      <c r="AC112" s="132"/>
      <c r="AD112" s="132"/>
      <c r="AE112" s="132"/>
      <c r="AF112" s="132" t="s">
        <v>1023</v>
      </c>
      <c r="AG112" s="133" t="s">
        <v>1009</v>
      </c>
    </row>
    <row r="113" spans="1:33" x14ac:dyDescent="0.3">
      <c r="A113" s="90">
        <v>45097</v>
      </c>
      <c r="B113" s="131" t="s">
        <v>1113</v>
      </c>
      <c r="C113" s="132" t="s">
        <v>1022</v>
      </c>
      <c r="D113" s="132" t="s">
        <v>1027</v>
      </c>
      <c r="E113" s="132" t="s">
        <v>1036</v>
      </c>
      <c r="F113" s="132" t="s">
        <v>266</v>
      </c>
      <c r="G113" s="132" t="s">
        <v>1011</v>
      </c>
      <c r="H113" s="132" t="s">
        <v>1038</v>
      </c>
      <c r="I113" s="132" t="s">
        <v>234</v>
      </c>
      <c r="J113" s="132" t="s">
        <v>286</v>
      </c>
      <c r="K113" s="132" t="s">
        <v>1014</v>
      </c>
      <c r="L113" s="132" t="s">
        <v>250</v>
      </c>
      <c r="M113" s="132" t="s">
        <v>248</v>
      </c>
      <c r="N113" s="132" t="s">
        <v>1227</v>
      </c>
      <c r="O113" s="132" t="s">
        <v>241</v>
      </c>
      <c r="P113" s="132" t="s">
        <v>1232</v>
      </c>
      <c r="Q113" s="133" t="s">
        <v>255</v>
      </c>
      <c r="R113" s="131" t="s">
        <v>1113</v>
      </c>
      <c r="S113" s="132" t="s">
        <v>1228</v>
      </c>
      <c r="T113" s="132" t="s">
        <v>1033</v>
      </c>
      <c r="U113" s="132" t="s">
        <v>264</v>
      </c>
      <c r="V113" s="132" t="s">
        <v>325</v>
      </c>
      <c r="W113" s="132" t="s">
        <v>287</v>
      </c>
      <c r="X113" s="132" t="s">
        <v>339</v>
      </c>
      <c r="Y113" s="132" t="s">
        <v>1032</v>
      </c>
      <c r="Z113" s="132" t="s">
        <v>226</v>
      </c>
      <c r="AA113" s="132" t="s">
        <v>221</v>
      </c>
      <c r="AB113" s="132" t="s">
        <v>244</v>
      </c>
      <c r="AC113" s="132" t="s">
        <v>1037</v>
      </c>
      <c r="AD113" s="132" t="s">
        <v>1012</v>
      </c>
      <c r="AE113" s="132" t="s">
        <v>278</v>
      </c>
      <c r="AF113" s="132" t="s">
        <v>1023</v>
      </c>
      <c r="AG113" s="133" t="s">
        <v>1009</v>
      </c>
    </row>
    <row r="114" spans="1:33" x14ac:dyDescent="0.3">
      <c r="A114" s="90">
        <v>45098</v>
      </c>
      <c r="B114" s="131" t="s">
        <v>1114</v>
      </c>
      <c r="C114" s="132" t="s">
        <v>1022</v>
      </c>
      <c r="D114" s="132" t="s">
        <v>1027</v>
      </c>
      <c r="E114" s="132" t="s">
        <v>1036</v>
      </c>
      <c r="F114" s="132" t="s">
        <v>266</v>
      </c>
      <c r="G114" s="132" t="s">
        <v>1011</v>
      </c>
      <c r="H114" s="132" t="s">
        <v>1038</v>
      </c>
      <c r="I114" s="132" t="s">
        <v>234</v>
      </c>
      <c r="J114" s="132" t="s">
        <v>286</v>
      </c>
      <c r="K114" s="132" t="s">
        <v>1014</v>
      </c>
      <c r="L114" s="132" t="s">
        <v>250</v>
      </c>
      <c r="M114" s="132" t="s">
        <v>248</v>
      </c>
      <c r="N114" s="132" t="s">
        <v>1227</v>
      </c>
      <c r="O114" s="132" t="s">
        <v>241</v>
      </c>
      <c r="P114" s="132" t="s">
        <v>1232</v>
      </c>
      <c r="Q114" s="133" t="s">
        <v>255</v>
      </c>
      <c r="R114" s="131" t="s">
        <v>1114</v>
      </c>
      <c r="S114" s="132" t="s">
        <v>1228</v>
      </c>
      <c r="T114" s="132" t="s">
        <v>1033</v>
      </c>
      <c r="U114" s="132" t="s">
        <v>264</v>
      </c>
      <c r="V114" s="132" t="s">
        <v>325</v>
      </c>
      <c r="W114" s="132" t="s">
        <v>287</v>
      </c>
      <c r="X114" s="132" t="s">
        <v>339</v>
      </c>
      <c r="Y114" s="132" t="s">
        <v>1032</v>
      </c>
      <c r="Z114" s="132" t="s">
        <v>226</v>
      </c>
      <c r="AA114" s="132" t="s">
        <v>221</v>
      </c>
      <c r="AB114" s="132" t="s">
        <v>244</v>
      </c>
      <c r="AC114" s="132" t="s">
        <v>1037</v>
      </c>
      <c r="AD114" s="132" t="s">
        <v>1012</v>
      </c>
      <c r="AE114" s="132" t="s">
        <v>278</v>
      </c>
      <c r="AF114" s="132" t="s">
        <v>1023</v>
      </c>
      <c r="AG114" s="133" t="s">
        <v>1009</v>
      </c>
    </row>
    <row r="115" spans="1:33" x14ac:dyDescent="0.3">
      <c r="A115" s="90">
        <v>45099</v>
      </c>
      <c r="B115" s="131" t="s">
        <v>1115</v>
      </c>
      <c r="C115" s="132"/>
      <c r="D115" s="132" t="s">
        <v>1027</v>
      </c>
      <c r="E115" s="132"/>
      <c r="F115" s="134"/>
      <c r="G115" s="132"/>
      <c r="H115" s="132"/>
      <c r="I115" s="132" t="s">
        <v>231</v>
      </c>
      <c r="J115" s="132"/>
      <c r="K115" s="132"/>
      <c r="L115" s="132" t="s">
        <v>250</v>
      </c>
      <c r="M115" s="132" t="s">
        <v>1009</v>
      </c>
      <c r="N115" s="132" t="s">
        <v>1227</v>
      </c>
      <c r="O115" s="132" t="s">
        <v>241</v>
      </c>
      <c r="P115" s="132"/>
      <c r="Q115" s="133"/>
      <c r="R115" s="131" t="s">
        <v>1115</v>
      </c>
      <c r="S115" s="132"/>
      <c r="T115" s="132" t="s">
        <v>1033</v>
      </c>
      <c r="U115" s="132"/>
      <c r="V115" s="134" t="s">
        <v>325</v>
      </c>
      <c r="W115" s="132"/>
      <c r="X115" s="132"/>
      <c r="Y115" s="132" t="s">
        <v>1228</v>
      </c>
      <c r="Z115" s="132"/>
      <c r="AA115" s="132" t="s">
        <v>221</v>
      </c>
      <c r="AB115" s="132" t="s">
        <v>244</v>
      </c>
      <c r="AC115" s="132" t="s">
        <v>1037</v>
      </c>
      <c r="AD115" s="132" t="s">
        <v>1012</v>
      </c>
      <c r="AE115" s="132" t="s">
        <v>287</v>
      </c>
      <c r="AF115" s="132"/>
      <c r="AG115" s="133"/>
    </row>
    <row r="116" spans="1:33" x14ac:dyDescent="0.3">
      <c r="A116" s="90">
        <v>45100</v>
      </c>
      <c r="B116" s="131" t="s">
        <v>1116</v>
      </c>
      <c r="C116" s="132" t="s">
        <v>1227</v>
      </c>
      <c r="D116" s="132" t="s">
        <v>1011</v>
      </c>
      <c r="E116" s="132"/>
      <c r="F116" s="132" t="s">
        <v>250</v>
      </c>
      <c r="G116" s="132" t="s">
        <v>235</v>
      </c>
      <c r="H116" s="132" t="s">
        <v>224</v>
      </c>
      <c r="I116" s="132" t="s">
        <v>231</v>
      </c>
      <c r="J116" s="132" t="s">
        <v>1037</v>
      </c>
      <c r="K116" s="132" t="s">
        <v>1027</v>
      </c>
      <c r="L116" s="132" t="s">
        <v>339</v>
      </c>
      <c r="M116" s="132" t="s">
        <v>1009</v>
      </c>
      <c r="N116" s="132" t="s">
        <v>392</v>
      </c>
      <c r="O116" s="132" t="s">
        <v>286</v>
      </c>
      <c r="P116" s="132"/>
      <c r="Q116" s="133" t="s">
        <v>1230</v>
      </c>
      <c r="R116" s="131" t="s">
        <v>1116</v>
      </c>
      <c r="S116" s="132" t="s">
        <v>244</v>
      </c>
      <c r="T116" s="132" t="s">
        <v>1023</v>
      </c>
      <c r="U116" s="132" t="s">
        <v>221</v>
      </c>
      <c r="V116" s="132" t="s">
        <v>239</v>
      </c>
      <c r="W116" s="132" t="s">
        <v>274</v>
      </c>
      <c r="X116" s="132" t="s">
        <v>1007</v>
      </c>
      <c r="Y116" s="132" t="s">
        <v>1228</v>
      </c>
      <c r="Z116" s="132" t="s">
        <v>1031</v>
      </c>
      <c r="AA116" s="132" t="s">
        <v>1032</v>
      </c>
      <c r="AB116" s="132" t="s">
        <v>264</v>
      </c>
      <c r="AC116" s="132" t="s">
        <v>1043</v>
      </c>
      <c r="AD116" s="132" t="s">
        <v>1034</v>
      </c>
      <c r="AE116" s="132" t="s">
        <v>287</v>
      </c>
      <c r="AF116" s="132" t="s">
        <v>1012</v>
      </c>
      <c r="AG116" s="133" t="s">
        <v>325</v>
      </c>
    </row>
    <row r="117" spans="1:33" x14ac:dyDescent="0.3">
      <c r="A117" s="90">
        <v>45101</v>
      </c>
      <c r="B117" s="131" t="s">
        <v>1117</v>
      </c>
      <c r="C117" s="132" t="s">
        <v>1227</v>
      </c>
      <c r="D117" s="132" t="s">
        <v>1011</v>
      </c>
      <c r="E117" s="132" t="s">
        <v>1118</v>
      </c>
      <c r="F117" s="132" t="s">
        <v>250</v>
      </c>
      <c r="G117" s="132" t="s">
        <v>235</v>
      </c>
      <c r="H117" s="132" t="s">
        <v>224</v>
      </c>
      <c r="I117" s="132" t="s">
        <v>231</v>
      </c>
      <c r="J117" s="132" t="s">
        <v>1037</v>
      </c>
      <c r="K117" s="134" t="s">
        <v>1027</v>
      </c>
      <c r="L117" s="132" t="s">
        <v>339</v>
      </c>
      <c r="M117" s="132" t="s">
        <v>1009</v>
      </c>
      <c r="N117" s="132" t="s">
        <v>392</v>
      </c>
      <c r="O117" s="132" t="s">
        <v>286</v>
      </c>
      <c r="P117" s="132" t="s">
        <v>1119</v>
      </c>
      <c r="Q117" s="133" t="s">
        <v>1230</v>
      </c>
      <c r="R117" s="131" t="s">
        <v>1117</v>
      </c>
      <c r="S117" s="132" t="s">
        <v>244</v>
      </c>
      <c r="T117" s="132" t="s">
        <v>1023</v>
      </c>
      <c r="U117" s="132" t="s">
        <v>221</v>
      </c>
      <c r="V117" s="132" t="s">
        <v>239</v>
      </c>
      <c r="W117" s="132" t="s">
        <v>274</v>
      </c>
      <c r="X117" s="132" t="s">
        <v>1007</v>
      </c>
      <c r="Y117" s="132" t="s">
        <v>1228</v>
      </c>
      <c r="Z117" s="132" t="s">
        <v>1031</v>
      </c>
      <c r="AA117" s="134" t="s">
        <v>1032</v>
      </c>
      <c r="AB117" s="132" t="s">
        <v>264</v>
      </c>
      <c r="AC117" s="132" t="s">
        <v>1043</v>
      </c>
      <c r="AD117" s="132" t="s">
        <v>1034</v>
      </c>
      <c r="AE117" s="132" t="s">
        <v>287</v>
      </c>
      <c r="AF117" s="132" t="s">
        <v>1012</v>
      </c>
      <c r="AG117" s="133" t="s">
        <v>325</v>
      </c>
    </row>
    <row r="118" spans="1:33" ht="15" thickBot="1" x14ac:dyDescent="0.35">
      <c r="A118" s="90">
        <v>45102</v>
      </c>
      <c r="B118" s="135" t="s">
        <v>1120</v>
      </c>
      <c r="C118" s="136" t="s">
        <v>1227</v>
      </c>
      <c r="D118" s="136" t="s">
        <v>1011</v>
      </c>
      <c r="E118" s="136" t="s">
        <v>1118</v>
      </c>
      <c r="F118" s="136" t="s">
        <v>250</v>
      </c>
      <c r="G118" s="136" t="s">
        <v>235</v>
      </c>
      <c r="H118" s="136" t="s">
        <v>224</v>
      </c>
      <c r="I118" s="136" t="s">
        <v>231</v>
      </c>
      <c r="J118" s="136" t="s">
        <v>1037</v>
      </c>
      <c r="K118" s="136" t="s">
        <v>1027</v>
      </c>
      <c r="L118" s="136" t="s">
        <v>339</v>
      </c>
      <c r="M118" s="136" t="s">
        <v>1009</v>
      </c>
      <c r="N118" s="136" t="s">
        <v>392</v>
      </c>
      <c r="O118" s="136" t="s">
        <v>286</v>
      </c>
      <c r="P118" s="136" t="s">
        <v>1119</v>
      </c>
      <c r="Q118" s="137" t="s">
        <v>1230</v>
      </c>
      <c r="R118" s="135" t="s">
        <v>1120</v>
      </c>
      <c r="S118" s="136" t="s">
        <v>244</v>
      </c>
      <c r="T118" s="136" t="s">
        <v>1023</v>
      </c>
      <c r="U118" s="136" t="s">
        <v>221</v>
      </c>
      <c r="V118" s="136" t="s">
        <v>239</v>
      </c>
      <c r="W118" s="136" t="s">
        <v>274</v>
      </c>
      <c r="X118" s="136" t="s">
        <v>1007</v>
      </c>
      <c r="Y118" s="136" t="s">
        <v>1228</v>
      </c>
      <c r="Z118" s="136" t="s">
        <v>1031</v>
      </c>
      <c r="AA118" s="136" t="s">
        <v>1032</v>
      </c>
      <c r="AB118" s="136" t="s">
        <v>264</v>
      </c>
      <c r="AC118" s="136" t="s">
        <v>1043</v>
      </c>
      <c r="AD118" s="136" t="s">
        <v>1034</v>
      </c>
      <c r="AE118" s="136" t="s">
        <v>287</v>
      </c>
      <c r="AF118" s="136" t="s">
        <v>1012</v>
      </c>
      <c r="AG118" s="137" t="s">
        <v>325</v>
      </c>
    </row>
    <row r="119" spans="1:33" x14ac:dyDescent="0.3">
      <c r="A119" s="90" t="s">
        <v>3</v>
      </c>
      <c r="B119" s="6" t="s">
        <v>3</v>
      </c>
      <c r="C119" s="112" t="s">
        <v>286</v>
      </c>
      <c r="D119" s="112" t="s">
        <v>250</v>
      </c>
      <c r="E119" s="112" t="s">
        <v>248</v>
      </c>
      <c r="F119" s="112" t="s">
        <v>270</v>
      </c>
      <c r="G119" s="112" t="s">
        <v>266</v>
      </c>
      <c r="H119" s="112" t="s">
        <v>226</v>
      </c>
      <c r="I119" s="112" t="s">
        <v>246</v>
      </c>
      <c r="J119" s="112" t="s">
        <v>239</v>
      </c>
      <c r="K119" s="112" t="s">
        <v>339</v>
      </c>
      <c r="L119" s="112" t="s">
        <v>311</v>
      </c>
      <c r="M119" s="112" t="s">
        <v>231</v>
      </c>
      <c r="N119" s="112" t="s">
        <v>241</v>
      </c>
      <c r="O119" s="112" t="s">
        <v>268</v>
      </c>
      <c r="P119" s="112" t="s">
        <v>255</v>
      </c>
      <c r="Q119" s="113" t="s">
        <v>392</v>
      </c>
      <c r="R119" s="6" t="s">
        <v>1</v>
      </c>
      <c r="S119" s="112" t="s">
        <v>278</v>
      </c>
      <c r="T119" s="112" t="s">
        <v>221</v>
      </c>
      <c r="U119" s="112" t="s">
        <v>243</v>
      </c>
      <c r="V119" s="112" t="s">
        <v>251</v>
      </c>
      <c r="W119" s="112" t="s">
        <v>346</v>
      </c>
      <c r="X119" s="112" t="s">
        <v>224</v>
      </c>
      <c r="Y119" s="112" t="s">
        <v>287</v>
      </c>
      <c r="Z119" s="112" t="s">
        <v>235</v>
      </c>
      <c r="AA119" s="112" t="s">
        <v>274</v>
      </c>
      <c r="AB119" s="112" t="s">
        <v>222</v>
      </c>
      <c r="AC119" s="112" t="s">
        <v>325</v>
      </c>
      <c r="AD119" s="112" t="s">
        <v>244</v>
      </c>
      <c r="AE119" s="112" t="s">
        <v>228</v>
      </c>
      <c r="AF119" s="112" t="s">
        <v>264</v>
      </c>
      <c r="AG119" s="113" t="s">
        <v>234</v>
      </c>
    </row>
    <row r="120" spans="1:33" x14ac:dyDescent="0.3">
      <c r="A120" s="90"/>
      <c r="B120" s="120"/>
      <c r="C120" s="121">
        <v>6</v>
      </c>
      <c r="D120" s="121">
        <v>6</v>
      </c>
      <c r="E120" s="121">
        <v>6</v>
      </c>
      <c r="F120" s="121">
        <v>6</v>
      </c>
      <c r="G120" s="121">
        <v>6</v>
      </c>
      <c r="H120" s="121">
        <v>6</v>
      </c>
      <c r="I120" s="121">
        <v>6</v>
      </c>
      <c r="J120" s="121">
        <v>7</v>
      </c>
      <c r="K120" s="121">
        <v>7</v>
      </c>
      <c r="L120" s="121">
        <v>6</v>
      </c>
      <c r="M120" s="121">
        <v>6</v>
      </c>
      <c r="N120" s="121">
        <v>6</v>
      </c>
      <c r="O120" s="121">
        <v>6</v>
      </c>
      <c r="P120" s="121">
        <v>6</v>
      </c>
      <c r="Q120" s="122">
        <v>6</v>
      </c>
      <c r="R120" s="120"/>
      <c r="S120" s="121">
        <v>6</v>
      </c>
      <c r="T120" s="121">
        <v>6</v>
      </c>
      <c r="U120" s="121">
        <v>7</v>
      </c>
      <c r="V120" s="121">
        <v>6</v>
      </c>
      <c r="W120" s="121">
        <v>7</v>
      </c>
      <c r="X120" s="121">
        <v>6</v>
      </c>
      <c r="Y120" s="121">
        <v>6</v>
      </c>
      <c r="Z120" s="121">
        <v>7</v>
      </c>
      <c r="AA120" s="121">
        <v>6</v>
      </c>
      <c r="AB120" s="121">
        <v>6</v>
      </c>
      <c r="AC120" s="121">
        <v>6</v>
      </c>
      <c r="AD120" s="121">
        <v>6</v>
      </c>
      <c r="AE120" s="121">
        <v>6</v>
      </c>
      <c r="AF120" s="121">
        <v>7</v>
      </c>
      <c r="AG120" s="122">
        <v>6</v>
      </c>
    </row>
    <row r="121" spans="1:33" x14ac:dyDescent="0.3">
      <c r="A121" s="90">
        <v>45103</v>
      </c>
      <c r="B121" s="120" t="s">
        <v>1121</v>
      </c>
      <c r="C121" s="121"/>
      <c r="D121" s="121" t="s">
        <v>274</v>
      </c>
      <c r="E121" s="121"/>
      <c r="F121" s="121" t="s">
        <v>1034</v>
      </c>
      <c r="G121" s="121"/>
      <c r="H121" s="121"/>
      <c r="I121" s="121"/>
      <c r="J121" s="121" t="s">
        <v>1029</v>
      </c>
      <c r="K121" s="121" t="s">
        <v>239</v>
      </c>
      <c r="L121" s="121"/>
      <c r="M121" s="121"/>
      <c r="N121" s="121"/>
      <c r="O121" s="121"/>
      <c r="P121" s="121"/>
      <c r="Q121" s="122" t="s">
        <v>1015</v>
      </c>
      <c r="R121" s="120" t="s">
        <v>1121</v>
      </c>
      <c r="S121" s="121" t="s">
        <v>270</v>
      </c>
      <c r="T121" s="121"/>
      <c r="U121" s="121" t="s">
        <v>1038</v>
      </c>
      <c r="V121" s="121"/>
      <c r="W121" s="121" t="s">
        <v>1010</v>
      </c>
      <c r="X121" s="121"/>
      <c r="Y121" s="121"/>
      <c r="Z121" s="121" t="s">
        <v>243</v>
      </c>
      <c r="AA121" s="121" t="s">
        <v>1030</v>
      </c>
      <c r="AB121" s="121"/>
      <c r="AC121" s="121"/>
      <c r="AD121" s="121" t="s">
        <v>392</v>
      </c>
      <c r="AE121" s="121"/>
      <c r="AF121" s="121" t="s">
        <v>346</v>
      </c>
      <c r="AG121" s="122"/>
    </row>
    <row r="122" spans="1:33" x14ac:dyDescent="0.3">
      <c r="A122" s="90">
        <v>45104</v>
      </c>
      <c r="B122" s="120" t="s">
        <v>1122</v>
      </c>
      <c r="C122" s="121" t="s">
        <v>228</v>
      </c>
      <c r="D122" s="121" t="s">
        <v>274</v>
      </c>
      <c r="E122" s="121" t="s">
        <v>311</v>
      </c>
      <c r="F122" s="121" t="s">
        <v>1034</v>
      </c>
      <c r="G122" s="121" t="s">
        <v>226</v>
      </c>
      <c r="H122" s="121" t="s">
        <v>1031</v>
      </c>
      <c r="I122" s="121" t="s">
        <v>1013</v>
      </c>
      <c r="J122" s="121" t="s">
        <v>1029</v>
      </c>
      <c r="K122" s="121" t="s">
        <v>239</v>
      </c>
      <c r="L122" s="121" t="s">
        <v>1008</v>
      </c>
      <c r="M122" s="121" t="s">
        <v>241</v>
      </c>
      <c r="N122" s="121" t="s">
        <v>1036</v>
      </c>
      <c r="O122" s="121" t="s">
        <v>1043</v>
      </c>
      <c r="P122" s="123" t="s">
        <v>224</v>
      </c>
      <c r="Q122" s="124" t="s">
        <v>1015</v>
      </c>
      <c r="R122" s="120" t="s">
        <v>1122</v>
      </c>
      <c r="S122" s="121" t="s">
        <v>270</v>
      </c>
      <c r="T122" s="121" t="s">
        <v>246</v>
      </c>
      <c r="U122" s="121" t="s">
        <v>1038</v>
      </c>
      <c r="V122" s="121" t="s">
        <v>1229</v>
      </c>
      <c r="W122" s="121" t="s">
        <v>1010</v>
      </c>
      <c r="X122" s="121" t="s">
        <v>1017</v>
      </c>
      <c r="Y122" s="121" t="s">
        <v>251</v>
      </c>
      <c r="Z122" s="121" t="s">
        <v>243</v>
      </c>
      <c r="AA122" s="121" t="s">
        <v>1030</v>
      </c>
      <c r="AB122" s="121" t="s">
        <v>1016</v>
      </c>
      <c r="AC122" s="121" t="s">
        <v>222</v>
      </c>
      <c r="AD122" s="121" t="s">
        <v>392</v>
      </c>
      <c r="AE122" s="121" t="s">
        <v>1028</v>
      </c>
      <c r="AF122" s="123" t="s">
        <v>346</v>
      </c>
      <c r="AG122" s="124" t="s">
        <v>268</v>
      </c>
    </row>
    <row r="123" spans="1:33" x14ac:dyDescent="0.3">
      <c r="A123" s="90">
        <v>45105</v>
      </c>
      <c r="B123" s="120" t="s">
        <v>1123</v>
      </c>
      <c r="C123" s="121" t="s">
        <v>228</v>
      </c>
      <c r="D123" s="121" t="s">
        <v>274</v>
      </c>
      <c r="E123" s="121" t="s">
        <v>311</v>
      </c>
      <c r="F123" s="121" t="s">
        <v>1034</v>
      </c>
      <c r="G123" s="121" t="s">
        <v>226</v>
      </c>
      <c r="H123" s="121" t="s">
        <v>1031</v>
      </c>
      <c r="I123" s="121" t="s">
        <v>1013</v>
      </c>
      <c r="J123" s="121" t="s">
        <v>1029</v>
      </c>
      <c r="K123" s="121" t="s">
        <v>239</v>
      </c>
      <c r="L123" s="121" t="s">
        <v>1008</v>
      </c>
      <c r="M123" s="121" t="s">
        <v>241</v>
      </c>
      <c r="N123" s="121" t="s">
        <v>1036</v>
      </c>
      <c r="O123" s="121" t="s">
        <v>1043</v>
      </c>
      <c r="P123" s="123" t="s">
        <v>224</v>
      </c>
      <c r="Q123" s="124" t="s">
        <v>1015</v>
      </c>
      <c r="R123" s="120" t="s">
        <v>1123</v>
      </c>
      <c r="S123" s="121" t="s">
        <v>270</v>
      </c>
      <c r="T123" s="121" t="s">
        <v>246</v>
      </c>
      <c r="U123" s="121" t="s">
        <v>1038</v>
      </c>
      <c r="V123" s="121" t="s">
        <v>1229</v>
      </c>
      <c r="W123" s="121" t="s">
        <v>1010</v>
      </c>
      <c r="X123" s="121" t="s">
        <v>1017</v>
      </c>
      <c r="Y123" s="121" t="s">
        <v>251</v>
      </c>
      <c r="Z123" s="121" t="s">
        <v>243</v>
      </c>
      <c r="AA123" s="121" t="s">
        <v>1030</v>
      </c>
      <c r="AB123" s="121" t="s">
        <v>1016</v>
      </c>
      <c r="AC123" s="121" t="s">
        <v>222</v>
      </c>
      <c r="AD123" s="121" t="s">
        <v>392</v>
      </c>
      <c r="AE123" s="121" t="s">
        <v>1028</v>
      </c>
      <c r="AF123" s="123" t="s">
        <v>346</v>
      </c>
      <c r="AG123" s="124" t="s">
        <v>268</v>
      </c>
    </row>
    <row r="124" spans="1:33" x14ac:dyDescent="0.3">
      <c r="A124" s="90">
        <v>45106</v>
      </c>
      <c r="B124" s="120" t="s">
        <v>1124</v>
      </c>
      <c r="C124" s="121" t="s">
        <v>228</v>
      </c>
      <c r="D124" s="121"/>
      <c r="E124" s="121" t="s">
        <v>311</v>
      </c>
      <c r="F124" s="121"/>
      <c r="G124" s="121" t="s">
        <v>226</v>
      </c>
      <c r="H124" s="121" t="s">
        <v>1031</v>
      </c>
      <c r="I124" s="121" t="s">
        <v>1013</v>
      </c>
      <c r="J124" s="121" t="s">
        <v>1029</v>
      </c>
      <c r="K124" s="121" t="s">
        <v>239</v>
      </c>
      <c r="L124" s="121" t="s">
        <v>1008</v>
      </c>
      <c r="M124" s="121" t="s">
        <v>241</v>
      </c>
      <c r="N124" s="121" t="s">
        <v>1036</v>
      </c>
      <c r="O124" s="121" t="s">
        <v>1043</v>
      </c>
      <c r="P124" s="123" t="s">
        <v>224</v>
      </c>
      <c r="Q124" s="124"/>
      <c r="R124" s="120" t="s">
        <v>1124</v>
      </c>
      <c r="S124" s="121"/>
      <c r="T124" s="121" t="s">
        <v>246</v>
      </c>
      <c r="U124" s="121" t="s">
        <v>1038</v>
      </c>
      <c r="V124" s="121" t="s">
        <v>1229</v>
      </c>
      <c r="W124" s="121" t="s">
        <v>1010</v>
      </c>
      <c r="X124" s="121" t="s">
        <v>1017</v>
      </c>
      <c r="Y124" s="121" t="s">
        <v>251</v>
      </c>
      <c r="Z124" s="121" t="s">
        <v>243</v>
      </c>
      <c r="AA124" s="121"/>
      <c r="AB124" s="121" t="s">
        <v>1016</v>
      </c>
      <c r="AC124" s="121" t="s">
        <v>222</v>
      </c>
      <c r="AD124" s="121"/>
      <c r="AE124" s="121" t="s">
        <v>1028</v>
      </c>
      <c r="AF124" s="123" t="s">
        <v>346</v>
      </c>
      <c r="AG124" s="124" t="s">
        <v>268</v>
      </c>
    </row>
    <row r="125" spans="1:33" x14ac:dyDescent="0.3">
      <c r="A125" s="90">
        <v>45107</v>
      </c>
      <c r="B125" s="120" t="s">
        <v>1125</v>
      </c>
      <c r="C125" s="121" t="s">
        <v>1038</v>
      </c>
      <c r="D125" s="121" t="s">
        <v>246</v>
      </c>
      <c r="E125" s="121" t="s">
        <v>251</v>
      </c>
      <c r="F125" s="121" t="s">
        <v>241</v>
      </c>
      <c r="G125" s="121" t="s">
        <v>346</v>
      </c>
      <c r="H125" s="121" t="s">
        <v>1229</v>
      </c>
      <c r="I125" s="121" t="s">
        <v>1030</v>
      </c>
      <c r="J125" s="121" t="s">
        <v>1036</v>
      </c>
      <c r="K125" s="121" t="s">
        <v>268</v>
      </c>
      <c r="L125" s="121" t="s">
        <v>392</v>
      </c>
      <c r="M125" s="121" t="s">
        <v>239</v>
      </c>
      <c r="N125" s="121" t="s">
        <v>1011</v>
      </c>
      <c r="O125" s="121" t="s">
        <v>1029</v>
      </c>
      <c r="P125" s="123" t="s">
        <v>222</v>
      </c>
      <c r="Q125" s="124" t="s">
        <v>1027</v>
      </c>
      <c r="R125" s="120" t="s">
        <v>1125</v>
      </c>
      <c r="S125" s="121" t="s">
        <v>274</v>
      </c>
      <c r="T125" s="121" t="s">
        <v>1043</v>
      </c>
      <c r="U125" s="121" t="s">
        <v>1016</v>
      </c>
      <c r="V125" s="121" t="s">
        <v>1008</v>
      </c>
      <c r="W125" s="121" t="s">
        <v>1031</v>
      </c>
      <c r="X125" s="121" t="s">
        <v>1010</v>
      </c>
      <c r="Y125" s="121" t="s">
        <v>226</v>
      </c>
      <c r="Z125" s="121" t="s">
        <v>286</v>
      </c>
      <c r="AA125" s="121" t="s">
        <v>1034</v>
      </c>
      <c r="AB125" s="121" t="s">
        <v>1017</v>
      </c>
      <c r="AC125" s="121" t="s">
        <v>243</v>
      </c>
      <c r="AD125" s="121" t="s">
        <v>228</v>
      </c>
      <c r="AE125" s="121" t="s">
        <v>1015</v>
      </c>
      <c r="AF125" s="123" t="s">
        <v>224</v>
      </c>
      <c r="AG125" s="124" t="s">
        <v>221</v>
      </c>
    </row>
    <row r="126" spans="1:33" x14ac:dyDescent="0.3">
      <c r="A126" s="90">
        <v>45108</v>
      </c>
      <c r="B126" s="120" t="s">
        <v>1126</v>
      </c>
      <c r="C126" s="121" t="s">
        <v>1038</v>
      </c>
      <c r="D126" s="121" t="s">
        <v>246</v>
      </c>
      <c r="E126" s="121" t="s">
        <v>251</v>
      </c>
      <c r="F126" s="121" t="s">
        <v>241</v>
      </c>
      <c r="G126" s="121" t="s">
        <v>346</v>
      </c>
      <c r="H126" s="121" t="s">
        <v>1229</v>
      </c>
      <c r="I126" s="121" t="s">
        <v>1030</v>
      </c>
      <c r="J126" s="121" t="s">
        <v>1036</v>
      </c>
      <c r="K126" s="121" t="s">
        <v>268</v>
      </c>
      <c r="L126" s="121" t="s">
        <v>392</v>
      </c>
      <c r="M126" s="121" t="s">
        <v>239</v>
      </c>
      <c r="N126" s="121" t="s">
        <v>1011</v>
      </c>
      <c r="O126" s="121" t="s">
        <v>1029</v>
      </c>
      <c r="P126" s="123" t="s">
        <v>222</v>
      </c>
      <c r="Q126" s="124" t="s">
        <v>1027</v>
      </c>
      <c r="R126" s="120" t="s">
        <v>1126</v>
      </c>
      <c r="S126" s="121" t="s">
        <v>274</v>
      </c>
      <c r="T126" s="121" t="s">
        <v>1043</v>
      </c>
      <c r="U126" s="121" t="s">
        <v>1016</v>
      </c>
      <c r="V126" s="121" t="s">
        <v>1008</v>
      </c>
      <c r="W126" s="121" t="s">
        <v>1031</v>
      </c>
      <c r="X126" s="121" t="s">
        <v>1010</v>
      </c>
      <c r="Y126" s="121" t="s">
        <v>226</v>
      </c>
      <c r="Z126" s="121" t="s">
        <v>286</v>
      </c>
      <c r="AA126" s="121" t="s">
        <v>1034</v>
      </c>
      <c r="AB126" s="121" t="s">
        <v>1017</v>
      </c>
      <c r="AC126" s="121" t="s">
        <v>243</v>
      </c>
      <c r="AD126" s="121" t="s">
        <v>228</v>
      </c>
      <c r="AE126" s="121" t="s">
        <v>1015</v>
      </c>
      <c r="AF126" s="123" t="s">
        <v>224</v>
      </c>
      <c r="AG126" s="124" t="s">
        <v>221</v>
      </c>
    </row>
    <row r="127" spans="1:33" ht="15" thickBot="1" x14ac:dyDescent="0.35">
      <c r="A127" s="90">
        <v>45109</v>
      </c>
      <c r="B127" s="127" t="s">
        <v>1127</v>
      </c>
      <c r="C127" s="128" t="s">
        <v>1038</v>
      </c>
      <c r="D127" s="128" t="s">
        <v>246</v>
      </c>
      <c r="E127" s="128" t="s">
        <v>251</v>
      </c>
      <c r="F127" s="128" t="s">
        <v>241</v>
      </c>
      <c r="G127" s="128" t="s">
        <v>346</v>
      </c>
      <c r="H127" s="128" t="s">
        <v>1229</v>
      </c>
      <c r="I127" s="128" t="s">
        <v>1030</v>
      </c>
      <c r="J127" s="128" t="s">
        <v>1036</v>
      </c>
      <c r="K127" s="128" t="s">
        <v>268</v>
      </c>
      <c r="L127" s="128" t="s">
        <v>392</v>
      </c>
      <c r="M127" s="128" t="s">
        <v>239</v>
      </c>
      <c r="N127" s="128" t="s">
        <v>1011</v>
      </c>
      <c r="O127" s="128" t="s">
        <v>1029</v>
      </c>
      <c r="P127" s="129" t="s">
        <v>222</v>
      </c>
      <c r="Q127" s="130" t="s">
        <v>1027</v>
      </c>
      <c r="R127" s="127" t="s">
        <v>1127</v>
      </c>
      <c r="S127" s="128" t="s">
        <v>274</v>
      </c>
      <c r="T127" s="128" t="s">
        <v>1043</v>
      </c>
      <c r="U127" s="128" t="s">
        <v>1016</v>
      </c>
      <c r="V127" s="128" t="s">
        <v>1008</v>
      </c>
      <c r="W127" s="128" t="s">
        <v>1031</v>
      </c>
      <c r="X127" s="128" t="s">
        <v>1010</v>
      </c>
      <c r="Y127" s="128" t="s">
        <v>226</v>
      </c>
      <c r="Z127" s="128" t="s">
        <v>286</v>
      </c>
      <c r="AA127" s="128" t="s">
        <v>1034</v>
      </c>
      <c r="AB127" s="128" t="s">
        <v>1017</v>
      </c>
      <c r="AC127" s="128" t="s">
        <v>243</v>
      </c>
      <c r="AD127" s="128" t="s">
        <v>228</v>
      </c>
      <c r="AE127" s="128" t="s">
        <v>1015</v>
      </c>
      <c r="AF127" s="129" t="s">
        <v>224</v>
      </c>
      <c r="AG127" s="130" t="s">
        <v>221</v>
      </c>
    </row>
    <row r="128" spans="1:33" x14ac:dyDescent="0.3">
      <c r="A128" s="90" t="s">
        <v>3</v>
      </c>
      <c r="B128" s="6" t="s">
        <v>3</v>
      </c>
      <c r="C128" s="112" t="s">
        <v>286</v>
      </c>
      <c r="D128" s="112" t="s">
        <v>250</v>
      </c>
      <c r="E128" s="112" t="s">
        <v>248</v>
      </c>
      <c r="F128" s="112" t="s">
        <v>270</v>
      </c>
      <c r="G128" s="112" t="s">
        <v>266</v>
      </c>
      <c r="H128" s="112" t="s">
        <v>226</v>
      </c>
      <c r="I128" s="112" t="s">
        <v>246</v>
      </c>
      <c r="J128" s="112" t="s">
        <v>239</v>
      </c>
      <c r="K128" s="112" t="s">
        <v>339</v>
      </c>
      <c r="L128" s="112" t="s">
        <v>311</v>
      </c>
      <c r="M128" s="112" t="s">
        <v>231</v>
      </c>
      <c r="N128" s="112" t="s">
        <v>241</v>
      </c>
      <c r="O128" s="112" t="s">
        <v>268</v>
      </c>
      <c r="P128" s="112" t="s">
        <v>255</v>
      </c>
      <c r="Q128" s="113" t="s">
        <v>392</v>
      </c>
      <c r="R128" s="6" t="s">
        <v>1</v>
      </c>
      <c r="S128" s="112" t="s">
        <v>278</v>
      </c>
      <c r="T128" s="112" t="s">
        <v>221</v>
      </c>
      <c r="U128" s="112" t="s">
        <v>243</v>
      </c>
      <c r="V128" s="112" t="s">
        <v>251</v>
      </c>
      <c r="W128" s="112" t="s">
        <v>346</v>
      </c>
      <c r="X128" s="112" t="s">
        <v>224</v>
      </c>
      <c r="Y128" s="112" t="s">
        <v>287</v>
      </c>
      <c r="Z128" s="112" t="s">
        <v>235</v>
      </c>
      <c r="AA128" s="112" t="s">
        <v>274</v>
      </c>
      <c r="AB128" s="112" t="s">
        <v>222</v>
      </c>
      <c r="AC128" s="112" t="s">
        <v>325</v>
      </c>
      <c r="AD128" s="112" t="s">
        <v>244</v>
      </c>
      <c r="AE128" s="112" t="s">
        <v>228</v>
      </c>
      <c r="AF128" s="112" t="s">
        <v>264</v>
      </c>
      <c r="AG128" s="113" t="s">
        <v>234</v>
      </c>
    </row>
    <row r="129" spans="1:33" x14ac:dyDescent="0.3">
      <c r="A129" s="90"/>
      <c r="B129" s="114"/>
      <c r="C129" s="115">
        <v>6</v>
      </c>
      <c r="D129" s="115">
        <v>6</v>
      </c>
      <c r="E129" s="115">
        <v>7</v>
      </c>
      <c r="F129" s="115">
        <v>7</v>
      </c>
      <c r="G129" s="115">
        <v>5</v>
      </c>
      <c r="H129" s="115">
        <v>6</v>
      </c>
      <c r="I129" s="115">
        <v>7</v>
      </c>
      <c r="J129" s="115">
        <v>7</v>
      </c>
      <c r="K129" s="115">
        <v>6</v>
      </c>
      <c r="L129" s="115">
        <v>6</v>
      </c>
      <c r="M129" s="115">
        <v>7</v>
      </c>
      <c r="N129" s="115">
        <v>6</v>
      </c>
      <c r="O129" s="115">
        <v>6</v>
      </c>
      <c r="P129" s="115">
        <v>7</v>
      </c>
      <c r="Q129" s="116">
        <v>7</v>
      </c>
      <c r="R129" s="114"/>
      <c r="S129" s="115">
        <v>7</v>
      </c>
      <c r="T129" s="115">
        <v>6</v>
      </c>
      <c r="U129" s="115">
        <v>6</v>
      </c>
      <c r="V129" s="115">
        <v>7</v>
      </c>
      <c r="W129" s="115">
        <v>6</v>
      </c>
      <c r="X129" s="115">
        <v>7</v>
      </c>
      <c r="Y129" s="115">
        <v>7</v>
      </c>
      <c r="Z129" s="115">
        <v>5</v>
      </c>
      <c r="AA129" s="115">
        <v>6</v>
      </c>
      <c r="AB129" s="115">
        <v>7</v>
      </c>
      <c r="AC129" s="115">
        <v>6</v>
      </c>
      <c r="AD129" s="115">
        <v>7</v>
      </c>
      <c r="AE129" s="115">
        <v>6</v>
      </c>
      <c r="AF129" s="115">
        <v>7</v>
      </c>
      <c r="AG129" s="116">
        <v>6</v>
      </c>
    </row>
    <row r="130" spans="1:33" x14ac:dyDescent="0.3">
      <c r="A130" s="90">
        <v>45110</v>
      </c>
      <c r="B130" s="131" t="s">
        <v>1128</v>
      </c>
      <c r="C130" s="132"/>
      <c r="D130" s="132" t="s">
        <v>1037</v>
      </c>
      <c r="E130" s="132" t="s">
        <v>1022</v>
      </c>
      <c r="F130" s="132" t="s">
        <v>1232</v>
      </c>
      <c r="G130" s="132"/>
      <c r="H130" s="132" t="s">
        <v>231</v>
      </c>
      <c r="I130" s="132" t="s">
        <v>255</v>
      </c>
      <c r="J130" s="132" t="s">
        <v>248</v>
      </c>
      <c r="K130" s="132"/>
      <c r="L130" s="132"/>
      <c r="M130" s="132" t="s">
        <v>1007</v>
      </c>
      <c r="N130" s="132" t="s">
        <v>235</v>
      </c>
      <c r="O130" s="132" t="s">
        <v>244</v>
      </c>
      <c r="P130" s="132" t="s">
        <v>1009</v>
      </c>
      <c r="Q130" s="133" t="s">
        <v>270</v>
      </c>
      <c r="R130" s="131" t="s">
        <v>1128</v>
      </c>
      <c r="S130" s="132" t="s">
        <v>1012</v>
      </c>
      <c r="T130" s="132"/>
      <c r="U130" s="132"/>
      <c r="V130" s="132" t="s">
        <v>250</v>
      </c>
      <c r="W130" s="132"/>
      <c r="X130" s="132" t="s">
        <v>1010</v>
      </c>
      <c r="Y130" s="132" t="s">
        <v>1033</v>
      </c>
      <c r="Z130" s="132" t="s">
        <v>1230</v>
      </c>
      <c r="AA130" s="132" t="s">
        <v>287</v>
      </c>
      <c r="AB130" s="132" t="s">
        <v>278</v>
      </c>
      <c r="AC130" s="132"/>
      <c r="AD130" s="132" t="s">
        <v>1227</v>
      </c>
      <c r="AE130" s="132"/>
      <c r="AF130" s="132" t="s">
        <v>224</v>
      </c>
      <c r="AG130" s="133"/>
    </row>
    <row r="131" spans="1:33" x14ac:dyDescent="0.3">
      <c r="A131" s="90">
        <v>45111</v>
      </c>
      <c r="B131" s="131" t="s">
        <v>1129</v>
      </c>
      <c r="C131" s="132" t="s">
        <v>339</v>
      </c>
      <c r="D131" s="132" t="s">
        <v>1037</v>
      </c>
      <c r="E131" s="132" t="s">
        <v>1022</v>
      </c>
      <c r="F131" s="132" t="s">
        <v>1232</v>
      </c>
      <c r="G131" s="132" t="s">
        <v>1014</v>
      </c>
      <c r="H131" s="132" t="s">
        <v>231</v>
      </c>
      <c r="I131" s="132" t="s">
        <v>255</v>
      </c>
      <c r="J131" s="132" t="s">
        <v>248</v>
      </c>
      <c r="K131" s="132" t="s">
        <v>1028</v>
      </c>
      <c r="L131" s="132" t="s">
        <v>1228</v>
      </c>
      <c r="M131" s="132" t="s">
        <v>1007</v>
      </c>
      <c r="N131" s="132" t="s">
        <v>235</v>
      </c>
      <c r="O131" s="132" t="s">
        <v>244</v>
      </c>
      <c r="P131" s="132" t="s">
        <v>1009</v>
      </c>
      <c r="Q131" s="133" t="s">
        <v>270</v>
      </c>
      <c r="R131" s="131" t="s">
        <v>1129</v>
      </c>
      <c r="S131" s="132" t="s">
        <v>1012</v>
      </c>
      <c r="T131" s="132" t="s">
        <v>264</v>
      </c>
      <c r="U131" s="132" t="s">
        <v>234</v>
      </c>
      <c r="V131" s="132" t="s">
        <v>250</v>
      </c>
      <c r="W131" s="132" t="s">
        <v>325</v>
      </c>
      <c r="X131" s="132" t="s">
        <v>266</v>
      </c>
      <c r="Y131" s="132" t="s">
        <v>1033</v>
      </c>
      <c r="Z131" s="132" t="s">
        <v>1230</v>
      </c>
      <c r="AA131" s="132" t="s">
        <v>287</v>
      </c>
      <c r="AB131" s="132" t="s">
        <v>278</v>
      </c>
      <c r="AC131" s="132" t="s">
        <v>1032</v>
      </c>
      <c r="AD131" s="132" t="s">
        <v>1227</v>
      </c>
      <c r="AE131" s="132" t="s">
        <v>311</v>
      </c>
      <c r="AF131" s="132" t="s">
        <v>1013</v>
      </c>
      <c r="AG131" s="133" t="s">
        <v>1023</v>
      </c>
    </row>
    <row r="132" spans="1:33" x14ac:dyDescent="0.3">
      <c r="A132" s="90">
        <v>45112</v>
      </c>
      <c r="B132" s="131" t="s">
        <v>1130</v>
      </c>
      <c r="C132" s="132" t="s">
        <v>339</v>
      </c>
      <c r="D132" s="132" t="s">
        <v>1037</v>
      </c>
      <c r="E132" s="132" t="s">
        <v>1022</v>
      </c>
      <c r="F132" s="132" t="s">
        <v>1232</v>
      </c>
      <c r="G132" s="132" t="s">
        <v>1014</v>
      </c>
      <c r="H132" s="132" t="s">
        <v>231</v>
      </c>
      <c r="I132" s="132" t="s">
        <v>255</v>
      </c>
      <c r="J132" s="132" t="s">
        <v>248</v>
      </c>
      <c r="K132" s="132" t="s">
        <v>1028</v>
      </c>
      <c r="L132" s="132" t="s">
        <v>1228</v>
      </c>
      <c r="M132" s="132" t="s">
        <v>1007</v>
      </c>
      <c r="N132" s="132" t="s">
        <v>235</v>
      </c>
      <c r="O132" s="132" t="s">
        <v>244</v>
      </c>
      <c r="P132" s="132" t="s">
        <v>1009</v>
      </c>
      <c r="Q132" s="133" t="s">
        <v>270</v>
      </c>
      <c r="R132" s="131" t="s">
        <v>1130</v>
      </c>
      <c r="S132" s="132" t="s">
        <v>1012</v>
      </c>
      <c r="T132" s="132" t="s">
        <v>264</v>
      </c>
      <c r="U132" s="132" t="s">
        <v>234</v>
      </c>
      <c r="V132" s="132" t="s">
        <v>250</v>
      </c>
      <c r="W132" s="132" t="s">
        <v>325</v>
      </c>
      <c r="X132" s="132" t="s">
        <v>266</v>
      </c>
      <c r="Y132" s="132" t="s">
        <v>1033</v>
      </c>
      <c r="Z132" s="132" t="s">
        <v>1230</v>
      </c>
      <c r="AA132" s="132" t="s">
        <v>287</v>
      </c>
      <c r="AB132" s="132" t="s">
        <v>278</v>
      </c>
      <c r="AC132" s="132" t="s">
        <v>1032</v>
      </c>
      <c r="AD132" s="132" t="s">
        <v>1227</v>
      </c>
      <c r="AE132" s="132" t="s">
        <v>311</v>
      </c>
      <c r="AF132" s="132" t="s">
        <v>1013</v>
      </c>
      <c r="AG132" s="133" t="s">
        <v>1023</v>
      </c>
    </row>
    <row r="133" spans="1:33" x14ac:dyDescent="0.3">
      <c r="A133" s="90">
        <v>45113</v>
      </c>
      <c r="B133" s="131" t="s">
        <v>1131</v>
      </c>
      <c r="C133" s="132" t="s">
        <v>339</v>
      </c>
      <c r="D133" s="132"/>
      <c r="E133" s="132" t="s">
        <v>1022</v>
      </c>
      <c r="F133" s="134" t="s">
        <v>1232</v>
      </c>
      <c r="G133" s="132"/>
      <c r="H133" s="132" t="s">
        <v>231</v>
      </c>
      <c r="I133" s="132" t="s">
        <v>255</v>
      </c>
      <c r="J133" s="132" t="s">
        <v>248</v>
      </c>
      <c r="K133" s="132" t="s">
        <v>1028</v>
      </c>
      <c r="L133" s="132" t="s">
        <v>1228</v>
      </c>
      <c r="M133" s="132" t="s">
        <v>1007</v>
      </c>
      <c r="N133" s="132"/>
      <c r="O133" s="132"/>
      <c r="P133" s="132" t="s">
        <v>1009</v>
      </c>
      <c r="Q133" s="133" t="s">
        <v>270</v>
      </c>
      <c r="R133" s="131" t="s">
        <v>1131</v>
      </c>
      <c r="S133" s="132" t="s">
        <v>1012</v>
      </c>
      <c r="T133" s="132" t="s">
        <v>264</v>
      </c>
      <c r="U133" s="132" t="s">
        <v>234</v>
      </c>
      <c r="V133" s="134" t="s">
        <v>287</v>
      </c>
      <c r="W133" s="132" t="s">
        <v>325</v>
      </c>
      <c r="X133" s="132" t="s">
        <v>244</v>
      </c>
      <c r="Y133" s="132" t="s">
        <v>1037</v>
      </c>
      <c r="Z133" s="132"/>
      <c r="AA133" s="132"/>
      <c r="AB133" s="132" t="s">
        <v>278</v>
      </c>
      <c r="AC133" s="132" t="s">
        <v>1032</v>
      </c>
      <c r="AD133" s="132" t="s">
        <v>1014</v>
      </c>
      <c r="AE133" s="132" t="s">
        <v>311</v>
      </c>
      <c r="AF133" s="132" t="s">
        <v>1013</v>
      </c>
      <c r="AG133" s="133" t="s">
        <v>1023</v>
      </c>
    </row>
    <row r="134" spans="1:33" x14ac:dyDescent="0.3">
      <c r="A134" s="90">
        <v>45114</v>
      </c>
      <c r="B134" s="131" t="s">
        <v>1132</v>
      </c>
      <c r="C134" s="132" t="s">
        <v>231</v>
      </c>
      <c r="D134" s="132" t="s">
        <v>1228</v>
      </c>
      <c r="E134" s="132" t="s">
        <v>1012</v>
      </c>
      <c r="F134" s="132" t="s">
        <v>1022</v>
      </c>
      <c r="G134" s="132" t="s">
        <v>1227</v>
      </c>
      <c r="H134" s="132" t="s">
        <v>235</v>
      </c>
      <c r="I134" s="132" t="s">
        <v>311</v>
      </c>
      <c r="J134" s="132" t="s">
        <v>270</v>
      </c>
      <c r="K134" s="132" t="s">
        <v>1230</v>
      </c>
      <c r="L134" s="132" t="s">
        <v>1009</v>
      </c>
      <c r="M134" s="132" t="s">
        <v>1028</v>
      </c>
      <c r="N134" s="132" t="s">
        <v>339</v>
      </c>
      <c r="O134" s="132" t="s">
        <v>266</v>
      </c>
      <c r="P134" s="132" t="s">
        <v>1023</v>
      </c>
      <c r="Q134" s="133" t="s">
        <v>264</v>
      </c>
      <c r="R134" s="131" t="s">
        <v>1132</v>
      </c>
      <c r="S134" s="132" t="s">
        <v>1033</v>
      </c>
      <c r="T134" s="132" t="s">
        <v>325</v>
      </c>
      <c r="U134" s="132" t="s">
        <v>255</v>
      </c>
      <c r="V134" s="132" t="s">
        <v>287</v>
      </c>
      <c r="W134" s="132" t="s">
        <v>234</v>
      </c>
      <c r="X134" s="132" t="s">
        <v>244</v>
      </c>
      <c r="Y134" s="132" t="s">
        <v>1037</v>
      </c>
      <c r="Z134" s="132" t="s">
        <v>1007</v>
      </c>
      <c r="AA134" s="132" t="s">
        <v>278</v>
      </c>
      <c r="AB134" s="132" t="s">
        <v>248</v>
      </c>
      <c r="AC134" s="132" t="s">
        <v>1013</v>
      </c>
      <c r="AD134" s="132" t="s">
        <v>1014</v>
      </c>
      <c r="AE134" s="132" t="s">
        <v>250</v>
      </c>
      <c r="AF134" s="132" t="s">
        <v>1232</v>
      </c>
      <c r="AG134" s="133" t="s">
        <v>1032</v>
      </c>
    </row>
    <row r="135" spans="1:33" x14ac:dyDescent="0.3">
      <c r="A135" s="90">
        <v>45115</v>
      </c>
      <c r="B135" s="131" t="s">
        <v>1133</v>
      </c>
      <c r="C135" s="132" t="s">
        <v>231</v>
      </c>
      <c r="D135" s="132" t="s">
        <v>1228</v>
      </c>
      <c r="E135" s="132" t="s">
        <v>1012</v>
      </c>
      <c r="F135" s="132" t="s">
        <v>1022</v>
      </c>
      <c r="G135" s="132" t="s">
        <v>1227</v>
      </c>
      <c r="H135" s="132" t="s">
        <v>235</v>
      </c>
      <c r="I135" s="132" t="s">
        <v>311</v>
      </c>
      <c r="J135" s="132" t="s">
        <v>270</v>
      </c>
      <c r="K135" s="134" t="s">
        <v>1230</v>
      </c>
      <c r="L135" s="132" t="s">
        <v>1009</v>
      </c>
      <c r="M135" s="132" t="s">
        <v>1028</v>
      </c>
      <c r="N135" s="132" t="s">
        <v>339</v>
      </c>
      <c r="O135" s="132" t="s">
        <v>266</v>
      </c>
      <c r="P135" s="132" t="s">
        <v>1023</v>
      </c>
      <c r="Q135" s="133" t="s">
        <v>264</v>
      </c>
      <c r="R135" s="131" t="s">
        <v>1133</v>
      </c>
      <c r="S135" s="132" t="s">
        <v>1033</v>
      </c>
      <c r="T135" s="132" t="s">
        <v>325</v>
      </c>
      <c r="U135" s="132" t="s">
        <v>255</v>
      </c>
      <c r="V135" s="132" t="s">
        <v>287</v>
      </c>
      <c r="W135" s="132" t="s">
        <v>234</v>
      </c>
      <c r="X135" s="132" t="s">
        <v>244</v>
      </c>
      <c r="Y135" s="132" t="s">
        <v>1037</v>
      </c>
      <c r="Z135" s="132" t="s">
        <v>1007</v>
      </c>
      <c r="AA135" s="134" t="s">
        <v>278</v>
      </c>
      <c r="AB135" s="132" t="s">
        <v>248</v>
      </c>
      <c r="AC135" s="132" t="s">
        <v>1013</v>
      </c>
      <c r="AD135" s="132" t="s">
        <v>1014</v>
      </c>
      <c r="AE135" s="132" t="s">
        <v>250</v>
      </c>
      <c r="AF135" s="132" t="s">
        <v>1232</v>
      </c>
      <c r="AG135" s="133" t="s">
        <v>1032</v>
      </c>
    </row>
    <row r="136" spans="1:33" ht="15" thickBot="1" x14ac:dyDescent="0.35">
      <c r="A136" s="90">
        <v>45116</v>
      </c>
      <c r="B136" s="135" t="s">
        <v>1134</v>
      </c>
      <c r="C136" s="136" t="s">
        <v>231</v>
      </c>
      <c r="D136" s="136" t="s">
        <v>1228</v>
      </c>
      <c r="E136" s="136" t="s">
        <v>1012</v>
      </c>
      <c r="F136" s="136" t="s">
        <v>1022</v>
      </c>
      <c r="G136" s="136" t="s">
        <v>1227</v>
      </c>
      <c r="H136" s="136"/>
      <c r="I136" s="136" t="s">
        <v>311</v>
      </c>
      <c r="J136" s="136" t="s">
        <v>270</v>
      </c>
      <c r="K136" s="136" t="s">
        <v>1230</v>
      </c>
      <c r="L136" s="136" t="s">
        <v>1009</v>
      </c>
      <c r="M136" s="136" t="s">
        <v>1028</v>
      </c>
      <c r="N136" s="136" t="s">
        <v>339</v>
      </c>
      <c r="O136" s="136" t="s">
        <v>266</v>
      </c>
      <c r="P136" s="136" t="s">
        <v>1023</v>
      </c>
      <c r="Q136" s="137" t="s">
        <v>264</v>
      </c>
      <c r="R136" s="135" t="s">
        <v>1134</v>
      </c>
      <c r="S136" s="136" t="s">
        <v>1033</v>
      </c>
      <c r="T136" s="136" t="s">
        <v>325</v>
      </c>
      <c r="U136" s="136" t="s">
        <v>255</v>
      </c>
      <c r="V136" s="136" t="s">
        <v>287</v>
      </c>
      <c r="W136" s="136" t="s">
        <v>234</v>
      </c>
      <c r="X136" s="136" t="s">
        <v>244</v>
      </c>
      <c r="Y136" s="136" t="s">
        <v>1037</v>
      </c>
      <c r="Z136" s="136"/>
      <c r="AA136" s="136" t="s">
        <v>278</v>
      </c>
      <c r="AB136" s="136" t="s">
        <v>248</v>
      </c>
      <c r="AC136" s="136" t="s">
        <v>1013</v>
      </c>
      <c r="AD136" s="136" t="s">
        <v>1014</v>
      </c>
      <c r="AE136" s="136" t="s">
        <v>250</v>
      </c>
      <c r="AF136" s="136" t="s">
        <v>1232</v>
      </c>
      <c r="AG136" s="137" t="s">
        <v>1032</v>
      </c>
    </row>
    <row r="137" spans="1:33" x14ac:dyDescent="0.3">
      <c r="A137" s="90" t="s">
        <v>3</v>
      </c>
      <c r="B137" s="6" t="s">
        <v>3</v>
      </c>
      <c r="C137" s="112" t="s">
        <v>286</v>
      </c>
      <c r="D137" s="112" t="s">
        <v>250</v>
      </c>
      <c r="E137" s="112" t="s">
        <v>248</v>
      </c>
      <c r="F137" s="112" t="s">
        <v>270</v>
      </c>
      <c r="G137" s="112" t="s">
        <v>266</v>
      </c>
      <c r="H137" s="112" t="s">
        <v>226</v>
      </c>
      <c r="I137" s="112" t="s">
        <v>246</v>
      </c>
      <c r="J137" s="112" t="s">
        <v>239</v>
      </c>
      <c r="K137" s="112" t="s">
        <v>339</v>
      </c>
      <c r="L137" s="112" t="s">
        <v>311</v>
      </c>
      <c r="M137" s="112" t="s">
        <v>231</v>
      </c>
      <c r="N137" s="112" t="s">
        <v>241</v>
      </c>
      <c r="O137" s="112" t="s">
        <v>268</v>
      </c>
      <c r="P137" s="112" t="s">
        <v>255</v>
      </c>
      <c r="Q137" s="113" t="s">
        <v>392</v>
      </c>
      <c r="R137" s="6" t="s">
        <v>1</v>
      </c>
      <c r="S137" s="112" t="s">
        <v>278</v>
      </c>
      <c r="T137" s="112" t="s">
        <v>221</v>
      </c>
      <c r="U137" s="112" t="s">
        <v>243</v>
      </c>
      <c r="V137" s="112" t="s">
        <v>251</v>
      </c>
      <c r="W137" s="112" t="s">
        <v>346</v>
      </c>
      <c r="X137" s="112" t="s">
        <v>224</v>
      </c>
      <c r="Y137" s="112" t="s">
        <v>287</v>
      </c>
      <c r="Z137" s="112" t="s">
        <v>235</v>
      </c>
      <c r="AA137" s="112" t="s">
        <v>274</v>
      </c>
      <c r="AB137" s="112" t="s">
        <v>222</v>
      </c>
      <c r="AC137" s="112" t="s">
        <v>325</v>
      </c>
      <c r="AD137" s="112" t="s">
        <v>244</v>
      </c>
      <c r="AE137" s="112" t="s">
        <v>228</v>
      </c>
      <c r="AF137" s="112" t="s">
        <v>264</v>
      </c>
      <c r="AG137" s="113" t="s">
        <v>234</v>
      </c>
    </row>
    <row r="138" spans="1:33" x14ac:dyDescent="0.3">
      <c r="A138" s="90" t="s">
        <v>1225</v>
      </c>
      <c r="B138" s="120"/>
      <c r="C138" s="121">
        <v>3</v>
      </c>
      <c r="D138" s="121">
        <v>3</v>
      </c>
      <c r="E138" s="121">
        <v>3</v>
      </c>
      <c r="F138" s="121">
        <v>3</v>
      </c>
      <c r="G138" s="121">
        <v>3</v>
      </c>
      <c r="H138" s="121">
        <v>3</v>
      </c>
      <c r="I138" s="121">
        <v>3</v>
      </c>
      <c r="J138" s="121">
        <v>3</v>
      </c>
      <c r="K138" s="121">
        <v>3</v>
      </c>
      <c r="L138" s="121">
        <v>4</v>
      </c>
      <c r="M138" s="121">
        <v>3</v>
      </c>
      <c r="N138" s="121">
        <v>4</v>
      </c>
      <c r="O138" s="121">
        <v>3</v>
      </c>
      <c r="P138" s="121">
        <v>3</v>
      </c>
      <c r="Q138" s="122">
        <v>3</v>
      </c>
      <c r="R138" s="120"/>
      <c r="S138" s="121">
        <v>3</v>
      </c>
      <c r="T138" s="121">
        <v>3</v>
      </c>
      <c r="U138" s="121">
        <v>3</v>
      </c>
      <c r="V138" s="121">
        <v>3</v>
      </c>
      <c r="W138" s="121">
        <v>3</v>
      </c>
      <c r="X138" s="121">
        <v>3</v>
      </c>
      <c r="Y138" s="121">
        <v>3</v>
      </c>
      <c r="Z138" s="121">
        <v>3</v>
      </c>
      <c r="AA138" s="121">
        <v>3</v>
      </c>
      <c r="AB138" s="121">
        <v>3</v>
      </c>
      <c r="AC138" s="121">
        <v>3</v>
      </c>
      <c r="AD138" s="121">
        <v>3</v>
      </c>
      <c r="AE138" s="121">
        <v>3</v>
      </c>
      <c r="AF138" s="121">
        <v>3</v>
      </c>
      <c r="AG138" s="122">
        <v>3</v>
      </c>
    </row>
    <row r="139" spans="1:33" x14ac:dyDescent="0.3">
      <c r="A139" s="90">
        <v>45117</v>
      </c>
      <c r="B139" s="120" t="s">
        <v>1135</v>
      </c>
      <c r="C139" s="121"/>
      <c r="D139" s="121"/>
      <c r="E139" s="121"/>
      <c r="F139" s="121"/>
      <c r="G139" s="121"/>
      <c r="H139" s="121"/>
      <c r="I139" s="121"/>
      <c r="J139" s="121"/>
      <c r="K139" s="121"/>
      <c r="L139" s="121"/>
      <c r="M139" s="121"/>
      <c r="N139" s="121"/>
      <c r="O139" s="121"/>
      <c r="P139" s="121"/>
      <c r="Q139" s="122"/>
      <c r="R139" s="120" t="s">
        <v>1135</v>
      </c>
      <c r="S139" s="121"/>
      <c r="T139" s="121"/>
      <c r="U139" s="121"/>
      <c r="V139" s="121"/>
      <c r="W139" s="121"/>
      <c r="X139" s="121"/>
      <c r="Y139" s="121"/>
      <c r="Z139" s="121"/>
      <c r="AA139" s="121"/>
      <c r="AB139" s="121"/>
      <c r="AC139" s="121"/>
      <c r="AD139" s="121"/>
      <c r="AE139" s="121"/>
      <c r="AF139" s="121"/>
      <c r="AG139" s="122"/>
    </row>
    <row r="140" spans="1:33" x14ac:dyDescent="0.3">
      <c r="A140" s="90">
        <v>45118</v>
      </c>
      <c r="B140" s="120" t="s">
        <v>1136</v>
      </c>
      <c r="C140" s="121"/>
      <c r="D140" s="121"/>
      <c r="E140" s="121"/>
      <c r="F140" s="121"/>
      <c r="G140" s="121"/>
      <c r="H140" s="121"/>
      <c r="I140" s="121"/>
      <c r="J140" s="121"/>
      <c r="K140" s="121"/>
      <c r="L140" s="121"/>
      <c r="M140" s="121"/>
      <c r="N140" s="121"/>
      <c r="O140" s="121"/>
      <c r="P140" s="123"/>
      <c r="Q140" s="124"/>
      <c r="R140" s="120" t="s">
        <v>1136</v>
      </c>
      <c r="S140" s="121"/>
      <c r="T140" s="121"/>
      <c r="U140" s="121"/>
      <c r="V140" s="121"/>
      <c r="W140" s="121"/>
      <c r="X140" s="121"/>
      <c r="Y140" s="121"/>
      <c r="Z140" s="121"/>
      <c r="AA140" s="121"/>
      <c r="AB140" s="121"/>
      <c r="AC140" s="121"/>
      <c r="AD140" s="121"/>
      <c r="AE140" s="121"/>
      <c r="AF140" s="123"/>
      <c r="AG140" s="124"/>
    </row>
    <row r="141" spans="1:33" x14ac:dyDescent="0.3">
      <c r="A141" s="90">
        <v>45119</v>
      </c>
      <c r="B141" s="120" t="s">
        <v>1137</v>
      </c>
      <c r="C141" s="121"/>
      <c r="D141" s="121"/>
      <c r="E141" s="121"/>
      <c r="F141" s="121"/>
      <c r="G141" s="121"/>
      <c r="H141" s="121"/>
      <c r="I141" s="121"/>
      <c r="J141" s="121"/>
      <c r="K141" s="121"/>
      <c r="L141" s="121"/>
      <c r="M141" s="121"/>
      <c r="N141" s="121"/>
      <c r="O141" s="121"/>
      <c r="P141" s="123"/>
      <c r="Q141" s="124"/>
      <c r="R141" s="120" t="s">
        <v>1137</v>
      </c>
      <c r="S141" s="121"/>
      <c r="T141" s="121"/>
      <c r="U141" s="121"/>
      <c r="V141" s="121"/>
      <c r="W141" s="121"/>
      <c r="X141" s="121"/>
      <c r="Y141" s="121"/>
      <c r="Z141" s="121"/>
      <c r="AA141" s="121"/>
      <c r="AB141" s="121"/>
      <c r="AC141" s="121"/>
      <c r="AD141" s="121"/>
      <c r="AE141" s="121"/>
      <c r="AF141" s="123"/>
      <c r="AG141" s="124"/>
    </row>
    <row r="142" spans="1:33" x14ac:dyDescent="0.3">
      <c r="A142" s="90">
        <v>45120</v>
      </c>
      <c r="B142" s="120" t="s">
        <v>1138</v>
      </c>
      <c r="C142" s="121"/>
      <c r="D142" s="121"/>
      <c r="E142" s="121"/>
      <c r="F142" s="121"/>
      <c r="G142" s="121"/>
      <c r="H142" s="121"/>
      <c r="I142" s="121"/>
      <c r="J142" s="121"/>
      <c r="K142" s="121"/>
      <c r="L142" s="121"/>
      <c r="M142" s="121"/>
      <c r="N142" s="121"/>
      <c r="O142" s="121"/>
      <c r="P142" s="123"/>
      <c r="Q142" s="124"/>
      <c r="R142" s="120" t="s">
        <v>1138</v>
      </c>
      <c r="S142" s="121"/>
      <c r="T142" s="121"/>
      <c r="U142" s="121"/>
      <c r="V142" s="121"/>
      <c r="W142" s="121"/>
      <c r="X142" s="121"/>
      <c r="Y142" s="121"/>
      <c r="Z142" s="121"/>
      <c r="AA142" s="121"/>
      <c r="AB142" s="121"/>
      <c r="AC142" s="121"/>
      <c r="AD142" s="121"/>
      <c r="AE142" s="121"/>
      <c r="AF142" s="123"/>
      <c r="AG142" s="124"/>
    </row>
    <row r="143" spans="1:33" x14ac:dyDescent="0.3">
      <c r="A143" s="90">
        <v>45121</v>
      </c>
      <c r="B143" s="120" t="s">
        <v>1139</v>
      </c>
      <c r="C143" s="121" t="s">
        <v>1043</v>
      </c>
      <c r="D143" s="121" t="s">
        <v>243</v>
      </c>
      <c r="E143" s="121" t="s">
        <v>221</v>
      </c>
      <c r="F143" s="121" t="s">
        <v>239</v>
      </c>
      <c r="G143" s="121" t="s">
        <v>222</v>
      </c>
      <c r="H143" s="121" t="s">
        <v>1029</v>
      </c>
      <c r="I143" s="121" t="s">
        <v>1034</v>
      </c>
      <c r="J143" s="121" t="s">
        <v>1011</v>
      </c>
      <c r="K143" s="121" t="s">
        <v>226</v>
      </c>
      <c r="L143" s="121" t="s">
        <v>241</v>
      </c>
      <c r="M143" s="121" t="s">
        <v>268</v>
      </c>
      <c r="N143" s="121" t="s">
        <v>1027</v>
      </c>
      <c r="O143" s="121" t="s">
        <v>1036</v>
      </c>
      <c r="P143" s="123" t="s">
        <v>392</v>
      </c>
      <c r="Q143" s="124" t="s">
        <v>1017</v>
      </c>
      <c r="R143" s="120" t="s">
        <v>1139</v>
      </c>
      <c r="S143" s="121" t="s">
        <v>246</v>
      </c>
      <c r="T143" s="121" t="s">
        <v>1008</v>
      </c>
      <c r="U143" s="121" t="s">
        <v>1030</v>
      </c>
      <c r="V143" s="121" t="s">
        <v>1010</v>
      </c>
      <c r="W143" s="121" t="s">
        <v>1015</v>
      </c>
      <c r="X143" s="121" t="s">
        <v>1038</v>
      </c>
      <c r="Y143" s="121" t="s">
        <v>228</v>
      </c>
      <c r="Z143" s="121" t="s">
        <v>224</v>
      </c>
      <c r="AA143" s="121" t="s">
        <v>1016</v>
      </c>
      <c r="AB143" s="121" t="s">
        <v>1031</v>
      </c>
      <c r="AC143" s="121" t="s">
        <v>274</v>
      </c>
      <c r="AD143" s="121" t="s">
        <v>346</v>
      </c>
      <c r="AE143" s="121" t="s">
        <v>1229</v>
      </c>
      <c r="AF143" s="123" t="s">
        <v>251</v>
      </c>
      <c r="AG143" s="124" t="s">
        <v>286</v>
      </c>
    </row>
    <row r="144" spans="1:33" x14ac:dyDescent="0.3">
      <c r="A144" s="90">
        <v>45122</v>
      </c>
      <c r="B144" s="120" t="s">
        <v>1140</v>
      </c>
      <c r="C144" s="121" t="s">
        <v>1043</v>
      </c>
      <c r="D144" s="121" t="s">
        <v>243</v>
      </c>
      <c r="E144" s="121" t="s">
        <v>221</v>
      </c>
      <c r="F144" s="121" t="s">
        <v>239</v>
      </c>
      <c r="G144" s="121" t="s">
        <v>222</v>
      </c>
      <c r="H144" s="121" t="s">
        <v>1029</v>
      </c>
      <c r="I144" s="121" t="s">
        <v>1034</v>
      </c>
      <c r="J144" s="121" t="s">
        <v>1011</v>
      </c>
      <c r="K144" s="121" t="s">
        <v>226</v>
      </c>
      <c r="L144" s="121" t="s">
        <v>1231</v>
      </c>
      <c r="M144" s="121" t="s">
        <v>268</v>
      </c>
      <c r="N144" s="121" t="s">
        <v>1141</v>
      </c>
      <c r="O144" s="121" t="s">
        <v>1036</v>
      </c>
      <c r="P144" s="123" t="s">
        <v>392</v>
      </c>
      <c r="Q144" s="124" t="s">
        <v>1017</v>
      </c>
      <c r="R144" s="120" t="s">
        <v>1140</v>
      </c>
      <c r="S144" s="121" t="s">
        <v>246</v>
      </c>
      <c r="T144" s="121" t="s">
        <v>1008</v>
      </c>
      <c r="U144" s="121" t="s">
        <v>1030</v>
      </c>
      <c r="V144" s="121" t="s">
        <v>1010</v>
      </c>
      <c r="W144" s="121" t="s">
        <v>1015</v>
      </c>
      <c r="X144" s="121" t="s">
        <v>1038</v>
      </c>
      <c r="Y144" s="121" t="s">
        <v>228</v>
      </c>
      <c r="Z144" s="121" t="s">
        <v>224</v>
      </c>
      <c r="AA144" s="121" t="s">
        <v>1016</v>
      </c>
      <c r="AB144" s="121" t="s">
        <v>1031</v>
      </c>
      <c r="AC144" s="121" t="s">
        <v>274</v>
      </c>
      <c r="AD144" s="121" t="s">
        <v>346</v>
      </c>
      <c r="AE144" s="121" t="s">
        <v>1229</v>
      </c>
      <c r="AF144" s="123" t="s">
        <v>251</v>
      </c>
      <c r="AG144" s="124" t="s">
        <v>286</v>
      </c>
    </row>
    <row r="145" spans="1:33" ht="15" thickBot="1" x14ac:dyDescent="0.35">
      <c r="A145" s="90">
        <v>45123</v>
      </c>
      <c r="B145" s="127" t="s">
        <v>1142</v>
      </c>
      <c r="C145" s="128" t="s">
        <v>1043</v>
      </c>
      <c r="D145" s="128" t="s">
        <v>243</v>
      </c>
      <c r="E145" s="128" t="s">
        <v>221</v>
      </c>
      <c r="F145" s="128" t="s">
        <v>239</v>
      </c>
      <c r="G145" s="128" t="s">
        <v>222</v>
      </c>
      <c r="H145" s="128" t="s">
        <v>1029</v>
      </c>
      <c r="I145" s="128" t="s">
        <v>1034</v>
      </c>
      <c r="J145" s="128" t="s">
        <v>1011</v>
      </c>
      <c r="K145" s="128" t="s">
        <v>226</v>
      </c>
      <c r="L145" s="128" t="s">
        <v>241</v>
      </c>
      <c r="M145" s="128" t="s">
        <v>268</v>
      </c>
      <c r="N145" s="128" t="s">
        <v>1027</v>
      </c>
      <c r="O145" s="128" t="s">
        <v>1036</v>
      </c>
      <c r="P145" s="129" t="s">
        <v>392</v>
      </c>
      <c r="Q145" s="130" t="s">
        <v>1017</v>
      </c>
      <c r="R145" s="127" t="s">
        <v>1142</v>
      </c>
      <c r="S145" s="128" t="s">
        <v>246</v>
      </c>
      <c r="T145" s="128" t="s">
        <v>1008</v>
      </c>
      <c r="U145" s="128" t="s">
        <v>1030</v>
      </c>
      <c r="V145" s="128" t="s">
        <v>1010</v>
      </c>
      <c r="W145" s="128" t="s">
        <v>1015</v>
      </c>
      <c r="X145" s="128" t="s">
        <v>1038</v>
      </c>
      <c r="Y145" s="128" t="s">
        <v>228</v>
      </c>
      <c r="Z145" s="128" t="s">
        <v>224</v>
      </c>
      <c r="AA145" s="128" t="s">
        <v>1016</v>
      </c>
      <c r="AB145" s="128" t="s">
        <v>1031</v>
      </c>
      <c r="AC145" s="128" t="s">
        <v>274</v>
      </c>
      <c r="AD145" s="128" t="s">
        <v>346</v>
      </c>
      <c r="AE145" s="128" t="s">
        <v>1229</v>
      </c>
      <c r="AF145" s="129" t="s">
        <v>251</v>
      </c>
      <c r="AG145" s="130" t="s">
        <v>286</v>
      </c>
    </row>
    <row r="146" spans="1:33" x14ac:dyDescent="0.3">
      <c r="A146" s="90" t="s">
        <v>3</v>
      </c>
      <c r="B146" s="6" t="s">
        <v>3</v>
      </c>
      <c r="C146" s="112" t="s">
        <v>286</v>
      </c>
      <c r="D146" s="112" t="s">
        <v>250</v>
      </c>
      <c r="E146" s="112" t="s">
        <v>248</v>
      </c>
      <c r="F146" s="112" t="s">
        <v>270</v>
      </c>
      <c r="G146" s="112" t="s">
        <v>266</v>
      </c>
      <c r="H146" s="112" t="s">
        <v>226</v>
      </c>
      <c r="I146" s="112" t="s">
        <v>246</v>
      </c>
      <c r="J146" s="112" t="s">
        <v>239</v>
      </c>
      <c r="K146" s="112" t="s">
        <v>339</v>
      </c>
      <c r="L146" s="112" t="s">
        <v>311</v>
      </c>
      <c r="M146" s="112" t="s">
        <v>231</v>
      </c>
      <c r="N146" s="112" t="s">
        <v>241</v>
      </c>
      <c r="O146" s="112" t="s">
        <v>268</v>
      </c>
      <c r="P146" s="112" t="s">
        <v>255</v>
      </c>
      <c r="Q146" s="113" t="s">
        <v>392</v>
      </c>
      <c r="R146" s="6" t="s">
        <v>1</v>
      </c>
      <c r="S146" s="112" t="s">
        <v>278</v>
      </c>
      <c r="T146" s="112" t="s">
        <v>221</v>
      </c>
      <c r="U146" s="112" t="s">
        <v>243</v>
      </c>
      <c r="V146" s="112" t="s">
        <v>251</v>
      </c>
      <c r="W146" s="112" t="s">
        <v>346</v>
      </c>
      <c r="X146" s="112" t="s">
        <v>224</v>
      </c>
      <c r="Y146" s="112" t="s">
        <v>287</v>
      </c>
      <c r="Z146" s="112" t="s">
        <v>235</v>
      </c>
      <c r="AA146" s="112" t="s">
        <v>274</v>
      </c>
      <c r="AB146" s="112" t="s">
        <v>222</v>
      </c>
      <c r="AC146" s="112" t="s">
        <v>325</v>
      </c>
      <c r="AD146" s="112" t="s">
        <v>244</v>
      </c>
      <c r="AE146" s="112" t="s">
        <v>228</v>
      </c>
      <c r="AF146" s="112" t="s">
        <v>264</v>
      </c>
      <c r="AG146" s="113" t="s">
        <v>234</v>
      </c>
    </row>
    <row r="147" spans="1:33" x14ac:dyDescent="0.3">
      <c r="A147" s="90"/>
      <c r="B147" s="114"/>
      <c r="C147" s="115">
        <v>6</v>
      </c>
      <c r="D147" s="115">
        <v>6</v>
      </c>
      <c r="E147" s="115">
        <v>7</v>
      </c>
      <c r="F147" s="115">
        <v>7</v>
      </c>
      <c r="G147" s="115">
        <v>5</v>
      </c>
      <c r="H147" s="115">
        <v>6</v>
      </c>
      <c r="I147" s="115">
        <v>6</v>
      </c>
      <c r="J147" s="115">
        <v>6</v>
      </c>
      <c r="K147" s="115">
        <v>6</v>
      </c>
      <c r="L147" s="115">
        <v>6</v>
      </c>
      <c r="M147" s="115">
        <v>6</v>
      </c>
      <c r="N147" s="115">
        <v>6</v>
      </c>
      <c r="O147" s="115">
        <v>7</v>
      </c>
      <c r="P147" s="115">
        <v>7</v>
      </c>
      <c r="Q147" s="116">
        <v>6</v>
      </c>
      <c r="R147" s="114"/>
      <c r="S147" s="115">
        <v>7</v>
      </c>
      <c r="T147" s="115">
        <v>6</v>
      </c>
      <c r="U147" s="115">
        <v>6</v>
      </c>
      <c r="V147" s="115">
        <v>6</v>
      </c>
      <c r="W147" s="115">
        <v>7</v>
      </c>
      <c r="X147" s="115">
        <v>6</v>
      </c>
      <c r="Y147" s="115">
        <v>7</v>
      </c>
      <c r="Z147" s="115">
        <v>6</v>
      </c>
      <c r="AA147" s="115">
        <v>7</v>
      </c>
      <c r="AB147" s="115">
        <v>6</v>
      </c>
      <c r="AC147" s="115">
        <v>7</v>
      </c>
      <c r="AD147" s="115">
        <v>7</v>
      </c>
      <c r="AE147" s="115">
        <v>7</v>
      </c>
      <c r="AF147" s="115">
        <v>6</v>
      </c>
      <c r="AG147" s="116">
        <v>6</v>
      </c>
    </row>
    <row r="148" spans="1:33" x14ac:dyDescent="0.3">
      <c r="A148" s="90">
        <v>45124</v>
      </c>
      <c r="B148" s="131" t="s">
        <v>1143</v>
      </c>
      <c r="C148" s="132"/>
      <c r="D148" s="132"/>
      <c r="E148" s="132" t="s">
        <v>392</v>
      </c>
      <c r="F148" s="132" t="s">
        <v>268</v>
      </c>
      <c r="G148" s="132"/>
      <c r="H148" s="132" t="s">
        <v>1034</v>
      </c>
      <c r="I148" s="132" t="s">
        <v>1017</v>
      </c>
      <c r="J148" s="132"/>
      <c r="K148" s="132"/>
      <c r="L148" s="132"/>
      <c r="M148" s="132" t="s">
        <v>251</v>
      </c>
      <c r="N148" s="132"/>
      <c r="O148" s="132" t="s">
        <v>1011</v>
      </c>
      <c r="P148" s="132" t="s">
        <v>246</v>
      </c>
      <c r="Q148" s="133" t="s">
        <v>1008</v>
      </c>
      <c r="R148" s="131" t="s">
        <v>1143</v>
      </c>
      <c r="S148" s="132" t="s">
        <v>226</v>
      </c>
      <c r="T148" s="132" t="s">
        <v>1016</v>
      </c>
      <c r="U148" s="132"/>
      <c r="V148" s="132" t="s">
        <v>1036</v>
      </c>
      <c r="W148" s="132" t="s">
        <v>1229</v>
      </c>
      <c r="X148" s="132"/>
      <c r="Y148" s="132" t="s">
        <v>346</v>
      </c>
      <c r="Z148" s="132" t="s">
        <v>222</v>
      </c>
      <c r="AA148" s="132" t="s">
        <v>1015</v>
      </c>
      <c r="AB148" s="132" t="s">
        <v>1038</v>
      </c>
      <c r="AC148" s="132" t="s">
        <v>221</v>
      </c>
      <c r="AD148" s="132" t="s">
        <v>274</v>
      </c>
      <c r="AE148" s="132" t="s">
        <v>1010</v>
      </c>
      <c r="AF148" s="132" t="s">
        <v>228</v>
      </c>
      <c r="AG148" s="133"/>
    </row>
    <row r="149" spans="1:33" x14ac:dyDescent="0.3">
      <c r="A149" s="90">
        <v>45125</v>
      </c>
      <c r="B149" s="131" t="s">
        <v>1144</v>
      </c>
      <c r="C149" s="132" t="s">
        <v>1030</v>
      </c>
      <c r="D149" s="132" t="s">
        <v>286</v>
      </c>
      <c r="E149" s="132" t="s">
        <v>392</v>
      </c>
      <c r="F149" s="132" t="s">
        <v>268</v>
      </c>
      <c r="G149" s="132" t="s">
        <v>224</v>
      </c>
      <c r="H149" s="132" t="s">
        <v>1034</v>
      </c>
      <c r="I149" s="132" t="s">
        <v>1017</v>
      </c>
      <c r="J149" s="132" t="s">
        <v>1027</v>
      </c>
      <c r="K149" s="132" t="s">
        <v>243</v>
      </c>
      <c r="L149" s="132" t="s">
        <v>239</v>
      </c>
      <c r="M149" s="132" t="s">
        <v>251</v>
      </c>
      <c r="N149" s="132" t="s">
        <v>1043</v>
      </c>
      <c r="O149" s="132" t="s">
        <v>1011</v>
      </c>
      <c r="P149" s="132" t="s">
        <v>246</v>
      </c>
      <c r="Q149" s="133" t="s">
        <v>1008</v>
      </c>
      <c r="R149" s="131" t="s">
        <v>1144</v>
      </c>
      <c r="S149" s="132" t="s">
        <v>226</v>
      </c>
      <c r="T149" s="132" t="s">
        <v>1016</v>
      </c>
      <c r="U149" s="132" t="s">
        <v>1029</v>
      </c>
      <c r="V149" s="132" t="s">
        <v>1036</v>
      </c>
      <c r="W149" s="132" t="s">
        <v>1229</v>
      </c>
      <c r="X149" s="132" t="s">
        <v>1031</v>
      </c>
      <c r="Y149" s="132" t="s">
        <v>346</v>
      </c>
      <c r="Z149" s="132" t="s">
        <v>222</v>
      </c>
      <c r="AA149" s="132" t="s">
        <v>1015</v>
      </c>
      <c r="AB149" s="132" t="s">
        <v>1038</v>
      </c>
      <c r="AC149" s="132" t="s">
        <v>221</v>
      </c>
      <c r="AD149" s="132" t="s">
        <v>274</v>
      </c>
      <c r="AE149" s="132" t="s">
        <v>1010</v>
      </c>
      <c r="AF149" s="132" t="s">
        <v>228</v>
      </c>
      <c r="AG149" s="133" t="s">
        <v>241</v>
      </c>
    </row>
    <row r="150" spans="1:33" x14ac:dyDescent="0.3">
      <c r="A150" s="90">
        <v>45126</v>
      </c>
      <c r="B150" s="131" t="s">
        <v>1145</v>
      </c>
      <c r="C150" s="132" t="s">
        <v>1030</v>
      </c>
      <c r="D150" s="132" t="s">
        <v>286</v>
      </c>
      <c r="E150" s="132" t="s">
        <v>392</v>
      </c>
      <c r="F150" s="132" t="s">
        <v>268</v>
      </c>
      <c r="G150" s="132" t="s">
        <v>224</v>
      </c>
      <c r="H150" s="132" t="s">
        <v>1034</v>
      </c>
      <c r="I150" s="132" t="s">
        <v>1017</v>
      </c>
      <c r="J150" s="132" t="s">
        <v>1027</v>
      </c>
      <c r="K150" s="132" t="s">
        <v>243</v>
      </c>
      <c r="L150" s="132" t="s">
        <v>239</v>
      </c>
      <c r="M150" s="132" t="s">
        <v>251</v>
      </c>
      <c r="N150" s="132" t="s">
        <v>1043</v>
      </c>
      <c r="O150" s="132" t="s">
        <v>1011</v>
      </c>
      <c r="P150" s="132" t="s">
        <v>246</v>
      </c>
      <c r="Q150" s="133" t="s">
        <v>1008</v>
      </c>
      <c r="R150" s="131" t="s">
        <v>1145</v>
      </c>
      <c r="S150" s="132" t="s">
        <v>226</v>
      </c>
      <c r="T150" s="132" t="s">
        <v>1016</v>
      </c>
      <c r="U150" s="132" t="s">
        <v>1029</v>
      </c>
      <c r="V150" s="132" t="s">
        <v>1036</v>
      </c>
      <c r="W150" s="132" t="s">
        <v>1229</v>
      </c>
      <c r="X150" s="132" t="s">
        <v>1031</v>
      </c>
      <c r="Y150" s="132" t="s">
        <v>346</v>
      </c>
      <c r="Z150" s="132" t="s">
        <v>222</v>
      </c>
      <c r="AA150" s="132" t="s">
        <v>1015</v>
      </c>
      <c r="AB150" s="132" t="s">
        <v>1038</v>
      </c>
      <c r="AC150" s="132" t="s">
        <v>221</v>
      </c>
      <c r="AD150" s="132" t="s">
        <v>274</v>
      </c>
      <c r="AE150" s="132" t="s">
        <v>1010</v>
      </c>
      <c r="AF150" s="132" t="s">
        <v>228</v>
      </c>
      <c r="AG150" s="133" t="s">
        <v>241</v>
      </c>
    </row>
    <row r="151" spans="1:33" x14ac:dyDescent="0.3">
      <c r="A151" s="90">
        <v>45127</v>
      </c>
      <c r="B151" s="131" t="s">
        <v>1146</v>
      </c>
      <c r="C151" s="132" t="s">
        <v>1030</v>
      </c>
      <c r="D151" s="132" t="s">
        <v>286</v>
      </c>
      <c r="E151" s="132" t="s">
        <v>255</v>
      </c>
      <c r="F151" s="134" t="s">
        <v>268</v>
      </c>
      <c r="G151" s="132"/>
      <c r="H151" s="132"/>
      <c r="I151" s="132"/>
      <c r="J151" s="132" t="s">
        <v>1027</v>
      </c>
      <c r="K151" s="132" t="s">
        <v>243</v>
      </c>
      <c r="L151" s="132" t="s">
        <v>239</v>
      </c>
      <c r="M151" s="132"/>
      <c r="N151" s="132" t="s">
        <v>1043</v>
      </c>
      <c r="O151" s="132" t="s">
        <v>1011</v>
      </c>
      <c r="P151" s="132" t="s">
        <v>1008</v>
      </c>
      <c r="Q151" s="133"/>
      <c r="R151" s="131" t="s">
        <v>1146</v>
      </c>
      <c r="S151" s="132" t="s">
        <v>1228</v>
      </c>
      <c r="T151" s="132"/>
      <c r="U151" s="132" t="s">
        <v>1029</v>
      </c>
      <c r="V151" s="134"/>
      <c r="W151" s="132" t="s">
        <v>1229</v>
      </c>
      <c r="X151" s="132" t="s">
        <v>1016</v>
      </c>
      <c r="Y151" s="132" t="s">
        <v>346</v>
      </c>
      <c r="Z151" s="132"/>
      <c r="AA151" s="132" t="s">
        <v>1015</v>
      </c>
      <c r="AB151" s="132"/>
      <c r="AC151" s="132" t="s">
        <v>224</v>
      </c>
      <c r="AD151" s="132" t="s">
        <v>274</v>
      </c>
      <c r="AE151" s="132" t="s">
        <v>278</v>
      </c>
      <c r="AF151" s="132"/>
      <c r="AG151" s="133" t="s">
        <v>241</v>
      </c>
    </row>
    <row r="152" spans="1:33" x14ac:dyDescent="0.3">
      <c r="A152" s="90">
        <v>45128</v>
      </c>
      <c r="B152" s="131" t="s">
        <v>1147</v>
      </c>
      <c r="C152" s="132" t="s">
        <v>1011</v>
      </c>
      <c r="D152" s="132" t="s">
        <v>1022</v>
      </c>
      <c r="E152" s="132" t="s">
        <v>255</v>
      </c>
      <c r="F152" s="132" t="s">
        <v>286</v>
      </c>
      <c r="G152" s="132" t="s">
        <v>1009</v>
      </c>
      <c r="H152" s="132" t="s">
        <v>1010</v>
      </c>
      <c r="I152" s="132" t="s">
        <v>266</v>
      </c>
      <c r="J152" s="132" t="s">
        <v>250</v>
      </c>
      <c r="K152" s="132" t="s">
        <v>1013</v>
      </c>
      <c r="L152" s="132" t="s">
        <v>1037</v>
      </c>
      <c r="M152" s="132" t="s">
        <v>1038</v>
      </c>
      <c r="N152" s="132" t="s">
        <v>1032</v>
      </c>
      <c r="O152" s="132" t="s">
        <v>1232</v>
      </c>
      <c r="P152" s="132" t="s">
        <v>1008</v>
      </c>
      <c r="Q152" s="133" t="s">
        <v>268</v>
      </c>
      <c r="R152" s="131" t="s">
        <v>1147</v>
      </c>
      <c r="S152" s="132" t="s">
        <v>1228</v>
      </c>
      <c r="T152" s="132" t="s">
        <v>339</v>
      </c>
      <c r="U152" s="132" t="s">
        <v>1033</v>
      </c>
      <c r="V152" s="132" t="s">
        <v>311</v>
      </c>
      <c r="W152" s="132" t="s">
        <v>241</v>
      </c>
      <c r="X152" s="132" t="s">
        <v>1016</v>
      </c>
      <c r="Y152" s="132" t="s">
        <v>1012</v>
      </c>
      <c r="Z152" s="132" t="s">
        <v>231</v>
      </c>
      <c r="AA152" s="132" t="s">
        <v>243</v>
      </c>
      <c r="AB152" s="132" t="s">
        <v>287</v>
      </c>
      <c r="AC152" s="132" t="s">
        <v>224</v>
      </c>
      <c r="AD152" s="132" t="s">
        <v>234</v>
      </c>
      <c r="AE152" s="132" t="s">
        <v>278</v>
      </c>
      <c r="AF152" s="132" t="s">
        <v>226</v>
      </c>
      <c r="AG152" s="133" t="s">
        <v>1015</v>
      </c>
    </row>
    <row r="153" spans="1:33" x14ac:dyDescent="0.3">
      <c r="A153" s="90">
        <v>45129</v>
      </c>
      <c r="B153" s="131" t="s">
        <v>1148</v>
      </c>
      <c r="C153" s="132" t="s">
        <v>1011</v>
      </c>
      <c r="D153" s="132" t="s">
        <v>1022</v>
      </c>
      <c r="E153" s="132" t="s">
        <v>255</v>
      </c>
      <c r="F153" s="132" t="s">
        <v>286</v>
      </c>
      <c r="G153" s="132" t="s">
        <v>1009</v>
      </c>
      <c r="H153" s="132" t="s">
        <v>1010</v>
      </c>
      <c r="I153" s="132" t="s">
        <v>266</v>
      </c>
      <c r="J153" s="132" t="s">
        <v>250</v>
      </c>
      <c r="K153" s="134" t="s">
        <v>1013</v>
      </c>
      <c r="L153" s="132" t="s">
        <v>1037</v>
      </c>
      <c r="M153" s="132" t="s">
        <v>1038</v>
      </c>
      <c r="N153" s="132" t="s">
        <v>1032</v>
      </c>
      <c r="O153" s="132" t="s">
        <v>1232</v>
      </c>
      <c r="P153" s="132" t="s">
        <v>1008</v>
      </c>
      <c r="Q153" s="133" t="s">
        <v>268</v>
      </c>
      <c r="R153" s="131" t="s">
        <v>1148</v>
      </c>
      <c r="S153" s="132" t="s">
        <v>1228</v>
      </c>
      <c r="T153" s="132" t="s">
        <v>339</v>
      </c>
      <c r="U153" s="132" t="s">
        <v>1033</v>
      </c>
      <c r="V153" s="132" t="s">
        <v>311</v>
      </c>
      <c r="W153" s="132" t="s">
        <v>241</v>
      </c>
      <c r="X153" s="132" t="s">
        <v>1016</v>
      </c>
      <c r="Y153" s="132" t="s">
        <v>1012</v>
      </c>
      <c r="Z153" s="132" t="s">
        <v>231</v>
      </c>
      <c r="AA153" s="134" t="s">
        <v>243</v>
      </c>
      <c r="AB153" s="132" t="s">
        <v>287</v>
      </c>
      <c r="AC153" s="132" t="s">
        <v>224</v>
      </c>
      <c r="AD153" s="132" t="s">
        <v>234</v>
      </c>
      <c r="AE153" s="132" t="s">
        <v>278</v>
      </c>
      <c r="AF153" s="132" t="s">
        <v>226</v>
      </c>
      <c r="AG153" s="133" t="s">
        <v>1015</v>
      </c>
    </row>
    <row r="154" spans="1:33" ht="15" thickBot="1" x14ac:dyDescent="0.35">
      <c r="A154" s="90">
        <v>45130</v>
      </c>
      <c r="B154" s="135" t="s">
        <v>1149</v>
      </c>
      <c r="C154" s="136" t="s">
        <v>1011</v>
      </c>
      <c r="D154" s="136" t="s">
        <v>1022</v>
      </c>
      <c r="E154" s="136" t="s">
        <v>255</v>
      </c>
      <c r="F154" s="136" t="s">
        <v>286</v>
      </c>
      <c r="G154" s="136" t="s">
        <v>1009</v>
      </c>
      <c r="H154" s="136" t="s">
        <v>1010</v>
      </c>
      <c r="I154" s="136" t="s">
        <v>266</v>
      </c>
      <c r="J154" s="136" t="s">
        <v>250</v>
      </c>
      <c r="K154" s="136" t="s">
        <v>1013</v>
      </c>
      <c r="L154" s="136" t="s">
        <v>1037</v>
      </c>
      <c r="M154" s="136" t="s">
        <v>1038</v>
      </c>
      <c r="N154" s="136" t="s">
        <v>1032</v>
      </c>
      <c r="O154" s="136" t="s">
        <v>1232</v>
      </c>
      <c r="P154" s="136" t="s">
        <v>1008</v>
      </c>
      <c r="Q154" s="137" t="s">
        <v>268</v>
      </c>
      <c r="R154" s="135" t="s">
        <v>1149</v>
      </c>
      <c r="S154" s="136" t="s">
        <v>1228</v>
      </c>
      <c r="T154" s="136" t="s">
        <v>339</v>
      </c>
      <c r="U154" s="136" t="s">
        <v>1033</v>
      </c>
      <c r="V154" s="136" t="s">
        <v>311</v>
      </c>
      <c r="W154" s="136" t="s">
        <v>241</v>
      </c>
      <c r="X154" s="136" t="s">
        <v>1016</v>
      </c>
      <c r="Y154" s="136" t="s">
        <v>1012</v>
      </c>
      <c r="Z154" s="136" t="s">
        <v>231</v>
      </c>
      <c r="AA154" s="136" t="s">
        <v>243</v>
      </c>
      <c r="AB154" s="136" t="s">
        <v>287</v>
      </c>
      <c r="AC154" s="136" t="s">
        <v>224</v>
      </c>
      <c r="AD154" s="136" t="s">
        <v>234</v>
      </c>
      <c r="AE154" s="136" t="s">
        <v>278</v>
      </c>
      <c r="AF154" s="136" t="s">
        <v>226</v>
      </c>
      <c r="AG154" s="137" t="s">
        <v>1015</v>
      </c>
    </row>
    <row r="155" spans="1:33" x14ac:dyDescent="0.3">
      <c r="A155" s="90" t="s">
        <v>3</v>
      </c>
      <c r="B155" s="6" t="s">
        <v>3</v>
      </c>
      <c r="C155" s="112" t="s">
        <v>286</v>
      </c>
      <c r="D155" s="112" t="s">
        <v>250</v>
      </c>
      <c r="E155" s="112" t="s">
        <v>248</v>
      </c>
      <c r="F155" s="112" t="s">
        <v>270</v>
      </c>
      <c r="G155" s="112" t="s">
        <v>266</v>
      </c>
      <c r="H155" s="112" t="s">
        <v>226</v>
      </c>
      <c r="I155" s="112" t="s">
        <v>246</v>
      </c>
      <c r="J155" s="112" t="s">
        <v>239</v>
      </c>
      <c r="K155" s="112" t="s">
        <v>339</v>
      </c>
      <c r="L155" s="112" t="s">
        <v>311</v>
      </c>
      <c r="M155" s="112" t="s">
        <v>231</v>
      </c>
      <c r="N155" s="112" t="s">
        <v>241</v>
      </c>
      <c r="O155" s="112" t="s">
        <v>268</v>
      </c>
      <c r="P155" s="112" t="s">
        <v>255</v>
      </c>
      <c r="Q155" s="113" t="s">
        <v>392</v>
      </c>
      <c r="R155" s="6" t="s">
        <v>1</v>
      </c>
      <c r="S155" s="112" t="s">
        <v>278</v>
      </c>
      <c r="T155" s="112" t="s">
        <v>221</v>
      </c>
      <c r="U155" s="112" t="s">
        <v>243</v>
      </c>
      <c r="V155" s="112" t="s">
        <v>251</v>
      </c>
      <c r="W155" s="112" t="s">
        <v>346</v>
      </c>
      <c r="X155" s="112" t="s">
        <v>224</v>
      </c>
      <c r="Y155" s="112" t="s">
        <v>287</v>
      </c>
      <c r="Z155" s="112" t="s">
        <v>235</v>
      </c>
      <c r="AA155" s="112" t="s">
        <v>274</v>
      </c>
      <c r="AB155" s="112" t="s">
        <v>222</v>
      </c>
      <c r="AC155" s="112" t="s">
        <v>325</v>
      </c>
      <c r="AD155" s="112" t="s">
        <v>244</v>
      </c>
      <c r="AE155" s="112" t="s">
        <v>228</v>
      </c>
      <c r="AF155" s="112" t="s">
        <v>264</v>
      </c>
      <c r="AG155" s="113" t="s">
        <v>234</v>
      </c>
    </row>
    <row r="156" spans="1:33" x14ac:dyDescent="0.3">
      <c r="A156" s="90"/>
      <c r="B156" s="120"/>
      <c r="C156" s="121">
        <v>6</v>
      </c>
      <c r="D156" s="121">
        <v>5</v>
      </c>
      <c r="E156" s="121">
        <v>6</v>
      </c>
      <c r="F156" s="121">
        <v>6</v>
      </c>
      <c r="G156" s="121">
        <v>6</v>
      </c>
      <c r="H156" s="121">
        <v>6</v>
      </c>
      <c r="I156" s="121">
        <v>5</v>
      </c>
      <c r="J156" s="121">
        <v>6</v>
      </c>
      <c r="K156" s="121">
        <v>6</v>
      </c>
      <c r="L156" s="121">
        <v>6</v>
      </c>
      <c r="M156" s="121">
        <v>6</v>
      </c>
      <c r="N156" s="121">
        <v>6</v>
      </c>
      <c r="O156" s="121">
        <v>5</v>
      </c>
      <c r="P156" s="121">
        <v>7</v>
      </c>
      <c r="Q156" s="122">
        <v>7</v>
      </c>
      <c r="R156" s="120"/>
      <c r="S156" s="121">
        <v>6</v>
      </c>
      <c r="T156" s="121">
        <v>5</v>
      </c>
      <c r="U156" s="121">
        <v>6</v>
      </c>
      <c r="V156" s="121">
        <v>7</v>
      </c>
      <c r="W156" s="121">
        <v>6</v>
      </c>
      <c r="X156" s="121">
        <v>6</v>
      </c>
      <c r="Y156" s="121">
        <v>6</v>
      </c>
      <c r="Z156" s="121">
        <v>6</v>
      </c>
      <c r="AA156" s="121">
        <v>6</v>
      </c>
      <c r="AB156" s="121">
        <v>5</v>
      </c>
      <c r="AC156" s="121">
        <v>5</v>
      </c>
      <c r="AD156" s="121">
        <v>6</v>
      </c>
      <c r="AE156" s="121">
        <v>5</v>
      </c>
      <c r="AF156" s="121">
        <v>6</v>
      </c>
      <c r="AG156" s="122">
        <v>6</v>
      </c>
    </row>
    <row r="157" spans="1:33" x14ac:dyDescent="0.3">
      <c r="A157" s="90">
        <v>45131</v>
      </c>
      <c r="B157" s="120" t="s">
        <v>1150</v>
      </c>
      <c r="C157" s="121" t="s">
        <v>255</v>
      </c>
      <c r="D157" s="121"/>
      <c r="E157" s="121"/>
      <c r="F157" s="121" t="s">
        <v>1022</v>
      </c>
      <c r="G157" s="121" t="s">
        <v>1232</v>
      </c>
      <c r="H157" s="121" t="s">
        <v>234</v>
      </c>
      <c r="I157" s="121"/>
      <c r="J157" s="121" t="s">
        <v>270</v>
      </c>
      <c r="K157" s="121"/>
      <c r="L157" s="121" t="s">
        <v>278</v>
      </c>
      <c r="M157" s="121" t="s">
        <v>1230</v>
      </c>
      <c r="N157" s="121" t="s">
        <v>231</v>
      </c>
      <c r="O157" s="121"/>
      <c r="P157" s="121" t="s">
        <v>1028</v>
      </c>
      <c r="Q157" s="122" t="s">
        <v>266</v>
      </c>
      <c r="R157" s="120" t="s">
        <v>1150</v>
      </c>
      <c r="S157" s="121" t="s">
        <v>1027</v>
      </c>
      <c r="T157" s="121"/>
      <c r="U157" s="121"/>
      <c r="V157" s="121" t="s">
        <v>287</v>
      </c>
      <c r="W157" s="121"/>
      <c r="X157" s="121" t="s">
        <v>264</v>
      </c>
      <c r="Y157" s="121" t="s">
        <v>1037</v>
      </c>
      <c r="Z157" s="121"/>
      <c r="AA157" s="121" t="s">
        <v>244</v>
      </c>
      <c r="AB157" s="121"/>
      <c r="AC157" s="121"/>
      <c r="AD157" s="121" t="s">
        <v>1033</v>
      </c>
      <c r="AE157" s="121"/>
      <c r="AF157" s="121" t="s">
        <v>1014</v>
      </c>
      <c r="AG157" s="122" t="s">
        <v>1007</v>
      </c>
    </row>
    <row r="158" spans="1:33" x14ac:dyDescent="0.3">
      <c r="A158" s="90">
        <v>45132</v>
      </c>
      <c r="B158" s="120" t="s">
        <v>1151</v>
      </c>
      <c r="C158" s="121" t="s">
        <v>255</v>
      </c>
      <c r="D158" s="121" t="s">
        <v>1013</v>
      </c>
      <c r="E158" s="121" t="s">
        <v>1023</v>
      </c>
      <c r="F158" s="121" t="s">
        <v>1022</v>
      </c>
      <c r="G158" s="121" t="s">
        <v>1232</v>
      </c>
      <c r="H158" s="121" t="s">
        <v>234</v>
      </c>
      <c r="I158" s="121" t="s">
        <v>1228</v>
      </c>
      <c r="J158" s="121" t="s">
        <v>270</v>
      </c>
      <c r="K158" s="121" t="s">
        <v>1012</v>
      </c>
      <c r="L158" s="121" t="s">
        <v>278</v>
      </c>
      <c r="M158" s="121" t="s">
        <v>1230</v>
      </c>
      <c r="N158" s="121" t="s">
        <v>231</v>
      </c>
      <c r="O158" s="121" t="s">
        <v>325</v>
      </c>
      <c r="P158" s="123" t="s">
        <v>1028</v>
      </c>
      <c r="Q158" s="124" t="s">
        <v>266</v>
      </c>
      <c r="R158" s="120" t="s">
        <v>1151</v>
      </c>
      <c r="S158" s="121" t="s">
        <v>1027</v>
      </c>
      <c r="T158" s="121" t="s">
        <v>250</v>
      </c>
      <c r="U158" s="121" t="s">
        <v>248</v>
      </c>
      <c r="V158" s="121" t="s">
        <v>287</v>
      </c>
      <c r="W158" s="121" t="s">
        <v>235</v>
      </c>
      <c r="X158" s="121" t="s">
        <v>264</v>
      </c>
      <c r="Y158" s="121" t="s">
        <v>1037</v>
      </c>
      <c r="Z158" s="121" t="s">
        <v>1032</v>
      </c>
      <c r="AA158" s="121" t="s">
        <v>244</v>
      </c>
      <c r="AB158" s="121" t="s">
        <v>339</v>
      </c>
      <c r="AC158" s="121" t="s">
        <v>1227</v>
      </c>
      <c r="AD158" s="121" t="s">
        <v>1033</v>
      </c>
      <c r="AE158" s="121" t="s">
        <v>246</v>
      </c>
      <c r="AF158" s="123" t="s">
        <v>1014</v>
      </c>
      <c r="AG158" s="124" t="s">
        <v>1007</v>
      </c>
    </row>
    <row r="159" spans="1:33" x14ac:dyDescent="0.3">
      <c r="A159" s="90">
        <v>45133</v>
      </c>
      <c r="B159" s="120" t="s">
        <v>1152</v>
      </c>
      <c r="C159" s="121" t="s">
        <v>255</v>
      </c>
      <c r="D159" s="121" t="s">
        <v>1013</v>
      </c>
      <c r="E159" s="121" t="s">
        <v>1023</v>
      </c>
      <c r="F159" s="121" t="s">
        <v>1022</v>
      </c>
      <c r="G159" s="121" t="s">
        <v>1232</v>
      </c>
      <c r="H159" s="121" t="s">
        <v>234</v>
      </c>
      <c r="I159" s="121" t="s">
        <v>1228</v>
      </c>
      <c r="J159" s="121" t="s">
        <v>270</v>
      </c>
      <c r="K159" s="121" t="s">
        <v>1012</v>
      </c>
      <c r="L159" s="121" t="s">
        <v>278</v>
      </c>
      <c r="M159" s="121" t="s">
        <v>1230</v>
      </c>
      <c r="N159" s="121" t="s">
        <v>231</v>
      </c>
      <c r="O159" s="121" t="s">
        <v>325</v>
      </c>
      <c r="P159" s="123" t="s">
        <v>1028</v>
      </c>
      <c r="Q159" s="124" t="s">
        <v>266</v>
      </c>
      <c r="R159" s="120" t="s">
        <v>1152</v>
      </c>
      <c r="S159" s="121" t="s">
        <v>1027</v>
      </c>
      <c r="T159" s="121" t="s">
        <v>250</v>
      </c>
      <c r="U159" s="121" t="s">
        <v>248</v>
      </c>
      <c r="V159" s="121" t="s">
        <v>287</v>
      </c>
      <c r="W159" s="121" t="s">
        <v>235</v>
      </c>
      <c r="X159" s="121" t="s">
        <v>264</v>
      </c>
      <c r="Y159" s="121" t="s">
        <v>1037</v>
      </c>
      <c r="Z159" s="121" t="s">
        <v>1032</v>
      </c>
      <c r="AA159" s="121" t="s">
        <v>244</v>
      </c>
      <c r="AB159" s="121" t="s">
        <v>339</v>
      </c>
      <c r="AC159" s="121" t="s">
        <v>1227</v>
      </c>
      <c r="AD159" s="121" t="s">
        <v>1033</v>
      </c>
      <c r="AE159" s="121" t="s">
        <v>246</v>
      </c>
      <c r="AF159" s="123" t="s">
        <v>1014</v>
      </c>
      <c r="AG159" s="124" t="s">
        <v>1007</v>
      </c>
    </row>
    <row r="160" spans="1:33" x14ac:dyDescent="0.3">
      <c r="A160" s="90">
        <v>45134</v>
      </c>
      <c r="B160" s="120" t="s">
        <v>1153</v>
      </c>
      <c r="C160" s="121"/>
      <c r="D160" s="121"/>
      <c r="E160" s="121" t="s">
        <v>1017</v>
      </c>
      <c r="F160" s="121"/>
      <c r="G160" s="121"/>
      <c r="H160" s="121"/>
      <c r="I160" s="121"/>
      <c r="J160" s="121"/>
      <c r="K160" s="121" t="s">
        <v>392</v>
      </c>
      <c r="L160" s="121"/>
      <c r="M160" s="121"/>
      <c r="N160" s="121"/>
      <c r="O160" s="121"/>
      <c r="P160" s="123" t="s">
        <v>248</v>
      </c>
      <c r="Q160" s="124" t="s">
        <v>1029</v>
      </c>
      <c r="R160" s="120" t="s">
        <v>1153</v>
      </c>
      <c r="S160" s="121"/>
      <c r="T160" s="121"/>
      <c r="U160" s="121" t="s">
        <v>251</v>
      </c>
      <c r="V160" s="121" t="s">
        <v>1023</v>
      </c>
      <c r="W160" s="121" t="s">
        <v>235</v>
      </c>
      <c r="X160" s="121"/>
      <c r="Y160" s="121"/>
      <c r="Z160" s="121" t="s">
        <v>1032</v>
      </c>
      <c r="AA160" s="121"/>
      <c r="AB160" s="121"/>
      <c r="AC160" s="121"/>
      <c r="AD160" s="121"/>
      <c r="AE160" s="121"/>
      <c r="AF160" s="123"/>
      <c r="AG160" s="124"/>
    </row>
    <row r="161" spans="1:33" x14ac:dyDescent="0.3">
      <c r="A161" s="90">
        <v>45135</v>
      </c>
      <c r="B161" s="120" t="s">
        <v>1154</v>
      </c>
      <c r="C161" s="121" t="s">
        <v>244</v>
      </c>
      <c r="D161" s="121" t="s">
        <v>239</v>
      </c>
      <c r="E161" s="121" t="s">
        <v>1017</v>
      </c>
      <c r="F161" s="121" t="s">
        <v>1007</v>
      </c>
      <c r="G161" s="121" t="s">
        <v>325</v>
      </c>
      <c r="H161" s="121" t="s">
        <v>270</v>
      </c>
      <c r="I161" s="121" t="s">
        <v>346</v>
      </c>
      <c r="J161" s="121" t="s">
        <v>1030</v>
      </c>
      <c r="K161" s="121" t="s">
        <v>392</v>
      </c>
      <c r="L161" s="121" t="s">
        <v>1036</v>
      </c>
      <c r="M161" s="121" t="s">
        <v>311</v>
      </c>
      <c r="N161" s="121" t="s">
        <v>264</v>
      </c>
      <c r="O161" s="121" t="s">
        <v>221</v>
      </c>
      <c r="P161" s="123" t="s">
        <v>248</v>
      </c>
      <c r="Q161" s="124" t="s">
        <v>1029</v>
      </c>
      <c r="R161" s="120" t="s">
        <v>1154</v>
      </c>
      <c r="S161" s="121" t="s">
        <v>222</v>
      </c>
      <c r="T161" s="121" t="s">
        <v>1227</v>
      </c>
      <c r="U161" s="121" t="s">
        <v>251</v>
      </c>
      <c r="V161" s="121" t="s">
        <v>1023</v>
      </c>
      <c r="W161" s="121" t="s">
        <v>1009</v>
      </c>
      <c r="X161" s="121" t="s">
        <v>228</v>
      </c>
      <c r="Y161" s="121" t="s">
        <v>274</v>
      </c>
      <c r="Z161" s="121" t="s">
        <v>1043</v>
      </c>
      <c r="AA161" s="121" t="s">
        <v>1229</v>
      </c>
      <c r="AB161" s="121" t="s">
        <v>1034</v>
      </c>
      <c r="AC161" s="121" t="s">
        <v>1031</v>
      </c>
      <c r="AD161" s="121" t="s">
        <v>1028</v>
      </c>
      <c r="AE161" s="121" t="s">
        <v>1014</v>
      </c>
      <c r="AF161" s="123" t="s">
        <v>1230</v>
      </c>
      <c r="AG161" s="124" t="s">
        <v>235</v>
      </c>
    </row>
    <row r="162" spans="1:33" x14ac:dyDescent="0.3">
      <c r="A162" s="90">
        <v>45136</v>
      </c>
      <c r="B162" s="120" t="s">
        <v>1155</v>
      </c>
      <c r="C162" s="121" t="s">
        <v>244</v>
      </c>
      <c r="D162" s="121" t="s">
        <v>239</v>
      </c>
      <c r="E162" s="121" t="s">
        <v>1017</v>
      </c>
      <c r="F162" s="121" t="s">
        <v>1007</v>
      </c>
      <c r="G162" s="121" t="s">
        <v>325</v>
      </c>
      <c r="H162" s="121" t="s">
        <v>270</v>
      </c>
      <c r="I162" s="121" t="s">
        <v>346</v>
      </c>
      <c r="J162" s="121" t="s">
        <v>1030</v>
      </c>
      <c r="K162" s="121" t="s">
        <v>392</v>
      </c>
      <c r="L162" s="121" t="s">
        <v>1036</v>
      </c>
      <c r="M162" s="121" t="s">
        <v>311</v>
      </c>
      <c r="N162" s="121" t="s">
        <v>264</v>
      </c>
      <c r="O162" s="121" t="s">
        <v>221</v>
      </c>
      <c r="P162" s="123" t="s">
        <v>248</v>
      </c>
      <c r="Q162" s="124" t="s">
        <v>1029</v>
      </c>
      <c r="R162" s="120" t="s">
        <v>1155</v>
      </c>
      <c r="S162" s="121" t="s">
        <v>222</v>
      </c>
      <c r="T162" s="121" t="s">
        <v>1227</v>
      </c>
      <c r="U162" s="121" t="s">
        <v>251</v>
      </c>
      <c r="V162" s="121" t="s">
        <v>1023</v>
      </c>
      <c r="W162" s="121" t="s">
        <v>1009</v>
      </c>
      <c r="X162" s="121" t="s">
        <v>228</v>
      </c>
      <c r="Y162" s="121" t="s">
        <v>274</v>
      </c>
      <c r="Z162" s="121" t="s">
        <v>1043</v>
      </c>
      <c r="AA162" s="121" t="s">
        <v>1229</v>
      </c>
      <c r="AB162" s="121" t="s">
        <v>1034</v>
      </c>
      <c r="AC162" s="121" t="s">
        <v>1031</v>
      </c>
      <c r="AD162" s="121" t="s">
        <v>1028</v>
      </c>
      <c r="AE162" s="121" t="s">
        <v>1014</v>
      </c>
      <c r="AF162" s="123" t="s">
        <v>1230</v>
      </c>
      <c r="AG162" s="124" t="s">
        <v>235</v>
      </c>
    </row>
    <row r="163" spans="1:33" ht="15" thickBot="1" x14ac:dyDescent="0.35">
      <c r="A163" s="90">
        <v>45137</v>
      </c>
      <c r="B163" s="127" t="s">
        <v>1156</v>
      </c>
      <c r="C163" s="128" t="s">
        <v>244</v>
      </c>
      <c r="D163" s="128" t="s">
        <v>239</v>
      </c>
      <c r="E163" s="128" t="s">
        <v>1017</v>
      </c>
      <c r="F163" s="128" t="s">
        <v>1007</v>
      </c>
      <c r="G163" s="128" t="s">
        <v>325</v>
      </c>
      <c r="H163" s="128" t="s">
        <v>270</v>
      </c>
      <c r="I163" s="128" t="s">
        <v>346</v>
      </c>
      <c r="J163" s="128" t="s">
        <v>1030</v>
      </c>
      <c r="K163" s="128" t="s">
        <v>392</v>
      </c>
      <c r="L163" s="128" t="s">
        <v>1036</v>
      </c>
      <c r="M163" s="128" t="s">
        <v>311</v>
      </c>
      <c r="N163" s="128" t="s">
        <v>264</v>
      </c>
      <c r="O163" s="128" t="s">
        <v>221</v>
      </c>
      <c r="P163" s="129" t="s">
        <v>248</v>
      </c>
      <c r="Q163" s="130" t="s">
        <v>1029</v>
      </c>
      <c r="R163" s="127" t="s">
        <v>1156</v>
      </c>
      <c r="S163" s="128" t="s">
        <v>222</v>
      </c>
      <c r="T163" s="128" t="s">
        <v>1227</v>
      </c>
      <c r="U163" s="128" t="s">
        <v>251</v>
      </c>
      <c r="V163" s="128" t="s">
        <v>1023</v>
      </c>
      <c r="W163" s="128" t="s">
        <v>1009</v>
      </c>
      <c r="X163" s="128" t="s">
        <v>228</v>
      </c>
      <c r="Y163" s="128" t="s">
        <v>274</v>
      </c>
      <c r="Z163" s="128" t="s">
        <v>1043</v>
      </c>
      <c r="AA163" s="128" t="s">
        <v>1229</v>
      </c>
      <c r="AB163" s="128" t="s">
        <v>1034</v>
      </c>
      <c r="AC163" s="128" t="s">
        <v>1031</v>
      </c>
      <c r="AD163" s="128" t="s">
        <v>1028</v>
      </c>
      <c r="AE163" s="128" t="s">
        <v>1014</v>
      </c>
      <c r="AF163" s="129" t="s">
        <v>1230</v>
      </c>
      <c r="AG163" s="130" t="s">
        <v>235</v>
      </c>
    </row>
    <row r="164" spans="1:33" x14ac:dyDescent="0.3">
      <c r="A164" s="90" t="s">
        <v>3</v>
      </c>
      <c r="B164" s="6" t="s">
        <v>3</v>
      </c>
      <c r="C164" s="112" t="s">
        <v>286</v>
      </c>
      <c r="D164" s="112" t="s">
        <v>250</v>
      </c>
      <c r="E164" s="112" t="s">
        <v>248</v>
      </c>
      <c r="F164" s="112" t="s">
        <v>270</v>
      </c>
      <c r="G164" s="112" t="s">
        <v>266</v>
      </c>
      <c r="H164" s="112" t="s">
        <v>226</v>
      </c>
      <c r="I164" s="112" t="s">
        <v>246</v>
      </c>
      <c r="J164" s="112" t="s">
        <v>239</v>
      </c>
      <c r="K164" s="112" t="s">
        <v>339</v>
      </c>
      <c r="L164" s="112" t="s">
        <v>311</v>
      </c>
      <c r="M164" s="112" t="s">
        <v>231</v>
      </c>
      <c r="N164" s="112" t="s">
        <v>241</v>
      </c>
      <c r="O164" s="112" t="s">
        <v>268</v>
      </c>
      <c r="P164" s="112" t="s">
        <v>255</v>
      </c>
      <c r="Q164" s="113" t="s">
        <v>392</v>
      </c>
      <c r="R164" s="6" t="s">
        <v>1</v>
      </c>
      <c r="S164" s="112" t="s">
        <v>278</v>
      </c>
      <c r="T164" s="112" t="s">
        <v>221</v>
      </c>
      <c r="U164" s="112" t="s">
        <v>243</v>
      </c>
      <c r="V164" s="112" t="s">
        <v>251</v>
      </c>
      <c r="W164" s="112" t="s">
        <v>346</v>
      </c>
      <c r="X164" s="112" t="s">
        <v>224</v>
      </c>
      <c r="Y164" s="112" t="s">
        <v>287</v>
      </c>
      <c r="Z164" s="112" t="s">
        <v>235</v>
      </c>
      <c r="AA164" s="112" t="s">
        <v>274</v>
      </c>
      <c r="AB164" s="112" t="s">
        <v>222</v>
      </c>
      <c r="AC164" s="112" t="s">
        <v>325</v>
      </c>
      <c r="AD164" s="112" t="s">
        <v>244</v>
      </c>
      <c r="AE164" s="112" t="s">
        <v>228</v>
      </c>
      <c r="AF164" s="112" t="s">
        <v>264</v>
      </c>
      <c r="AG164" s="113" t="s">
        <v>234</v>
      </c>
    </row>
    <row r="165" spans="1:33" x14ac:dyDescent="0.3">
      <c r="A165" s="90"/>
      <c r="B165" s="114"/>
      <c r="C165" s="115">
        <v>7</v>
      </c>
      <c r="D165" s="115">
        <v>6</v>
      </c>
      <c r="E165" s="115">
        <v>7</v>
      </c>
      <c r="F165" s="115">
        <v>7</v>
      </c>
      <c r="G165" s="115">
        <v>6</v>
      </c>
      <c r="H165" s="115">
        <v>6</v>
      </c>
      <c r="I165" s="115">
        <v>7</v>
      </c>
      <c r="J165" s="115">
        <v>7</v>
      </c>
      <c r="K165" s="115">
        <v>6</v>
      </c>
      <c r="L165" s="115">
        <v>7</v>
      </c>
      <c r="M165" s="115">
        <v>6</v>
      </c>
      <c r="N165" s="115">
        <v>6</v>
      </c>
      <c r="O165" s="115">
        <v>6</v>
      </c>
      <c r="P165" s="115">
        <v>6</v>
      </c>
      <c r="Q165" s="116">
        <v>6</v>
      </c>
      <c r="R165" s="114"/>
      <c r="S165" s="115">
        <v>7</v>
      </c>
      <c r="T165" s="115">
        <v>6</v>
      </c>
      <c r="U165" s="115">
        <v>6</v>
      </c>
      <c r="V165" s="115">
        <v>6</v>
      </c>
      <c r="W165" s="115">
        <v>5</v>
      </c>
      <c r="X165" s="115">
        <v>7</v>
      </c>
      <c r="Y165" s="115">
        <v>6</v>
      </c>
      <c r="Z165" s="115">
        <v>7</v>
      </c>
      <c r="AA165" s="115">
        <v>6</v>
      </c>
      <c r="AB165" s="115">
        <v>7</v>
      </c>
      <c r="AC165" s="115">
        <v>5</v>
      </c>
      <c r="AD165" s="115">
        <v>7</v>
      </c>
      <c r="AE165" s="115">
        <v>6</v>
      </c>
      <c r="AF165" s="115">
        <v>6</v>
      </c>
      <c r="AG165" s="116">
        <v>7</v>
      </c>
    </row>
    <row r="166" spans="1:33" x14ac:dyDescent="0.3">
      <c r="A166" s="90">
        <v>45138</v>
      </c>
      <c r="B166" s="131" t="s">
        <v>1157</v>
      </c>
      <c r="C166" s="132" t="s">
        <v>1227</v>
      </c>
      <c r="D166" s="132" t="s">
        <v>235</v>
      </c>
      <c r="E166" s="132" t="s">
        <v>270</v>
      </c>
      <c r="F166" s="132" t="s">
        <v>1008</v>
      </c>
      <c r="G166" s="132" t="s">
        <v>241</v>
      </c>
      <c r="H166" s="132"/>
      <c r="I166" s="132" t="s">
        <v>311</v>
      </c>
      <c r="J166" s="132" t="s">
        <v>1232</v>
      </c>
      <c r="K166" s="132"/>
      <c r="L166" s="132" t="s">
        <v>1009</v>
      </c>
      <c r="M166" s="132"/>
      <c r="N166" s="132" t="s">
        <v>1031</v>
      </c>
      <c r="O166" s="132" t="s">
        <v>286</v>
      </c>
      <c r="P166" s="132"/>
      <c r="Q166" s="133" t="s">
        <v>239</v>
      </c>
      <c r="R166" s="131" t="s">
        <v>1157</v>
      </c>
      <c r="S166" s="132" t="s">
        <v>1043</v>
      </c>
      <c r="T166" s="132" t="s">
        <v>1015</v>
      </c>
      <c r="U166" s="132"/>
      <c r="V166" s="132" t="s">
        <v>1014</v>
      </c>
      <c r="W166" s="132"/>
      <c r="X166" s="132" t="s">
        <v>251</v>
      </c>
      <c r="Y166" s="132"/>
      <c r="Z166" s="132" t="s">
        <v>1030</v>
      </c>
      <c r="AA166" s="132"/>
      <c r="AB166" s="132" t="s">
        <v>228</v>
      </c>
      <c r="AC166" s="132"/>
      <c r="AD166" s="132" t="s">
        <v>221</v>
      </c>
      <c r="AE166" s="132" t="s">
        <v>1012</v>
      </c>
      <c r="AF166" s="132"/>
      <c r="AG166" s="133" t="s">
        <v>278</v>
      </c>
    </row>
    <row r="167" spans="1:33" x14ac:dyDescent="0.3">
      <c r="A167" s="90">
        <v>45139</v>
      </c>
      <c r="B167" s="131" t="s">
        <v>1158</v>
      </c>
      <c r="C167" s="132" t="s">
        <v>1227</v>
      </c>
      <c r="D167" s="132" t="s">
        <v>235</v>
      </c>
      <c r="E167" s="132" t="s">
        <v>270</v>
      </c>
      <c r="F167" s="132" t="s">
        <v>1008</v>
      </c>
      <c r="G167" s="132" t="s">
        <v>241</v>
      </c>
      <c r="H167" s="132" t="s">
        <v>325</v>
      </c>
      <c r="I167" s="132" t="s">
        <v>311</v>
      </c>
      <c r="J167" s="132" t="s">
        <v>1232</v>
      </c>
      <c r="K167" s="132" t="s">
        <v>1229</v>
      </c>
      <c r="L167" s="132" t="s">
        <v>1009</v>
      </c>
      <c r="M167" s="132" t="s">
        <v>346</v>
      </c>
      <c r="N167" s="132" t="s">
        <v>1031</v>
      </c>
      <c r="O167" s="132" t="s">
        <v>286</v>
      </c>
      <c r="P167" s="132" t="s">
        <v>274</v>
      </c>
      <c r="Q167" s="133" t="s">
        <v>239</v>
      </c>
      <c r="R167" s="131" t="s">
        <v>1158</v>
      </c>
      <c r="S167" s="132" t="s">
        <v>1043</v>
      </c>
      <c r="T167" s="132" t="s">
        <v>1015</v>
      </c>
      <c r="U167" s="132" t="s">
        <v>1010</v>
      </c>
      <c r="V167" s="132" t="s">
        <v>1014</v>
      </c>
      <c r="W167" s="132" t="s">
        <v>1036</v>
      </c>
      <c r="X167" s="132" t="s">
        <v>251</v>
      </c>
      <c r="Y167" s="132" t="s">
        <v>339</v>
      </c>
      <c r="Z167" s="132" t="s">
        <v>1030</v>
      </c>
      <c r="AA167" s="132" t="s">
        <v>1017</v>
      </c>
      <c r="AB167" s="132" t="s">
        <v>228</v>
      </c>
      <c r="AC167" s="132" t="s">
        <v>1007</v>
      </c>
      <c r="AD167" s="132" t="s">
        <v>221</v>
      </c>
      <c r="AE167" s="132" t="s">
        <v>1012</v>
      </c>
      <c r="AF167" s="132" t="s">
        <v>243</v>
      </c>
      <c r="AG167" s="133" t="s">
        <v>278</v>
      </c>
    </row>
    <row r="168" spans="1:33" x14ac:dyDescent="0.3">
      <c r="A168" s="90">
        <v>45140</v>
      </c>
      <c r="B168" s="131" t="s">
        <v>1159</v>
      </c>
      <c r="C168" s="132" t="s">
        <v>1227</v>
      </c>
      <c r="D168" s="132" t="s">
        <v>235</v>
      </c>
      <c r="E168" s="132" t="s">
        <v>270</v>
      </c>
      <c r="F168" s="132" t="s">
        <v>1008</v>
      </c>
      <c r="G168" s="132" t="s">
        <v>241</v>
      </c>
      <c r="H168" s="132" t="s">
        <v>325</v>
      </c>
      <c r="I168" s="132" t="s">
        <v>311</v>
      </c>
      <c r="J168" s="132" t="s">
        <v>1232</v>
      </c>
      <c r="K168" s="132" t="s">
        <v>1229</v>
      </c>
      <c r="L168" s="132" t="s">
        <v>1009</v>
      </c>
      <c r="M168" s="132" t="s">
        <v>346</v>
      </c>
      <c r="N168" s="132" t="s">
        <v>1031</v>
      </c>
      <c r="O168" s="132" t="s">
        <v>286</v>
      </c>
      <c r="P168" s="132" t="s">
        <v>274</v>
      </c>
      <c r="Q168" s="133" t="s">
        <v>239</v>
      </c>
      <c r="R168" s="131" t="s">
        <v>1159</v>
      </c>
      <c r="S168" s="132" t="s">
        <v>1043</v>
      </c>
      <c r="T168" s="132" t="s">
        <v>1015</v>
      </c>
      <c r="U168" s="132" t="s">
        <v>1010</v>
      </c>
      <c r="V168" s="132" t="s">
        <v>1014</v>
      </c>
      <c r="W168" s="132" t="s">
        <v>1036</v>
      </c>
      <c r="X168" s="132" t="s">
        <v>251</v>
      </c>
      <c r="Y168" s="132" t="s">
        <v>339</v>
      </c>
      <c r="Z168" s="132" t="s">
        <v>1030</v>
      </c>
      <c r="AA168" s="132" t="s">
        <v>1017</v>
      </c>
      <c r="AB168" s="132" t="s">
        <v>228</v>
      </c>
      <c r="AC168" s="132" t="s">
        <v>1007</v>
      </c>
      <c r="AD168" s="132" t="s">
        <v>221</v>
      </c>
      <c r="AE168" s="132" t="s">
        <v>1012</v>
      </c>
      <c r="AF168" s="132" t="s">
        <v>243</v>
      </c>
      <c r="AG168" s="133" t="s">
        <v>278</v>
      </c>
    </row>
    <row r="169" spans="1:33" x14ac:dyDescent="0.3">
      <c r="A169" s="90">
        <v>45141</v>
      </c>
      <c r="B169" s="131" t="s">
        <v>1160</v>
      </c>
      <c r="C169" s="132" t="s">
        <v>1227</v>
      </c>
      <c r="D169" s="132"/>
      <c r="E169" s="132" t="s">
        <v>270</v>
      </c>
      <c r="F169" s="134" t="s">
        <v>1008</v>
      </c>
      <c r="G169" s="132"/>
      <c r="H169" s="132" t="s">
        <v>325</v>
      </c>
      <c r="I169" s="132" t="s">
        <v>311</v>
      </c>
      <c r="J169" s="132" t="s">
        <v>231</v>
      </c>
      <c r="K169" s="132" t="s">
        <v>1229</v>
      </c>
      <c r="L169" s="132" t="s">
        <v>1009</v>
      </c>
      <c r="M169" s="132" t="s">
        <v>1022</v>
      </c>
      <c r="N169" s="132"/>
      <c r="O169" s="132" t="s">
        <v>286</v>
      </c>
      <c r="P169" s="132" t="s">
        <v>274</v>
      </c>
      <c r="Q169" s="133"/>
      <c r="R169" s="131" t="s">
        <v>1160</v>
      </c>
      <c r="S169" s="132" t="s">
        <v>1043</v>
      </c>
      <c r="T169" s="132"/>
      <c r="U169" s="132" t="s">
        <v>1010</v>
      </c>
      <c r="V169" s="134"/>
      <c r="W169" s="132"/>
      <c r="X169" s="132" t="s">
        <v>1012</v>
      </c>
      <c r="Y169" s="132" t="s">
        <v>339</v>
      </c>
      <c r="Z169" s="132" t="s">
        <v>244</v>
      </c>
      <c r="AA169" s="132" t="s">
        <v>1017</v>
      </c>
      <c r="AB169" s="132" t="s">
        <v>224</v>
      </c>
      <c r="AC169" s="132" t="s">
        <v>1007</v>
      </c>
      <c r="AD169" s="132" t="s">
        <v>1038</v>
      </c>
      <c r="AE169" s="132"/>
      <c r="AF169" s="132" t="s">
        <v>243</v>
      </c>
      <c r="AG169" s="133" t="s">
        <v>278</v>
      </c>
    </row>
    <row r="170" spans="1:33" x14ac:dyDescent="0.3">
      <c r="A170" s="90">
        <v>45142</v>
      </c>
      <c r="B170" s="131" t="s">
        <v>1161</v>
      </c>
      <c r="C170" s="132" t="s">
        <v>1033</v>
      </c>
      <c r="D170" s="132" t="s">
        <v>1008</v>
      </c>
      <c r="E170" s="132" t="s">
        <v>250</v>
      </c>
      <c r="F170" s="132" t="s">
        <v>392</v>
      </c>
      <c r="G170" s="132" t="s">
        <v>1017</v>
      </c>
      <c r="H170" s="132" t="s">
        <v>1230</v>
      </c>
      <c r="I170" s="132" t="s">
        <v>1010</v>
      </c>
      <c r="J170" s="132" t="s">
        <v>231</v>
      </c>
      <c r="K170" s="132" t="s">
        <v>1034</v>
      </c>
      <c r="L170" s="132" t="s">
        <v>287</v>
      </c>
      <c r="M170" s="132" t="s">
        <v>1022</v>
      </c>
      <c r="N170" s="132" t="s">
        <v>226</v>
      </c>
      <c r="O170" s="132"/>
      <c r="P170" s="132" t="s">
        <v>266</v>
      </c>
      <c r="Q170" s="133" t="s">
        <v>1011</v>
      </c>
      <c r="R170" s="131" t="s">
        <v>1161</v>
      </c>
      <c r="S170" s="132" t="s">
        <v>339</v>
      </c>
      <c r="T170" s="132" t="s">
        <v>234</v>
      </c>
      <c r="U170" s="132" t="s">
        <v>1037</v>
      </c>
      <c r="V170" s="132" t="s">
        <v>243</v>
      </c>
      <c r="W170" s="132" t="s">
        <v>228</v>
      </c>
      <c r="X170" s="132" t="s">
        <v>1012</v>
      </c>
      <c r="Y170" s="132" t="s">
        <v>1027</v>
      </c>
      <c r="Z170" s="132" t="s">
        <v>244</v>
      </c>
      <c r="AA170" s="132" t="s">
        <v>286</v>
      </c>
      <c r="AB170" s="132" t="s">
        <v>224</v>
      </c>
      <c r="AC170" s="132"/>
      <c r="AD170" s="132" t="s">
        <v>1038</v>
      </c>
      <c r="AE170" s="132" t="s">
        <v>1032</v>
      </c>
      <c r="AF170" s="132" t="s">
        <v>246</v>
      </c>
      <c r="AG170" s="133" t="s">
        <v>1013</v>
      </c>
    </row>
    <row r="171" spans="1:33" x14ac:dyDescent="0.3">
      <c r="A171" s="90">
        <v>45143</v>
      </c>
      <c r="B171" s="131" t="s">
        <v>1162</v>
      </c>
      <c r="C171" s="132" t="s">
        <v>1033</v>
      </c>
      <c r="D171" s="132" t="s">
        <v>1008</v>
      </c>
      <c r="E171" s="132" t="s">
        <v>250</v>
      </c>
      <c r="F171" s="132" t="s">
        <v>392</v>
      </c>
      <c r="G171" s="132" t="s">
        <v>1017</v>
      </c>
      <c r="H171" s="132" t="s">
        <v>1230</v>
      </c>
      <c r="I171" s="132" t="s">
        <v>1010</v>
      </c>
      <c r="J171" s="132" t="s">
        <v>231</v>
      </c>
      <c r="K171" s="134" t="s">
        <v>1034</v>
      </c>
      <c r="L171" s="132" t="s">
        <v>287</v>
      </c>
      <c r="M171" s="132" t="s">
        <v>1022</v>
      </c>
      <c r="N171" s="132" t="s">
        <v>226</v>
      </c>
      <c r="O171" s="132" t="s">
        <v>1016</v>
      </c>
      <c r="P171" s="132" t="s">
        <v>266</v>
      </c>
      <c r="Q171" s="133" t="s">
        <v>1011</v>
      </c>
      <c r="R171" s="131" t="s">
        <v>1162</v>
      </c>
      <c r="S171" s="132" t="s">
        <v>339</v>
      </c>
      <c r="T171" s="132" t="s">
        <v>234</v>
      </c>
      <c r="U171" s="132" t="s">
        <v>1037</v>
      </c>
      <c r="V171" s="132" t="s">
        <v>243</v>
      </c>
      <c r="W171" s="132" t="s">
        <v>228</v>
      </c>
      <c r="X171" s="132" t="s">
        <v>1012</v>
      </c>
      <c r="Y171" s="132" t="s">
        <v>1027</v>
      </c>
      <c r="Z171" s="132" t="s">
        <v>244</v>
      </c>
      <c r="AA171" s="134" t="s">
        <v>286</v>
      </c>
      <c r="AB171" s="132" t="s">
        <v>224</v>
      </c>
      <c r="AC171" s="132" t="s">
        <v>268</v>
      </c>
      <c r="AD171" s="132" t="s">
        <v>1038</v>
      </c>
      <c r="AE171" s="132" t="s">
        <v>1032</v>
      </c>
      <c r="AF171" s="132" t="s">
        <v>246</v>
      </c>
      <c r="AG171" s="133" t="s">
        <v>1013</v>
      </c>
    </row>
    <row r="172" spans="1:33" ht="15" thickBot="1" x14ac:dyDescent="0.35">
      <c r="A172" s="90">
        <v>45144</v>
      </c>
      <c r="B172" s="135" t="s">
        <v>1163</v>
      </c>
      <c r="C172" s="136" t="s">
        <v>1033</v>
      </c>
      <c r="D172" s="136" t="s">
        <v>1008</v>
      </c>
      <c r="E172" s="136" t="s">
        <v>250</v>
      </c>
      <c r="F172" s="136" t="s">
        <v>392</v>
      </c>
      <c r="G172" s="136" t="s">
        <v>1017</v>
      </c>
      <c r="H172" s="136" t="s">
        <v>1230</v>
      </c>
      <c r="I172" s="136" t="s">
        <v>1010</v>
      </c>
      <c r="J172" s="136" t="s">
        <v>231</v>
      </c>
      <c r="K172" s="136" t="s">
        <v>1034</v>
      </c>
      <c r="L172" s="136" t="s">
        <v>287</v>
      </c>
      <c r="M172" s="136" t="s">
        <v>1022</v>
      </c>
      <c r="N172" s="136" t="s">
        <v>226</v>
      </c>
      <c r="O172" s="136" t="s">
        <v>1016</v>
      </c>
      <c r="P172" s="136" t="s">
        <v>266</v>
      </c>
      <c r="Q172" s="137" t="s">
        <v>1011</v>
      </c>
      <c r="R172" s="135" t="s">
        <v>1163</v>
      </c>
      <c r="S172" s="136" t="s">
        <v>339</v>
      </c>
      <c r="T172" s="136" t="s">
        <v>234</v>
      </c>
      <c r="U172" s="136" t="s">
        <v>1037</v>
      </c>
      <c r="V172" s="136" t="s">
        <v>243</v>
      </c>
      <c r="W172" s="136" t="s">
        <v>228</v>
      </c>
      <c r="X172" s="136" t="s">
        <v>1012</v>
      </c>
      <c r="Y172" s="136" t="s">
        <v>1027</v>
      </c>
      <c r="Z172" s="136" t="s">
        <v>244</v>
      </c>
      <c r="AA172" s="136" t="s">
        <v>286</v>
      </c>
      <c r="AB172" s="136" t="s">
        <v>224</v>
      </c>
      <c r="AC172" s="136" t="s">
        <v>268</v>
      </c>
      <c r="AD172" s="136" t="s">
        <v>1038</v>
      </c>
      <c r="AE172" s="136" t="s">
        <v>1032</v>
      </c>
      <c r="AF172" s="136" t="s">
        <v>246</v>
      </c>
      <c r="AG172" s="137" t="s">
        <v>1013</v>
      </c>
    </row>
    <row r="173" spans="1:33" x14ac:dyDescent="0.3">
      <c r="A173" s="90" t="s">
        <v>3</v>
      </c>
      <c r="B173" s="6" t="s">
        <v>3</v>
      </c>
      <c r="C173" s="112" t="s">
        <v>286</v>
      </c>
      <c r="D173" s="112" t="s">
        <v>250</v>
      </c>
      <c r="E173" s="112" t="s">
        <v>248</v>
      </c>
      <c r="F173" s="112" t="s">
        <v>270</v>
      </c>
      <c r="G173" s="112" t="s">
        <v>266</v>
      </c>
      <c r="H173" s="112" t="s">
        <v>226</v>
      </c>
      <c r="I173" s="112" t="s">
        <v>246</v>
      </c>
      <c r="J173" s="112" t="s">
        <v>239</v>
      </c>
      <c r="K173" s="112" t="s">
        <v>339</v>
      </c>
      <c r="L173" s="112" t="s">
        <v>311</v>
      </c>
      <c r="M173" s="112" t="s">
        <v>231</v>
      </c>
      <c r="N173" s="112" t="s">
        <v>241</v>
      </c>
      <c r="O173" s="112" t="s">
        <v>268</v>
      </c>
      <c r="P173" s="112" t="s">
        <v>255</v>
      </c>
      <c r="Q173" s="113" t="s">
        <v>392</v>
      </c>
      <c r="R173" s="6" t="s">
        <v>1</v>
      </c>
      <c r="S173" s="112" t="s">
        <v>278</v>
      </c>
      <c r="T173" s="112" t="s">
        <v>221</v>
      </c>
      <c r="U173" s="112" t="s">
        <v>243</v>
      </c>
      <c r="V173" s="112" t="s">
        <v>251</v>
      </c>
      <c r="W173" s="112" t="s">
        <v>346</v>
      </c>
      <c r="X173" s="112" t="s">
        <v>224</v>
      </c>
      <c r="Y173" s="112" t="s">
        <v>287</v>
      </c>
      <c r="Z173" s="112" t="s">
        <v>235</v>
      </c>
      <c r="AA173" s="112" t="s">
        <v>274</v>
      </c>
      <c r="AB173" s="112" t="s">
        <v>222</v>
      </c>
      <c r="AC173" s="112" t="s">
        <v>325</v>
      </c>
      <c r="AD173" s="112" t="s">
        <v>244</v>
      </c>
      <c r="AE173" s="112" t="s">
        <v>228</v>
      </c>
      <c r="AF173" s="112" t="s">
        <v>264</v>
      </c>
      <c r="AG173" s="113" t="s">
        <v>234</v>
      </c>
    </row>
    <row r="174" spans="1:33" x14ac:dyDescent="0.3">
      <c r="A174" s="90"/>
      <c r="B174" s="120"/>
      <c r="C174" s="121">
        <v>5</v>
      </c>
      <c r="D174" s="121">
        <v>7</v>
      </c>
      <c r="E174" s="121">
        <v>6</v>
      </c>
      <c r="F174" s="121">
        <v>6</v>
      </c>
      <c r="G174" s="121">
        <v>7</v>
      </c>
      <c r="H174" s="121">
        <v>7</v>
      </c>
      <c r="I174" s="121">
        <v>6</v>
      </c>
      <c r="J174" s="121">
        <v>6</v>
      </c>
      <c r="K174" s="121">
        <v>6</v>
      </c>
      <c r="L174" s="121">
        <v>7</v>
      </c>
      <c r="M174" s="121">
        <v>7</v>
      </c>
      <c r="N174" s="121">
        <v>6</v>
      </c>
      <c r="O174" s="121">
        <v>6</v>
      </c>
      <c r="P174" s="121">
        <v>5</v>
      </c>
      <c r="Q174" s="122">
        <v>7</v>
      </c>
      <c r="R174" s="120"/>
      <c r="S174" s="121">
        <v>6</v>
      </c>
      <c r="T174" s="121">
        <v>7</v>
      </c>
      <c r="U174" s="121">
        <v>6</v>
      </c>
      <c r="V174" s="121">
        <v>7</v>
      </c>
      <c r="W174" s="121">
        <v>7</v>
      </c>
      <c r="X174" s="121">
        <v>6</v>
      </c>
      <c r="Y174" s="121">
        <v>6</v>
      </c>
      <c r="Z174" s="121">
        <v>6</v>
      </c>
      <c r="AA174" s="121">
        <v>7</v>
      </c>
      <c r="AB174" s="121">
        <v>6</v>
      </c>
      <c r="AC174" s="121">
        <v>6</v>
      </c>
      <c r="AD174" s="121">
        <v>5</v>
      </c>
      <c r="AE174" s="121">
        <v>6</v>
      </c>
      <c r="AF174" s="121">
        <v>6</v>
      </c>
      <c r="AG174" s="122">
        <v>7</v>
      </c>
    </row>
    <row r="175" spans="1:33" x14ac:dyDescent="0.3">
      <c r="A175" s="90">
        <v>45145</v>
      </c>
      <c r="B175" s="120" t="s">
        <v>1164</v>
      </c>
      <c r="C175" s="121"/>
      <c r="D175" s="121" t="s">
        <v>1036</v>
      </c>
      <c r="E175" s="121" t="s">
        <v>1029</v>
      </c>
      <c r="F175" s="121" t="s">
        <v>246</v>
      </c>
      <c r="G175" s="121" t="s">
        <v>1022</v>
      </c>
      <c r="H175" s="121" t="s">
        <v>1230</v>
      </c>
      <c r="I175" s="121" t="s">
        <v>1011</v>
      </c>
      <c r="J175" s="121" t="s">
        <v>266</v>
      </c>
      <c r="K175" s="121" t="s">
        <v>248</v>
      </c>
      <c r="L175" s="121" t="s">
        <v>392</v>
      </c>
      <c r="M175" s="121" t="s">
        <v>250</v>
      </c>
      <c r="N175" s="121" t="s">
        <v>226</v>
      </c>
      <c r="O175" s="121" t="s">
        <v>1038</v>
      </c>
      <c r="P175" s="121"/>
      <c r="Q175" s="122" t="s">
        <v>1027</v>
      </c>
      <c r="R175" s="120" t="s">
        <v>1164</v>
      </c>
      <c r="S175" s="121"/>
      <c r="T175" s="121" t="s">
        <v>287</v>
      </c>
      <c r="U175" s="121" t="s">
        <v>222</v>
      </c>
      <c r="V175" s="121" t="s">
        <v>234</v>
      </c>
      <c r="W175" s="121" t="s">
        <v>274</v>
      </c>
      <c r="X175" s="121"/>
      <c r="Y175" s="121" t="s">
        <v>1013</v>
      </c>
      <c r="Z175" s="121" t="s">
        <v>268</v>
      </c>
      <c r="AA175" s="121" t="s">
        <v>1032</v>
      </c>
      <c r="AB175" s="121" t="s">
        <v>1023</v>
      </c>
      <c r="AC175" s="121" t="s">
        <v>264</v>
      </c>
      <c r="AD175" s="121"/>
      <c r="AE175" s="121"/>
      <c r="AF175" s="121" t="s">
        <v>1016</v>
      </c>
      <c r="AG175" s="122" t="s">
        <v>1037</v>
      </c>
    </row>
    <row r="176" spans="1:33" x14ac:dyDescent="0.3">
      <c r="A176" s="90">
        <v>45146</v>
      </c>
      <c r="B176" s="120" t="s">
        <v>1165</v>
      </c>
      <c r="C176" s="121" t="s">
        <v>226</v>
      </c>
      <c r="D176" s="121" t="s">
        <v>1036</v>
      </c>
      <c r="E176" s="121" t="s">
        <v>1029</v>
      </c>
      <c r="F176" s="121" t="s">
        <v>246</v>
      </c>
      <c r="G176" s="121" t="s">
        <v>1022</v>
      </c>
      <c r="H176" s="121" t="s">
        <v>1028</v>
      </c>
      <c r="I176" s="121" t="s">
        <v>1011</v>
      </c>
      <c r="J176" s="121" t="s">
        <v>266</v>
      </c>
      <c r="K176" s="121" t="s">
        <v>248</v>
      </c>
      <c r="L176" s="121" t="s">
        <v>392</v>
      </c>
      <c r="M176" s="121" t="s">
        <v>250</v>
      </c>
      <c r="N176" s="121" t="s">
        <v>1015</v>
      </c>
      <c r="O176" s="121" t="s">
        <v>1038</v>
      </c>
      <c r="P176" s="123" t="s">
        <v>1228</v>
      </c>
      <c r="Q176" s="124" t="s">
        <v>1027</v>
      </c>
      <c r="R176" s="120" t="s">
        <v>1165</v>
      </c>
      <c r="S176" s="121" t="s">
        <v>224</v>
      </c>
      <c r="T176" s="121" t="s">
        <v>287</v>
      </c>
      <c r="U176" s="121" t="s">
        <v>222</v>
      </c>
      <c r="V176" s="121" t="s">
        <v>234</v>
      </c>
      <c r="W176" s="121" t="s">
        <v>274</v>
      </c>
      <c r="X176" s="121" t="s">
        <v>1034</v>
      </c>
      <c r="Y176" s="121" t="s">
        <v>1013</v>
      </c>
      <c r="Z176" s="121" t="s">
        <v>268</v>
      </c>
      <c r="AA176" s="121" t="s">
        <v>1032</v>
      </c>
      <c r="AB176" s="121" t="s">
        <v>1023</v>
      </c>
      <c r="AC176" s="121" t="s">
        <v>264</v>
      </c>
      <c r="AD176" s="121" t="s">
        <v>241</v>
      </c>
      <c r="AE176" s="121" t="s">
        <v>255</v>
      </c>
      <c r="AF176" s="123" t="s">
        <v>1016</v>
      </c>
      <c r="AG176" s="124" t="s">
        <v>1037</v>
      </c>
    </row>
    <row r="177" spans="1:33" x14ac:dyDescent="0.3">
      <c r="A177" s="90">
        <v>45147</v>
      </c>
      <c r="B177" s="120" t="s">
        <v>1166</v>
      </c>
      <c r="C177" s="121" t="s">
        <v>226</v>
      </c>
      <c r="D177" s="121" t="s">
        <v>1036</v>
      </c>
      <c r="E177" s="121" t="s">
        <v>1029</v>
      </c>
      <c r="F177" s="121" t="s">
        <v>246</v>
      </c>
      <c r="G177" s="121" t="s">
        <v>1022</v>
      </c>
      <c r="H177" s="121" t="s">
        <v>1028</v>
      </c>
      <c r="I177" s="121" t="s">
        <v>1011</v>
      </c>
      <c r="J177" s="121" t="s">
        <v>266</v>
      </c>
      <c r="K177" s="121" t="s">
        <v>248</v>
      </c>
      <c r="L177" s="121" t="s">
        <v>392</v>
      </c>
      <c r="M177" s="121" t="s">
        <v>250</v>
      </c>
      <c r="N177" s="121" t="s">
        <v>1015</v>
      </c>
      <c r="O177" s="121" t="s">
        <v>1038</v>
      </c>
      <c r="P177" s="123" t="s">
        <v>1228</v>
      </c>
      <c r="Q177" s="124" t="s">
        <v>1027</v>
      </c>
      <c r="R177" s="120" t="s">
        <v>1166</v>
      </c>
      <c r="S177" s="121" t="s">
        <v>224</v>
      </c>
      <c r="T177" s="121" t="s">
        <v>287</v>
      </c>
      <c r="U177" s="121" t="s">
        <v>222</v>
      </c>
      <c r="V177" s="121" t="s">
        <v>234</v>
      </c>
      <c r="W177" s="121" t="s">
        <v>274</v>
      </c>
      <c r="X177" s="121" t="s">
        <v>1034</v>
      </c>
      <c r="Y177" s="121" t="s">
        <v>1013</v>
      </c>
      <c r="Z177" s="121" t="s">
        <v>268</v>
      </c>
      <c r="AA177" s="121" t="s">
        <v>1032</v>
      </c>
      <c r="AB177" s="121" t="s">
        <v>1023</v>
      </c>
      <c r="AC177" s="121" t="s">
        <v>264</v>
      </c>
      <c r="AD177" s="121" t="s">
        <v>241</v>
      </c>
      <c r="AE177" s="121" t="s">
        <v>255</v>
      </c>
      <c r="AF177" s="123" t="s">
        <v>1016</v>
      </c>
      <c r="AG177" s="124" t="s">
        <v>1037</v>
      </c>
    </row>
    <row r="178" spans="1:33" x14ac:dyDescent="0.3">
      <c r="A178" s="90">
        <v>45148</v>
      </c>
      <c r="B178" s="120" t="s">
        <v>1167</v>
      </c>
      <c r="C178" s="121"/>
      <c r="D178" s="121" t="s">
        <v>1036</v>
      </c>
      <c r="E178" s="121"/>
      <c r="F178" s="121"/>
      <c r="G178" s="121" t="s">
        <v>1007</v>
      </c>
      <c r="H178" s="121" t="s">
        <v>266</v>
      </c>
      <c r="I178" s="121"/>
      <c r="J178" s="121"/>
      <c r="K178" s="121"/>
      <c r="L178" s="121" t="s">
        <v>392</v>
      </c>
      <c r="M178" s="121" t="s">
        <v>250</v>
      </c>
      <c r="N178" s="121"/>
      <c r="O178" s="121"/>
      <c r="P178" s="123" t="s">
        <v>1228</v>
      </c>
      <c r="Q178" s="124" t="s">
        <v>1027</v>
      </c>
      <c r="R178" s="120" t="s">
        <v>1167</v>
      </c>
      <c r="S178" s="121" t="s">
        <v>224</v>
      </c>
      <c r="T178" s="121" t="s">
        <v>287</v>
      </c>
      <c r="U178" s="121"/>
      <c r="V178" s="121" t="s">
        <v>234</v>
      </c>
      <c r="W178" s="121" t="s">
        <v>274</v>
      </c>
      <c r="X178" s="121" t="s">
        <v>1034</v>
      </c>
      <c r="Y178" s="121" t="s">
        <v>1013</v>
      </c>
      <c r="Z178" s="121"/>
      <c r="AA178" s="121" t="s">
        <v>1032</v>
      </c>
      <c r="AB178" s="121"/>
      <c r="AC178" s="121"/>
      <c r="AD178" s="121"/>
      <c r="AE178" s="121" t="s">
        <v>255</v>
      </c>
      <c r="AF178" s="123"/>
      <c r="AG178" s="124" t="s">
        <v>1037</v>
      </c>
    </row>
    <row r="179" spans="1:33" x14ac:dyDescent="0.3">
      <c r="A179" s="90">
        <v>45149</v>
      </c>
      <c r="B179" s="120" t="s">
        <v>1168</v>
      </c>
      <c r="C179" s="121" t="s">
        <v>241</v>
      </c>
      <c r="D179" s="121" t="s">
        <v>1029</v>
      </c>
      <c r="E179" s="121" t="s">
        <v>1043</v>
      </c>
      <c r="F179" s="121" t="s">
        <v>1036</v>
      </c>
      <c r="G179" s="121" t="s">
        <v>1007</v>
      </c>
      <c r="H179" s="121" t="s">
        <v>266</v>
      </c>
      <c r="I179" s="121" t="s">
        <v>222</v>
      </c>
      <c r="J179" s="121" t="s">
        <v>1023</v>
      </c>
      <c r="K179" s="121" t="s">
        <v>250</v>
      </c>
      <c r="L179" s="121" t="s">
        <v>274</v>
      </c>
      <c r="M179" s="121" t="s">
        <v>270</v>
      </c>
      <c r="N179" s="121" t="s">
        <v>1028</v>
      </c>
      <c r="O179" s="121" t="s">
        <v>264</v>
      </c>
      <c r="P179" s="123" t="s">
        <v>1229</v>
      </c>
      <c r="Q179" s="124" t="s">
        <v>325</v>
      </c>
      <c r="R179" s="120" t="s">
        <v>1168</v>
      </c>
      <c r="S179" s="121" t="s">
        <v>1015</v>
      </c>
      <c r="T179" s="121" t="s">
        <v>346</v>
      </c>
      <c r="U179" s="121" t="s">
        <v>239</v>
      </c>
      <c r="V179" s="121" t="s">
        <v>1228</v>
      </c>
      <c r="W179" s="121" t="s">
        <v>1013</v>
      </c>
      <c r="X179" s="121" t="s">
        <v>235</v>
      </c>
      <c r="Y179" s="121" t="s">
        <v>255</v>
      </c>
      <c r="Z179" s="121" t="s">
        <v>1014</v>
      </c>
      <c r="AA179" s="121" t="s">
        <v>1027</v>
      </c>
      <c r="AB179" s="121" t="s">
        <v>1009</v>
      </c>
      <c r="AC179" s="121" t="s">
        <v>1232</v>
      </c>
      <c r="AD179" s="121" t="s">
        <v>278</v>
      </c>
      <c r="AE179" s="121" t="s">
        <v>251</v>
      </c>
      <c r="AF179" s="123" t="s">
        <v>1227</v>
      </c>
      <c r="AG179" s="124" t="s">
        <v>248</v>
      </c>
    </row>
    <row r="180" spans="1:33" x14ac:dyDescent="0.3">
      <c r="A180" s="90">
        <v>45150</v>
      </c>
      <c r="B180" s="120" t="s">
        <v>1169</v>
      </c>
      <c r="C180" s="121" t="s">
        <v>241</v>
      </c>
      <c r="D180" s="121" t="s">
        <v>1029</v>
      </c>
      <c r="E180" s="121" t="s">
        <v>1043</v>
      </c>
      <c r="F180" s="121" t="s">
        <v>1036</v>
      </c>
      <c r="G180" s="121" t="s">
        <v>1007</v>
      </c>
      <c r="H180" s="121" t="s">
        <v>266</v>
      </c>
      <c r="I180" s="121" t="s">
        <v>222</v>
      </c>
      <c r="J180" s="121" t="s">
        <v>1023</v>
      </c>
      <c r="K180" s="121" t="s">
        <v>250</v>
      </c>
      <c r="L180" s="121" t="s">
        <v>274</v>
      </c>
      <c r="M180" s="121" t="s">
        <v>270</v>
      </c>
      <c r="N180" s="121" t="s">
        <v>1028</v>
      </c>
      <c r="O180" s="121" t="s">
        <v>264</v>
      </c>
      <c r="P180" s="123" t="s">
        <v>1229</v>
      </c>
      <c r="Q180" s="124" t="s">
        <v>325</v>
      </c>
      <c r="R180" s="120" t="s">
        <v>1169</v>
      </c>
      <c r="S180" s="121" t="s">
        <v>1015</v>
      </c>
      <c r="T180" s="121" t="s">
        <v>346</v>
      </c>
      <c r="U180" s="121" t="s">
        <v>239</v>
      </c>
      <c r="V180" s="121" t="s">
        <v>1228</v>
      </c>
      <c r="W180" s="121" t="s">
        <v>1013</v>
      </c>
      <c r="X180" s="121" t="s">
        <v>235</v>
      </c>
      <c r="Y180" s="121" t="s">
        <v>255</v>
      </c>
      <c r="Z180" s="121" t="s">
        <v>1014</v>
      </c>
      <c r="AA180" s="121" t="s">
        <v>1027</v>
      </c>
      <c r="AB180" s="121" t="s">
        <v>1009</v>
      </c>
      <c r="AC180" s="121" t="s">
        <v>1232</v>
      </c>
      <c r="AD180" s="121" t="s">
        <v>278</v>
      </c>
      <c r="AE180" s="121" t="s">
        <v>251</v>
      </c>
      <c r="AF180" s="123" t="s">
        <v>1227</v>
      </c>
      <c r="AG180" s="124" t="s">
        <v>248</v>
      </c>
    </row>
    <row r="181" spans="1:33" ht="15" thickBot="1" x14ac:dyDescent="0.35">
      <c r="A181" s="90">
        <v>45151</v>
      </c>
      <c r="B181" s="127" t="s">
        <v>1170</v>
      </c>
      <c r="C181" s="128" t="s">
        <v>241</v>
      </c>
      <c r="D181" s="128" t="s">
        <v>1029</v>
      </c>
      <c r="E181" s="128" t="s">
        <v>1043</v>
      </c>
      <c r="F181" s="128" t="s">
        <v>1036</v>
      </c>
      <c r="G181" s="128" t="s">
        <v>1007</v>
      </c>
      <c r="H181" s="128" t="s">
        <v>266</v>
      </c>
      <c r="I181" s="128" t="s">
        <v>222</v>
      </c>
      <c r="J181" s="128" t="s">
        <v>1023</v>
      </c>
      <c r="K181" s="128" t="s">
        <v>250</v>
      </c>
      <c r="L181" s="128" t="s">
        <v>274</v>
      </c>
      <c r="M181" s="128" t="s">
        <v>270</v>
      </c>
      <c r="N181" s="128" t="s">
        <v>1028</v>
      </c>
      <c r="O181" s="128" t="s">
        <v>264</v>
      </c>
      <c r="P181" s="129"/>
      <c r="Q181" s="130" t="s">
        <v>325</v>
      </c>
      <c r="R181" s="127" t="s">
        <v>1170</v>
      </c>
      <c r="S181" s="128" t="s">
        <v>1015</v>
      </c>
      <c r="T181" s="128" t="s">
        <v>346</v>
      </c>
      <c r="U181" s="128" t="s">
        <v>239</v>
      </c>
      <c r="V181" s="128" t="s">
        <v>1228</v>
      </c>
      <c r="W181" s="128" t="s">
        <v>1013</v>
      </c>
      <c r="X181" s="128" t="s">
        <v>235</v>
      </c>
      <c r="Y181" s="128"/>
      <c r="Z181" s="128" t="s">
        <v>1014</v>
      </c>
      <c r="AA181" s="128" t="s">
        <v>1027</v>
      </c>
      <c r="AB181" s="128" t="s">
        <v>1009</v>
      </c>
      <c r="AC181" s="128" t="s">
        <v>1232</v>
      </c>
      <c r="AD181" s="128" t="s">
        <v>278</v>
      </c>
      <c r="AE181" s="128" t="s">
        <v>251</v>
      </c>
      <c r="AF181" s="129" t="s">
        <v>1227</v>
      </c>
      <c r="AG181" s="130" t="s">
        <v>248</v>
      </c>
    </row>
    <row r="182" spans="1:33" x14ac:dyDescent="0.3">
      <c r="A182" s="90" t="s">
        <v>3</v>
      </c>
      <c r="B182" s="6" t="s">
        <v>3</v>
      </c>
      <c r="C182" s="112" t="s">
        <v>286</v>
      </c>
      <c r="D182" s="112" t="s">
        <v>250</v>
      </c>
      <c r="E182" s="112" t="s">
        <v>248</v>
      </c>
      <c r="F182" s="112" t="s">
        <v>270</v>
      </c>
      <c r="G182" s="112" t="s">
        <v>266</v>
      </c>
      <c r="H182" s="112" t="s">
        <v>226</v>
      </c>
      <c r="I182" s="112" t="s">
        <v>246</v>
      </c>
      <c r="J182" s="112" t="s">
        <v>239</v>
      </c>
      <c r="K182" s="112" t="s">
        <v>339</v>
      </c>
      <c r="L182" s="112" t="s">
        <v>311</v>
      </c>
      <c r="M182" s="112" t="s">
        <v>231</v>
      </c>
      <c r="N182" s="112" t="s">
        <v>241</v>
      </c>
      <c r="O182" s="112" t="s">
        <v>268</v>
      </c>
      <c r="P182" s="112" t="s">
        <v>255</v>
      </c>
      <c r="Q182" s="113" t="s">
        <v>392</v>
      </c>
      <c r="R182" s="6" t="s">
        <v>1</v>
      </c>
      <c r="S182" s="112" t="s">
        <v>278</v>
      </c>
      <c r="T182" s="112" t="s">
        <v>221</v>
      </c>
      <c r="U182" s="112" t="s">
        <v>243</v>
      </c>
      <c r="V182" s="112" t="s">
        <v>251</v>
      </c>
      <c r="W182" s="112" t="s">
        <v>346</v>
      </c>
      <c r="X182" s="112" t="s">
        <v>224</v>
      </c>
      <c r="Y182" s="112" t="s">
        <v>287</v>
      </c>
      <c r="Z182" s="112" t="s">
        <v>235</v>
      </c>
      <c r="AA182" s="112" t="s">
        <v>274</v>
      </c>
      <c r="AB182" s="112" t="s">
        <v>222</v>
      </c>
      <c r="AC182" s="112" t="s">
        <v>325</v>
      </c>
      <c r="AD182" s="112" t="s">
        <v>244</v>
      </c>
      <c r="AE182" s="112" t="s">
        <v>228</v>
      </c>
      <c r="AF182" s="112" t="s">
        <v>264</v>
      </c>
      <c r="AG182" s="113" t="s">
        <v>234</v>
      </c>
    </row>
    <row r="183" spans="1:33" x14ac:dyDescent="0.3">
      <c r="A183" s="90"/>
      <c r="B183" s="114"/>
      <c r="C183" s="115">
        <v>7</v>
      </c>
      <c r="D183" s="115">
        <v>6</v>
      </c>
      <c r="E183" s="115">
        <v>5</v>
      </c>
      <c r="F183" s="115">
        <v>5</v>
      </c>
      <c r="G183" s="115">
        <v>6</v>
      </c>
      <c r="H183" s="115">
        <v>6</v>
      </c>
      <c r="I183" s="115">
        <v>6</v>
      </c>
      <c r="J183" s="115">
        <v>6</v>
      </c>
      <c r="K183" s="115">
        <v>7</v>
      </c>
      <c r="L183" s="115">
        <v>5</v>
      </c>
      <c r="M183" s="115">
        <v>6</v>
      </c>
      <c r="N183" s="115">
        <v>7</v>
      </c>
      <c r="O183" s="115">
        <v>6</v>
      </c>
      <c r="P183" s="115">
        <v>7</v>
      </c>
      <c r="Q183" s="116">
        <v>6</v>
      </c>
      <c r="R183" s="114"/>
      <c r="S183" s="115">
        <v>6</v>
      </c>
      <c r="T183" s="115">
        <v>6</v>
      </c>
      <c r="U183" s="115">
        <v>5</v>
      </c>
      <c r="V183" s="115">
        <v>6</v>
      </c>
      <c r="W183" s="115">
        <v>6</v>
      </c>
      <c r="X183" s="115">
        <v>6</v>
      </c>
      <c r="Y183" s="115">
        <v>7</v>
      </c>
      <c r="Z183" s="115">
        <v>6</v>
      </c>
      <c r="AA183" s="115">
        <v>5</v>
      </c>
      <c r="AB183" s="115">
        <v>6</v>
      </c>
      <c r="AC183" s="115">
        <v>6</v>
      </c>
      <c r="AD183" s="115">
        <v>7</v>
      </c>
      <c r="AE183" s="115">
        <v>6</v>
      </c>
      <c r="AF183" s="115">
        <v>6</v>
      </c>
      <c r="AG183" s="116">
        <v>5</v>
      </c>
    </row>
    <row r="184" spans="1:33" x14ac:dyDescent="0.3">
      <c r="A184" s="90">
        <v>45152</v>
      </c>
      <c r="B184" s="131" t="s">
        <v>1171</v>
      </c>
      <c r="C184" s="132" t="s">
        <v>1031</v>
      </c>
      <c r="D184" s="132" t="s">
        <v>222</v>
      </c>
      <c r="E184" s="132"/>
      <c r="F184" s="132"/>
      <c r="G184" s="132" t="s">
        <v>286</v>
      </c>
      <c r="H184" s="132"/>
      <c r="I184" s="132" t="s">
        <v>224</v>
      </c>
      <c r="J184" s="132"/>
      <c r="K184" s="132" t="s">
        <v>231</v>
      </c>
      <c r="L184" s="132"/>
      <c r="M184" s="132" t="s">
        <v>1029</v>
      </c>
      <c r="N184" s="132" t="s">
        <v>278</v>
      </c>
      <c r="O184" s="132" t="s">
        <v>228</v>
      </c>
      <c r="P184" s="132" t="s">
        <v>325</v>
      </c>
      <c r="Q184" s="133"/>
      <c r="R184" s="131" t="s">
        <v>1171</v>
      </c>
      <c r="S184" s="132" t="s">
        <v>1230</v>
      </c>
      <c r="T184" s="132"/>
      <c r="U184" s="132"/>
      <c r="V184" s="132"/>
      <c r="W184" s="132"/>
      <c r="X184" s="132" t="s">
        <v>1009</v>
      </c>
      <c r="Y184" s="132" t="s">
        <v>244</v>
      </c>
      <c r="Z184" s="132" t="s">
        <v>1010</v>
      </c>
      <c r="AA184" s="132"/>
      <c r="AB184" s="132" t="s">
        <v>1030</v>
      </c>
      <c r="AC184" s="132" t="s">
        <v>1017</v>
      </c>
      <c r="AD184" s="132" t="s">
        <v>1229</v>
      </c>
      <c r="AE184" s="132" t="s">
        <v>1227</v>
      </c>
      <c r="AF184" s="132" t="s">
        <v>235</v>
      </c>
      <c r="AG184" s="133"/>
    </row>
    <row r="185" spans="1:33" x14ac:dyDescent="0.3">
      <c r="A185" s="90">
        <v>45153</v>
      </c>
      <c r="B185" s="131" t="s">
        <v>1172</v>
      </c>
      <c r="C185" s="132" t="s">
        <v>1031</v>
      </c>
      <c r="D185" s="132" t="s">
        <v>222</v>
      </c>
      <c r="E185" s="132" t="s">
        <v>243</v>
      </c>
      <c r="F185" s="132" t="s">
        <v>251</v>
      </c>
      <c r="G185" s="132" t="s">
        <v>286</v>
      </c>
      <c r="H185" s="132" t="s">
        <v>239</v>
      </c>
      <c r="I185" s="132" t="s">
        <v>224</v>
      </c>
      <c r="J185" s="132" t="s">
        <v>1007</v>
      </c>
      <c r="K185" s="132" t="s">
        <v>231</v>
      </c>
      <c r="L185" s="132" t="s">
        <v>1043</v>
      </c>
      <c r="M185" s="132" t="s">
        <v>1029</v>
      </c>
      <c r="N185" s="132" t="s">
        <v>278</v>
      </c>
      <c r="O185" s="132" t="s">
        <v>228</v>
      </c>
      <c r="P185" s="132" t="s">
        <v>325</v>
      </c>
      <c r="Q185" s="133" t="s">
        <v>221</v>
      </c>
      <c r="R185" s="131" t="s">
        <v>1172</v>
      </c>
      <c r="S185" s="132" t="s">
        <v>1230</v>
      </c>
      <c r="T185" s="132" t="s">
        <v>1232</v>
      </c>
      <c r="U185" s="132" t="s">
        <v>1008</v>
      </c>
      <c r="V185" s="132" t="s">
        <v>1011</v>
      </c>
      <c r="W185" s="132" t="s">
        <v>1033</v>
      </c>
      <c r="X185" s="132" t="s">
        <v>1009</v>
      </c>
      <c r="Y185" s="132" t="s">
        <v>244</v>
      </c>
      <c r="Z185" s="132" t="s">
        <v>1010</v>
      </c>
      <c r="AA185" s="132" t="s">
        <v>346</v>
      </c>
      <c r="AB185" s="132" t="s">
        <v>1030</v>
      </c>
      <c r="AC185" s="132" t="s">
        <v>1017</v>
      </c>
      <c r="AD185" s="132" t="s">
        <v>1229</v>
      </c>
      <c r="AE185" s="132" t="s">
        <v>1227</v>
      </c>
      <c r="AF185" s="132" t="s">
        <v>235</v>
      </c>
      <c r="AG185" s="133" t="s">
        <v>311</v>
      </c>
    </row>
    <row r="186" spans="1:33" x14ac:dyDescent="0.3">
      <c r="A186" s="90">
        <v>45154</v>
      </c>
      <c r="B186" s="131" t="s">
        <v>1173</v>
      </c>
      <c r="C186" s="132" t="s">
        <v>1031</v>
      </c>
      <c r="D186" s="132" t="s">
        <v>222</v>
      </c>
      <c r="E186" s="132" t="s">
        <v>243</v>
      </c>
      <c r="F186" s="132" t="s">
        <v>251</v>
      </c>
      <c r="G186" s="132" t="s">
        <v>286</v>
      </c>
      <c r="H186" s="132" t="s">
        <v>239</v>
      </c>
      <c r="I186" s="132" t="s">
        <v>224</v>
      </c>
      <c r="J186" s="132" t="s">
        <v>1007</v>
      </c>
      <c r="K186" s="132" t="s">
        <v>231</v>
      </c>
      <c r="L186" s="132" t="s">
        <v>1043</v>
      </c>
      <c r="M186" s="132" t="s">
        <v>1029</v>
      </c>
      <c r="N186" s="132" t="s">
        <v>278</v>
      </c>
      <c r="O186" s="132" t="s">
        <v>228</v>
      </c>
      <c r="P186" s="132" t="s">
        <v>325</v>
      </c>
      <c r="Q186" s="133" t="s">
        <v>221</v>
      </c>
      <c r="R186" s="131" t="s">
        <v>1173</v>
      </c>
      <c r="S186" s="132" t="s">
        <v>1230</v>
      </c>
      <c r="T186" s="132" t="s">
        <v>1232</v>
      </c>
      <c r="U186" s="132" t="s">
        <v>1008</v>
      </c>
      <c r="V186" s="132" t="s">
        <v>1011</v>
      </c>
      <c r="W186" s="132" t="s">
        <v>1033</v>
      </c>
      <c r="X186" s="132" t="s">
        <v>1009</v>
      </c>
      <c r="Y186" s="132" t="s">
        <v>244</v>
      </c>
      <c r="Z186" s="132" t="s">
        <v>1010</v>
      </c>
      <c r="AA186" s="132" t="s">
        <v>346</v>
      </c>
      <c r="AB186" s="132" t="s">
        <v>1030</v>
      </c>
      <c r="AC186" s="132" t="s">
        <v>1017</v>
      </c>
      <c r="AD186" s="132" t="s">
        <v>1229</v>
      </c>
      <c r="AE186" s="132" t="s">
        <v>1227</v>
      </c>
      <c r="AF186" s="132" t="s">
        <v>235</v>
      </c>
      <c r="AG186" s="133" t="s">
        <v>311</v>
      </c>
    </row>
    <row r="187" spans="1:33" x14ac:dyDescent="0.3">
      <c r="A187" s="90">
        <v>45155</v>
      </c>
      <c r="B187" s="131" t="s">
        <v>1174</v>
      </c>
      <c r="C187" s="132" t="s">
        <v>1230</v>
      </c>
      <c r="D187" s="132"/>
      <c r="E187" s="132"/>
      <c r="F187" s="134"/>
      <c r="G187" s="132"/>
      <c r="H187" s="132" t="s">
        <v>239</v>
      </c>
      <c r="I187" s="132"/>
      <c r="J187" s="132" t="s">
        <v>1007</v>
      </c>
      <c r="K187" s="132" t="s">
        <v>1017</v>
      </c>
      <c r="L187" s="132"/>
      <c r="M187" s="132"/>
      <c r="N187" s="132" t="s">
        <v>286</v>
      </c>
      <c r="O187" s="132"/>
      <c r="P187" s="132" t="s">
        <v>339</v>
      </c>
      <c r="Q187" s="133" t="s">
        <v>221</v>
      </c>
      <c r="R187" s="131" t="s">
        <v>1174</v>
      </c>
      <c r="S187" s="132"/>
      <c r="T187" s="132" t="s">
        <v>1232</v>
      </c>
      <c r="U187" s="132"/>
      <c r="V187" s="134" t="s">
        <v>346</v>
      </c>
      <c r="W187" s="132" t="s">
        <v>1037</v>
      </c>
      <c r="X187" s="132"/>
      <c r="Y187" s="132" t="s">
        <v>244</v>
      </c>
      <c r="Z187" s="132"/>
      <c r="AA187" s="132"/>
      <c r="AB187" s="132"/>
      <c r="AC187" s="132"/>
      <c r="AD187" s="132" t="s">
        <v>1229</v>
      </c>
      <c r="AE187" s="132"/>
      <c r="AF187" s="132"/>
      <c r="AG187" s="133"/>
    </row>
    <row r="188" spans="1:33" x14ac:dyDescent="0.3">
      <c r="A188" s="90">
        <v>45156</v>
      </c>
      <c r="B188" s="131" t="s">
        <v>1175</v>
      </c>
      <c r="C188" s="132" t="s">
        <v>1230</v>
      </c>
      <c r="D188" s="132" t="s">
        <v>268</v>
      </c>
      <c r="E188" s="132" t="s">
        <v>287</v>
      </c>
      <c r="F188" s="132" t="s">
        <v>234</v>
      </c>
      <c r="G188" s="132" t="s">
        <v>243</v>
      </c>
      <c r="H188" s="132" t="s">
        <v>246</v>
      </c>
      <c r="I188" s="132" t="s">
        <v>1007</v>
      </c>
      <c r="J188" s="132" t="s">
        <v>1010</v>
      </c>
      <c r="K188" s="132" t="s">
        <v>1017</v>
      </c>
      <c r="L188" s="132" t="s">
        <v>1232</v>
      </c>
      <c r="M188" s="132" t="s">
        <v>1033</v>
      </c>
      <c r="N188" s="132" t="s">
        <v>286</v>
      </c>
      <c r="O188" s="132" t="s">
        <v>1030</v>
      </c>
      <c r="P188" s="132" t="s">
        <v>339</v>
      </c>
      <c r="Q188" s="133" t="s">
        <v>311</v>
      </c>
      <c r="R188" s="131" t="s">
        <v>1175</v>
      </c>
      <c r="S188" s="132" t="s">
        <v>1016</v>
      </c>
      <c r="T188" s="132" t="s">
        <v>1012</v>
      </c>
      <c r="U188" s="132" t="s">
        <v>1031</v>
      </c>
      <c r="V188" s="132" t="s">
        <v>346</v>
      </c>
      <c r="W188" s="132" t="s">
        <v>1037</v>
      </c>
      <c r="X188" s="132" t="s">
        <v>244</v>
      </c>
      <c r="Y188" s="132" t="s">
        <v>1008</v>
      </c>
      <c r="Z188" s="132" t="s">
        <v>228</v>
      </c>
      <c r="AA188" s="132" t="s">
        <v>231</v>
      </c>
      <c r="AB188" s="132" t="s">
        <v>221</v>
      </c>
      <c r="AC188" s="132" t="s">
        <v>278</v>
      </c>
      <c r="AD188" s="132" t="s">
        <v>1014</v>
      </c>
      <c r="AE188" s="132" t="s">
        <v>1038</v>
      </c>
      <c r="AF188" s="132" t="s">
        <v>239</v>
      </c>
      <c r="AG188" s="133" t="s">
        <v>1011</v>
      </c>
    </row>
    <row r="189" spans="1:33" x14ac:dyDescent="0.3">
      <c r="A189" s="90">
        <v>45157</v>
      </c>
      <c r="B189" s="131" t="s">
        <v>1176</v>
      </c>
      <c r="C189" s="132" t="s">
        <v>1230</v>
      </c>
      <c r="D189" s="132" t="s">
        <v>268</v>
      </c>
      <c r="E189" s="132" t="s">
        <v>287</v>
      </c>
      <c r="F189" s="132" t="s">
        <v>234</v>
      </c>
      <c r="G189" s="132" t="s">
        <v>243</v>
      </c>
      <c r="H189" s="132" t="s">
        <v>246</v>
      </c>
      <c r="I189" s="132" t="s">
        <v>1007</v>
      </c>
      <c r="J189" s="132" t="s">
        <v>1010</v>
      </c>
      <c r="K189" s="134" t="s">
        <v>1017</v>
      </c>
      <c r="L189" s="132" t="s">
        <v>1232</v>
      </c>
      <c r="M189" s="132" t="s">
        <v>1033</v>
      </c>
      <c r="N189" s="132" t="s">
        <v>286</v>
      </c>
      <c r="O189" s="132" t="s">
        <v>1030</v>
      </c>
      <c r="P189" s="132" t="s">
        <v>339</v>
      </c>
      <c r="Q189" s="133" t="s">
        <v>311</v>
      </c>
      <c r="R189" s="131" t="s">
        <v>1176</v>
      </c>
      <c r="S189" s="132" t="s">
        <v>1016</v>
      </c>
      <c r="T189" s="132" t="s">
        <v>1012</v>
      </c>
      <c r="U189" s="132" t="s">
        <v>1031</v>
      </c>
      <c r="V189" s="132" t="s">
        <v>346</v>
      </c>
      <c r="W189" s="132" t="s">
        <v>1037</v>
      </c>
      <c r="X189" s="132" t="s">
        <v>244</v>
      </c>
      <c r="Y189" s="132" t="s">
        <v>1008</v>
      </c>
      <c r="Z189" s="132" t="s">
        <v>228</v>
      </c>
      <c r="AA189" s="134" t="s">
        <v>231</v>
      </c>
      <c r="AB189" s="132" t="s">
        <v>221</v>
      </c>
      <c r="AC189" s="132" t="s">
        <v>278</v>
      </c>
      <c r="AD189" s="132" t="s">
        <v>1014</v>
      </c>
      <c r="AE189" s="132" t="s">
        <v>1038</v>
      </c>
      <c r="AF189" s="132" t="s">
        <v>239</v>
      </c>
      <c r="AG189" s="133" t="s">
        <v>1011</v>
      </c>
    </row>
    <row r="190" spans="1:33" ht="15" thickBot="1" x14ac:dyDescent="0.35">
      <c r="A190" s="90">
        <v>45158</v>
      </c>
      <c r="B190" s="135" t="s">
        <v>1177</v>
      </c>
      <c r="C190" s="136" t="s">
        <v>1230</v>
      </c>
      <c r="D190" s="136" t="s">
        <v>268</v>
      </c>
      <c r="E190" s="136" t="s">
        <v>287</v>
      </c>
      <c r="F190" s="136" t="s">
        <v>234</v>
      </c>
      <c r="G190" s="136" t="s">
        <v>243</v>
      </c>
      <c r="H190" s="136" t="s">
        <v>246</v>
      </c>
      <c r="I190" s="136" t="s">
        <v>1007</v>
      </c>
      <c r="J190" s="136" t="s">
        <v>1010</v>
      </c>
      <c r="K190" s="136" t="s">
        <v>1017</v>
      </c>
      <c r="L190" s="136" t="s">
        <v>1233</v>
      </c>
      <c r="M190" s="136" t="s">
        <v>1033</v>
      </c>
      <c r="N190" s="136" t="s">
        <v>286</v>
      </c>
      <c r="O190" s="136" t="s">
        <v>1030</v>
      </c>
      <c r="P190" s="136" t="s">
        <v>339</v>
      </c>
      <c r="Q190" s="137" t="s">
        <v>1178</v>
      </c>
      <c r="R190" s="135" t="s">
        <v>1177</v>
      </c>
      <c r="S190" s="136" t="s">
        <v>1016</v>
      </c>
      <c r="T190" s="136" t="s">
        <v>1012</v>
      </c>
      <c r="U190" s="136" t="s">
        <v>1031</v>
      </c>
      <c r="V190" s="136" t="s">
        <v>346</v>
      </c>
      <c r="W190" s="136" t="s">
        <v>1037</v>
      </c>
      <c r="X190" s="136" t="s">
        <v>244</v>
      </c>
      <c r="Y190" s="136" t="s">
        <v>1008</v>
      </c>
      <c r="Z190" s="136" t="s">
        <v>228</v>
      </c>
      <c r="AA190" s="136" t="s">
        <v>231</v>
      </c>
      <c r="AB190" s="136" t="s">
        <v>221</v>
      </c>
      <c r="AC190" s="136" t="s">
        <v>278</v>
      </c>
      <c r="AD190" s="136" t="s">
        <v>1014</v>
      </c>
      <c r="AE190" s="136" t="s">
        <v>1038</v>
      </c>
      <c r="AF190" s="136" t="s">
        <v>239</v>
      </c>
      <c r="AG190" s="137" t="s">
        <v>1011</v>
      </c>
    </row>
    <row r="191" spans="1:33" x14ac:dyDescent="0.3">
      <c r="A191" s="90" t="s">
        <v>3</v>
      </c>
      <c r="B191" s="6" t="s">
        <v>3</v>
      </c>
      <c r="C191" s="112" t="s">
        <v>286</v>
      </c>
      <c r="D191" s="112" t="s">
        <v>250</v>
      </c>
      <c r="E191" s="112" t="s">
        <v>248</v>
      </c>
      <c r="F191" s="112" t="s">
        <v>270</v>
      </c>
      <c r="G191" s="112" t="s">
        <v>266</v>
      </c>
      <c r="H191" s="112" t="s">
        <v>226</v>
      </c>
      <c r="I191" s="112" t="s">
        <v>246</v>
      </c>
      <c r="J191" s="112" t="s">
        <v>239</v>
      </c>
      <c r="K191" s="112" t="s">
        <v>339</v>
      </c>
      <c r="L191" s="112" t="s">
        <v>311</v>
      </c>
      <c r="M191" s="112" t="s">
        <v>231</v>
      </c>
      <c r="N191" s="112" t="s">
        <v>241</v>
      </c>
      <c r="O191" s="112" t="s">
        <v>268</v>
      </c>
      <c r="P191" s="112" t="s">
        <v>255</v>
      </c>
      <c r="Q191" s="113" t="s">
        <v>392</v>
      </c>
      <c r="R191" s="6" t="s">
        <v>1</v>
      </c>
      <c r="S191" s="112" t="s">
        <v>278</v>
      </c>
      <c r="T191" s="112" t="s">
        <v>221</v>
      </c>
      <c r="U191" s="112" t="s">
        <v>243</v>
      </c>
      <c r="V191" s="112" t="s">
        <v>251</v>
      </c>
      <c r="W191" s="112" t="s">
        <v>346</v>
      </c>
      <c r="X191" s="112" t="s">
        <v>224</v>
      </c>
      <c r="Y191" s="112" t="s">
        <v>287</v>
      </c>
      <c r="Z191" s="112" t="s">
        <v>235</v>
      </c>
      <c r="AA191" s="112" t="s">
        <v>274</v>
      </c>
      <c r="AB191" s="112" t="s">
        <v>222</v>
      </c>
      <c r="AC191" s="112" t="s">
        <v>325</v>
      </c>
      <c r="AD191" s="112" t="s">
        <v>244</v>
      </c>
      <c r="AE191" s="112" t="s">
        <v>228</v>
      </c>
      <c r="AF191" s="112" t="s">
        <v>264</v>
      </c>
      <c r="AG191" s="113" t="s">
        <v>234</v>
      </c>
    </row>
    <row r="192" spans="1:33" x14ac:dyDescent="0.3">
      <c r="A192" s="90"/>
      <c r="B192" s="120"/>
      <c r="C192" s="121">
        <v>6</v>
      </c>
      <c r="D192" s="121">
        <v>6</v>
      </c>
      <c r="E192" s="121">
        <v>7</v>
      </c>
      <c r="F192" s="121">
        <v>7</v>
      </c>
      <c r="G192" s="121">
        <v>6</v>
      </c>
      <c r="H192" s="121">
        <v>6</v>
      </c>
      <c r="I192" s="121">
        <v>6</v>
      </c>
      <c r="J192" s="121">
        <v>5</v>
      </c>
      <c r="K192" s="121">
        <v>6</v>
      </c>
      <c r="L192" s="121">
        <v>6</v>
      </c>
      <c r="M192" s="121">
        <v>7</v>
      </c>
      <c r="N192" s="121">
        <v>6</v>
      </c>
      <c r="O192" s="121">
        <v>6</v>
      </c>
      <c r="P192" s="121">
        <v>6</v>
      </c>
      <c r="Q192" s="122">
        <v>6</v>
      </c>
      <c r="R192" s="120"/>
      <c r="S192" s="121">
        <v>6</v>
      </c>
      <c r="T192" s="121">
        <v>7</v>
      </c>
      <c r="U192" s="121">
        <v>7</v>
      </c>
      <c r="V192" s="121">
        <v>6</v>
      </c>
      <c r="W192" s="121">
        <v>6</v>
      </c>
      <c r="X192" s="121">
        <v>7</v>
      </c>
      <c r="Y192" s="121">
        <v>6</v>
      </c>
      <c r="Z192" s="121">
        <v>6</v>
      </c>
      <c r="AA192" s="121">
        <v>6</v>
      </c>
      <c r="AB192" s="121">
        <v>6</v>
      </c>
      <c r="AC192" s="121">
        <v>7</v>
      </c>
      <c r="AD192" s="121">
        <v>6</v>
      </c>
      <c r="AE192" s="121">
        <v>6</v>
      </c>
      <c r="AF192" s="121">
        <v>6</v>
      </c>
      <c r="AG192" s="122">
        <v>6</v>
      </c>
    </row>
    <row r="193" spans="1:33" x14ac:dyDescent="0.3">
      <c r="A193" s="90">
        <v>45159</v>
      </c>
      <c r="B193" s="120" t="s">
        <v>1179</v>
      </c>
      <c r="C193" s="121" t="s">
        <v>264</v>
      </c>
      <c r="D193" s="121" t="s">
        <v>339</v>
      </c>
      <c r="E193" s="121" t="s">
        <v>1032</v>
      </c>
      <c r="F193" s="121" t="s">
        <v>1038</v>
      </c>
      <c r="G193" s="121"/>
      <c r="H193" s="121"/>
      <c r="I193" s="121" t="s">
        <v>1230</v>
      </c>
      <c r="J193" s="121"/>
      <c r="K193" s="121" t="s">
        <v>1030</v>
      </c>
      <c r="L193" s="121" t="s">
        <v>268</v>
      </c>
      <c r="M193" s="121" t="s">
        <v>255</v>
      </c>
      <c r="N193" s="121" t="s">
        <v>246</v>
      </c>
      <c r="O193" s="121" t="s">
        <v>1027</v>
      </c>
      <c r="P193" s="121" t="s">
        <v>1036</v>
      </c>
      <c r="Q193" s="122"/>
      <c r="R193" s="120" t="s">
        <v>1179</v>
      </c>
      <c r="S193" s="121"/>
      <c r="T193" s="121" t="s">
        <v>1014</v>
      </c>
      <c r="U193" s="121" t="s">
        <v>244</v>
      </c>
      <c r="V193" s="121"/>
      <c r="W193" s="121" t="s">
        <v>248</v>
      </c>
      <c r="X193" s="121" t="s">
        <v>221</v>
      </c>
      <c r="Y193" s="121" t="s">
        <v>1016</v>
      </c>
      <c r="Z193" s="121" t="s">
        <v>270</v>
      </c>
      <c r="AA193" s="121"/>
      <c r="AB193" s="121"/>
      <c r="AC193" s="121" t="s">
        <v>287</v>
      </c>
      <c r="AD193" s="121" t="s">
        <v>1023</v>
      </c>
      <c r="AE193" s="121"/>
      <c r="AF193" s="121" t="s">
        <v>1028</v>
      </c>
      <c r="AG193" s="122"/>
    </row>
    <row r="194" spans="1:33" x14ac:dyDescent="0.3">
      <c r="A194" s="90">
        <v>45160</v>
      </c>
      <c r="B194" s="120" t="s">
        <v>1180</v>
      </c>
      <c r="C194" s="121" t="s">
        <v>264</v>
      </c>
      <c r="D194" s="121" t="s">
        <v>339</v>
      </c>
      <c r="E194" s="121" t="s">
        <v>1032</v>
      </c>
      <c r="F194" s="121" t="s">
        <v>1038</v>
      </c>
      <c r="G194" s="121" t="s">
        <v>1228</v>
      </c>
      <c r="H194" s="121" t="s">
        <v>1037</v>
      </c>
      <c r="I194" s="121" t="s">
        <v>1230</v>
      </c>
      <c r="J194" s="121" t="s">
        <v>274</v>
      </c>
      <c r="K194" s="121" t="s">
        <v>1030</v>
      </c>
      <c r="L194" s="121" t="s">
        <v>268</v>
      </c>
      <c r="M194" s="121" t="s">
        <v>255</v>
      </c>
      <c r="N194" s="121" t="s">
        <v>246</v>
      </c>
      <c r="O194" s="121" t="s">
        <v>1027</v>
      </c>
      <c r="P194" s="123" t="s">
        <v>1036</v>
      </c>
      <c r="Q194" s="124" t="s">
        <v>1012</v>
      </c>
      <c r="R194" s="120" t="s">
        <v>1180</v>
      </c>
      <c r="S194" s="121" t="s">
        <v>234</v>
      </c>
      <c r="T194" s="121" t="s">
        <v>1014</v>
      </c>
      <c r="U194" s="121" t="s">
        <v>244</v>
      </c>
      <c r="V194" s="121" t="s">
        <v>226</v>
      </c>
      <c r="W194" s="121" t="s">
        <v>248</v>
      </c>
      <c r="X194" s="121" t="s">
        <v>221</v>
      </c>
      <c r="Y194" s="121" t="s">
        <v>1016</v>
      </c>
      <c r="Z194" s="121" t="s">
        <v>270</v>
      </c>
      <c r="AA194" s="121" t="s">
        <v>1022</v>
      </c>
      <c r="AB194" s="121" t="s">
        <v>392</v>
      </c>
      <c r="AC194" s="121" t="s">
        <v>287</v>
      </c>
      <c r="AD194" s="121" t="s">
        <v>1023</v>
      </c>
      <c r="AE194" s="121" t="s">
        <v>266</v>
      </c>
      <c r="AF194" s="123" t="s">
        <v>1028</v>
      </c>
      <c r="AG194" s="124" t="s">
        <v>1034</v>
      </c>
    </row>
    <row r="195" spans="1:33" x14ac:dyDescent="0.3">
      <c r="A195" s="90">
        <v>45161</v>
      </c>
      <c r="B195" s="120" t="s">
        <v>1181</v>
      </c>
      <c r="C195" s="121"/>
      <c r="D195" s="121" t="s">
        <v>339</v>
      </c>
      <c r="E195" s="121" t="s">
        <v>1032</v>
      </c>
      <c r="F195" s="121" t="s">
        <v>1038</v>
      </c>
      <c r="G195" s="121" t="s">
        <v>1228</v>
      </c>
      <c r="H195" s="121" t="s">
        <v>1037</v>
      </c>
      <c r="I195" s="121" t="s">
        <v>1230</v>
      </c>
      <c r="J195" s="121" t="s">
        <v>274</v>
      </c>
      <c r="K195" s="121" t="s">
        <v>1030</v>
      </c>
      <c r="L195" s="121" t="s">
        <v>268</v>
      </c>
      <c r="M195" s="121" t="s">
        <v>255</v>
      </c>
      <c r="N195" s="121" t="s">
        <v>246</v>
      </c>
      <c r="O195" s="121" t="s">
        <v>1027</v>
      </c>
      <c r="P195" s="123" t="s">
        <v>1036</v>
      </c>
      <c r="Q195" s="124" t="s">
        <v>1012</v>
      </c>
      <c r="R195" s="120" t="s">
        <v>1181</v>
      </c>
      <c r="S195" s="121" t="s">
        <v>234</v>
      </c>
      <c r="T195" s="121" t="s">
        <v>1014</v>
      </c>
      <c r="U195" s="121" t="s">
        <v>244</v>
      </c>
      <c r="V195" s="121" t="s">
        <v>226</v>
      </c>
      <c r="W195" s="121" t="s">
        <v>248</v>
      </c>
      <c r="X195" s="121" t="s">
        <v>221</v>
      </c>
      <c r="Y195" s="121" t="s">
        <v>1016</v>
      </c>
      <c r="Z195" s="121" t="s">
        <v>270</v>
      </c>
      <c r="AA195" s="121" t="s">
        <v>1022</v>
      </c>
      <c r="AB195" s="121" t="s">
        <v>392</v>
      </c>
      <c r="AC195" s="121" t="s">
        <v>287</v>
      </c>
      <c r="AD195" s="121" t="s">
        <v>1023</v>
      </c>
      <c r="AE195" s="121" t="s">
        <v>266</v>
      </c>
      <c r="AF195" s="123"/>
      <c r="AG195" s="124" t="s">
        <v>1034</v>
      </c>
    </row>
    <row r="196" spans="1:33" x14ac:dyDescent="0.3">
      <c r="A196" s="90">
        <v>45162</v>
      </c>
      <c r="B196" s="120" t="s">
        <v>1182</v>
      </c>
      <c r="C196" s="121" t="s">
        <v>270</v>
      </c>
      <c r="D196" s="121"/>
      <c r="E196" s="121" t="s">
        <v>1036</v>
      </c>
      <c r="F196" s="121" t="s">
        <v>1028</v>
      </c>
      <c r="G196" s="121" t="s">
        <v>1228</v>
      </c>
      <c r="H196" s="121" t="s">
        <v>1037</v>
      </c>
      <c r="I196" s="121"/>
      <c r="J196" s="121"/>
      <c r="K196" s="121"/>
      <c r="L196" s="121"/>
      <c r="M196" s="121" t="s">
        <v>248</v>
      </c>
      <c r="N196" s="121"/>
      <c r="O196" s="121"/>
      <c r="P196" s="123"/>
      <c r="Q196" s="124" t="s">
        <v>1012</v>
      </c>
      <c r="R196" s="120" t="s">
        <v>1182</v>
      </c>
      <c r="S196" s="121" t="s">
        <v>234</v>
      </c>
      <c r="T196" s="121" t="s">
        <v>1014</v>
      </c>
      <c r="U196" s="121" t="s">
        <v>325</v>
      </c>
      <c r="V196" s="121" t="s">
        <v>226</v>
      </c>
      <c r="W196" s="121"/>
      <c r="X196" s="121" t="s">
        <v>221</v>
      </c>
      <c r="Y196" s="121"/>
      <c r="Z196" s="121"/>
      <c r="AA196" s="121" t="s">
        <v>264</v>
      </c>
      <c r="AB196" s="121" t="s">
        <v>392</v>
      </c>
      <c r="AC196" s="121" t="s">
        <v>1023</v>
      </c>
      <c r="AD196" s="121"/>
      <c r="AE196" s="121" t="s">
        <v>266</v>
      </c>
      <c r="AF196" s="123" t="s">
        <v>1033</v>
      </c>
      <c r="AG196" s="124" t="s">
        <v>1034</v>
      </c>
    </row>
    <row r="197" spans="1:33" x14ac:dyDescent="0.3">
      <c r="A197" s="90">
        <v>45163</v>
      </c>
      <c r="B197" s="120" t="s">
        <v>1183</v>
      </c>
      <c r="C197" s="121" t="s">
        <v>270</v>
      </c>
      <c r="D197" s="121" t="s">
        <v>1227</v>
      </c>
      <c r="E197" s="121" t="s">
        <v>1036</v>
      </c>
      <c r="F197" s="121" t="s">
        <v>1028</v>
      </c>
      <c r="G197" s="121" t="s">
        <v>1034</v>
      </c>
      <c r="H197" s="121" t="s">
        <v>1013</v>
      </c>
      <c r="I197" s="121" t="s">
        <v>392</v>
      </c>
      <c r="J197" s="121" t="s">
        <v>241</v>
      </c>
      <c r="K197" s="121" t="s">
        <v>235</v>
      </c>
      <c r="L197" s="121" t="s">
        <v>255</v>
      </c>
      <c r="M197" s="121" t="s">
        <v>248</v>
      </c>
      <c r="N197" s="121" t="s">
        <v>1022</v>
      </c>
      <c r="O197" s="121" t="s">
        <v>250</v>
      </c>
      <c r="P197" s="123" t="s">
        <v>1027</v>
      </c>
      <c r="Q197" s="124" t="s">
        <v>1009</v>
      </c>
      <c r="R197" s="120" t="s">
        <v>1183</v>
      </c>
      <c r="S197" s="121" t="s">
        <v>266</v>
      </c>
      <c r="T197" s="121" t="s">
        <v>226</v>
      </c>
      <c r="U197" s="121" t="s">
        <v>325</v>
      </c>
      <c r="V197" s="121" t="s">
        <v>1043</v>
      </c>
      <c r="W197" s="121" t="s">
        <v>224</v>
      </c>
      <c r="X197" s="121" t="s">
        <v>1032</v>
      </c>
      <c r="Y197" s="121" t="s">
        <v>1015</v>
      </c>
      <c r="Z197" s="121" t="s">
        <v>1029</v>
      </c>
      <c r="AA197" s="121" t="s">
        <v>264</v>
      </c>
      <c r="AB197" s="121" t="s">
        <v>1228</v>
      </c>
      <c r="AC197" s="121" t="s">
        <v>1023</v>
      </c>
      <c r="AD197" s="121" t="s">
        <v>287</v>
      </c>
      <c r="AE197" s="121" t="s">
        <v>222</v>
      </c>
      <c r="AF197" s="123" t="s">
        <v>1033</v>
      </c>
      <c r="AG197" s="124" t="s">
        <v>251</v>
      </c>
    </row>
    <row r="198" spans="1:33" x14ac:dyDescent="0.3">
      <c r="A198" s="90">
        <v>45164</v>
      </c>
      <c r="B198" s="120" t="s">
        <v>1184</v>
      </c>
      <c r="C198" s="121" t="s">
        <v>270</v>
      </c>
      <c r="D198" s="121" t="s">
        <v>1227</v>
      </c>
      <c r="E198" s="121" t="s">
        <v>1036</v>
      </c>
      <c r="F198" s="121" t="s">
        <v>1028</v>
      </c>
      <c r="G198" s="121" t="s">
        <v>1034</v>
      </c>
      <c r="H198" s="121" t="s">
        <v>1013</v>
      </c>
      <c r="I198" s="121" t="s">
        <v>392</v>
      </c>
      <c r="J198" s="121" t="s">
        <v>241</v>
      </c>
      <c r="K198" s="121" t="s">
        <v>235</v>
      </c>
      <c r="L198" s="121" t="s">
        <v>255</v>
      </c>
      <c r="M198" s="121" t="s">
        <v>248</v>
      </c>
      <c r="N198" s="121" t="s">
        <v>1022</v>
      </c>
      <c r="O198" s="121" t="s">
        <v>250</v>
      </c>
      <c r="P198" s="123" t="s">
        <v>1027</v>
      </c>
      <c r="Q198" s="124" t="s">
        <v>1009</v>
      </c>
      <c r="R198" s="120" t="s">
        <v>1184</v>
      </c>
      <c r="S198" s="121" t="s">
        <v>266</v>
      </c>
      <c r="T198" s="121" t="s">
        <v>226</v>
      </c>
      <c r="U198" s="121" t="s">
        <v>325</v>
      </c>
      <c r="V198" s="121" t="s">
        <v>1043</v>
      </c>
      <c r="W198" s="121" t="s">
        <v>224</v>
      </c>
      <c r="X198" s="121" t="s">
        <v>1032</v>
      </c>
      <c r="Y198" s="121" t="s">
        <v>1015</v>
      </c>
      <c r="Z198" s="121" t="s">
        <v>1029</v>
      </c>
      <c r="AA198" s="121" t="s">
        <v>264</v>
      </c>
      <c r="AB198" s="121" t="s">
        <v>1228</v>
      </c>
      <c r="AC198" s="121" t="s">
        <v>1023</v>
      </c>
      <c r="AD198" s="121" t="s">
        <v>287</v>
      </c>
      <c r="AE198" s="121" t="s">
        <v>222</v>
      </c>
      <c r="AF198" s="123" t="s">
        <v>1033</v>
      </c>
      <c r="AG198" s="124" t="s">
        <v>251</v>
      </c>
    </row>
    <row r="199" spans="1:33" ht="15" thickBot="1" x14ac:dyDescent="0.35">
      <c r="A199" s="90">
        <v>45165</v>
      </c>
      <c r="B199" s="127" t="s">
        <v>1185</v>
      </c>
      <c r="C199" s="128" t="s">
        <v>270</v>
      </c>
      <c r="D199" s="128" t="s">
        <v>1227</v>
      </c>
      <c r="E199" s="128" t="s">
        <v>1036</v>
      </c>
      <c r="F199" s="128" t="s">
        <v>1028</v>
      </c>
      <c r="G199" s="128" t="s">
        <v>1034</v>
      </c>
      <c r="H199" s="128" t="s">
        <v>1013</v>
      </c>
      <c r="I199" s="128" t="s">
        <v>392</v>
      </c>
      <c r="J199" s="128" t="s">
        <v>241</v>
      </c>
      <c r="K199" s="128" t="s">
        <v>235</v>
      </c>
      <c r="L199" s="128" t="s">
        <v>255</v>
      </c>
      <c r="M199" s="128" t="s">
        <v>248</v>
      </c>
      <c r="N199" s="128" t="s">
        <v>1022</v>
      </c>
      <c r="O199" s="128" t="s">
        <v>250</v>
      </c>
      <c r="P199" s="129" t="s">
        <v>1027</v>
      </c>
      <c r="Q199" s="130" t="s">
        <v>1009</v>
      </c>
      <c r="R199" s="127" t="s">
        <v>1185</v>
      </c>
      <c r="S199" s="128" t="s">
        <v>266</v>
      </c>
      <c r="T199" s="128" t="s">
        <v>226</v>
      </c>
      <c r="U199" s="128" t="s">
        <v>325</v>
      </c>
      <c r="V199" s="128" t="s">
        <v>1043</v>
      </c>
      <c r="W199" s="128" t="s">
        <v>224</v>
      </c>
      <c r="X199" s="128" t="s">
        <v>1032</v>
      </c>
      <c r="Y199" s="128" t="s">
        <v>1015</v>
      </c>
      <c r="Z199" s="128" t="s">
        <v>1029</v>
      </c>
      <c r="AA199" s="128" t="s">
        <v>264</v>
      </c>
      <c r="AB199" s="128" t="s">
        <v>1228</v>
      </c>
      <c r="AC199" s="128" t="s">
        <v>1023</v>
      </c>
      <c r="AD199" s="128" t="s">
        <v>287</v>
      </c>
      <c r="AE199" s="128" t="s">
        <v>222</v>
      </c>
      <c r="AF199" s="129" t="s">
        <v>1033</v>
      </c>
      <c r="AG199" s="130" t="s">
        <v>251</v>
      </c>
    </row>
    <row r="200" spans="1:33" x14ac:dyDescent="0.3">
      <c r="A200" s="90" t="s">
        <v>3</v>
      </c>
      <c r="B200" s="6" t="s">
        <v>3</v>
      </c>
      <c r="C200" s="112" t="s">
        <v>286</v>
      </c>
      <c r="D200" s="112" t="s">
        <v>250</v>
      </c>
      <c r="E200" s="112" t="s">
        <v>248</v>
      </c>
      <c r="F200" s="112" t="s">
        <v>270</v>
      </c>
      <c r="G200" s="112" t="s">
        <v>266</v>
      </c>
      <c r="H200" s="112" t="s">
        <v>226</v>
      </c>
      <c r="I200" s="112" t="s">
        <v>246</v>
      </c>
      <c r="J200" s="112" t="s">
        <v>239</v>
      </c>
      <c r="K200" s="112" t="s">
        <v>339</v>
      </c>
      <c r="L200" s="112" t="s">
        <v>311</v>
      </c>
      <c r="M200" s="112" t="s">
        <v>231</v>
      </c>
      <c r="N200" s="112" t="s">
        <v>241</v>
      </c>
      <c r="O200" s="112" t="s">
        <v>268</v>
      </c>
      <c r="P200" s="112" t="s">
        <v>255</v>
      </c>
      <c r="Q200" s="113" t="s">
        <v>392</v>
      </c>
      <c r="R200" s="6" t="s">
        <v>1</v>
      </c>
      <c r="S200" s="112" t="s">
        <v>278</v>
      </c>
      <c r="T200" s="112" t="s">
        <v>221</v>
      </c>
      <c r="U200" s="112" t="s">
        <v>243</v>
      </c>
      <c r="V200" s="112" t="s">
        <v>251</v>
      </c>
      <c r="W200" s="112" t="s">
        <v>346</v>
      </c>
      <c r="X200" s="112" t="s">
        <v>224</v>
      </c>
      <c r="Y200" s="112" t="s">
        <v>287</v>
      </c>
      <c r="Z200" s="112" t="s">
        <v>235</v>
      </c>
      <c r="AA200" s="112" t="s">
        <v>274</v>
      </c>
      <c r="AB200" s="112" t="s">
        <v>222</v>
      </c>
      <c r="AC200" s="112" t="s">
        <v>325</v>
      </c>
      <c r="AD200" s="112" t="s">
        <v>244</v>
      </c>
      <c r="AE200" s="112" t="s">
        <v>228</v>
      </c>
      <c r="AF200" s="112" t="s">
        <v>264</v>
      </c>
      <c r="AG200" s="113" t="s">
        <v>234</v>
      </c>
    </row>
    <row r="201" spans="1:33" x14ac:dyDescent="0.3">
      <c r="A201" s="90"/>
      <c r="B201" s="114"/>
      <c r="C201" s="115">
        <v>6</v>
      </c>
      <c r="D201" s="115">
        <v>7</v>
      </c>
      <c r="E201" s="115">
        <v>6</v>
      </c>
      <c r="F201" s="115">
        <v>6</v>
      </c>
      <c r="G201" s="115">
        <v>6</v>
      </c>
      <c r="H201" s="115">
        <v>7</v>
      </c>
      <c r="I201" s="115">
        <v>6</v>
      </c>
      <c r="J201" s="115">
        <v>6</v>
      </c>
      <c r="K201" s="115">
        <v>6</v>
      </c>
      <c r="L201" s="115">
        <v>6</v>
      </c>
      <c r="M201" s="115">
        <v>6</v>
      </c>
      <c r="N201" s="115">
        <v>7</v>
      </c>
      <c r="O201" s="115">
        <v>7</v>
      </c>
      <c r="P201" s="115">
        <v>6</v>
      </c>
      <c r="Q201" s="116">
        <v>7</v>
      </c>
      <c r="R201" s="114"/>
      <c r="S201" s="115">
        <v>6</v>
      </c>
      <c r="T201" s="115">
        <v>6</v>
      </c>
      <c r="U201" s="115">
        <v>6</v>
      </c>
      <c r="V201" s="115">
        <v>6</v>
      </c>
      <c r="W201" s="115">
        <v>7</v>
      </c>
      <c r="X201" s="115">
        <v>6</v>
      </c>
      <c r="Y201" s="115">
        <v>6</v>
      </c>
      <c r="Z201" s="115">
        <v>6</v>
      </c>
      <c r="AA201" s="115">
        <v>6</v>
      </c>
      <c r="AB201" s="115">
        <v>7</v>
      </c>
      <c r="AC201" s="115">
        <v>6</v>
      </c>
      <c r="AD201" s="115">
        <v>6</v>
      </c>
      <c r="AE201" s="115">
        <v>5</v>
      </c>
      <c r="AF201" s="115">
        <v>6</v>
      </c>
      <c r="AG201" s="116">
        <v>6</v>
      </c>
    </row>
    <row r="202" spans="1:33" x14ac:dyDescent="0.3">
      <c r="A202" s="90">
        <v>45166</v>
      </c>
      <c r="B202" s="131" t="s">
        <v>1186</v>
      </c>
      <c r="C202" s="132" t="s">
        <v>1007</v>
      </c>
      <c r="D202" s="132" t="s">
        <v>1031</v>
      </c>
      <c r="E202" s="132" t="s">
        <v>239</v>
      </c>
      <c r="F202" s="132" t="s">
        <v>1227</v>
      </c>
      <c r="G202" s="132" t="s">
        <v>250</v>
      </c>
      <c r="H202" s="132" t="s">
        <v>286</v>
      </c>
      <c r="I202" s="132"/>
      <c r="J202" s="132" t="s">
        <v>1008</v>
      </c>
      <c r="K202" s="132" t="s">
        <v>264</v>
      </c>
      <c r="L202" s="132" t="s">
        <v>235</v>
      </c>
      <c r="M202" s="132" t="s">
        <v>1229</v>
      </c>
      <c r="N202" s="132" t="s">
        <v>1017</v>
      </c>
      <c r="O202" s="132" t="s">
        <v>270</v>
      </c>
      <c r="P202" s="132" t="s">
        <v>241</v>
      </c>
      <c r="Q202" s="133" t="s">
        <v>1043</v>
      </c>
      <c r="R202" s="131" t="s">
        <v>1186</v>
      </c>
      <c r="S202" s="132" t="s">
        <v>243</v>
      </c>
      <c r="T202" s="132" t="s">
        <v>224</v>
      </c>
      <c r="U202" s="132" t="s">
        <v>1034</v>
      </c>
      <c r="V202" s="132" t="s">
        <v>1033</v>
      </c>
      <c r="W202" s="132" t="s">
        <v>222</v>
      </c>
      <c r="X202" s="132" t="s">
        <v>1013</v>
      </c>
      <c r="Y202" s="132" t="s">
        <v>231</v>
      </c>
      <c r="Z202" s="132" t="s">
        <v>1027</v>
      </c>
      <c r="AA202" s="132" t="s">
        <v>251</v>
      </c>
      <c r="AB202" s="132" t="s">
        <v>1032</v>
      </c>
      <c r="AC202" s="132" t="s">
        <v>1015</v>
      </c>
      <c r="AD202" s="132" t="s">
        <v>325</v>
      </c>
      <c r="AE202" s="132"/>
      <c r="AF202" s="132" t="s">
        <v>1029</v>
      </c>
      <c r="AG202" s="133" t="s">
        <v>392</v>
      </c>
    </row>
    <row r="203" spans="1:33" x14ac:dyDescent="0.3">
      <c r="A203" s="90">
        <v>45167</v>
      </c>
      <c r="B203" s="131" t="s">
        <v>1187</v>
      </c>
      <c r="C203" s="132" t="s">
        <v>1007</v>
      </c>
      <c r="D203" s="132" t="s">
        <v>1031</v>
      </c>
      <c r="E203" s="132" t="s">
        <v>239</v>
      </c>
      <c r="F203" s="132" t="s">
        <v>1227</v>
      </c>
      <c r="G203" s="132" t="s">
        <v>250</v>
      </c>
      <c r="H203" s="132" t="s">
        <v>286</v>
      </c>
      <c r="I203" s="132" t="s">
        <v>228</v>
      </c>
      <c r="J203" s="132" t="s">
        <v>1008</v>
      </c>
      <c r="K203" s="132" t="s">
        <v>264</v>
      </c>
      <c r="L203" s="132" t="s">
        <v>235</v>
      </c>
      <c r="M203" s="132" t="s">
        <v>1229</v>
      </c>
      <c r="N203" s="132" t="s">
        <v>1017</v>
      </c>
      <c r="O203" s="132" t="s">
        <v>270</v>
      </c>
      <c r="P203" s="132" t="s">
        <v>241</v>
      </c>
      <c r="Q203" s="133" t="s">
        <v>1043</v>
      </c>
      <c r="R203" s="131" t="s">
        <v>1187</v>
      </c>
      <c r="S203" s="132" t="s">
        <v>243</v>
      </c>
      <c r="T203" s="132" t="s">
        <v>224</v>
      </c>
      <c r="U203" s="132" t="s">
        <v>1034</v>
      </c>
      <c r="V203" s="132" t="s">
        <v>1033</v>
      </c>
      <c r="W203" s="132" t="s">
        <v>222</v>
      </c>
      <c r="X203" s="132" t="s">
        <v>1013</v>
      </c>
      <c r="Y203" s="132" t="s">
        <v>231</v>
      </c>
      <c r="Z203" s="132" t="s">
        <v>1027</v>
      </c>
      <c r="AA203" s="132" t="s">
        <v>251</v>
      </c>
      <c r="AB203" s="132" t="s">
        <v>1032</v>
      </c>
      <c r="AC203" s="132" t="s">
        <v>1015</v>
      </c>
      <c r="AD203" s="132" t="s">
        <v>325</v>
      </c>
      <c r="AE203" s="132" t="s">
        <v>1009</v>
      </c>
      <c r="AF203" s="132" t="s">
        <v>1029</v>
      </c>
      <c r="AG203" s="133" t="s">
        <v>392</v>
      </c>
    </row>
    <row r="204" spans="1:33" x14ac:dyDescent="0.3">
      <c r="A204" s="90">
        <v>45168</v>
      </c>
      <c r="B204" s="131" t="s">
        <v>1188</v>
      </c>
      <c r="C204" s="132" t="s">
        <v>1007</v>
      </c>
      <c r="D204" s="132" t="s">
        <v>1031</v>
      </c>
      <c r="E204" s="132" t="s">
        <v>239</v>
      </c>
      <c r="F204" s="132" t="s">
        <v>1227</v>
      </c>
      <c r="G204" s="132" t="s">
        <v>250</v>
      </c>
      <c r="H204" s="132" t="s">
        <v>286</v>
      </c>
      <c r="I204" s="132" t="s">
        <v>228</v>
      </c>
      <c r="J204" s="132" t="s">
        <v>1008</v>
      </c>
      <c r="K204" s="132" t="s">
        <v>264</v>
      </c>
      <c r="L204" s="132" t="s">
        <v>235</v>
      </c>
      <c r="M204" s="132" t="s">
        <v>1229</v>
      </c>
      <c r="N204" s="132" t="s">
        <v>1017</v>
      </c>
      <c r="O204" s="132" t="s">
        <v>270</v>
      </c>
      <c r="P204" s="132" t="s">
        <v>241</v>
      </c>
      <c r="Q204" s="133" t="s">
        <v>1043</v>
      </c>
      <c r="R204" s="131" t="s">
        <v>1188</v>
      </c>
      <c r="S204" s="132" t="s">
        <v>243</v>
      </c>
      <c r="T204" s="132" t="s">
        <v>224</v>
      </c>
      <c r="U204" s="132" t="s">
        <v>1034</v>
      </c>
      <c r="V204" s="132" t="s">
        <v>1033</v>
      </c>
      <c r="W204" s="132" t="s">
        <v>222</v>
      </c>
      <c r="X204" s="132" t="s">
        <v>1013</v>
      </c>
      <c r="Y204" s="132" t="s">
        <v>231</v>
      </c>
      <c r="Z204" s="132" t="s">
        <v>1027</v>
      </c>
      <c r="AA204" s="132" t="s">
        <v>251</v>
      </c>
      <c r="AB204" s="132" t="s">
        <v>1032</v>
      </c>
      <c r="AC204" s="132" t="s">
        <v>1015</v>
      </c>
      <c r="AD204" s="132" t="s">
        <v>325</v>
      </c>
      <c r="AE204" s="132" t="s">
        <v>1009</v>
      </c>
      <c r="AF204" s="132" t="s">
        <v>1029</v>
      </c>
      <c r="AG204" s="133" t="s">
        <v>392</v>
      </c>
    </row>
    <row r="205" spans="1:33" x14ac:dyDescent="0.3">
      <c r="A205" s="90">
        <v>45169</v>
      </c>
      <c r="B205" s="131" t="s">
        <v>1189</v>
      </c>
      <c r="C205" s="132"/>
      <c r="D205" s="132" t="s">
        <v>1007</v>
      </c>
      <c r="E205" s="132"/>
      <c r="F205" s="134"/>
      <c r="G205" s="132"/>
      <c r="H205" s="132" t="s">
        <v>250</v>
      </c>
      <c r="I205" s="132" t="s">
        <v>1232</v>
      </c>
      <c r="J205" s="132"/>
      <c r="K205" s="132"/>
      <c r="L205" s="132"/>
      <c r="M205" s="132"/>
      <c r="N205" s="132" t="s">
        <v>268</v>
      </c>
      <c r="O205" s="132" t="s">
        <v>1230</v>
      </c>
      <c r="P205" s="132"/>
      <c r="Q205" s="133" t="s">
        <v>246</v>
      </c>
      <c r="R205" s="131" t="s">
        <v>1189</v>
      </c>
      <c r="S205" s="132"/>
      <c r="T205" s="132"/>
      <c r="U205" s="132"/>
      <c r="V205" s="134"/>
      <c r="W205" s="132" t="s">
        <v>222</v>
      </c>
      <c r="X205" s="132"/>
      <c r="Y205" s="132"/>
      <c r="Z205" s="132"/>
      <c r="AA205" s="132"/>
      <c r="AB205" s="132" t="s">
        <v>1032</v>
      </c>
      <c r="AC205" s="132"/>
      <c r="AD205" s="132"/>
      <c r="AE205" s="132"/>
      <c r="AF205" s="132"/>
      <c r="AG205" s="133"/>
    </row>
    <row r="206" spans="1:33" x14ac:dyDescent="0.3">
      <c r="A206" s="90">
        <v>45170</v>
      </c>
      <c r="B206" s="131" t="s">
        <v>1190</v>
      </c>
      <c r="C206" s="132" t="s">
        <v>278</v>
      </c>
      <c r="D206" s="132" t="s">
        <v>1007</v>
      </c>
      <c r="E206" s="132" t="s">
        <v>1011</v>
      </c>
      <c r="F206" s="132" t="s">
        <v>248</v>
      </c>
      <c r="G206" s="132" t="s">
        <v>234</v>
      </c>
      <c r="H206" s="132" t="s">
        <v>250</v>
      </c>
      <c r="I206" s="132" t="s">
        <v>1232</v>
      </c>
      <c r="J206" s="132" t="s">
        <v>311</v>
      </c>
      <c r="K206" s="132" t="s">
        <v>244</v>
      </c>
      <c r="L206" s="132" t="s">
        <v>1022</v>
      </c>
      <c r="M206" s="132" t="s">
        <v>1017</v>
      </c>
      <c r="N206" s="132" t="s">
        <v>268</v>
      </c>
      <c r="O206" s="132" t="s">
        <v>1230</v>
      </c>
      <c r="P206" s="132" t="s">
        <v>231</v>
      </c>
      <c r="Q206" s="133" t="s">
        <v>246</v>
      </c>
      <c r="R206" s="131" t="s">
        <v>1190</v>
      </c>
      <c r="S206" s="132" t="s">
        <v>1028</v>
      </c>
      <c r="T206" s="132" t="s">
        <v>1229</v>
      </c>
      <c r="U206" s="132" t="s">
        <v>346</v>
      </c>
      <c r="V206" s="132" t="s">
        <v>228</v>
      </c>
      <c r="W206" s="132" t="s">
        <v>1023</v>
      </c>
      <c r="X206" s="132" t="s">
        <v>222</v>
      </c>
      <c r="Y206" s="132" t="s">
        <v>221</v>
      </c>
      <c r="Z206" s="132" t="s">
        <v>1016</v>
      </c>
      <c r="AA206" s="132" t="s">
        <v>1010</v>
      </c>
      <c r="AB206" s="132" t="s">
        <v>1014</v>
      </c>
      <c r="AC206" s="132" t="s">
        <v>235</v>
      </c>
      <c r="AD206" s="132" t="s">
        <v>1029</v>
      </c>
      <c r="AE206" s="132" t="s">
        <v>1037</v>
      </c>
      <c r="AF206" s="132" t="s">
        <v>274</v>
      </c>
      <c r="AG206" s="133" t="s">
        <v>1031</v>
      </c>
    </row>
    <row r="207" spans="1:33" x14ac:dyDescent="0.3">
      <c r="A207" s="90">
        <v>45171</v>
      </c>
      <c r="B207" s="131" t="s">
        <v>1191</v>
      </c>
      <c r="C207" s="132" t="s">
        <v>278</v>
      </c>
      <c r="D207" s="132" t="s">
        <v>1007</v>
      </c>
      <c r="E207" s="132" t="s">
        <v>1011</v>
      </c>
      <c r="F207" s="132" t="s">
        <v>248</v>
      </c>
      <c r="G207" s="132" t="s">
        <v>234</v>
      </c>
      <c r="H207" s="132" t="s">
        <v>250</v>
      </c>
      <c r="I207" s="132" t="s">
        <v>1232</v>
      </c>
      <c r="J207" s="132" t="s">
        <v>311</v>
      </c>
      <c r="K207" s="134" t="s">
        <v>244</v>
      </c>
      <c r="L207" s="132" t="s">
        <v>1022</v>
      </c>
      <c r="M207" s="132" t="s">
        <v>1017</v>
      </c>
      <c r="N207" s="132" t="s">
        <v>268</v>
      </c>
      <c r="O207" s="132" t="s">
        <v>1230</v>
      </c>
      <c r="P207" s="132" t="s">
        <v>231</v>
      </c>
      <c r="Q207" s="133" t="s">
        <v>246</v>
      </c>
      <c r="R207" s="131" t="s">
        <v>1191</v>
      </c>
      <c r="S207" s="132" t="s">
        <v>1028</v>
      </c>
      <c r="T207" s="132" t="s">
        <v>1229</v>
      </c>
      <c r="U207" s="132" t="s">
        <v>346</v>
      </c>
      <c r="V207" s="132" t="s">
        <v>228</v>
      </c>
      <c r="W207" s="132" t="s">
        <v>1023</v>
      </c>
      <c r="X207" s="132" t="s">
        <v>222</v>
      </c>
      <c r="Y207" s="132" t="s">
        <v>221</v>
      </c>
      <c r="Z207" s="132" t="s">
        <v>1016</v>
      </c>
      <c r="AA207" s="134" t="s">
        <v>1010</v>
      </c>
      <c r="AB207" s="132" t="s">
        <v>1014</v>
      </c>
      <c r="AC207" s="132" t="s">
        <v>235</v>
      </c>
      <c r="AD207" s="132" t="s">
        <v>1029</v>
      </c>
      <c r="AE207" s="132" t="s">
        <v>1037</v>
      </c>
      <c r="AF207" s="132" t="s">
        <v>274</v>
      </c>
      <c r="AG207" s="133" t="s">
        <v>1031</v>
      </c>
    </row>
    <row r="208" spans="1:33" ht="15" thickBot="1" x14ac:dyDescent="0.35">
      <c r="A208" s="90">
        <v>45172</v>
      </c>
      <c r="B208" s="135" t="s">
        <v>1192</v>
      </c>
      <c r="C208" s="136" t="s">
        <v>278</v>
      </c>
      <c r="D208" s="136" t="s">
        <v>1007</v>
      </c>
      <c r="E208" s="136" t="s">
        <v>1011</v>
      </c>
      <c r="F208" s="136" t="s">
        <v>248</v>
      </c>
      <c r="G208" s="136" t="s">
        <v>234</v>
      </c>
      <c r="H208" s="136" t="s">
        <v>250</v>
      </c>
      <c r="I208" s="136" t="s">
        <v>1232</v>
      </c>
      <c r="J208" s="136" t="s">
        <v>311</v>
      </c>
      <c r="K208" s="136" t="s">
        <v>244</v>
      </c>
      <c r="L208" s="136" t="s">
        <v>1022</v>
      </c>
      <c r="M208" s="136" t="s">
        <v>1017</v>
      </c>
      <c r="N208" s="136" t="s">
        <v>268</v>
      </c>
      <c r="O208" s="136" t="s">
        <v>1230</v>
      </c>
      <c r="P208" s="136" t="s">
        <v>231</v>
      </c>
      <c r="Q208" s="137" t="s">
        <v>246</v>
      </c>
      <c r="R208" s="135" t="s">
        <v>1192</v>
      </c>
      <c r="S208" s="136" t="s">
        <v>1028</v>
      </c>
      <c r="T208" s="136" t="s">
        <v>1229</v>
      </c>
      <c r="U208" s="136" t="s">
        <v>346</v>
      </c>
      <c r="V208" s="136" t="s">
        <v>228</v>
      </c>
      <c r="W208" s="136" t="s">
        <v>1023</v>
      </c>
      <c r="X208" s="136" t="s">
        <v>222</v>
      </c>
      <c r="Y208" s="136" t="s">
        <v>221</v>
      </c>
      <c r="Z208" s="136" t="s">
        <v>1016</v>
      </c>
      <c r="AA208" s="136" t="s">
        <v>1010</v>
      </c>
      <c r="AB208" s="136" t="s">
        <v>1014</v>
      </c>
      <c r="AC208" s="136" t="s">
        <v>235</v>
      </c>
      <c r="AD208" s="136" t="s">
        <v>1029</v>
      </c>
      <c r="AE208" s="136" t="s">
        <v>1037</v>
      </c>
      <c r="AF208" s="136" t="s">
        <v>274</v>
      </c>
      <c r="AG208" s="137" t="s">
        <v>1031</v>
      </c>
    </row>
    <row r="209" spans="1:33" x14ac:dyDescent="0.3">
      <c r="A209" s="90" t="s">
        <v>3</v>
      </c>
      <c r="B209" s="6" t="s">
        <v>3</v>
      </c>
      <c r="C209" s="112" t="s">
        <v>286</v>
      </c>
      <c r="D209" s="112" t="s">
        <v>250</v>
      </c>
      <c r="E209" s="112" t="s">
        <v>248</v>
      </c>
      <c r="F209" s="112" t="s">
        <v>270</v>
      </c>
      <c r="G209" s="112" t="s">
        <v>266</v>
      </c>
      <c r="H209" s="112" t="s">
        <v>226</v>
      </c>
      <c r="I209" s="112" t="s">
        <v>246</v>
      </c>
      <c r="J209" s="112" t="s">
        <v>239</v>
      </c>
      <c r="K209" s="112" t="s">
        <v>339</v>
      </c>
      <c r="L209" s="112" t="s">
        <v>311</v>
      </c>
      <c r="M209" s="112" t="s">
        <v>231</v>
      </c>
      <c r="N209" s="112" t="s">
        <v>241</v>
      </c>
      <c r="O209" s="112" t="s">
        <v>268</v>
      </c>
      <c r="P209" s="112" t="s">
        <v>255</v>
      </c>
      <c r="Q209" s="113" t="s">
        <v>392</v>
      </c>
      <c r="R209" s="6" t="s">
        <v>1</v>
      </c>
      <c r="S209" s="112" t="s">
        <v>278</v>
      </c>
      <c r="T209" s="112" t="s">
        <v>221</v>
      </c>
      <c r="U209" s="112" t="s">
        <v>243</v>
      </c>
      <c r="V209" s="112" t="s">
        <v>251</v>
      </c>
      <c r="W209" s="112" t="s">
        <v>346</v>
      </c>
      <c r="X209" s="112" t="s">
        <v>224</v>
      </c>
      <c r="Y209" s="112" t="s">
        <v>287</v>
      </c>
      <c r="Z209" s="112" t="s">
        <v>235</v>
      </c>
      <c r="AA209" s="112" t="s">
        <v>274</v>
      </c>
      <c r="AB209" s="112" t="s">
        <v>222</v>
      </c>
      <c r="AC209" s="112" t="s">
        <v>325</v>
      </c>
      <c r="AD209" s="112" t="s">
        <v>244</v>
      </c>
      <c r="AE209" s="112" t="s">
        <v>228</v>
      </c>
      <c r="AF209" s="112" t="s">
        <v>264</v>
      </c>
      <c r="AG209" s="113" t="s">
        <v>234</v>
      </c>
    </row>
    <row r="210" spans="1:33" x14ac:dyDescent="0.3">
      <c r="A210" s="90"/>
      <c r="B210" s="120"/>
      <c r="C210" s="121">
        <v>7</v>
      </c>
      <c r="D210" s="121">
        <v>6</v>
      </c>
      <c r="E210" s="121">
        <v>7</v>
      </c>
      <c r="F210" s="121">
        <v>6</v>
      </c>
      <c r="G210" s="121">
        <v>6</v>
      </c>
      <c r="H210" s="121">
        <v>6</v>
      </c>
      <c r="I210" s="121">
        <v>6</v>
      </c>
      <c r="J210" s="121">
        <v>6</v>
      </c>
      <c r="K210" s="121">
        <v>5</v>
      </c>
      <c r="L210" s="121">
        <v>6</v>
      </c>
      <c r="M210" s="121">
        <v>6</v>
      </c>
      <c r="N210" s="121">
        <v>6</v>
      </c>
      <c r="O210" s="121">
        <v>6</v>
      </c>
      <c r="P210" s="121">
        <v>6</v>
      </c>
      <c r="Q210" s="122">
        <v>5</v>
      </c>
      <c r="R210" s="120"/>
      <c r="S210" s="121">
        <v>6</v>
      </c>
      <c r="T210" s="121">
        <v>6</v>
      </c>
      <c r="U210" s="121">
        <v>6</v>
      </c>
      <c r="V210" s="121">
        <v>7</v>
      </c>
      <c r="W210" s="121">
        <v>6</v>
      </c>
      <c r="X210" s="121">
        <v>6</v>
      </c>
      <c r="Y210" s="121">
        <v>6</v>
      </c>
      <c r="Z210" s="121">
        <v>7</v>
      </c>
      <c r="AA210" s="121">
        <v>6</v>
      </c>
      <c r="AB210" s="121">
        <v>6</v>
      </c>
      <c r="AC210" s="121">
        <v>6</v>
      </c>
      <c r="AD210" s="121">
        <v>7</v>
      </c>
      <c r="AE210" s="121">
        <v>7</v>
      </c>
      <c r="AF210" s="121">
        <v>6</v>
      </c>
      <c r="AG210" s="122">
        <v>6</v>
      </c>
    </row>
    <row r="211" spans="1:33" x14ac:dyDescent="0.3">
      <c r="A211" s="90">
        <v>45173</v>
      </c>
      <c r="B211" s="120" t="s">
        <v>1193</v>
      </c>
      <c r="C211" s="121" t="s">
        <v>266</v>
      </c>
      <c r="D211" s="121"/>
      <c r="E211" s="121" t="s">
        <v>268</v>
      </c>
      <c r="F211" s="121" t="s">
        <v>244</v>
      </c>
      <c r="G211" s="121" t="s">
        <v>1028</v>
      </c>
      <c r="H211" s="121"/>
      <c r="I211" s="121"/>
      <c r="J211" s="121" t="s">
        <v>1036</v>
      </c>
      <c r="K211" s="121"/>
      <c r="L211" s="121" t="s">
        <v>1230</v>
      </c>
      <c r="M211" s="121" t="s">
        <v>239</v>
      </c>
      <c r="N211" s="121" t="s">
        <v>311</v>
      </c>
      <c r="O211" s="121" t="s">
        <v>1008</v>
      </c>
      <c r="P211" s="121"/>
      <c r="Q211" s="122"/>
      <c r="R211" s="120" t="s">
        <v>1193</v>
      </c>
      <c r="S211" s="121" t="s">
        <v>1038</v>
      </c>
      <c r="T211" s="121" t="s">
        <v>1228</v>
      </c>
      <c r="U211" s="121"/>
      <c r="V211" s="121" t="s">
        <v>274</v>
      </c>
      <c r="W211" s="121"/>
      <c r="X211" s="121" t="s">
        <v>1010</v>
      </c>
      <c r="Y211" s="121"/>
      <c r="Z211" s="121" t="s">
        <v>278</v>
      </c>
      <c r="AA211" s="121" t="s">
        <v>1037</v>
      </c>
      <c r="AB211" s="121"/>
      <c r="AC211" s="121" t="s">
        <v>234</v>
      </c>
      <c r="AD211" s="121" t="s">
        <v>1011</v>
      </c>
      <c r="AE211" s="121" t="s">
        <v>221</v>
      </c>
      <c r="AF211" s="121" t="s">
        <v>224</v>
      </c>
      <c r="AG211" s="122" t="s">
        <v>1016</v>
      </c>
    </row>
    <row r="212" spans="1:33" x14ac:dyDescent="0.3">
      <c r="A212" s="90">
        <v>45174</v>
      </c>
      <c r="B212" s="120" t="s">
        <v>1194</v>
      </c>
      <c r="C212" s="121" t="s">
        <v>266</v>
      </c>
      <c r="D212" s="121" t="s">
        <v>255</v>
      </c>
      <c r="E212" s="121" t="s">
        <v>268</v>
      </c>
      <c r="F212" s="121" t="s">
        <v>244</v>
      </c>
      <c r="G212" s="121" t="s">
        <v>1028</v>
      </c>
      <c r="H212" s="121" t="s">
        <v>1009</v>
      </c>
      <c r="I212" s="121" t="s">
        <v>226</v>
      </c>
      <c r="J212" s="121" t="s">
        <v>1036</v>
      </c>
      <c r="K212" s="121" t="s">
        <v>1232</v>
      </c>
      <c r="L212" s="121" t="s">
        <v>1230</v>
      </c>
      <c r="M212" s="121" t="s">
        <v>239</v>
      </c>
      <c r="N212" s="121" t="s">
        <v>311</v>
      </c>
      <c r="O212" s="121" t="s">
        <v>1008</v>
      </c>
      <c r="P212" s="123" t="s">
        <v>1030</v>
      </c>
      <c r="Q212" s="124" t="s">
        <v>339</v>
      </c>
      <c r="R212" s="120" t="s">
        <v>1194</v>
      </c>
      <c r="S212" s="121" t="s">
        <v>1038</v>
      </c>
      <c r="T212" s="121" t="s">
        <v>1228</v>
      </c>
      <c r="U212" s="121" t="s">
        <v>1229</v>
      </c>
      <c r="V212" s="121" t="s">
        <v>274</v>
      </c>
      <c r="W212" s="121" t="s">
        <v>1012</v>
      </c>
      <c r="X212" s="121" t="s">
        <v>1010</v>
      </c>
      <c r="Y212" s="121" t="s">
        <v>243</v>
      </c>
      <c r="Z212" s="121" t="s">
        <v>278</v>
      </c>
      <c r="AA212" s="121" t="s">
        <v>1037</v>
      </c>
      <c r="AB212" s="121" t="s">
        <v>346</v>
      </c>
      <c r="AC212" s="121" t="s">
        <v>234</v>
      </c>
      <c r="AD212" s="121" t="s">
        <v>1011</v>
      </c>
      <c r="AE212" s="121" t="s">
        <v>221</v>
      </c>
      <c r="AF212" s="123" t="s">
        <v>224</v>
      </c>
      <c r="AG212" s="124" t="s">
        <v>1016</v>
      </c>
    </row>
    <row r="213" spans="1:33" x14ac:dyDescent="0.3">
      <c r="A213" s="90">
        <v>45175</v>
      </c>
      <c r="B213" s="120" t="s">
        <v>1195</v>
      </c>
      <c r="C213" s="121" t="s">
        <v>266</v>
      </c>
      <c r="D213" s="121" t="s">
        <v>255</v>
      </c>
      <c r="E213" s="121" t="s">
        <v>268</v>
      </c>
      <c r="F213" s="121" t="s">
        <v>244</v>
      </c>
      <c r="G213" s="121" t="s">
        <v>1028</v>
      </c>
      <c r="H213" s="121" t="s">
        <v>1009</v>
      </c>
      <c r="I213" s="121" t="s">
        <v>226</v>
      </c>
      <c r="J213" s="121" t="s">
        <v>1036</v>
      </c>
      <c r="K213" s="121" t="s">
        <v>1232</v>
      </c>
      <c r="L213" s="121" t="s">
        <v>1230</v>
      </c>
      <c r="M213" s="121" t="s">
        <v>239</v>
      </c>
      <c r="N213" s="121" t="s">
        <v>311</v>
      </c>
      <c r="O213" s="121" t="s">
        <v>1008</v>
      </c>
      <c r="P213" s="123" t="s">
        <v>1030</v>
      </c>
      <c r="Q213" s="124" t="s">
        <v>339</v>
      </c>
      <c r="R213" s="120" t="s">
        <v>1195</v>
      </c>
      <c r="S213" s="121" t="s">
        <v>1038</v>
      </c>
      <c r="T213" s="121" t="s">
        <v>1228</v>
      </c>
      <c r="U213" s="121" t="s">
        <v>1229</v>
      </c>
      <c r="V213" s="121" t="s">
        <v>274</v>
      </c>
      <c r="W213" s="121" t="s">
        <v>1012</v>
      </c>
      <c r="X213" s="121" t="s">
        <v>1010</v>
      </c>
      <c r="Y213" s="121" t="s">
        <v>243</v>
      </c>
      <c r="Z213" s="121" t="s">
        <v>278</v>
      </c>
      <c r="AA213" s="121" t="s">
        <v>1037</v>
      </c>
      <c r="AB213" s="121" t="s">
        <v>346</v>
      </c>
      <c r="AC213" s="121" t="s">
        <v>234</v>
      </c>
      <c r="AD213" s="121" t="s">
        <v>1011</v>
      </c>
      <c r="AE213" s="121" t="s">
        <v>221</v>
      </c>
      <c r="AF213" s="123" t="s">
        <v>224</v>
      </c>
      <c r="AG213" s="124" t="s">
        <v>1016</v>
      </c>
    </row>
    <row r="214" spans="1:33" x14ac:dyDescent="0.3">
      <c r="A214" s="90">
        <v>45176</v>
      </c>
      <c r="B214" s="120" t="s">
        <v>1196</v>
      </c>
      <c r="C214" s="121" t="s">
        <v>1008</v>
      </c>
      <c r="D214" s="121" t="s">
        <v>255</v>
      </c>
      <c r="E214" s="121" t="s">
        <v>286</v>
      </c>
      <c r="F214" s="121"/>
      <c r="G214" s="121"/>
      <c r="H214" s="121" t="s">
        <v>1009</v>
      </c>
      <c r="I214" s="121" t="s">
        <v>226</v>
      </c>
      <c r="J214" s="121"/>
      <c r="K214" s="121"/>
      <c r="L214" s="121"/>
      <c r="M214" s="121"/>
      <c r="N214" s="121"/>
      <c r="O214" s="121"/>
      <c r="P214" s="123" t="s">
        <v>1030</v>
      </c>
      <c r="Q214" s="124"/>
      <c r="R214" s="120" t="s">
        <v>1196</v>
      </c>
      <c r="S214" s="121"/>
      <c r="T214" s="121"/>
      <c r="U214" s="121" t="s">
        <v>1229</v>
      </c>
      <c r="V214" s="121" t="s">
        <v>1038</v>
      </c>
      <c r="W214" s="121" t="s">
        <v>1012</v>
      </c>
      <c r="X214" s="121"/>
      <c r="Y214" s="121" t="s">
        <v>243</v>
      </c>
      <c r="Z214" s="121" t="s">
        <v>251</v>
      </c>
      <c r="AA214" s="121"/>
      <c r="AB214" s="121" t="s">
        <v>346</v>
      </c>
      <c r="AC214" s="121"/>
      <c r="AD214" s="121" t="s">
        <v>1228</v>
      </c>
      <c r="AE214" s="121" t="s">
        <v>244</v>
      </c>
      <c r="AF214" s="123"/>
      <c r="AG214" s="124"/>
    </row>
    <row r="215" spans="1:33" x14ac:dyDescent="0.3">
      <c r="A215" s="90">
        <v>45177</v>
      </c>
      <c r="B215" s="120" t="s">
        <v>1197</v>
      </c>
      <c r="C215" s="121" t="s">
        <v>1008</v>
      </c>
      <c r="D215" s="121" t="s">
        <v>231</v>
      </c>
      <c r="E215" s="121" t="s">
        <v>286</v>
      </c>
      <c r="F215" s="121" t="s">
        <v>255</v>
      </c>
      <c r="G215" s="121" t="s">
        <v>1227</v>
      </c>
      <c r="H215" s="121" t="s">
        <v>1232</v>
      </c>
      <c r="I215" s="121" t="s">
        <v>1027</v>
      </c>
      <c r="J215" s="121" t="s">
        <v>1012</v>
      </c>
      <c r="K215" s="121" t="s">
        <v>1033</v>
      </c>
      <c r="L215" s="121" t="s">
        <v>246</v>
      </c>
      <c r="M215" s="121" t="s">
        <v>1030</v>
      </c>
      <c r="N215" s="121" t="s">
        <v>1014</v>
      </c>
      <c r="O215" s="121" t="s">
        <v>266</v>
      </c>
      <c r="P215" s="123" t="s">
        <v>1011</v>
      </c>
      <c r="Q215" s="124" t="s">
        <v>226</v>
      </c>
      <c r="R215" s="120" t="s">
        <v>1197</v>
      </c>
      <c r="S215" s="121" t="s">
        <v>1013</v>
      </c>
      <c r="T215" s="121" t="s">
        <v>278</v>
      </c>
      <c r="U215" s="121" t="s">
        <v>1032</v>
      </c>
      <c r="V215" s="121" t="s">
        <v>1038</v>
      </c>
      <c r="W215" s="121" t="s">
        <v>243</v>
      </c>
      <c r="X215" s="121" t="s">
        <v>241</v>
      </c>
      <c r="Y215" s="121" t="s">
        <v>1043</v>
      </c>
      <c r="Z215" s="121" t="s">
        <v>251</v>
      </c>
      <c r="AA215" s="121" t="s">
        <v>339</v>
      </c>
      <c r="AB215" s="121" t="s">
        <v>239</v>
      </c>
      <c r="AC215" s="121" t="s">
        <v>1010</v>
      </c>
      <c r="AD215" s="121" t="s">
        <v>1228</v>
      </c>
      <c r="AE215" s="121" t="s">
        <v>244</v>
      </c>
      <c r="AF215" s="123" t="s">
        <v>325</v>
      </c>
      <c r="AG215" s="124" t="s">
        <v>287</v>
      </c>
    </row>
    <row r="216" spans="1:33" x14ac:dyDescent="0.3">
      <c r="A216" s="90">
        <v>45178</v>
      </c>
      <c r="B216" s="120" t="s">
        <v>1198</v>
      </c>
      <c r="C216" s="121" t="s">
        <v>1008</v>
      </c>
      <c r="D216" s="121" t="s">
        <v>231</v>
      </c>
      <c r="E216" s="121" t="s">
        <v>286</v>
      </c>
      <c r="F216" s="121" t="s">
        <v>255</v>
      </c>
      <c r="G216" s="121" t="s">
        <v>1227</v>
      </c>
      <c r="H216" s="121" t="s">
        <v>1232</v>
      </c>
      <c r="I216" s="121" t="s">
        <v>1027</v>
      </c>
      <c r="J216" s="121" t="s">
        <v>1012</v>
      </c>
      <c r="K216" s="121" t="s">
        <v>1033</v>
      </c>
      <c r="L216" s="121" t="s">
        <v>246</v>
      </c>
      <c r="M216" s="121" t="s">
        <v>1030</v>
      </c>
      <c r="N216" s="121" t="s">
        <v>1014</v>
      </c>
      <c r="O216" s="121" t="s">
        <v>266</v>
      </c>
      <c r="P216" s="123" t="s">
        <v>1011</v>
      </c>
      <c r="Q216" s="124" t="s">
        <v>226</v>
      </c>
      <c r="R216" s="120" t="s">
        <v>1198</v>
      </c>
      <c r="S216" s="121" t="s">
        <v>1013</v>
      </c>
      <c r="T216" s="121" t="s">
        <v>278</v>
      </c>
      <c r="U216" s="121" t="s">
        <v>1032</v>
      </c>
      <c r="V216" s="121" t="s">
        <v>1038</v>
      </c>
      <c r="W216" s="121" t="s">
        <v>243</v>
      </c>
      <c r="X216" s="121" t="s">
        <v>241</v>
      </c>
      <c r="Y216" s="121" t="s">
        <v>1043</v>
      </c>
      <c r="Z216" s="121" t="s">
        <v>251</v>
      </c>
      <c r="AA216" s="121" t="s">
        <v>339</v>
      </c>
      <c r="AB216" s="121" t="s">
        <v>239</v>
      </c>
      <c r="AC216" s="121" t="s">
        <v>1010</v>
      </c>
      <c r="AD216" s="121" t="s">
        <v>1228</v>
      </c>
      <c r="AE216" s="121" t="s">
        <v>244</v>
      </c>
      <c r="AF216" s="123" t="s">
        <v>325</v>
      </c>
      <c r="AG216" s="124" t="s">
        <v>287</v>
      </c>
    </row>
    <row r="217" spans="1:33" ht="15" thickBot="1" x14ac:dyDescent="0.35">
      <c r="A217" s="90">
        <v>45179</v>
      </c>
      <c r="B217" s="127" t="s">
        <v>1199</v>
      </c>
      <c r="C217" s="128" t="s">
        <v>1008</v>
      </c>
      <c r="D217" s="128" t="s">
        <v>231</v>
      </c>
      <c r="E217" s="128" t="s">
        <v>286</v>
      </c>
      <c r="F217" s="128" t="s">
        <v>255</v>
      </c>
      <c r="G217" s="128" t="s">
        <v>1227</v>
      </c>
      <c r="H217" s="128" t="s">
        <v>1232</v>
      </c>
      <c r="I217" s="128" t="s">
        <v>1027</v>
      </c>
      <c r="J217" s="128" t="s">
        <v>1012</v>
      </c>
      <c r="K217" s="128" t="s">
        <v>1033</v>
      </c>
      <c r="L217" s="128" t="s">
        <v>246</v>
      </c>
      <c r="M217" s="128" t="s">
        <v>1030</v>
      </c>
      <c r="N217" s="128" t="s">
        <v>1014</v>
      </c>
      <c r="O217" s="128" t="s">
        <v>266</v>
      </c>
      <c r="P217" s="129" t="s">
        <v>1011</v>
      </c>
      <c r="Q217" s="130" t="s">
        <v>226</v>
      </c>
      <c r="R217" s="127" t="s">
        <v>1199</v>
      </c>
      <c r="S217" s="128" t="s">
        <v>1013</v>
      </c>
      <c r="T217" s="128" t="s">
        <v>278</v>
      </c>
      <c r="U217" s="128" t="s">
        <v>1032</v>
      </c>
      <c r="V217" s="128" t="s">
        <v>1038</v>
      </c>
      <c r="W217" s="128" t="s">
        <v>243</v>
      </c>
      <c r="X217" s="128" t="s">
        <v>241</v>
      </c>
      <c r="Y217" s="128" t="s">
        <v>1043</v>
      </c>
      <c r="Z217" s="128" t="s">
        <v>251</v>
      </c>
      <c r="AA217" s="128" t="s">
        <v>339</v>
      </c>
      <c r="AB217" s="128" t="s">
        <v>239</v>
      </c>
      <c r="AC217" s="128" t="s">
        <v>1010</v>
      </c>
      <c r="AD217" s="128" t="s">
        <v>1228</v>
      </c>
      <c r="AE217" s="128" t="s">
        <v>244</v>
      </c>
      <c r="AF217" s="129" t="s">
        <v>325</v>
      </c>
      <c r="AG217" s="130" t="s">
        <v>287</v>
      </c>
    </row>
    <row r="218" spans="1:33" x14ac:dyDescent="0.3">
      <c r="A218" s="90" t="s">
        <v>3</v>
      </c>
      <c r="B218" s="6" t="s">
        <v>3</v>
      </c>
      <c r="C218" s="112" t="s">
        <v>286</v>
      </c>
      <c r="D218" s="112" t="s">
        <v>250</v>
      </c>
      <c r="E218" s="112" t="s">
        <v>248</v>
      </c>
      <c r="F218" s="112" t="s">
        <v>270</v>
      </c>
      <c r="G218" s="112" t="s">
        <v>266</v>
      </c>
      <c r="H218" s="112" t="s">
        <v>226</v>
      </c>
      <c r="I218" s="112" t="s">
        <v>246</v>
      </c>
      <c r="J218" s="112" t="s">
        <v>239</v>
      </c>
      <c r="K218" s="112" t="s">
        <v>339</v>
      </c>
      <c r="L218" s="112" t="s">
        <v>311</v>
      </c>
      <c r="M218" s="112" t="s">
        <v>231</v>
      </c>
      <c r="N218" s="112" t="s">
        <v>241</v>
      </c>
      <c r="O218" s="112" t="s">
        <v>268</v>
      </c>
      <c r="P218" s="112" t="s">
        <v>255</v>
      </c>
      <c r="Q218" s="113" t="s">
        <v>392</v>
      </c>
      <c r="R218" s="6" t="s">
        <v>1</v>
      </c>
      <c r="S218" s="112" t="s">
        <v>278</v>
      </c>
      <c r="T218" s="112" t="s">
        <v>221</v>
      </c>
      <c r="U218" s="112" t="s">
        <v>243</v>
      </c>
      <c r="V218" s="112" t="s">
        <v>251</v>
      </c>
      <c r="W218" s="112" t="s">
        <v>346</v>
      </c>
      <c r="X218" s="112" t="s">
        <v>224</v>
      </c>
      <c r="Y218" s="112" t="s">
        <v>287</v>
      </c>
      <c r="Z218" s="112" t="s">
        <v>235</v>
      </c>
      <c r="AA218" s="112" t="s">
        <v>274</v>
      </c>
      <c r="AB218" s="112" t="s">
        <v>222</v>
      </c>
      <c r="AC218" s="112" t="s">
        <v>325</v>
      </c>
      <c r="AD218" s="112" t="s">
        <v>244</v>
      </c>
      <c r="AE218" s="112" t="s">
        <v>228</v>
      </c>
      <c r="AF218" s="112" t="s">
        <v>264</v>
      </c>
      <c r="AG218" s="113" t="s">
        <v>234</v>
      </c>
    </row>
    <row r="219" spans="1:33" x14ac:dyDescent="0.3">
      <c r="A219" s="90"/>
      <c r="B219" s="114"/>
      <c r="C219" s="115">
        <v>7</v>
      </c>
      <c r="D219" s="115">
        <v>6</v>
      </c>
      <c r="E219" s="115">
        <v>6</v>
      </c>
      <c r="F219" s="115">
        <v>6</v>
      </c>
      <c r="G219" s="115">
        <v>7</v>
      </c>
      <c r="H219" s="115">
        <v>6</v>
      </c>
      <c r="I219" s="115">
        <v>7</v>
      </c>
      <c r="J219" s="115">
        <v>7</v>
      </c>
      <c r="K219" s="115">
        <v>7</v>
      </c>
      <c r="L219" s="115">
        <v>6</v>
      </c>
      <c r="M219" s="115">
        <v>7</v>
      </c>
      <c r="N219" s="115">
        <v>6</v>
      </c>
      <c r="O219" s="115">
        <v>7</v>
      </c>
      <c r="P219" s="115">
        <v>6</v>
      </c>
      <c r="Q219" s="116">
        <v>7</v>
      </c>
      <c r="R219" s="114"/>
      <c r="S219" s="115">
        <v>7</v>
      </c>
      <c r="T219" s="115">
        <v>7</v>
      </c>
      <c r="U219" s="115">
        <v>7</v>
      </c>
      <c r="V219" s="115">
        <v>6</v>
      </c>
      <c r="W219" s="115">
        <v>6</v>
      </c>
      <c r="X219" s="115">
        <v>6</v>
      </c>
      <c r="Y219" s="115">
        <v>6</v>
      </c>
      <c r="Z219" s="115">
        <v>6</v>
      </c>
      <c r="AA219" s="115">
        <v>7</v>
      </c>
      <c r="AB219" s="115">
        <v>7</v>
      </c>
      <c r="AC219" s="115">
        <v>6</v>
      </c>
      <c r="AD219" s="115">
        <v>6</v>
      </c>
      <c r="AE219" s="115">
        <v>7</v>
      </c>
      <c r="AF219" s="115">
        <v>7</v>
      </c>
      <c r="AG219" s="116">
        <v>7</v>
      </c>
    </row>
    <row r="220" spans="1:33" x14ac:dyDescent="0.3">
      <c r="A220" s="90">
        <v>45180</v>
      </c>
      <c r="B220" s="131" t="s">
        <v>1200</v>
      </c>
      <c r="C220" s="132" t="s">
        <v>1029</v>
      </c>
      <c r="D220" s="132"/>
      <c r="E220" s="132" t="s">
        <v>1031</v>
      </c>
      <c r="F220" s="132"/>
      <c r="G220" s="132" t="s">
        <v>248</v>
      </c>
      <c r="H220" s="132" t="s">
        <v>241</v>
      </c>
      <c r="I220" s="132" t="s">
        <v>1022</v>
      </c>
      <c r="J220" s="132" t="s">
        <v>246</v>
      </c>
      <c r="K220" s="132" t="s">
        <v>286</v>
      </c>
      <c r="L220" s="132"/>
      <c r="M220" s="132" t="s">
        <v>392</v>
      </c>
      <c r="N220" s="132" t="s">
        <v>1007</v>
      </c>
      <c r="O220" s="132" t="s">
        <v>251</v>
      </c>
      <c r="P220" s="132" t="s">
        <v>1034</v>
      </c>
      <c r="Q220" s="133" t="s">
        <v>1036</v>
      </c>
      <c r="R220" s="131" t="s">
        <v>1200</v>
      </c>
      <c r="S220" s="132" t="s">
        <v>255</v>
      </c>
      <c r="T220" s="132" t="s">
        <v>222</v>
      </c>
      <c r="U220" s="132" t="s">
        <v>287</v>
      </c>
      <c r="V220" s="132" t="s">
        <v>1227</v>
      </c>
      <c r="W220" s="132"/>
      <c r="X220" s="132" t="s">
        <v>325</v>
      </c>
      <c r="Y220" s="132" t="s">
        <v>1023</v>
      </c>
      <c r="Z220" s="132" t="s">
        <v>1015</v>
      </c>
      <c r="AA220" s="132" t="s">
        <v>228</v>
      </c>
      <c r="AB220" s="132" t="s">
        <v>1013</v>
      </c>
      <c r="AC220" s="132" t="s">
        <v>1014</v>
      </c>
      <c r="AD220" s="132" t="s">
        <v>235</v>
      </c>
      <c r="AE220" s="132" t="s">
        <v>1033</v>
      </c>
      <c r="AF220" s="132" t="s">
        <v>1043</v>
      </c>
      <c r="AG220" s="133" t="s">
        <v>264</v>
      </c>
    </row>
    <row r="221" spans="1:33" x14ac:dyDescent="0.3">
      <c r="A221" s="90">
        <v>45181</v>
      </c>
      <c r="B221" s="131" t="s">
        <v>1201</v>
      </c>
      <c r="C221" s="132" t="s">
        <v>1029</v>
      </c>
      <c r="D221" s="132" t="s">
        <v>1027</v>
      </c>
      <c r="E221" s="132" t="s">
        <v>1031</v>
      </c>
      <c r="F221" s="132" t="s">
        <v>1032</v>
      </c>
      <c r="G221" s="132" t="s">
        <v>248</v>
      </c>
      <c r="H221" s="132" t="s">
        <v>241</v>
      </c>
      <c r="I221" s="132" t="s">
        <v>1022</v>
      </c>
      <c r="J221" s="132" t="s">
        <v>246</v>
      </c>
      <c r="K221" s="132" t="s">
        <v>286</v>
      </c>
      <c r="L221" s="132" t="s">
        <v>250</v>
      </c>
      <c r="M221" s="132" t="s">
        <v>392</v>
      </c>
      <c r="N221" s="132" t="s">
        <v>1007</v>
      </c>
      <c r="O221" s="132" t="s">
        <v>251</v>
      </c>
      <c r="P221" s="132" t="s">
        <v>1034</v>
      </c>
      <c r="Q221" s="133" t="s">
        <v>1036</v>
      </c>
      <c r="R221" s="131" t="s">
        <v>1201</v>
      </c>
      <c r="S221" s="132" t="s">
        <v>255</v>
      </c>
      <c r="T221" s="132" t="s">
        <v>222</v>
      </c>
      <c r="U221" s="132" t="s">
        <v>287</v>
      </c>
      <c r="V221" s="132" t="s">
        <v>1227</v>
      </c>
      <c r="W221" s="132" t="s">
        <v>270</v>
      </c>
      <c r="X221" s="132" t="s">
        <v>325</v>
      </c>
      <c r="Y221" s="132" t="s">
        <v>1023</v>
      </c>
      <c r="Z221" s="132" t="s">
        <v>1015</v>
      </c>
      <c r="AA221" s="132" t="s">
        <v>228</v>
      </c>
      <c r="AB221" s="132" t="s">
        <v>1013</v>
      </c>
      <c r="AC221" s="132" t="s">
        <v>1014</v>
      </c>
      <c r="AD221" s="132" t="s">
        <v>235</v>
      </c>
      <c r="AE221" s="132" t="s">
        <v>1033</v>
      </c>
      <c r="AF221" s="132" t="s">
        <v>1043</v>
      </c>
      <c r="AG221" s="133" t="s">
        <v>264</v>
      </c>
    </row>
    <row r="222" spans="1:33" x14ac:dyDescent="0.3">
      <c r="A222" s="90">
        <v>45182</v>
      </c>
      <c r="B222" s="131" t="s">
        <v>1202</v>
      </c>
      <c r="C222" s="132" t="s">
        <v>1029</v>
      </c>
      <c r="D222" s="132" t="s">
        <v>1027</v>
      </c>
      <c r="E222" s="132" t="s">
        <v>1031</v>
      </c>
      <c r="F222" s="132" t="s">
        <v>1032</v>
      </c>
      <c r="G222" s="132" t="s">
        <v>248</v>
      </c>
      <c r="H222" s="132" t="s">
        <v>241</v>
      </c>
      <c r="I222" s="132" t="s">
        <v>1022</v>
      </c>
      <c r="J222" s="132" t="s">
        <v>246</v>
      </c>
      <c r="K222" s="132" t="s">
        <v>286</v>
      </c>
      <c r="L222" s="132" t="s">
        <v>250</v>
      </c>
      <c r="M222" s="132" t="s">
        <v>392</v>
      </c>
      <c r="N222" s="132" t="s">
        <v>1007</v>
      </c>
      <c r="O222" s="132" t="s">
        <v>251</v>
      </c>
      <c r="P222" s="132" t="s">
        <v>1034</v>
      </c>
      <c r="Q222" s="133" t="s">
        <v>1036</v>
      </c>
      <c r="R222" s="131" t="s">
        <v>1202</v>
      </c>
      <c r="S222" s="132" t="s">
        <v>255</v>
      </c>
      <c r="T222" s="132" t="s">
        <v>222</v>
      </c>
      <c r="U222" s="132" t="s">
        <v>287</v>
      </c>
      <c r="V222" s="132" t="s">
        <v>1227</v>
      </c>
      <c r="W222" s="132" t="s">
        <v>270</v>
      </c>
      <c r="X222" s="132" t="s">
        <v>325</v>
      </c>
      <c r="Y222" s="132" t="s">
        <v>1023</v>
      </c>
      <c r="Z222" s="132" t="s">
        <v>1015</v>
      </c>
      <c r="AA222" s="132" t="s">
        <v>228</v>
      </c>
      <c r="AB222" s="132" t="s">
        <v>1013</v>
      </c>
      <c r="AC222" s="132" t="s">
        <v>1014</v>
      </c>
      <c r="AD222" s="132" t="s">
        <v>235</v>
      </c>
      <c r="AE222" s="132" t="s">
        <v>1033</v>
      </c>
      <c r="AF222" s="132" t="s">
        <v>1043</v>
      </c>
      <c r="AG222" s="133" t="s">
        <v>264</v>
      </c>
    </row>
    <row r="223" spans="1:33" x14ac:dyDescent="0.3">
      <c r="A223" s="90">
        <v>45183</v>
      </c>
      <c r="B223" s="131" t="s">
        <v>1203</v>
      </c>
      <c r="C223" s="132" t="s">
        <v>1029</v>
      </c>
      <c r="D223" s="132" t="s">
        <v>1027</v>
      </c>
      <c r="E223" s="132"/>
      <c r="F223" s="134" t="s">
        <v>1032</v>
      </c>
      <c r="G223" s="132" t="s">
        <v>268</v>
      </c>
      <c r="H223" s="132"/>
      <c r="I223" s="132" t="s">
        <v>1022</v>
      </c>
      <c r="J223" s="132" t="s">
        <v>246</v>
      </c>
      <c r="K223" s="132" t="s">
        <v>286</v>
      </c>
      <c r="L223" s="132" t="s">
        <v>250</v>
      </c>
      <c r="M223" s="132" t="s">
        <v>392</v>
      </c>
      <c r="N223" s="132"/>
      <c r="O223" s="132" t="s">
        <v>1031</v>
      </c>
      <c r="P223" s="132"/>
      <c r="Q223" s="133" t="s">
        <v>1036</v>
      </c>
      <c r="R223" s="131" t="s">
        <v>1203</v>
      </c>
      <c r="S223" s="132" t="s">
        <v>228</v>
      </c>
      <c r="T223" s="132" t="s">
        <v>222</v>
      </c>
      <c r="U223" s="132" t="s">
        <v>274</v>
      </c>
      <c r="V223" s="134"/>
      <c r="W223" s="132" t="s">
        <v>270</v>
      </c>
      <c r="X223" s="132"/>
      <c r="Y223" s="132"/>
      <c r="Z223" s="132"/>
      <c r="AA223" s="132" t="s">
        <v>1023</v>
      </c>
      <c r="AB223" s="132" t="s">
        <v>1013</v>
      </c>
      <c r="AC223" s="132"/>
      <c r="AD223" s="132"/>
      <c r="AE223" s="132" t="s">
        <v>1034</v>
      </c>
      <c r="AF223" s="132" t="s">
        <v>1043</v>
      </c>
      <c r="AG223" s="133" t="s">
        <v>264</v>
      </c>
    </row>
    <row r="224" spans="1:33" x14ac:dyDescent="0.3">
      <c r="A224" s="90">
        <v>45184</v>
      </c>
      <c r="B224" s="131" t="s">
        <v>1204</v>
      </c>
      <c r="C224" s="132" t="s">
        <v>248</v>
      </c>
      <c r="D224" s="132" t="s">
        <v>1009</v>
      </c>
      <c r="E224" s="132" t="s">
        <v>1028</v>
      </c>
      <c r="F224" s="132" t="s">
        <v>1029</v>
      </c>
      <c r="G224" s="132" t="s">
        <v>268</v>
      </c>
      <c r="H224" s="132" t="s">
        <v>1015</v>
      </c>
      <c r="I224" s="132" t="s">
        <v>250</v>
      </c>
      <c r="J224" s="132" t="s">
        <v>392</v>
      </c>
      <c r="K224" s="132" t="s">
        <v>270</v>
      </c>
      <c r="L224" s="132" t="s">
        <v>1017</v>
      </c>
      <c r="M224" s="132" t="s">
        <v>222</v>
      </c>
      <c r="N224" s="132" t="s">
        <v>1016</v>
      </c>
      <c r="O224" s="132" t="s">
        <v>1031</v>
      </c>
      <c r="P224" s="132" t="s">
        <v>311</v>
      </c>
      <c r="Q224" s="133" t="s">
        <v>1022</v>
      </c>
      <c r="R224" s="131" t="s">
        <v>1204</v>
      </c>
      <c r="S224" s="132" t="s">
        <v>228</v>
      </c>
      <c r="T224" s="132" t="s">
        <v>1043</v>
      </c>
      <c r="U224" s="132" t="s">
        <v>274</v>
      </c>
      <c r="V224" s="132" t="s">
        <v>264</v>
      </c>
      <c r="W224" s="132" t="s">
        <v>1038</v>
      </c>
      <c r="X224" s="132" t="s">
        <v>1229</v>
      </c>
      <c r="Y224" s="132" t="s">
        <v>224</v>
      </c>
      <c r="Z224" s="132" t="s">
        <v>346</v>
      </c>
      <c r="AA224" s="132" t="s">
        <v>1023</v>
      </c>
      <c r="AB224" s="132" t="s">
        <v>1036</v>
      </c>
      <c r="AC224" s="132" t="s">
        <v>241</v>
      </c>
      <c r="AD224" s="132" t="s">
        <v>226</v>
      </c>
      <c r="AE224" s="132" t="s">
        <v>1034</v>
      </c>
      <c r="AF224" s="132" t="s">
        <v>1037</v>
      </c>
      <c r="AG224" s="133" t="s">
        <v>221</v>
      </c>
    </row>
    <row r="225" spans="1:33" x14ac:dyDescent="0.3">
      <c r="A225" s="90">
        <v>45185</v>
      </c>
      <c r="B225" s="131" t="s">
        <v>1205</v>
      </c>
      <c r="C225" s="132" t="s">
        <v>248</v>
      </c>
      <c r="D225" s="132" t="s">
        <v>1009</v>
      </c>
      <c r="E225" s="132" t="s">
        <v>1028</v>
      </c>
      <c r="F225" s="132" t="s">
        <v>1029</v>
      </c>
      <c r="G225" s="132" t="s">
        <v>268</v>
      </c>
      <c r="H225" s="132" t="s">
        <v>1015</v>
      </c>
      <c r="I225" s="132" t="s">
        <v>250</v>
      </c>
      <c r="J225" s="132" t="s">
        <v>392</v>
      </c>
      <c r="K225" s="134" t="s">
        <v>270</v>
      </c>
      <c r="L225" s="132" t="s">
        <v>1017</v>
      </c>
      <c r="M225" s="132" t="s">
        <v>222</v>
      </c>
      <c r="N225" s="132" t="s">
        <v>1016</v>
      </c>
      <c r="O225" s="132" t="s">
        <v>1031</v>
      </c>
      <c r="P225" s="132" t="s">
        <v>311</v>
      </c>
      <c r="Q225" s="133" t="s">
        <v>1022</v>
      </c>
      <c r="R225" s="131" t="s">
        <v>1205</v>
      </c>
      <c r="S225" s="132" t="s">
        <v>228</v>
      </c>
      <c r="T225" s="132" t="s">
        <v>1043</v>
      </c>
      <c r="U225" s="132" t="s">
        <v>274</v>
      </c>
      <c r="V225" s="132" t="s">
        <v>264</v>
      </c>
      <c r="W225" s="132" t="s">
        <v>1038</v>
      </c>
      <c r="X225" s="132" t="s">
        <v>1229</v>
      </c>
      <c r="Y225" s="132" t="s">
        <v>224</v>
      </c>
      <c r="Z225" s="132" t="s">
        <v>346</v>
      </c>
      <c r="AA225" s="134" t="s">
        <v>1023</v>
      </c>
      <c r="AB225" s="132" t="s">
        <v>1036</v>
      </c>
      <c r="AC225" s="132" t="s">
        <v>241</v>
      </c>
      <c r="AD225" s="132" t="s">
        <v>226</v>
      </c>
      <c r="AE225" s="132" t="s">
        <v>1034</v>
      </c>
      <c r="AF225" s="132" t="s">
        <v>1037</v>
      </c>
      <c r="AG225" s="133" t="s">
        <v>221</v>
      </c>
    </row>
    <row r="226" spans="1:33" ht="15" thickBot="1" x14ac:dyDescent="0.35">
      <c r="A226" s="90">
        <v>45186</v>
      </c>
      <c r="B226" s="135" t="s">
        <v>1206</v>
      </c>
      <c r="C226" s="136" t="s">
        <v>248</v>
      </c>
      <c r="D226" s="136" t="s">
        <v>1009</v>
      </c>
      <c r="E226" s="136" t="s">
        <v>1028</v>
      </c>
      <c r="F226" s="136" t="s">
        <v>1029</v>
      </c>
      <c r="G226" s="136" t="s">
        <v>268</v>
      </c>
      <c r="H226" s="136" t="s">
        <v>1015</v>
      </c>
      <c r="I226" s="136" t="s">
        <v>250</v>
      </c>
      <c r="J226" s="136" t="s">
        <v>392</v>
      </c>
      <c r="K226" s="136" t="s">
        <v>270</v>
      </c>
      <c r="L226" s="136" t="s">
        <v>1017</v>
      </c>
      <c r="M226" s="136" t="s">
        <v>222</v>
      </c>
      <c r="N226" s="136" t="s">
        <v>1016</v>
      </c>
      <c r="O226" s="136" t="s">
        <v>1031</v>
      </c>
      <c r="P226" s="136" t="s">
        <v>311</v>
      </c>
      <c r="Q226" s="137" t="s">
        <v>1022</v>
      </c>
      <c r="R226" s="135" t="s">
        <v>1206</v>
      </c>
      <c r="S226" s="136" t="s">
        <v>228</v>
      </c>
      <c r="T226" s="136" t="s">
        <v>1043</v>
      </c>
      <c r="U226" s="136" t="s">
        <v>274</v>
      </c>
      <c r="V226" s="136" t="s">
        <v>264</v>
      </c>
      <c r="W226" s="136" t="s">
        <v>1038</v>
      </c>
      <c r="X226" s="136" t="s">
        <v>1229</v>
      </c>
      <c r="Y226" s="136" t="s">
        <v>224</v>
      </c>
      <c r="Z226" s="136" t="s">
        <v>346</v>
      </c>
      <c r="AA226" s="136" t="s">
        <v>1023</v>
      </c>
      <c r="AB226" s="136" t="s">
        <v>1036</v>
      </c>
      <c r="AC226" s="136" t="s">
        <v>241</v>
      </c>
      <c r="AD226" s="136" t="s">
        <v>226</v>
      </c>
      <c r="AE226" s="136" t="s">
        <v>1034</v>
      </c>
      <c r="AF226" s="136" t="s">
        <v>1037</v>
      </c>
      <c r="AG226" s="137" t="s">
        <v>221</v>
      </c>
    </row>
    <row r="227" spans="1:33" x14ac:dyDescent="0.3">
      <c r="A227" s="90" t="s">
        <v>3</v>
      </c>
      <c r="B227" s="6" t="s">
        <v>3</v>
      </c>
      <c r="C227" s="112" t="s">
        <v>286</v>
      </c>
      <c r="D227" s="112" t="s">
        <v>250</v>
      </c>
      <c r="E227" s="112" t="s">
        <v>248</v>
      </c>
      <c r="F227" s="112" t="s">
        <v>270</v>
      </c>
      <c r="G227" s="112" t="s">
        <v>266</v>
      </c>
      <c r="H227" s="112" t="s">
        <v>226</v>
      </c>
      <c r="I227" s="112" t="s">
        <v>246</v>
      </c>
      <c r="J227" s="112" t="s">
        <v>239</v>
      </c>
      <c r="K227" s="112" t="s">
        <v>339</v>
      </c>
      <c r="L227" s="112" t="s">
        <v>311</v>
      </c>
      <c r="M227" s="112" t="s">
        <v>231</v>
      </c>
      <c r="N227" s="112" t="s">
        <v>241</v>
      </c>
      <c r="O227" s="112" t="s">
        <v>268</v>
      </c>
      <c r="P227" s="112" t="s">
        <v>255</v>
      </c>
      <c r="Q227" s="113" t="s">
        <v>392</v>
      </c>
      <c r="R227" s="6" t="s">
        <v>1</v>
      </c>
      <c r="S227" s="112" t="s">
        <v>278</v>
      </c>
      <c r="T227" s="112" t="s">
        <v>221</v>
      </c>
      <c r="U227" s="112" t="s">
        <v>243</v>
      </c>
      <c r="V227" s="112" t="s">
        <v>251</v>
      </c>
      <c r="W227" s="112" t="s">
        <v>346</v>
      </c>
      <c r="X227" s="112" t="s">
        <v>224</v>
      </c>
      <c r="Y227" s="112" t="s">
        <v>287</v>
      </c>
      <c r="Z227" s="112" t="s">
        <v>235</v>
      </c>
      <c r="AA227" s="112" t="s">
        <v>274</v>
      </c>
      <c r="AB227" s="112" t="s">
        <v>222</v>
      </c>
      <c r="AC227" s="112" t="s">
        <v>325</v>
      </c>
      <c r="AD227" s="112" t="s">
        <v>244</v>
      </c>
      <c r="AE227" s="112" t="s">
        <v>228</v>
      </c>
      <c r="AF227" s="112" t="s">
        <v>264</v>
      </c>
      <c r="AG227" s="113" t="s">
        <v>234</v>
      </c>
    </row>
    <row r="228" spans="1:33" x14ac:dyDescent="0.3">
      <c r="A228" s="90"/>
      <c r="B228" s="120"/>
      <c r="C228" s="121">
        <v>5</v>
      </c>
      <c r="D228" s="121">
        <v>7</v>
      </c>
      <c r="E228" s="121">
        <v>6</v>
      </c>
      <c r="F228" s="121">
        <v>6</v>
      </c>
      <c r="G228" s="121">
        <v>6</v>
      </c>
      <c r="H228" s="121">
        <v>7</v>
      </c>
      <c r="I228" s="121">
        <v>6</v>
      </c>
      <c r="J228" s="121">
        <v>7</v>
      </c>
      <c r="K228" s="121">
        <v>7</v>
      </c>
      <c r="L228" s="121">
        <v>7</v>
      </c>
      <c r="M228" s="121">
        <v>6</v>
      </c>
      <c r="N228" s="121">
        <v>6</v>
      </c>
      <c r="O228" s="121">
        <v>6</v>
      </c>
      <c r="P228" s="121">
        <v>7</v>
      </c>
      <c r="Q228" s="122">
        <v>7</v>
      </c>
      <c r="R228" s="120"/>
      <c r="S228" s="121">
        <v>7</v>
      </c>
      <c r="T228" s="121">
        <v>6</v>
      </c>
      <c r="U228" s="121">
        <v>6</v>
      </c>
      <c r="V228" s="121">
        <v>7</v>
      </c>
      <c r="W228" s="121">
        <v>7</v>
      </c>
      <c r="X228" s="121">
        <v>6</v>
      </c>
      <c r="Y228" s="121">
        <v>6</v>
      </c>
      <c r="Z228" s="121">
        <v>6</v>
      </c>
      <c r="AA228" s="121">
        <v>6</v>
      </c>
      <c r="AB228" s="121">
        <v>6</v>
      </c>
      <c r="AC228" s="121">
        <v>7</v>
      </c>
      <c r="AD228" s="121">
        <v>6</v>
      </c>
      <c r="AE228" s="121">
        <v>6</v>
      </c>
      <c r="AF228" s="121">
        <v>6</v>
      </c>
      <c r="AG228" s="122">
        <v>6</v>
      </c>
    </row>
    <row r="229" spans="1:33" x14ac:dyDescent="0.3">
      <c r="A229" s="90">
        <v>45187</v>
      </c>
      <c r="B229" s="120" t="s">
        <v>1207</v>
      </c>
      <c r="C229" s="121"/>
      <c r="D229" s="121" t="s">
        <v>311</v>
      </c>
      <c r="E229" s="121"/>
      <c r="F229" s="121" t="s">
        <v>274</v>
      </c>
      <c r="G229" s="121" t="s">
        <v>1230</v>
      </c>
      <c r="H229" s="121" t="s">
        <v>346</v>
      </c>
      <c r="I229" s="121" t="s">
        <v>339</v>
      </c>
      <c r="J229" s="121" t="s">
        <v>1017</v>
      </c>
      <c r="K229" s="121" t="s">
        <v>1009</v>
      </c>
      <c r="L229" s="121" t="s">
        <v>1030</v>
      </c>
      <c r="M229" s="121"/>
      <c r="N229" s="121" t="s">
        <v>266</v>
      </c>
      <c r="O229" s="121"/>
      <c r="P229" s="121" t="s">
        <v>239</v>
      </c>
      <c r="Q229" s="122" t="s">
        <v>243</v>
      </c>
      <c r="R229" s="120" t="s">
        <v>1207</v>
      </c>
      <c r="S229" s="121" t="s">
        <v>1014</v>
      </c>
      <c r="T229" s="121" t="s">
        <v>1010</v>
      </c>
      <c r="U229" s="121" t="s">
        <v>1232</v>
      </c>
      <c r="V229" s="121" t="s">
        <v>1229</v>
      </c>
      <c r="W229" s="121" t="s">
        <v>1007</v>
      </c>
      <c r="X229" s="121" t="s">
        <v>278</v>
      </c>
      <c r="Y229" s="121" t="s">
        <v>251</v>
      </c>
      <c r="Z229" s="121"/>
      <c r="AA229" s="121" t="s">
        <v>1011</v>
      </c>
      <c r="AB229" s="121"/>
      <c r="AC229" s="121" t="s">
        <v>244</v>
      </c>
      <c r="AD229" s="121" t="s">
        <v>1016</v>
      </c>
      <c r="AE229" s="121"/>
      <c r="AF229" s="121" t="s">
        <v>221</v>
      </c>
      <c r="AG229" s="122"/>
    </row>
    <row r="230" spans="1:33" x14ac:dyDescent="0.3">
      <c r="A230" s="90">
        <v>45188</v>
      </c>
      <c r="B230" s="120" t="s">
        <v>1208</v>
      </c>
      <c r="C230" s="121" t="s">
        <v>268</v>
      </c>
      <c r="D230" s="121" t="s">
        <v>311</v>
      </c>
      <c r="E230" s="121" t="s">
        <v>231</v>
      </c>
      <c r="F230" s="121" t="s">
        <v>274</v>
      </c>
      <c r="G230" s="121" t="s">
        <v>1230</v>
      </c>
      <c r="H230" s="121" t="s">
        <v>346</v>
      </c>
      <c r="I230" s="121" t="s">
        <v>339</v>
      </c>
      <c r="J230" s="121" t="s">
        <v>1017</v>
      </c>
      <c r="K230" s="121" t="s">
        <v>1009</v>
      </c>
      <c r="L230" s="121" t="s">
        <v>1030</v>
      </c>
      <c r="M230" s="121" t="s">
        <v>1008</v>
      </c>
      <c r="N230" s="121" t="s">
        <v>266</v>
      </c>
      <c r="O230" s="121" t="s">
        <v>1028</v>
      </c>
      <c r="P230" s="123" t="s">
        <v>239</v>
      </c>
      <c r="Q230" s="124" t="s">
        <v>243</v>
      </c>
      <c r="R230" s="120" t="s">
        <v>1208</v>
      </c>
      <c r="S230" s="121" t="s">
        <v>1014</v>
      </c>
      <c r="T230" s="121" t="s">
        <v>1010</v>
      </c>
      <c r="U230" s="121" t="s">
        <v>1232</v>
      </c>
      <c r="V230" s="121" t="s">
        <v>1229</v>
      </c>
      <c r="W230" s="121" t="s">
        <v>1007</v>
      </c>
      <c r="X230" s="121" t="s">
        <v>278</v>
      </c>
      <c r="Y230" s="121" t="s">
        <v>251</v>
      </c>
      <c r="Z230" s="121" t="s">
        <v>1228</v>
      </c>
      <c r="AA230" s="121" t="s">
        <v>1011</v>
      </c>
      <c r="AB230" s="121" t="s">
        <v>234</v>
      </c>
      <c r="AC230" s="121" t="s">
        <v>244</v>
      </c>
      <c r="AD230" s="121" t="s">
        <v>1016</v>
      </c>
      <c r="AE230" s="121" t="s">
        <v>235</v>
      </c>
      <c r="AF230" s="123" t="s">
        <v>221</v>
      </c>
      <c r="AG230" s="124" t="s">
        <v>1012</v>
      </c>
    </row>
    <row r="231" spans="1:33" x14ac:dyDescent="0.3">
      <c r="A231" s="90">
        <v>45189</v>
      </c>
      <c r="B231" s="120" t="s">
        <v>1209</v>
      </c>
      <c r="C231" s="121" t="s">
        <v>268</v>
      </c>
      <c r="D231" s="121" t="s">
        <v>311</v>
      </c>
      <c r="E231" s="121" t="s">
        <v>231</v>
      </c>
      <c r="F231" s="121" t="s">
        <v>274</v>
      </c>
      <c r="G231" s="121" t="s">
        <v>1230</v>
      </c>
      <c r="H231" s="121" t="s">
        <v>346</v>
      </c>
      <c r="I231" s="121" t="s">
        <v>339</v>
      </c>
      <c r="J231" s="121" t="s">
        <v>1017</v>
      </c>
      <c r="K231" s="121" t="s">
        <v>1009</v>
      </c>
      <c r="L231" s="121" t="s">
        <v>1030</v>
      </c>
      <c r="M231" s="121" t="s">
        <v>1008</v>
      </c>
      <c r="N231" s="121" t="s">
        <v>266</v>
      </c>
      <c r="O231" s="121" t="s">
        <v>1028</v>
      </c>
      <c r="P231" s="123" t="s">
        <v>239</v>
      </c>
      <c r="Q231" s="124" t="s">
        <v>243</v>
      </c>
      <c r="R231" s="120" t="s">
        <v>1209</v>
      </c>
      <c r="S231" s="121" t="s">
        <v>1014</v>
      </c>
      <c r="T231" s="121" t="s">
        <v>1010</v>
      </c>
      <c r="U231" s="121" t="s">
        <v>1232</v>
      </c>
      <c r="V231" s="121" t="s">
        <v>1229</v>
      </c>
      <c r="W231" s="121" t="s">
        <v>1007</v>
      </c>
      <c r="X231" s="121" t="s">
        <v>278</v>
      </c>
      <c r="Y231" s="121" t="s">
        <v>251</v>
      </c>
      <c r="Z231" s="121" t="s">
        <v>1228</v>
      </c>
      <c r="AA231" s="121" t="s">
        <v>1011</v>
      </c>
      <c r="AB231" s="121" t="s">
        <v>234</v>
      </c>
      <c r="AC231" s="121" t="s">
        <v>244</v>
      </c>
      <c r="AD231" s="121" t="s">
        <v>1016</v>
      </c>
      <c r="AE231" s="121" t="s">
        <v>235</v>
      </c>
      <c r="AF231" s="123" t="s">
        <v>221</v>
      </c>
      <c r="AG231" s="124" t="s">
        <v>1012</v>
      </c>
    </row>
    <row r="232" spans="1:33" x14ac:dyDescent="0.3">
      <c r="A232" s="90">
        <v>45190</v>
      </c>
      <c r="B232" s="120" t="s">
        <v>1210</v>
      </c>
      <c r="C232" s="121"/>
      <c r="D232" s="121" t="s">
        <v>1232</v>
      </c>
      <c r="E232" s="121" t="s">
        <v>231</v>
      </c>
      <c r="F232" s="121"/>
      <c r="G232" s="121"/>
      <c r="H232" s="121" t="s">
        <v>268</v>
      </c>
      <c r="I232" s="121"/>
      <c r="J232" s="121" t="s">
        <v>1017</v>
      </c>
      <c r="K232" s="121" t="s">
        <v>1027</v>
      </c>
      <c r="L232" s="121" t="s">
        <v>339</v>
      </c>
      <c r="M232" s="121" t="s">
        <v>1008</v>
      </c>
      <c r="N232" s="121"/>
      <c r="O232" s="121" t="s">
        <v>1007</v>
      </c>
      <c r="P232" s="123" t="s">
        <v>239</v>
      </c>
      <c r="Q232" s="124" t="s">
        <v>250</v>
      </c>
      <c r="R232" s="120" t="s">
        <v>1210</v>
      </c>
      <c r="S232" s="121" t="s">
        <v>1037</v>
      </c>
      <c r="T232" s="121"/>
      <c r="U232" s="121"/>
      <c r="V232" s="121" t="s">
        <v>278</v>
      </c>
      <c r="W232" s="121" t="s">
        <v>1016</v>
      </c>
      <c r="X232" s="121"/>
      <c r="Y232" s="121"/>
      <c r="Z232" s="121" t="s">
        <v>1228</v>
      </c>
      <c r="AA232" s="121"/>
      <c r="AB232" s="121" t="s">
        <v>234</v>
      </c>
      <c r="AC232" s="121" t="s">
        <v>346</v>
      </c>
      <c r="AD232" s="121"/>
      <c r="AE232" s="121" t="s">
        <v>235</v>
      </c>
      <c r="AF232" s="123"/>
      <c r="AG232" s="124" t="s">
        <v>1012</v>
      </c>
    </row>
    <row r="233" spans="1:33" x14ac:dyDescent="0.3">
      <c r="A233" s="90">
        <v>45191</v>
      </c>
      <c r="B233" s="120" t="s">
        <v>1211</v>
      </c>
      <c r="C233" s="121" t="s">
        <v>1012</v>
      </c>
      <c r="D233" s="121" t="s">
        <v>1232</v>
      </c>
      <c r="E233" s="121" t="s">
        <v>266</v>
      </c>
      <c r="F233" s="121" t="s">
        <v>231</v>
      </c>
      <c r="G233" s="121" t="s">
        <v>1008</v>
      </c>
      <c r="H233" s="121" t="s">
        <v>268</v>
      </c>
      <c r="I233" s="121" t="s">
        <v>239</v>
      </c>
      <c r="J233" s="121" t="s">
        <v>1009</v>
      </c>
      <c r="K233" s="121" t="s">
        <v>1027</v>
      </c>
      <c r="L233" s="121" t="s">
        <v>339</v>
      </c>
      <c r="M233" s="121" t="s">
        <v>1011</v>
      </c>
      <c r="N233" s="121" t="s">
        <v>255</v>
      </c>
      <c r="O233" s="121" t="s">
        <v>1007</v>
      </c>
      <c r="P233" s="123" t="s">
        <v>1230</v>
      </c>
      <c r="Q233" s="124" t="s">
        <v>250</v>
      </c>
      <c r="R233" s="120" t="s">
        <v>1211</v>
      </c>
      <c r="S233" s="121" t="s">
        <v>1037</v>
      </c>
      <c r="T233" s="121" t="s">
        <v>243</v>
      </c>
      <c r="U233" s="121" t="s">
        <v>1013</v>
      </c>
      <c r="V233" s="121" t="s">
        <v>278</v>
      </c>
      <c r="W233" s="121" t="s">
        <v>1016</v>
      </c>
      <c r="X233" s="121" t="s">
        <v>287</v>
      </c>
      <c r="Y233" s="121" t="s">
        <v>1014</v>
      </c>
      <c r="Z233" s="121" t="s">
        <v>1033</v>
      </c>
      <c r="AA233" s="121" t="s">
        <v>235</v>
      </c>
      <c r="AB233" s="121" t="s">
        <v>286</v>
      </c>
      <c r="AC233" s="121" t="s">
        <v>346</v>
      </c>
      <c r="AD233" s="121" t="s">
        <v>1010</v>
      </c>
      <c r="AE233" s="121" t="s">
        <v>234</v>
      </c>
      <c r="AF233" s="123" t="s">
        <v>244</v>
      </c>
      <c r="AG233" s="124" t="s">
        <v>1228</v>
      </c>
    </row>
    <row r="234" spans="1:33" x14ac:dyDescent="0.3">
      <c r="A234" s="90">
        <v>45192</v>
      </c>
      <c r="B234" s="120" t="s">
        <v>1212</v>
      </c>
      <c r="C234" s="121" t="s">
        <v>1012</v>
      </c>
      <c r="D234" s="121" t="s">
        <v>1232</v>
      </c>
      <c r="E234" s="121" t="s">
        <v>266</v>
      </c>
      <c r="F234" s="121" t="s">
        <v>231</v>
      </c>
      <c r="G234" s="121" t="s">
        <v>1008</v>
      </c>
      <c r="H234" s="121" t="s">
        <v>268</v>
      </c>
      <c r="I234" s="121" t="s">
        <v>239</v>
      </c>
      <c r="J234" s="121" t="s">
        <v>1009</v>
      </c>
      <c r="K234" s="121" t="s">
        <v>1027</v>
      </c>
      <c r="L234" s="121" t="s">
        <v>339</v>
      </c>
      <c r="M234" s="121" t="s">
        <v>1011</v>
      </c>
      <c r="N234" s="121" t="s">
        <v>255</v>
      </c>
      <c r="O234" s="121" t="s">
        <v>1007</v>
      </c>
      <c r="P234" s="123" t="s">
        <v>1230</v>
      </c>
      <c r="Q234" s="124" t="s">
        <v>250</v>
      </c>
      <c r="R234" s="120" t="s">
        <v>1212</v>
      </c>
      <c r="S234" s="121" t="s">
        <v>1037</v>
      </c>
      <c r="T234" s="121" t="s">
        <v>243</v>
      </c>
      <c r="U234" s="121" t="s">
        <v>1013</v>
      </c>
      <c r="V234" s="121" t="s">
        <v>278</v>
      </c>
      <c r="W234" s="121" t="s">
        <v>1016</v>
      </c>
      <c r="X234" s="121" t="s">
        <v>287</v>
      </c>
      <c r="Y234" s="121" t="s">
        <v>1014</v>
      </c>
      <c r="Z234" s="121" t="s">
        <v>1033</v>
      </c>
      <c r="AA234" s="121" t="s">
        <v>235</v>
      </c>
      <c r="AB234" s="121" t="s">
        <v>286</v>
      </c>
      <c r="AC234" s="121" t="s">
        <v>346</v>
      </c>
      <c r="AD234" s="121" t="s">
        <v>1010</v>
      </c>
      <c r="AE234" s="121" t="s">
        <v>234</v>
      </c>
      <c r="AF234" s="123" t="s">
        <v>244</v>
      </c>
      <c r="AG234" s="124" t="s">
        <v>1228</v>
      </c>
    </row>
    <row r="235" spans="1:33" ht="15" thickBot="1" x14ac:dyDescent="0.35">
      <c r="A235" s="90">
        <v>45193</v>
      </c>
      <c r="B235" s="127" t="s">
        <v>1213</v>
      </c>
      <c r="C235" s="128" t="s">
        <v>1012</v>
      </c>
      <c r="D235" s="128" t="s">
        <v>1232</v>
      </c>
      <c r="E235" s="128" t="s">
        <v>266</v>
      </c>
      <c r="F235" s="128" t="s">
        <v>231</v>
      </c>
      <c r="G235" s="128" t="s">
        <v>1008</v>
      </c>
      <c r="H235" s="128" t="s">
        <v>268</v>
      </c>
      <c r="I235" s="128" t="s">
        <v>239</v>
      </c>
      <c r="J235" s="128" t="s">
        <v>1009</v>
      </c>
      <c r="K235" s="128" t="s">
        <v>1027</v>
      </c>
      <c r="L235" s="128" t="s">
        <v>339</v>
      </c>
      <c r="M235" s="128" t="s">
        <v>1011</v>
      </c>
      <c r="N235" s="128" t="s">
        <v>255</v>
      </c>
      <c r="O235" s="128" t="s">
        <v>1007</v>
      </c>
      <c r="P235" s="129" t="s">
        <v>1230</v>
      </c>
      <c r="Q235" s="130" t="s">
        <v>250</v>
      </c>
      <c r="R235" s="127" t="s">
        <v>1213</v>
      </c>
      <c r="S235" s="128" t="s">
        <v>1037</v>
      </c>
      <c r="T235" s="128" t="s">
        <v>243</v>
      </c>
      <c r="U235" s="128" t="s">
        <v>1013</v>
      </c>
      <c r="V235" s="128" t="s">
        <v>278</v>
      </c>
      <c r="W235" s="128" t="s">
        <v>1016</v>
      </c>
      <c r="X235" s="128" t="s">
        <v>287</v>
      </c>
      <c r="Y235" s="128" t="s">
        <v>1014</v>
      </c>
      <c r="Z235" s="128" t="s">
        <v>1033</v>
      </c>
      <c r="AA235" s="128" t="s">
        <v>235</v>
      </c>
      <c r="AB235" s="128" t="s">
        <v>286</v>
      </c>
      <c r="AC235" s="128" t="s">
        <v>346</v>
      </c>
      <c r="AD235" s="128" t="s">
        <v>1010</v>
      </c>
      <c r="AE235" s="128" t="s">
        <v>234</v>
      </c>
      <c r="AF235" s="129" t="s">
        <v>244</v>
      </c>
      <c r="AG235" s="130" t="s">
        <v>1228</v>
      </c>
    </row>
    <row r="236" spans="1:33" x14ac:dyDescent="0.3">
      <c r="A236" s="90" t="s">
        <v>3</v>
      </c>
      <c r="B236" s="6" t="s">
        <v>3</v>
      </c>
      <c r="C236" s="112" t="s">
        <v>286</v>
      </c>
      <c r="D236" s="112" t="s">
        <v>250</v>
      </c>
      <c r="E236" s="112" t="s">
        <v>248</v>
      </c>
      <c r="F236" s="112" t="s">
        <v>270</v>
      </c>
      <c r="G236" s="112" t="s">
        <v>266</v>
      </c>
      <c r="H236" s="112" t="s">
        <v>226</v>
      </c>
      <c r="I236" s="112" t="s">
        <v>246</v>
      </c>
      <c r="J236" s="112" t="s">
        <v>239</v>
      </c>
      <c r="K236" s="112" t="s">
        <v>339</v>
      </c>
      <c r="L236" s="112" t="s">
        <v>311</v>
      </c>
      <c r="M236" s="112" t="s">
        <v>231</v>
      </c>
      <c r="N236" s="112" t="s">
        <v>241</v>
      </c>
      <c r="O236" s="112" t="s">
        <v>268</v>
      </c>
      <c r="P236" s="112" t="s">
        <v>255</v>
      </c>
      <c r="Q236" s="113" t="s">
        <v>392</v>
      </c>
      <c r="R236" s="6" t="s">
        <v>1</v>
      </c>
      <c r="S236" s="112" t="s">
        <v>278</v>
      </c>
      <c r="T236" s="112" t="s">
        <v>221</v>
      </c>
      <c r="U236" s="112" t="s">
        <v>243</v>
      </c>
      <c r="V236" s="112" t="s">
        <v>251</v>
      </c>
      <c r="W236" s="112" t="s">
        <v>346</v>
      </c>
      <c r="X236" s="112" t="s">
        <v>224</v>
      </c>
      <c r="Y236" s="112" t="s">
        <v>287</v>
      </c>
      <c r="Z236" s="112" t="s">
        <v>235</v>
      </c>
      <c r="AA236" s="112" t="s">
        <v>274</v>
      </c>
      <c r="AB236" s="112" t="s">
        <v>222</v>
      </c>
      <c r="AC236" s="112" t="s">
        <v>325</v>
      </c>
      <c r="AD236" s="112" t="s">
        <v>244</v>
      </c>
      <c r="AE236" s="112" t="s">
        <v>228</v>
      </c>
      <c r="AF236" s="112" t="s">
        <v>264</v>
      </c>
      <c r="AG236" s="113" t="s">
        <v>234</v>
      </c>
    </row>
    <row r="237" spans="1:33" x14ac:dyDescent="0.3">
      <c r="A237" s="90"/>
      <c r="B237" s="114"/>
      <c r="C237" s="115">
        <v>6</v>
      </c>
      <c r="D237" s="115">
        <v>6</v>
      </c>
      <c r="E237" s="115">
        <v>6</v>
      </c>
      <c r="F237" s="115">
        <v>5</v>
      </c>
      <c r="G237" s="115">
        <v>7</v>
      </c>
      <c r="H237" s="115">
        <v>7</v>
      </c>
      <c r="I237" s="115">
        <v>6</v>
      </c>
      <c r="J237" s="115">
        <v>6</v>
      </c>
      <c r="K237" s="115">
        <v>6</v>
      </c>
      <c r="L237" s="115">
        <v>6</v>
      </c>
      <c r="M237" s="115">
        <v>6</v>
      </c>
      <c r="N237" s="115">
        <v>6</v>
      </c>
      <c r="O237" s="115">
        <v>6</v>
      </c>
      <c r="P237" s="115">
        <v>6</v>
      </c>
      <c r="Q237" s="116">
        <v>5</v>
      </c>
      <c r="R237" s="114"/>
      <c r="S237" s="115">
        <v>6</v>
      </c>
      <c r="T237" s="115">
        <v>6</v>
      </c>
      <c r="U237" s="115">
        <v>6</v>
      </c>
      <c r="V237" s="115">
        <v>5</v>
      </c>
      <c r="W237" s="115">
        <v>6</v>
      </c>
      <c r="X237" s="115">
        <v>6</v>
      </c>
      <c r="Y237" s="115">
        <v>6</v>
      </c>
      <c r="Z237" s="115">
        <v>6</v>
      </c>
      <c r="AA237" s="115">
        <v>6</v>
      </c>
      <c r="AB237" s="115">
        <v>6</v>
      </c>
      <c r="AC237" s="115">
        <v>6</v>
      </c>
      <c r="AD237" s="115">
        <v>7</v>
      </c>
      <c r="AE237" s="115">
        <v>5</v>
      </c>
      <c r="AF237" s="115">
        <v>7</v>
      </c>
      <c r="AG237" s="116">
        <v>6</v>
      </c>
    </row>
    <row r="238" spans="1:33" x14ac:dyDescent="0.3">
      <c r="A238" s="90">
        <v>45194</v>
      </c>
      <c r="B238" s="131" t="s">
        <v>1214</v>
      </c>
      <c r="C238" s="132" t="s">
        <v>1023</v>
      </c>
      <c r="D238" s="132"/>
      <c r="E238" s="132"/>
      <c r="F238" s="132"/>
      <c r="G238" s="132"/>
      <c r="H238" s="132"/>
      <c r="I238" s="132"/>
      <c r="J238" s="132"/>
      <c r="K238" s="132"/>
      <c r="L238" s="132"/>
      <c r="M238" s="132"/>
      <c r="N238" s="132" t="s">
        <v>1227</v>
      </c>
      <c r="O238" s="132" t="s">
        <v>241</v>
      </c>
      <c r="P238" s="132"/>
      <c r="Q238" s="133"/>
      <c r="R238" s="131" t="s">
        <v>1214</v>
      </c>
      <c r="S238" s="132"/>
      <c r="T238" s="132"/>
      <c r="U238" s="132" t="s">
        <v>286</v>
      </c>
      <c r="V238" s="132"/>
      <c r="W238" s="132"/>
      <c r="X238" s="132" t="s">
        <v>1015</v>
      </c>
      <c r="Y238" s="132"/>
      <c r="Z238" s="132" t="s">
        <v>264</v>
      </c>
      <c r="AA238" s="132"/>
      <c r="AB238" s="132"/>
      <c r="AC238" s="132"/>
      <c r="AD238" s="132" t="s">
        <v>224</v>
      </c>
      <c r="AE238" s="132"/>
      <c r="AF238" s="132" t="s">
        <v>1038</v>
      </c>
      <c r="AG238" s="133"/>
    </row>
    <row r="239" spans="1:33" x14ac:dyDescent="0.3">
      <c r="A239" s="90">
        <v>45195</v>
      </c>
      <c r="B239" s="131" t="s">
        <v>1215</v>
      </c>
      <c r="C239" s="132" t="s">
        <v>1023</v>
      </c>
      <c r="D239" s="132" t="s">
        <v>248</v>
      </c>
      <c r="E239" s="132" t="s">
        <v>1030</v>
      </c>
      <c r="F239" s="132" t="s">
        <v>1037</v>
      </c>
      <c r="G239" s="132" t="s">
        <v>1216</v>
      </c>
      <c r="H239" s="134" t="s">
        <v>1217</v>
      </c>
      <c r="I239" s="132" t="s">
        <v>1029</v>
      </c>
      <c r="J239" s="132" t="s">
        <v>255</v>
      </c>
      <c r="K239" s="132" t="s">
        <v>246</v>
      </c>
      <c r="L239" s="132" t="s">
        <v>231</v>
      </c>
      <c r="M239" s="132" t="s">
        <v>1027</v>
      </c>
      <c r="N239" s="132" t="s">
        <v>1227</v>
      </c>
      <c r="O239" s="132" t="s">
        <v>241</v>
      </c>
      <c r="P239" s="132" t="s">
        <v>1022</v>
      </c>
      <c r="Q239" s="133" t="s">
        <v>1034</v>
      </c>
      <c r="R239" s="131" t="s">
        <v>1215</v>
      </c>
      <c r="S239" s="132" t="s">
        <v>392</v>
      </c>
      <c r="T239" s="132" t="s">
        <v>228</v>
      </c>
      <c r="U239" s="132" t="s">
        <v>286</v>
      </c>
      <c r="V239" s="132" t="s">
        <v>270</v>
      </c>
      <c r="W239" s="132" t="s">
        <v>287</v>
      </c>
      <c r="X239" s="132" t="s">
        <v>1015</v>
      </c>
      <c r="Y239" s="132" t="s">
        <v>1032</v>
      </c>
      <c r="Z239" s="132" t="s">
        <v>264</v>
      </c>
      <c r="AA239" s="132" t="s">
        <v>325</v>
      </c>
      <c r="AB239" s="132" t="s">
        <v>1043</v>
      </c>
      <c r="AC239" s="132" t="s">
        <v>1033</v>
      </c>
      <c r="AD239" s="132" t="s">
        <v>224</v>
      </c>
      <c r="AE239" s="132" t="s">
        <v>1013</v>
      </c>
      <c r="AF239" s="132" t="s">
        <v>1038</v>
      </c>
      <c r="AG239" s="133" t="s">
        <v>222</v>
      </c>
    </row>
    <row r="240" spans="1:33" x14ac:dyDescent="0.3">
      <c r="A240" s="90">
        <v>45196</v>
      </c>
      <c r="B240" s="131" t="s">
        <v>1218</v>
      </c>
      <c r="C240" s="132" t="s">
        <v>1023</v>
      </c>
      <c r="D240" s="132" t="s">
        <v>248</v>
      </c>
      <c r="E240" s="132" t="s">
        <v>1030</v>
      </c>
      <c r="F240" s="132" t="s">
        <v>1037</v>
      </c>
      <c r="G240" s="132" t="s">
        <v>226</v>
      </c>
      <c r="H240" s="132" t="s">
        <v>1031</v>
      </c>
      <c r="I240" s="132" t="s">
        <v>1029</v>
      </c>
      <c r="J240" s="132" t="s">
        <v>255</v>
      </c>
      <c r="K240" s="132" t="s">
        <v>246</v>
      </c>
      <c r="L240" s="132" t="s">
        <v>231</v>
      </c>
      <c r="M240" s="132" t="s">
        <v>1027</v>
      </c>
      <c r="N240" s="132" t="s">
        <v>1227</v>
      </c>
      <c r="O240" s="132" t="s">
        <v>241</v>
      </c>
      <c r="P240" s="132" t="s">
        <v>1022</v>
      </c>
      <c r="Q240" s="133" t="s">
        <v>1034</v>
      </c>
      <c r="R240" s="131" t="s">
        <v>1218</v>
      </c>
      <c r="S240" s="132" t="s">
        <v>392</v>
      </c>
      <c r="T240" s="132" t="s">
        <v>228</v>
      </c>
      <c r="U240" s="132" t="s">
        <v>286</v>
      </c>
      <c r="V240" s="132" t="s">
        <v>270</v>
      </c>
      <c r="W240" s="132" t="s">
        <v>287</v>
      </c>
      <c r="X240" s="132" t="s">
        <v>1015</v>
      </c>
      <c r="Y240" s="132" t="s">
        <v>1032</v>
      </c>
      <c r="Z240" s="132" t="s">
        <v>264</v>
      </c>
      <c r="AA240" s="132" t="s">
        <v>325</v>
      </c>
      <c r="AB240" s="132" t="s">
        <v>1043</v>
      </c>
      <c r="AC240" s="132" t="s">
        <v>1033</v>
      </c>
      <c r="AD240" s="132" t="s">
        <v>224</v>
      </c>
      <c r="AE240" s="132" t="s">
        <v>1013</v>
      </c>
      <c r="AF240" s="132" t="s">
        <v>1038</v>
      </c>
      <c r="AG240" s="133" t="s">
        <v>222</v>
      </c>
    </row>
    <row r="241" spans="1:33" x14ac:dyDescent="0.3">
      <c r="A241" s="90">
        <v>45197</v>
      </c>
      <c r="B241" s="131" t="s">
        <v>1219</v>
      </c>
      <c r="C241" s="132"/>
      <c r="D241" s="132" t="s">
        <v>248</v>
      </c>
      <c r="E241" s="132" t="s">
        <v>1030</v>
      </c>
      <c r="F241" s="134"/>
      <c r="G241" s="132" t="s">
        <v>226</v>
      </c>
      <c r="H241" s="132" t="s">
        <v>1031</v>
      </c>
      <c r="I241" s="132" t="s">
        <v>1029</v>
      </c>
      <c r="J241" s="132" t="s">
        <v>255</v>
      </c>
      <c r="K241" s="132" t="s">
        <v>246</v>
      </c>
      <c r="L241" s="132" t="s">
        <v>231</v>
      </c>
      <c r="M241" s="132" t="s">
        <v>1027</v>
      </c>
      <c r="N241" s="132"/>
      <c r="O241" s="132"/>
      <c r="P241" s="132" t="s">
        <v>1022</v>
      </c>
      <c r="Q241" s="133"/>
      <c r="R241" s="131" t="s">
        <v>1219</v>
      </c>
      <c r="S241" s="132" t="s">
        <v>221</v>
      </c>
      <c r="T241" s="132" t="s">
        <v>1034</v>
      </c>
      <c r="U241" s="132"/>
      <c r="V241" s="132"/>
      <c r="W241" s="132" t="s">
        <v>287</v>
      </c>
      <c r="X241" s="132"/>
      <c r="Y241" s="132" t="s">
        <v>1032</v>
      </c>
      <c r="Z241" s="132"/>
      <c r="AA241" s="132" t="s">
        <v>325</v>
      </c>
      <c r="AB241" s="132" t="s">
        <v>1043</v>
      </c>
      <c r="AC241" s="132" t="s">
        <v>1033</v>
      </c>
      <c r="AD241" s="132" t="s">
        <v>264</v>
      </c>
      <c r="AE241" s="132"/>
      <c r="AF241" s="132" t="s">
        <v>1015</v>
      </c>
      <c r="AG241" s="133" t="s">
        <v>222</v>
      </c>
    </row>
    <row r="242" spans="1:33" x14ac:dyDescent="0.3">
      <c r="A242" s="90">
        <v>45198</v>
      </c>
      <c r="B242" s="131" t="s">
        <v>1220</v>
      </c>
      <c r="C242" s="132" t="s">
        <v>224</v>
      </c>
      <c r="D242" s="132" t="s">
        <v>392</v>
      </c>
      <c r="E242" s="132" t="s">
        <v>1022</v>
      </c>
      <c r="F242" s="132" t="s">
        <v>1017</v>
      </c>
      <c r="G242" s="132" t="s">
        <v>274</v>
      </c>
      <c r="H242" s="132" t="s">
        <v>1227</v>
      </c>
      <c r="I242" s="132" t="s">
        <v>1036</v>
      </c>
      <c r="J242" s="132" t="s">
        <v>248</v>
      </c>
      <c r="K242" s="132" t="s">
        <v>311</v>
      </c>
      <c r="L242" s="132" t="s">
        <v>1029</v>
      </c>
      <c r="M242" s="132" t="s">
        <v>246</v>
      </c>
      <c r="N242" s="132" t="s">
        <v>1023</v>
      </c>
      <c r="O242" s="132" t="s">
        <v>226</v>
      </c>
      <c r="P242" s="132" t="s">
        <v>270</v>
      </c>
      <c r="Q242" s="133" t="s">
        <v>1030</v>
      </c>
      <c r="R242" s="131" t="s">
        <v>1220</v>
      </c>
      <c r="S242" s="132" t="s">
        <v>221</v>
      </c>
      <c r="T242" s="132" t="s">
        <v>1034</v>
      </c>
      <c r="U242" s="132" t="s">
        <v>241</v>
      </c>
      <c r="V242" s="132" t="s">
        <v>1032</v>
      </c>
      <c r="W242" s="132" t="s">
        <v>251</v>
      </c>
      <c r="X242" s="132" t="s">
        <v>1028</v>
      </c>
      <c r="Y242" s="132" t="s">
        <v>222</v>
      </c>
      <c r="Z242" s="132" t="s">
        <v>325</v>
      </c>
      <c r="AA242" s="132" t="s">
        <v>1031</v>
      </c>
      <c r="AB242" s="132" t="s">
        <v>1229</v>
      </c>
      <c r="AC242" s="132" t="s">
        <v>1038</v>
      </c>
      <c r="AD242" s="132" t="s">
        <v>264</v>
      </c>
      <c r="AE242" s="132" t="s">
        <v>1043</v>
      </c>
      <c r="AF242" s="132" t="s">
        <v>1015</v>
      </c>
      <c r="AG242" s="133" t="s">
        <v>228</v>
      </c>
    </row>
    <row r="243" spans="1:33" x14ac:dyDescent="0.3">
      <c r="A243" s="90">
        <v>45199</v>
      </c>
      <c r="B243" s="131" t="s">
        <v>1221</v>
      </c>
      <c r="C243" s="132" t="s">
        <v>224</v>
      </c>
      <c r="D243" s="132" t="s">
        <v>392</v>
      </c>
      <c r="E243" s="132" t="s">
        <v>1022</v>
      </c>
      <c r="F243" s="132" t="s">
        <v>1017</v>
      </c>
      <c r="G243" s="132" t="s">
        <v>274</v>
      </c>
      <c r="H243" s="132" t="s">
        <v>1227</v>
      </c>
      <c r="I243" s="132" t="s">
        <v>1036</v>
      </c>
      <c r="J243" s="132" t="s">
        <v>248</v>
      </c>
      <c r="K243" s="134" t="s">
        <v>311</v>
      </c>
      <c r="L243" s="132" t="s">
        <v>1029</v>
      </c>
      <c r="M243" s="132" t="s">
        <v>246</v>
      </c>
      <c r="N243" s="132" t="s">
        <v>1023</v>
      </c>
      <c r="O243" s="132" t="s">
        <v>226</v>
      </c>
      <c r="P243" s="132" t="s">
        <v>270</v>
      </c>
      <c r="Q243" s="133" t="s">
        <v>1030</v>
      </c>
      <c r="R243" s="131" t="s">
        <v>1221</v>
      </c>
      <c r="S243" s="132" t="s">
        <v>221</v>
      </c>
      <c r="T243" s="132" t="s">
        <v>1034</v>
      </c>
      <c r="U243" s="132" t="s">
        <v>241</v>
      </c>
      <c r="V243" s="132" t="s">
        <v>1032</v>
      </c>
      <c r="W243" s="132" t="s">
        <v>251</v>
      </c>
      <c r="X243" s="132" t="s">
        <v>1028</v>
      </c>
      <c r="Y243" s="132" t="s">
        <v>222</v>
      </c>
      <c r="Z243" s="132" t="s">
        <v>325</v>
      </c>
      <c r="AA243" s="132" t="s">
        <v>1031</v>
      </c>
      <c r="AB243" s="132" t="s">
        <v>1229</v>
      </c>
      <c r="AC243" s="132" t="s">
        <v>1038</v>
      </c>
      <c r="AD243" s="132" t="s">
        <v>264</v>
      </c>
      <c r="AE243" s="132" t="s">
        <v>1043</v>
      </c>
      <c r="AF243" s="132" t="s">
        <v>1015</v>
      </c>
      <c r="AG243" s="133" t="s">
        <v>228</v>
      </c>
    </row>
    <row r="244" spans="1:33" ht="15" thickBot="1" x14ac:dyDescent="0.35">
      <c r="A244" s="90">
        <v>45200</v>
      </c>
      <c r="B244" s="135" t="s">
        <v>1222</v>
      </c>
      <c r="C244" s="136" t="s">
        <v>224</v>
      </c>
      <c r="D244" s="136" t="s">
        <v>392</v>
      </c>
      <c r="E244" s="136" t="s">
        <v>1022</v>
      </c>
      <c r="F244" s="136" t="s">
        <v>1017</v>
      </c>
      <c r="G244" s="136" t="s">
        <v>274</v>
      </c>
      <c r="H244" s="136" t="s">
        <v>1227</v>
      </c>
      <c r="I244" s="136" t="s">
        <v>1036</v>
      </c>
      <c r="J244" s="136" t="s">
        <v>248</v>
      </c>
      <c r="K244" s="136" t="s">
        <v>311</v>
      </c>
      <c r="L244" s="136" t="s">
        <v>1029</v>
      </c>
      <c r="M244" s="136" t="s">
        <v>246</v>
      </c>
      <c r="N244" s="136" t="s">
        <v>1023</v>
      </c>
      <c r="O244" s="136" t="s">
        <v>226</v>
      </c>
      <c r="P244" s="136" t="s">
        <v>270</v>
      </c>
      <c r="Q244" s="137" t="s">
        <v>1030</v>
      </c>
      <c r="R244" s="135" t="s">
        <v>1222</v>
      </c>
      <c r="S244" s="136" t="s">
        <v>221</v>
      </c>
      <c r="T244" s="136" t="s">
        <v>1034</v>
      </c>
      <c r="U244" s="136" t="s">
        <v>241</v>
      </c>
      <c r="V244" s="136" t="s">
        <v>1032</v>
      </c>
      <c r="W244" s="136" t="s">
        <v>251</v>
      </c>
      <c r="X244" s="136" t="s">
        <v>1028</v>
      </c>
      <c r="Y244" s="136" t="s">
        <v>222</v>
      </c>
      <c r="Z244" s="136" t="s">
        <v>325</v>
      </c>
      <c r="AA244" s="136" t="s">
        <v>1031</v>
      </c>
      <c r="AB244" s="136" t="s">
        <v>1229</v>
      </c>
      <c r="AC244" s="136" t="s">
        <v>1038</v>
      </c>
      <c r="AD244" s="136" t="s">
        <v>264</v>
      </c>
      <c r="AE244" s="136" t="s">
        <v>1043</v>
      </c>
      <c r="AF244" s="136" t="s">
        <v>1015</v>
      </c>
      <c r="AG244" s="137" t="s">
        <v>228</v>
      </c>
    </row>
    <row r="246" spans="1:33" x14ac:dyDescent="0.3">
      <c r="B246" t="s">
        <v>1223</v>
      </c>
    </row>
    <row r="248" spans="1:33" x14ac:dyDescent="0.3">
      <c r="B248" s="138" t="s">
        <v>1224</v>
      </c>
      <c r="C248" s="307">
        <v>45023</v>
      </c>
      <c r="D248" s="307"/>
      <c r="E248" s="307"/>
      <c r="F248" s="307"/>
      <c r="G248" s="307"/>
    </row>
  </sheetData>
  <mergeCells count="1">
    <mergeCell ref="C248:G248"/>
  </mergeCells>
  <pageMargins left="0.7" right="0.7" top="0.75" bottom="0.75" header="0.3" footer="0.3"/>
  <pageSetup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44</vt:i4>
      </vt:variant>
    </vt:vector>
  </HeadingPairs>
  <TitlesOfParts>
    <vt:vector size="63" baseType="lpstr">
      <vt:lpstr>MainPage</vt:lpstr>
      <vt:lpstr>AB</vt:lpstr>
      <vt:lpstr>TEAM</vt:lpstr>
      <vt:lpstr>WAR</vt:lpstr>
      <vt:lpstr>Record</vt:lpstr>
      <vt:lpstr>Formulas</vt:lpstr>
      <vt:lpstr>LastGame</vt:lpstr>
      <vt:lpstr>Streak</vt:lpstr>
      <vt:lpstr>PIVOT</vt:lpstr>
      <vt:lpstr>Hittas</vt:lpstr>
      <vt:lpstr>Pitchas</vt:lpstr>
      <vt:lpstr>ML_Line_OU</vt:lpstr>
      <vt:lpstr>LOB</vt:lpstr>
      <vt:lpstr>FIP</vt:lpstr>
      <vt:lpstr>Lineups</vt:lpstr>
      <vt:lpstr>Starters</vt:lpstr>
      <vt:lpstr>Sheet4</vt:lpstr>
      <vt:lpstr>RANdom</vt:lpstr>
      <vt:lpstr>Schedule</vt:lpstr>
      <vt:lpstr>ML_Line_OU!ats_trends</vt:lpstr>
      <vt:lpstr>Streak!CurStreak.py?EndDate_04_2F13_2F2023</vt:lpstr>
      <vt:lpstr>LOB!earned_run_average</vt:lpstr>
      <vt:lpstr>AB!ExternalData_1</vt:lpstr>
      <vt:lpstr>AB!ExternalData_10</vt:lpstr>
      <vt:lpstr>AB!ExternalData_11</vt:lpstr>
      <vt:lpstr>AB!ExternalData_12</vt:lpstr>
      <vt:lpstr>AB!ExternalData_14</vt:lpstr>
      <vt:lpstr>AB!ExternalData_15</vt:lpstr>
      <vt:lpstr>AB!ExternalData_16</vt:lpstr>
      <vt:lpstr>AB!ExternalData_17</vt:lpstr>
      <vt:lpstr>AB!ExternalData_18</vt:lpstr>
      <vt:lpstr>AB!ExternalData_19</vt:lpstr>
      <vt:lpstr>AB!ExternalData_2</vt:lpstr>
      <vt:lpstr>AB!ExternalData_20</vt:lpstr>
      <vt:lpstr>AB!ExternalData_21</vt:lpstr>
      <vt:lpstr>AB!ExternalData_22</vt:lpstr>
      <vt:lpstr>AB!ExternalData_23</vt:lpstr>
      <vt:lpstr>AB!ExternalData_24</vt:lpstr>
      <vt:lpstr>AB!ExternalData_25</vt:lpstr>
      <vt:lpstr>AB!ExternalData_26</vt:lpstr>
      <vt:lpstr>AB!ExternalData_27</vt:lpstr>
      <vt:lpstr>AB!ExternalData_28</vt:lpstr>
      <vt:lpstr>AB!ExternalData_29</vt:lpstr>
      <vt:lpstr>AB!ExternalData_3</vt:lpstr>
      <vt:lpstr>AB!ExternalData_30</vt:lpstr>
      <vt:lpstr>AB!ExternalData_31</vt:lpstr>
      <vt:lpstr>AB!ExternalData_4</vt:lpstr>
      <vt:lpstr>LastGame!ExternalData_4</vt:lpstr>
      <vt:lpstr>AB!ExternalData_5</vt:lpstr>
      <vt:lpstr>AB!ExternalData_6</vt:lpstr>
      <vt:lpstr>LastGame!ExternalData_6</vt:lpstr>
      <vt:lpstr>AB!ExternalData_7</vt:lpstr>
      <vt:lpstr>AB!ExternalData_8</vt:lpstr>
      <vt:lpstr>AB!ExternalData_9</vt:lpstr>
      <vt:lpstr>FIP!fielding_independent_pitching</vt:lpstr>
      <vt:lpstr>LOB!left_on_base_per_game</vt:lpstr>
      <vt:lpstr>Lineups!lineups</vt:lpstr>
      <vt:lpstr>Hittas!mlbhittingstats</vt:lpstr>
      <vt:lpstr>Pitchas!mlbpitchingstats</vt:lpstr>
      <vt:lpstr>ML_Line_OU!ou_trends</vt:lpstr>
      <vt:lpstr>Starters!probable_pitchers</vt:lpstr>
      <vt:lpstr>LOB!run_differential</vt:lpstr>
      <vt:lpstr>ML_Line_OU!win_trends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Carter, Tion</dc:creator>
  <cp:lastModifiedBy>Carter, Tion</cp:lastModifiedBy>
  <dcterms:created xsi:type="dcterms:W3CDTF">2023-04-08T05:54:26Z</dcterms:created>
  <dcterms:modified xsi:type="dcterms:W3CDTF">2023-05-25T19:47:25Z</dcterms:modified>
</cp:coreProperties>
</file>